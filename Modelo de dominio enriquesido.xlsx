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120f6d501c463b80/Escritorio/leo/Doo/Barberia proyecto/"/>
    </mc:Choice>
  </mc:AlternateContent>
  <xr:revisionPtr revIDLastSave="2" documentId="13_ncr:1_{DE31A87C-6058-43A7-9003-62FF9BBE7C9E}" xr6:coauthVersionLast="47" xr6:coauthVersionMax="47" xr10:uidLastSave="{121342FC-5773-49B3-934A-2F4179CA8ED1}"/>
  <bookViews>
    <workbookView xWindow="-120" yWindow="-120" windowWidth="29040" windowHeight="15840" tabRatio="566" firstSheet="14" activeTab="19" xr2:uid="{00000000-000D-0000-FFFF-FFFF00000000}"/>
  </bookViews>
  <sheets>
    <sheet name="Modelo de Dominio" sheetId="1" r:id="rId1"/>
    <sheet name="Objetos de Dominio" sheetId="2" r:id="rId2"/>
    <sheet name="C-Agenda" sheetId="3" r:id="rId3"/>
    <sheet name="M-Agenda" sheetId="4" r:id="rId4"/>
    <sheet name="C-Dueño" sheetId="5" r:id="rId5"/>
    <sheet name="M-Dueño" sheetId="6" r:id="rId6"/>
    <sheet name="C-Barbero" sheetId="7" r:id="rId7"/>
    <sheet name="M-Barbero" sheetId="8" r:id="rId8"/>
    <sheet name="C-Cliente" sheetId="9" r:id="rId9"/>
    <sheet name="M-Cliente" sheetId="10" r:id="rId10"/>
    <sheet name="C-HorarioBarberia" sheetId="11" r:id="rId11"/>
    <sheet name="M-HorarioBarberia" sheetId="12" r:id="rId12"/>
    <sheet name="C-Regla" sheetId="13" r:id="rId13"/>
    <sheet name="M-Regla" sheetId="14" r:id="rId14"/>
    <sheet name="C-Servicio" sheetId="15" r:id="rId15"/>
    <sheet name="M-Servicio" sheetId="16" r:id="rId16"/>
    <sheet name="C-BarberoServicio" sheetId="17" r:id="rId17"/>
    <sheet name="M-BarberoServicio" sheetId="18" r:id="rId18"/>
    <sheet name="C-HorarioBarbero" sheetId="19" r:id="rId19"/>
    <sheet name="M-HorarioBarbero" sheetId="20" r:id="rId20"/>
    <sheet name="C-Bloqueo" sheetId="23" r:id="rId21"/>
    <sheet name="M-Bloqueo" sheetId="24" r:id="rId22"/>
    <sheet name="C-Cita" sheetId="25" r:id="rId23"/>
    <sheet name="M-Cita" sheetId="26" r:id="rId24"/>
    <sheet name="C-CitaServicio" sheetId="27" r:id="rId25"/>
    <sheet name="M-CitaServicio" sheetId="28" r:id="rId26"/>
    <sheet name="C-Multa" sheetId="29" r:id="rId27"/>
    <sheet name="M-Multa" sheetId="30"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19" l="1"/>
  <c r="J5" i="10" l="1"/>
  <c r="J6" i="10"/>
  <c r="J7" i="10"/>
  <c r="J8" i="10"/>
  <c r="J4" i="10"/>
  <c r="C5" i="4" l="1"/>
  <c r="C6" i="4"/>
  <c r="C7" i="4"/>
  <c r="C8" i="4"/>
  <c r="C4" i="4"/>
  <c r="B4" i="3"/>
  <c r="D8" i="30" l="1"/>
  <c r="D7" i="30"/>
  <c r="D6" i="30"/>
  <c r="D5" i="30"/>
  <c r="D4" i="30"/>
  <c r="C11" i="29"/>
  <c r="B11" i="29"/>
  <c r="A11" i="29"/>
  <c r="B8" i="29"/>
  <c r="A8" i="29"/>
  <c r="B7" i="29"/>
  <c r="A7" i="29"/>
  <c r="B6" i="29"/>
  <c r="A6" i="29"/>
  <c r="B5" i="29"/>
  <c r="A5" i="29"/>
  <c r="B4" i="29"/>
  <c r="A4" i="29"/>
  <c r="B3" i="29"/>
  <c r="A3" i="29"/>
  <c r="B9" i="27"/>
  <c r="A9" i="27"/>
  <c r="B6" i="27"/>
  <c r="A6" i="27"/>
  <c r="B5" i="27"/>
  <c r="A5" i="27"/>
  <c r="C10" i="27" s="1"/>
  <c r="B4" i="27"/>
  <c r="A4" i="27"/>
  <c r="C9" i="27" s="1"/>
  <c r="B3" i="27"/>
  <c r="A3" i="27"/>
  <c r="B12" i="26"/>
  <c r="G12" i="26" s="1"/>
  <c r="B11" i="26"/>
  <c r="G11" i="26" s="1"/>
  <c r="B10" i="26"/>
  <c r="G10" i="26" s="1"/>
  <c r="B9" i="26"/>
  <c r="G9" i="26" s="1"/>
  <c r="B8" i="26"/>
  <c r="G8" i="26" s="1"/>
  <c r="B7" i="26"/>
  <c r="G7" i="26" s="1"/>
  <c r="B6" i="26"/>
  <c r="G6" i="26" s="1"/>
  <c r="B5" i="26"/>
  <c r="G5" i="26" s="1"/>
  <c r="B4" i="26"/>
  <c r="G4" i="26" s="1"/>
  <c r="B11" i="25"/>
  <c r="A11" i="25"/>
  <c r="B8" i="25"/>
  <c r="A8" i="25"/>
  <c r="B7" i="25"/>
  <c r="A7" i="25"/>
  <c r="B6" i="25"/>
  <c r="A6" i="25"/>
  <c r="C12" i="25" s="1"/>
  <c r="B5" i="25"/>
  <c r="A5" i="25"/>
  <c r="C11" i="25" s="1"/>
  <c r="B4" i="25"/>
  <c r="A4" i="25"/>
  <c r="B3" i="25"/>
  <c r="A3" i="25"/>
  <c r="B11" i="23"/>
  <c r="A11" i="23"/>
  <c r="B8" i="23"/>
  <c r="A8" i="23"/>
  <c r="B7" i="23"/>
  <c r="A7" i="23"/>
  <c r="B6" i="23"/>
  <c r="A6" i="23"/>
  <c r="C13" i="23" s="1"/>
  <c r="B5" i="23"/>
  <c r="A5" i="23"/>
  <c r="C12" i="23" s="1"/>
  <c r="B4" i="23"/>
  <c r="A4" i="23"/>
  <c r="C11" i="23" s="1"/>
  <c r="B3" i="23"/>
  <c r="A3" i="23"/>
  <c r="M5" i="20"/>
  <c r="B5" i="20"/>
  <c r="C19" i="19"/>
  <c r="B14" i="19"/>
  <c r="A14" i="19"/>
  <c r="B11" i="19"/>
  <c r="A11" i="19"/>
  <c r="B10" i="19"/>
  <c r="A10" i="19"/>
  <c r="B9" i="19"/>
  <c r="A9" i="19"/>
  <c r="C18" i="19" s="1"/>
  <c r="B8" i="19"/>
  <c r="A8" i="19"/>
  <c r="C17" i="19" s="1"/>
  <c r="B7" i="19"/>
  <c r="A7" i="19"/>
  <c r="C16" i="19" s="1"/>
  <c r="B6" i="19"/>
  <c r="A6" i="19"/>
  <c r="C15" i="19" s="1"/>
  <c r="B4" i="19"/>
  <c r="A4" i="19"/>
  <c r="C14" i="19" s="1"/>
  <c r="B3" i="19"/>
  <c r="A3" i="19"/>
  <c r="C12" i="18"/>
  <c r="F12" i="18" s="1"/>
  <c r="B12" i="18"/>
  <c r="F11" i="18"/>
  <c r="C11" i="18"/>
  <c r="B11" i="18"/>
  <c r="C10" i="18"/>
  <c r="B10" i="18"/>
  <c r="F10" i="18" s="1"/>
  <c r="F9" i="18"/>
  <c r="C9" i="18"/>
  <c r="B9" i="18"/>
  <c r="C8" i="18"/>
  <c r="F8" i="18" s="1"/>
  <c r="B8" i="18"/>
  <c r="F7" i="18"/>
  <c r="C7" i="18"/>
  <c r="B7" i="18"/>
  <c r="C6" i="18"/>
  <c r="B6" i="18"/>
  <c r="F6" i="18" s="1"/>
  <c r="F5" i="18"/>
  <c r="C5" i="18"/>
  <c r="B5" i="18"/>
  <c r="C4" i="18"/>
  <c r="F4" i="18" s="1"/>
  <c r="B4" i="18"/>
  <c r="C11" i="17"/>
  <c r="C10" i="17"/>
  <c r="B10" i="17"/>
  <c r="A10" i="17"/>
  <c r="B7" i="17"/>
  <c r="A7" i="17"/>
  <c r="B6" i="17"/>
  <c r="A6" i="17"/>
  <c r="B5" i="17"/>
  <c r="A5" i="17"/>
  <c r="B4" i="17"/>
  <c r="A4" i="17"/>
  <c r="B3" i="17"/>
  <c r="A3" i="17"/>
  <c r="G7" i="16"/>
  <c r="C8" i="28" s="1"/>
  <c r="B7" i="16"/>
  <c r="G6" i="16"/>
  <c r="C13" i="28" s="1"/>
  <c r="B6" i="16"/>
  <c r="G5" i="16"/>
  <c r="C9" i="28" s="1"/>
  <c r="B5" i="16"/>
  <c r="G4" i="16"/>
  <c r="C4" i="28" s="1"/>
  <c r="B4" i="16"/>
  <c r="C11" i="15"/>
  <c r="B11" i="15"/>
  <c r="A11" i="15"/>
  <c r="B8" i="15"/>
  <c r="A8" i="15"/>
  <c r="B7" i="15"/>
  <c r="A7" i="15"/>
  <c r="B6" i="15"/>
  <c r="A6" i="15"/>
  <c r="B5" i="15"/>
  <c r="A5" i="15"/>
  <c r="B4" i="15"/>
  <c r="A4" i="15"/>
  <c r="B3" i="15"/>
  <c r="A3" i="15"/>
  <c r="B4" i="14"/>
  <c r="B9" i="13"/>
  <c r="A9" i="13"/>
  <c r="B8" i="13"/>
  <c r="A8" i="13"/>
  <c r="B7" i="13"/>
  <c r="A7" i="13"/>
  <c r="B6" i="13"/>
  <c r="A6" i="13"/>
  <c r="B5" i="13"/>
  <c r="A5" i="13"/>
  <c r="B4" i="13"/>
  <c r="A4" i="13"/>
  <c r="B3" i="13"/>
  <c r="A3" i="13"/>
  <c r="F10" i="12"/>
  <c r="B10" i="12"/>
  <c r="F9" i="12"/>
  <c r="B9" i="12"/>
  <c r="F8" i="12"/>
  <c r="B8" i="12"/>
  <c r="F7" i="12"/>
  <c r="B7" i="12"/>
  <c r="F6" i="12"/>
  <c r="B6" i="12"/>
  <c r="F5" i="12"/>
  <c r="B5" i="12"/>
  <c r="F4" i="12"/>
  <c r="B4" i="12"/>
  <c r="B10" i="11"/>
  <c r="A10" i="11"/>
  <c r="B7" i="11"/>
  <c r="A7" i="11"/>
  <c r="C12" i="11" s="1"/>
  <c r="B6" i="11"/>
  <c r="A6" i="11"/>
  <c r="C11" i="11" s="1"/>
  <c r="B5" i="11"/>
  <c r="A5" i="11"/>
  <c r="C10" i="11" s="1"/>
  <c r="B4" i="11"/>
  <c r="A4" i="11"/>
  <c r="B3" i="11"/>
  <c r="A3" i="11"/>
  <c r="B8" i="30"/>
  <c r="B5" i="30"/>
  <c r="B4" i="30"/>
  <c r="B14" i="9"/>
  <c r="A14" i="9"/>
  <c r="B11" i="9"/>
  <c r="A11" i="9"/>
  <c r="B10" i="9"/>
  <c r="A10" i="9"/>
  <c r="B9" i="9"/>
  <c r="A9" i="9"/>
  <c r="C19" i="9" s="1"/>
  <c r="B8" i="9"/>
  <c r="A8" i="9"/>
  <c r="C18" i="9" s="1"/>
  <c r="B7" i="9"/>
  <c r="A7" i="9"/>
  <c r="C17" i="9" s="1"/>
  <c r="B6" i="9"/>
  <c r="A6" i="9"/>
  <c r="C16" i="9" s="1"/>
  <c r="B5" i="9"/>
  <c r="A5" i="9"/>
  <c r="C15" i="9" s="1"/>
  <c r="B4" i="9"/>
  <c r="A4" i="9"/>
  <c r="C14" i="9" s="1"/>
  <c r="B3" i="9"/>
  <c r="A3" i="9"/>
  <c r="K8" i="8"/>
  <c r="K7" i="8"/>
  <c r="B7" i="20" s="1"/>
  <c r="M7" i="20" s="1"/>
  <c r="K6" i="8"/>
  <c r="B6" i="20" s="1"/>
  <c r="M6" i="20" s="1"/>
  <c r="K5" i="8"/>
  <c r="K4" i="8"/>
  <c r="B4" i="20" s="1"/>
  <c r="M4" i="20" s="1"/>
  <c r="C16" i="7"/>
  <c r="C15" i="7"/>
  <c r="B15" i="7"/>
  <c r="A15" i="7"/>
  <c r="B12" i="7"/>
  <c r="A12" i="7"/>
  <c r="B11" i="7"/>
  <c r="A11" i="7"/>
  <c r="B10" i="7"/>
  <c r="A10" i="7"/>
  <c r="B9" i="7"/>
  <c r="A9" i="7"/>
  <c r="C20" i="7" s="1"/>
  <c r="B8" i="7"/>
  <c r="A8" i="7"/>
  <c r="C19" i="7" s="1"/>
  <c r="B7" i="7"/>
  <c r="A7" i="7"/>
  <c r="C18" i="7" s="1"/>
  <c r="B6" i="7"/>
  <c r="A6" i="7"/>
  <c r="C17" i="7" s="1"/>
  <c r="B5" i="7"/>
  <c r="A5" i="7"/>
  <c r="B4" i="7"/>
  <c r="A4" i="7"/>
  <c r="B3" i="7"/>
  <c r="A3" i="7"/>
  <c r="C9" i="5"/>
  <c r="B6" i="5"/>
  <c r="A6" i="5"/>
  <c r="B5" i="5"/>
  <c r="A5" i="5"/>
  <c r="B4" i="5"/>
  <c r="A4" i="5"/>
  <c r="B3" i="5"/>
  <c r="A3" i="5"/>
  <c r="C7" i="26"/>
  <c r="C6" i="26"/>
  <c r="B7" i="24"/>
  <c r="G7" i="24" s="1"/>
  <c r="C10" i="26"/>
  <c r="B7" i="3"/>
  <c r="A7" i="3"/>
  <c r="A4" i="3"/>
  <c r="C7" i="3" s="1"/>
  <c r="B3" i="3"/>
  <c r="A3" i="3"/>
  <c r="C7" i="20" l="1"/>
  <c r="B5" i="24"/>
  <c r="G5" i="24" s="1"/>
  <c r="C5" i="20"/>
  <c r="C5" i="30"/>
  <c r="G5" i="30" s="1"/>
  <c r="B8" i="28"/>
  <c r="E8" i="28" s="1"/>
  <c r="C4" i="30"/>
  <c r="G4" i="30" s="1"/>
  <c r="B7" i="28"/>
  <c r="B11" i="28"/>
  <c r="C6" i="30"/>
  <c r="G6" i="30" s="1"/>
  <c r="B6" i="30"/>
  <c r="B8" i="20"/>
  <c r="M8" i="20" s="1"/>
  <c r="C4" i="20"/>
  <c r="C8" i="20"/>
  <c r="C11" i="26"/>
  <c r="C6" i="28"/>
  <c r="C10" i="28"/>
  <c r="B4" i="24"/>
  <c r="G4" i="24" s="1"/>
  <c r="B7" i="30"/>
  <c r="C4" i="26"/>
  <c r="B4" i="28" s="1"/>
  <c r="E4" i="28" s="1"/>
  <c r="C8" i="26"/>
  <c r="B9" i="28" s="1"/>
  <c r="E9" i="28" s="1"/>
  <c r="C12" i="26"/>
  <c r="C7" i="28"/>
  <c r="C11" i="28"/>
  <c r="C6" i="20"/>
  <c r="B6" i="24"/>
  <c r="G6" i="24" s="1"/>
  <c r="C5" i="26"/>
  <c r="C9" i="26"/>
  <c r="B10" i="28" s="1"/>
  <c r="E10" i="28" s="1"/>
  <c r="C12" i="28"/>
  <c r="C5" i="28"/>
  <c r="B12" i="28" l="1"/>
  <c r="E12" i="28" s="1"/>
  <c r="C7" i="30"/>
  <c r="G7" i="30" s="1"/>
  <c r="B5" i="28"/>
  <c r="E5" i="28" s="1"/>
  <c r="B6" i="28"/>
  <c r="E6" i="28" s="1"/>
  <c r="B13" i="28"/>
  <c r="E13" i="28" s="1"/>
  <c r="C8" i="30"/>
  <c r="G8" i="30" s="1"/>
  <c r="E11" i="28"/>
  <c r="E7"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400-000001000000}">
      <text>
        <r>
          <rPr>
            <sz val="10"/>
            <rFont val="Arial"/>
            <family val="2"/>
          </rPr>
          <t>WIDER FARID SANCHEZ GARZON:
Corresponde al nombre del atributo del objeto de dominio</t>
        </r>
      </text>
    </comment>
    <comment ref="B2" authorId="0" shapeId="0" xr:uid="{00000000-0006-0000-0400-000002000000}">
      <text>
        <r>
          <rPr>
            <sz val="10"/>
            <rFont val="Arial"/>
            <family val="2"/>
          </rPr>
          <t>WIDER FARID SANCHEZ GARZON:
Corresponde a la descripción del atributo del objeto de dominio</t>
        </r>
      </text>
    </comment>
    <comment ref="C2" authorId="0" shapeId="0" xr:uid="{00000000-0006-0000-0400-000003000000}">
      <text>
        <r>
          <rPr>
            <sz val="10"/>
            <rFont val="Arial"/>
            <family val="2"/>
          </rPr>
          <t>WIDER FARID SANCHEZ GARZON:
Corresponde al atributo único que identifica al objeto de dominio. Sólo puede ser únicamente uno.</t>
        </r>
      </text>
    </comment>
    <comment ref="D2" authorId="0" shapeId="0" xr:uid="{00000000-0006-0000-0400-000004000000}">
      <text>
        <r>
          <rPr>
            <sz val="10"/>
            <rFont val="Arial"/>
            <family val="2"/>
          </rPr>
          <t>WIDER FARID SANCHEZ GARZON:
Corresponde al tipo de dato del atributo:
-LÓGICO (VERDADERO/FALSO)
-CARÁCTER (SÓLO UN CARÁCTER)
-TEXTO (CUALQUIER CARÁCTER A-Za-z Y ESPACIOS)
-ALFANUMÉRICO (CUALQUIER COMBINACIÓN DE CARACTERES)
-NUMÉRICO ENTERO (CUALQUIER NÚMERO ENTERO)
-NUMÉRICO DECIMAL (CUALQUIER NÚMERO DECIMAL)
-FECHA (CUALQUIER FECHA VÁLIDA)
-FECHA/HORA (CUALQUIER FECHA HORA VÁLIDA)
-&lt;OBJETO DE DOMINIO&gt; (CUALQUIER OBJETO DE DOMINIO DEL PROBLEMA)</t>
        </r>
      </text>
    </comment>
    <comment ref="E2" authorId="0" shapeId="0" xr:uid="{00000000-0006-0000-0400-000005000000}">
      <text>
        <r>
          <rPr>
            <sz val="10"/>
            <rFont val="Arial"/>
            <family val="2"/>
          </rPr>
          <t>WIDER FARID SANCHEZ GARZON:
Indica si el atributo es o no obligatorio.</t>
        </r>
      </text>
    </comment>
    <comment ref="F2" authorId="0" shapeId="0" xr:uid="{00000000-0006-0000-0400-000006000000}">
      <text>
        <r>
          <rPr>
            <sz val="10"/>
            <rFont val="Arial"/>
            <family val="2"/>
          </rPr>
          <t>WIDER FARID SANCHEZ GARZON:
Indica la longitud mínima de un atributo si aplica. Sólo permite números mayores o iguales a 0. Sólo aplica para datos de tipo texto (carácter, texto o alfanumérico)</t>
        </r>
      </text>
    </comment>
    <comment ref="G2" authorId="0" shapeId="0" xr:uid="{00000000-0006-0000-0400-000007000000}">
      <text>
        <r>
          <rPr>
            <sz val="10"/>
            <rFont val="Arial"/>
            <family val="2"/>
          </rPr>
          <t>WIDER FARID SANCHEZ GARZON:
Indica la longitud máxima de un atributo si aplica. Sólo permite números mayores o iguales a 0. Sólo aplica para datos de tipo texto (carácter, texto o alfanumérico)</t>
        </r>
      </text>
    </comment>
    <comment ref="H2" authorId="0" shapeId="0" xr:uid="{00000000-0006-0000-0400-000008000000}">
      <text>
        <r>
          <rPr>
            <sz val="10"/>
            <rFont val="Arial"/>
            <family val="2"/>
          </rPr>
          <t>WIDER FARID SANCHEZ GARZON:
Indica la cantidad de decimales máxima que puede tener un atributo de tipo de dato Numérico Decimal.</t>
        </r>
      </text>
    </comment>
    <comment ref="I2" authorId="0" shapeId="0" xr:uid="{00000000-0006-0000-0400-000009000000}">
      <text>
        <r>
          <rPr>
            <sz val="10"/>
            <rFont val="Arial"/>
            <family val="2"/>
          </rPr>
          <t>WIDER FARID SANCHEZ GARZON:
Sólo aplica para tipos de datos Numérico Decimal cuano se indique explícitamente. Las opciones válidas son:
-Hacia arriba: Se debe redondear a la cifra hacia arriba más próxima, según la precisión indicada.
-Hacia abajo: Se debe redondear a la cifra hacia abajo más próxima, según la precisión indicada.
-Truncamiento: Se debe recortar el número con exactamene el número de decimales definidos en la precisión.</t>
        </r>
      </text>
    </comment>
    <comment ref="J2" authorId="0" shapeId="0" xr:uid="{00000000-0006-0000-0400-00000A000000}">
      <text>
        <r>
          <rPr>
            <sz val="10"/>
            <rFont val="Arial"/>
            <family val="2"/>
          </rPr>
          <t>WIDER FARID SANCHEZ GARZON:
Indica el rango inicial a partir es válido el valor de un atributo. Sólo aplica para tipos de datos numéricos.</t>
        </r>
      </text>
    </comment>
    <comment ref="K2" authorId="0" shapeId="0" xr:uid="{00000000-0006-0000-0400-00000B000000}">
      <text>
        <r>
          <rPr>
            <sz val="10"/>
            <rFont val="Arial"/>
            <family val="2"/>
          </rPr>
          <t>WIDER FARID SANCHEZ GARZON:
Indica el rango final hasta el cual es válido el valor de un atributo. Sólo aplica para tipos de datos numéricos.</t>
        </r>
      </text>
    </comment>
    <comment ref="L2" authorId="0" shapeId="0" xr:uid="{00000000-0006-0000-0400-00000C000000}">
      <text>
        <r>
          <rPr>
            <sz val="10"/>
            <rFont val="Arial"/>
            <family val="2"/>
          </rPr>
          <t>WIDER FARID SANCHEZ GARZON:
Aplica para datos de tipo texto (carácter, texto, alfanumérico) e indica el formato específico que debe tener el valor del atributo para que sea considerado válido.</t>
        </r>
      </text>
    </comment>
    <comment ref="M2" authorId="0" shapeId="0" xr:uid="{00000000-0006-0000-0400-00000D000000}">
      <text>
        <r>
          <rPr>
            <sz val="10"/>
            <rFont val="Arial"/>
            <family val="2"/>
          </rPr>
          <t>WIDER FARID SANCHEZ GARZON:
Indica cuando el valor del atributo depende de reglas especiales, o su valor está en función de un cálculo de otros atributos.</t>
        </r>
      </text>
    </comment>
    <comment ref="N2" authorId="0" shapeId="0" xr:uid="{00000000-0006-0000-0400-00000E000000}">
      <text>
        <r>
          <rPr>
            <sz val="10"/>
            <rFont val="Arial"/>
            <family val="2"/>
          </rPr>
          <t>WIDER FARID SANCHEZ GARZON:
Indica si el atributo contiene un valor que es calculado automática en tiempo real.</t>
        </r>
      </text>
    </comment>
    <comment ref="O2" authorId="0" shapeId="0" xr:uid="{00000000-0006-0000-0400-00000F000000}">
      <text>
        <r>
          <rPr>
            <sz val="10"/>
            <rFont val="Arial"/>
            <family val="2"/>
          </rPr>
          <t>WIDER FARID SANCHEZ GARZON:
Aplica sólo para datos de tipo texto (carácter, texto y alfanumérico) e indica si el dato se debe ajustar a una longitud igual siempre con un carácter o patró de ajuste específico.
Si aplica el ajuste, se debe indicar en las reglas especiales qué tipo de ajuste se debe llevar a cabo.</t>
        </r>
      </text>
    </comment>
    <comment ref="P2" authorId="0" shapeId="0" xr:uid="{00000000-0006-0000-0400-000010000000}">
      <text>
        <r>
          <rPr>
            <sz val="10"/>
            <rFont val="Arial"/>
            <family val="2"/>
          </rPr>
          <t>WIDER FARID SANCHEZ GARZON:
En caso de que aplique ajuste, se debe indicar con qué carácter se ajusta el dato</t>
        </r>
      </text>
    </comment>
    <comment ref="Q2" authorId="0" shapeId="0" xr:uid="{00000000-0006-0000-0400-000011000000}">
      <text>
        <r>
          <rPr>
            <sz val="10"/>
            <rFont val="Arial"/>
            <family val="2"/>
          </rPr>
          <t>WIDER FARID SANCHEZ GARZON:
Aplica sólo para datos de tipo texto (carácter, texto, alfanumérico) e indica si se deben quitar los espacios en blanco al inicio de la cadena.</t>
        </r>
      </text>
    </comment>
    <comment ref="R2" authorId="0" shapeId="0" xr:uid="{00000000-0006-0000-0400-000012000000}">
      <text>
        <r>
          <rPr>
            <sz val="10"/>
            <rFont val="Arial"/>
            <family val="2"/>
          </rPr>
          <t>WIDER FARID SANCHEZ GARZON:
Aplica sólo para datos de tipo texto (carácter, texto, alfanumérico) e indica si se deben quitar los espacios en blanco al final de la cadena.</t>
        </r>
      </text>
    </comment>
    <comment ref="S2" authorId="0" shapeId="0" xr:uid="{00000000-0006-0000-0400-000013000000}">
      <text>
        <r>
          <rPr>
            <sz val="10"/>
            <rFont val="Arial"/>
            <family val="2"/>
          </rPr>
          <t xml:space="preserve">WIDER FARID SANCHEZ GARZON:
Corresponde a un dato que debe tener un manejo o tratamiento especifico para asegurar su acceso e integridad.
</t>
        </r>
      </text>
    </comment>
    <comment ref="T2" authorId="0" shapeId="0" xr:uid="{00000000-0006-0000-0400-000014000000}">
      <text>
        <r>
          <rPr>
            <sz val="10"/>
            <rFont val="Arial"/>
            <family val="2"/>
          </rPr>
          <t>WIDER FARID SANCHEZ GARZON:
Indica el valor que se debe asignar al atributo en caso de que no sea ingresado de forma directa.</t>
        </r>
      </text>
    </comment>
    <comment ref="U2" authorId="0" shapeId="0" xr:uid="{00000000-0006-0000-0400-000015000000}">
      <text>
        <r>
          <rPr>
            <sz val="10"/>
            <rFont val="Arial"/>
            <family val="2"/>
          </rPr>
          <t>WIDER FARID SANCHEZ GARZON:
Indica si el valor se genera de forma automática sin invervención de un tercero (usuario, otro sistema)</t>
        </r>
      </text>
    </comment>
  </commentList>
</comments>
</file>

<file path=xl/sharedStrings.xml><?xml version="1.0" encoding="utf-8"?>
<sst xmlns="http://schemas.openxmlformats.org/spreadsheetml/2006/main" count="1527" uniqueCount="327">
  <si>
    <t>Ir a objetos de dominio &gt;&gt;&gt;&gt;</t>
  </si>
  <si>
    <t>&lt;&lt;&lt;&lt; Ir al modulo de dominio</t>
  </si>
  <si>
    <t>Nombre</t>
  </si>
  <si>
    <t>Descripcion</t>
  </si>
  <si>
    <t>Linea de vida</t>
  </si>
  <si>
    <t>Datos</t>
  </si>
  <si>
    <t>Dueño</t>
  </si>
  <si>
    <t>Representa a quien va crear la regla de la barberia, los horarios de la barberia y los servicios de la barberia</t>
  </si>
  <si>
    <t>aquí</t>
  </si>
  <si>
    <t>Barbero</t>
  </si>
  <si>
    <t>Representa a un trabajador de la barbería que atiende clientes según los servicios que sabe realizar y que organiza su tiempo a través de su propia agenda</t>
  </si>
  <si>
    <t>Cliente</t>
  </si>
  <si>
    <t>Representa a la persona que solicita citas en la barbería, el se las pide a un barbero por WhatsApp. Su valor esta en darle al sistema un historial por persona: que citas ha pedido, que multas tiene y si esta o no vetado, para que cualquier barbero sepa con quien esta tratando antes de agendarle</t>
  </si>
  <si>
    <t>Agenda</t>
  </si>
  <si>
    <t>HorarioBarberia</t>
  </si>
  <si>
    <t>Representa, día por día, a que hora abre y cierra el negocio. Es el límite dentro del cual tiene que caber el horario de cualquier barbero, nadie puede trabajar antes de que abra ni después de que cierre</t>
  </si>
  <si>
    <t>Regla</t>
  </si>
  <si>
    <t>Servicio</t>
  </si>
  <si>
    <t>BarberoServicio</t>
  </si>
  <si>
    <t>Representa que servicios realiza cada barbero, ya que no todos los barberos de la barbería ofrecen los mismos servicios, mostrando lo que demora cada barbero en realizar ese servicio y un tiempo de desfase en caso de que se demore más en realizar el servicio</t>
  </si>
  <si>
    <t>HorarioBarbero</t>
  </si>
  <si>
    <t>Bloqueo</t>
  </si>
  <si>
    <t>Cita</t>
  </si>
  <si>
    <t>CitaServicio</t>
  </si>
  <si>
    <t>Representa cada servicio incluido dentro de una cita puntual, guardando el precio y la duración que tenía ese servicio en el momento exacto en que se agendó, para que cambios futuros en el catálogo no alteren citas ya registradas</t>
  </si>
  <si>
    <t>Multa</t>
  </si>
  <si>
    <t>Representa la sanción económica que se le impone a un cliente por incumplir una cita (llegar tarde fuera de tolerancia o no presentarse), calculada a partir de la cita específica que la originó</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</si>
  <si>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</si>
  <si>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</si>
  <si>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</si>
  <si>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</si>
  <si>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</si>
  <si>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</si>
  <si>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</si>
  <si>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</si>
  <si>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</si>
  <si>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</si>
  <si>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</si>
  <si>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</si>
  <si>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</si>
  <si>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</si>
  <si>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</si>
  <si>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</si>
  <si>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</si>
  <si>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</si>
  <si>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</si>
  <si>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</si>
  <si>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</si>
  <si>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</si>
  <si>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</si>
  <si>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</si>
  <si>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t>
  </si>
  <si>
    <t>Alfanumérico</t>
  </si>
  <si>
    <t>Numérico (Entero)</t>
  </si>
  <si>
    <t>Minutos.</t>
  </si>
  <si>
    <t>Fecha</t>
  </si>
  <si>
    <t>dd/mm/aaaa</t>
  </si>
  <si>
    <t>Mientras el registro esté vigente usa el valor centinela 01/01/1000; al desactivarse, el sistema toma la fecha de hoy y ya no se puede volver a modificar.</t>
  </si>
  <si>
    <t>01/01/1000</t>
  </si>
  <si>
    <t>Lógico</t>
  </si>
  <si>
    <t>Una vez cambiado a no, el estado no se puede volver a modificar.</t>
  </si>
  <si>
    <t>si</t>
  </si>
  <si>
    <t>Nombre combinación única</t>
  </si>
  <si>
    <t>Descripción</t>
  </si>
  <si>
    <t>Atributos involucrados</t>
  </si>
  <si>
    <t>Representa un identificador que hará unico cada objeto de dominio de este tipo, no se puede repetir</t>
  </si>
  <si>
    <t>Combinación única que indica que no puede existir más de una agenda con el mismo nombre</t>
  </si>
  <si>
    <t>id</t>
  </si>
  <si>
    <t>nombre</t>
  </si>
  <si>
    <t>fechaCreacion</t>
  </si>
  <si>
    <t>fechaDesactivacion</t>
  </si>
  <si>
    <t>vigente</t>
  </si>
  <si>
    <t>Combinación única</t>
  </si>
  <si>
    <t>Agenda de Juan García</t>
  </si>
  <si>
    <t>1/01/1000</t>
  </si>
  <si>
    <t>Agenda de Juan Ortiz</t>
  </si>
  <si>
    <t>Agenda de Carlos Arbeladez</t>
  </si>
  <si>
    <t>Agenda de Andres Ramirez</t>
  </si>
  <si>
    <t>no</t>
  </si>
  <si>
    <t>Agenda de Juan Carlos Zambrano</t>
  </si>
  <si>
    <t>Corresponde a la descripcion de los atributos</t>
  </si>
  <si>
    <t>Corresponde al identificador unico del objeto de dominio</t>
  </si>
  <si>
    <t>Corresponde a los datos de tipo alfanumerico</t>
  </si>
  <si>
    <t>Corresponde a los datos de tipo entero</t>
  </si>
  <si>
    <t>Corresponde a los datos calculados por el sistema</t>
  </si>
  <si>
    <t>Corresponde a los datos de tipo logico</t>
  </si>
  <si>
    <t>Corresponde a la combinacion única</t>
  </si>
  <si>
    <t>Debe de tener un @, tener un dominio de correo después del @, debe de terminar en el dominio web del correo, como .com, .co y no debe de tener espacios en blanco</t>
  </si>
  <si>
    <t>correoUnico</t>
  </si>
  <si>
    <t>Combinación única que indica que no puede existir más de un dueño con el mismo correo</t>
  </si>
  <si>
    <t>Representa el correo electronico del dueño de la barberia, con el que se va a registrar o iniciar seción. Su valor por defecto es el vacio y no es permitido</t>
  </si>
  <si>
    <t>Representa la contraseña encriptada del dueño de la barberia. Su tipo de dato es alfanumérico, su valor por defecto es el vacio y no esta permitido</t>
  </si>
  <si>
    <t>Representa el nombre de como el dueño, es quien decide el los cambios de la barberia</t>
  </si>
  <si>
    <t>correo</t>
  </si>
  <si>
    <t>contraseña</t>
  </si>
  <si>
    <t>dueniodelabarberia12345@gmail.com</t>
  </si>
  <si>
    <t>$2b$12$ArgOhAQEFEYiMG55jPsz9uVYEx8lc35b7Y8CJbpqSk0nB079OkbO.</t>
  </si>
  <si>
    <t>Carlos</t>
  </si>
  <si>
    <t>+0</t>
  </si>
  <si>
    <t xml:space="preserve">Deben de ser solo números que cumplan un número de teléfono válido </t>
  </si>
  <si>
    <t>0000</t>
  </si>
  <si>
    <t>Representa si el barbero sigue o no trabajando. Es un dato calculado, si el barbero tiene en su agenda un horario de trabajo si es vigente y si no tiene horario de trabajo dice no es vigente</t>
  </si>
  <si>
    <t>Combinacion única que indica que no puede existir más de un barbero con el mismo nombre, apellidos, prefijo de celular y número de celular</t>
  </si>
  <si>
    <t>primerNombre</t>
  </si>
  <si>
    <t>segundoNombre</t>
  </si>
  <si>
    <t>primerApellido</t>
  </si>
  <si>
    <t>segundoApellido</t>
  </si>
  <si>
    <t>prefijo</t>
  </si>
  <si>
    <t>celular</t>
  </si>
  <si>
    <t xml:space="preserve">Combinación única </t>
  </si>
  <si>
    <t>Juan</t>
  </si>
  <si>
    <t>Fernando</t>
  </si>
  <si>
    <t>García</t>
  </si>
  <si>
    <t>Lopez</t>
  </si>
  <si>
    <t>+57</t>
  </si>
  <si>
    <t>juanfer234535@gmail.com</t>
  </si>
  <si>
    <t>$2b$12$Ce2ZsSJaOpx4iq5W.LNrCuvonh1fxNgpYYqBddeR50IjtYsh9n97C</t>
  </si>
  <si>
    <t>David</t>
  </si>
  <si>
    <t>Ortiz</t>
  </si>
  <si>
    <t>Sanchez</t>
  </si>
  <si>
    <t>juandaviddd2525@gmail.com</t>
  </si>
  <si>
    <t>$2b$12$4dn1n10vtv3SpDX5ryR2FOluaaros/pqDXz8liKcEp/7JG7TBvqAK</t>
  </si>
  <si>
    <t>Arbeladez</t>
  </si>
  <si>
    <t>carlosbeladez@gmail.com</t>
  </si>
  <si>
    <t>$2b$12$htWWNCh.2QPjVycBmNb5ROHBO21L9p7hlWyFtctUtP4SbV3yBNqei</t>
  </si>
  <si>
    <t>Andres</t>
  </si>
  <si>
    <t>Ramirez</t>
  </si>
  <si>
    <t>Patiño</t>
  </si>
  <si>
    <t>+91</t>
  </si>
  <si>
    <t>andresramirezpatino123@gmail.com</t>
  </si>
  <si>
    <t>$2b$12$IzNJVnlQl1UX5Py84yi5jOE1yuEdUrA.0Okt.BidVKs8biBdotH7W</t>
  </si>
  <si>
    <t>Zambrano</t>
  </si>
  <si>
    <t>Perez</t>
  </si>
  <si>
    <t>+593</t>
  </si>
  <si>
    <t>juancarloszambrano4394@gmail.com</t>
  </si>
  <si>
    <t>$2b$12$mlxS0WUooP1stXSQdVR8EeBoYrgBrP5czZRqSvIgvelxUIGcwFgh.</t>
  </si>
  <si>
    <t>Entero</t>
  </si>
  <si>
    <t>Representa la cantidad de multas que tiene sin pagar en las citas que ha tenido, ya sea multa por tardanza o por no llegar</t>
  </si>
  <si>
    <t>Representa si el cliente esta en estado de veto o no, cuando el cliente esta vetado el sistema no va a permitir agendar citas con este cliente con ningun barbero</t>
  </si>
  <si>
    <t>Combinacion única que indica que no puede existir más de un cliente con un mismo nombre, apellidos, prefijo de celular y número de celular</t>
  </si>
  <si>
    <t>prefijoCelular</t>
  </si>
  <si>
    <t>multasSinPagar</t>
  </si>
  <si>
    <t>estaVetado</t>
  </si>
  <si>
    <t>Gómez</t>
  </si>
  <si>
    <t>Jose</t>
  </si>
  <si>
    <t>Miguel</t>
  </si>
  <si>
    <t>Simon</t>
  </si>
  <si>
    <t>Ochoa</t>
  </si>
  <si>
    <t>Alexis</t>
  </si>
  <si>
    <t>Gallego</t>
  </si>
  <si>
    <t>+58</t>
  </si>
  <si>
    <t>Kevin</t>
  </si>
  <si>
    <t>Andrés</t>
  </si>
  <si>
    <t>Muñoz</t>
  </si>
  <si>
    <t>Salazar</t>
  </si>
  <si>
    <t>Aplican las reglas del objeto referenciado.</t>
  </si>
  <si>
    <t>Hora</t>
  </si>
  <si>
    <t>hh:mm</t>
  </si>
  <si>
    <t>00:00</t>
  </si>
  <si>
    <t>Representa que el dueño tomo la decisión de agregar un horario para la barberia</t>
  </si>
  <si>
    <t>Combinacion única que indica que no puede existir más de un horario con la misma barberia, dia de la semana, hora de apertura y cierre</t>
  </si>
  <si>
    <t>dueño</t>
  </si>
  <si>
    <t>diaDeLaSemana</t>
  </si>
  <si>
    <t>horaApertura</t>
  </si>
  <si>
    <t>horaCierre</t>
  </si>
  <si>
    <t>Lunes</t>
  </si>
  <si>
    <t>Martes</t>
  </si>
  <si>
    <t>Miércoles</t>
  </si>
  <si>
    <t>Jueves</t>
  </si>
  <si>
    <t>Viernes</t>
  </si>
  <si>
    <t>Sábado</t>
  </si>
  <si>
    <t>Festivo</t>
  </si>
  <si>
    <t>Corresponde a referencias de objetos de dominio</t>
  </si>
  <si>
    <t>Corresponde a los datos de tipo hora</t>
  </si>
  <si>
    <t>Separador de miles con punto (formato moneda colombiana), sin decimales.</t>
  </si>
  <si>
    <t>Representa el objeto de dominio del dueño de la barberia, quien es el que crea regla</t>
  </si>
  <si>
    <t>Representa la cantidad de dinero que el cliente debe de pagar en pesos colombianos, por superar la toleranciaTardanza. Debe de ser mayor a cero, su valor por defecto es 0 y no es permitido</t>
  </si>
  <si>
    <t>Representa la maxima de multas que pueda tener un cliente sin pagar, a partir de esta cantidad se le hace un veto al cliente. Debe de ser mayor o igual a cero, su valor por defecto es 0 y es no es permitido</t>
  </si>
  <si>
    <t>Representa la cantidad de minutos que un barbero puede demorarse en atender a un cliente, en caso de que el barbero se demore mas de lo previsto en su cita anterior</t>
  </si>
  <si>
    <t>Representa la cantidad cuanto descuento va a tener un cliente en la cita con el barbero, como recompesa por esperar al barbero mas de la tolerancia permitida</t>
  </si>
  <si>
    <t>toleranciaTardanzaCliente</t>
  </si>
  <si>
    <t>montoMultaTardanzaCliente</t>
  </si>
  <si>
    <t>numeroMultasMaxima</t>
  </si>
  <si>
    <t>toleranciaTardanzaBarbero</t>
  </si>
  <si>
    <t>porcentajeDescuentoCita</t>
  </si>
  <si>
    <t>Representa que el dueño tomo la decisión de agregar un servicio para la barberia</t>
  </si>
  <si>
    <t>Representa el nombre del servicio que va estar en la barberia, que el barbero ofrece y en las citas que esta. Su valor por defecto es el vacio y no es permitido</t>
  </si>
  <si>
    <t>Representa como el dueño describe que va a hacer cada servicio, para que el barbero sepa que hace el servicio</t>
  </si>
  <si>
    <t>Representa cuanto va a valer el servicio en pesos colombianos. Debe de ser mayor a cero, su valor por defecto es 0 y no esta permitido</t>
  </si>
  <si>
    <t>Representa si el servicio sigue o no disponible en la barberia</t>
  </si>
  <si>
    <t>Combinacion única que indica que no puede existir más de un servicio con el mismo nombre</t>
  </si>
  <si>
    <t>descripcion</t>
  </si>
  <si>
    <t>precio</t>
  </si>
  <si>
    <t>disponible</t>
  </si>
  <si>
    <t xml:space="preserve">Combinacion única </t>
  </si>
  <si>
    <t>Motilada</t>
  </si>
  <si>
    <t>Corte de cabello completo con máquina y tijera, incluye lavado y secado</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</si>
  <si>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</si>
  <si>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</si>
  <si>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</si>
  <si>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</si>
  <si>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</si>
  <si>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</si>
  <si>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Corresponde a los datos de referencia de otros objetos de dominio</t>
  </si>
  <si>
    <t>El barbero debe ser consciente de cuánto se demora realmente en este servicio.</t>
  </si>
  <si>
    <t>Representa el nombre y apellidos del barbero</t>
  </si>
  <si>
    <t xml:space="preserve">Representa el nombre del servicio de la barberia </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</si>
  <si>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</si>
  <si>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</si>
  <si>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Combinación única que indica que un mismo barbero no puede aparecer dos veces ofreciendo el mismo servicio</t>
  </si>
  <si>
    <t>barbero</t>
  </si>
  <si>
    <t>servicio</t>
  </si>
  <si>
    <t>duracionServicio</t>
  </si>
  <si>
    <t>tiempoExtra</t>
  </si>
  <si>
    <t>Solo puede tomar uno de los días que la barbería tenga habilitados en HorarioBarberia.</t>
  </si>
  <si>
    <t>Debe estar dentro del horario de la barbería para ese día.</t>
  </si>
  <si>
    <t>Debe ser mayor a horaInicio y debe estar dentro del horario de la barbería para ese día.</t>
  </si>
  <si>
    <t>El sistema toma la fecha de hoy en el momento en que el barbero crea la agenda.</t>
  </si>
  <si>
    <t>Referencia a que barbero va a ser dueño de esta agenda</t>
  </si>
  <si>
    <t>Hace referencia a la agenda del barbero en la que queda guardado este horario de trabajo</t>
  </si>
  <si>
    <t>Representa el día de la semana en que aplica este horario que para la agenda del barbero, es necesario porque un barbero puede trabajar unos días sí y otros no. Su valor por defecto es el vacío y no es permitido, el barbero solo podra seleccionar los días de la semana que la barberia tiene en su horario</t>
  </si>
  <si>
    <t>Representa la hora en la que el barbero empieza a estar disponible ese dia. Su valor por defecto es 00:00 y es permitido. La hora debe de estar dentro del horario barberia</t>
  </si>
  <si>
    <t>Representa la hora en la que el barbero deja de estar disponible ese día, junto con horaInicio, es lo que la aplicación usa para saber si hay campo para agendar una cita nueva. Su valor por defecto es 00:00 y no es permitido. Esta hora debe de ser mayor a horaInicio y también debe de estar dentro de horario barberia</t>
  </si>
  <si>
    <t>Representa la fecha en el que el barbero creo esta agenda. Es un dato calculado que toma la fecha de hoy cuando el barbero crea la agenda</t>
  </si>
  <si>
    <t>Representa la fecha en el que el barbero decidio que ya no va a trabaja más en este horario. Es un dato calculo que toma la fecha de hoy cuando el barbero dice que ya no es vigente</t>
  </si>
  <si>
    <t>Representa si este horario lo sigue o no usando el barbero. Una vez que el barbero cambie este estado a no vigente, no se puede volver a cambiar</t>
  </si>
  <si>
    <t xml:space="preserve">Representa la hora en el que el barbero definió su hora de inicio para el descanso </t>
  </si>
  <si>
    <t>Representa la hora en que se acaba el descanso para el barbero</t>
  </si>
  <si>
    <t>Representa si el barbero tiene o no descanso en su horario de trabajo</t>
  </si>
  <si>
    <t>Combinación única que indica que un barbero no puede tener más de una agenda, cada barbero organiza todo su tiempo en un único lugar</t>
  </si>
  <si>
    <t>agenda</t>
  </si>
  <si>
    <t>horaInicio</t>
  </si>
  <si>
    <t>horaFinal</t>
  </si>
  <si>
    <t>inicioDescanso</t>
  </si>
  <si>
    <t>finDescanso</t>
  </si>
  <si>
    <t>tieneDescanso</t>
  </si>
  <si>
    <t>duracion</t>
  </si>
  <si>
    <t>Fecha Hora</t>
  </si>
  <si>
    <t>dd/mm/aaaa hh:mm</t>
  </si>
  <si>
    <t>No se pueden seleccionar fechas anteriores al momento actual, solo fechas futuras.</t>
  </si>
  <si>
    <t>Debe ser mayor a fechaHoraInicio.</t>
  </si>
  <si>
    <t>Se calcula como fechaHoraFinal menos fechaHoraInicio.</t>
  </si>
  <si>
    <t xml:space="preserve">
Hace referencia a la agenda (y por lo tanto al barbero) a la que pertenece este bloqueo, permite saber en cual agenda se va agregar el bloqueo</t>
  </si>
  <si>
    <t>Representa la fecha y la hora en el que va a empezar el bloqueo para la agenda del barbero. Su valor por defecto es 01/01/1000 00:00 y no es permitido. No se puden seleccionar fechas antes del momento de hoy, solo fechas futuras</t>
  </si>
  <si>
    <t>Representa la fecha y la hora en el que va a terminar el bloqueo para la agenda del barbero. Su valor por defecto es 01/01/1000 00:00 y no es permitido, la fecha debe de ser mayor a la fecha de inicio</t>
  </si>
  <si>
    <t>Representa como el barbero va a llamar este bloqueo para su agenda. Su valor por defecto es el vacio y no es permitido</t>
  </si>
  <si>
    <t>Representa la cantidad de minutos dura el bloqueo de la agenda. Es un dato calculado a partir de la fechaHoraInicio y fechaHoraFinal</t>
  </si>
  <si>
    <t>Combinación única que indica que una misma agenda no puede tener dos bloqueos en una misma fecha, horaInicio y horaFinal</t>
  </si>
  <si>
    <t>fechaHoraInicio</t>
  </si>
  <si>
    <t>fechaHoraFinal</t>
  </si>
  <si>
    <t>Cita medica</t>
  </si>
  <si>
    <t>Vueltas que voy a hacer</t>
  </si>
  <si>
    <t>Incoveniente</t>
  </si>
  <si>
    <t>Compromiso</t>
  </si>
  <si>
    <t>Corresponde a los datos de tipo fecha y hora</t>
  </si>
  <si>
    <t>Se calcula sumando la duración del servicio (BarberoServicio) a fechaHora.</t>
  </si>
  <si>
    <t>Solo puede tomar uno de los valores: agendada, atendida, retraso, incumplida o cancelada.</t>
  </si>
  <si>
    <t>agendada</t>
  </si>
  <si>
    <t>Representa el nombre completo del cliente que va a estar en la cita, para que luego el barbero se acuerde a quien tiene que atender</t>
  </si>
  <si>
    <t>Hace referencia a en la agenda de que barbero quedó registrada esta cita, es lo que permite validar que no se cruce con otra cita del mismo barbero</t>
  </si>
  <si>
    <t>Representa la fecha y la hora en el que se va a realizar la cita al cliente. Su valor por defecto es 01/01/1000 00:00 y no es permitido</t>
  </si>
  <si>
    <t>Representa la fecha y hora prevista a la que finaliza una cita, es un dato calculado a partir de la fecha y hora en que empieza la cita y la duración del servicio, sumándole la duración del servicio a fechaHora</t>
  </si>
  <si>
    <t xml:space="preserve">
Combinación única que indica que una cita no puede existir dentro de una agenda con la misma fecha y hora de inicio para la cita</t>
  </si>
  <si>
    <t>cliente</t>
  </si>
  <si>
    <t>fechaHora</t>
  </si>
  <si>
    <t>fechaHoraFin</t>
  </si>
  <si>
    <t>estado</t>
  </si>
  <si>
    <t>atendida</t>
  </si>
  <si>
    <t>incumplida</t>
  </si>
  <si>
    <t>cancelada</t>
  </si>
  <si>
    <t>Se copia del precio vigente en Servicio en el momento de crear la cita y ya no se puede volver a modificar.</t>
  </si>
  <si>
    <t>Hace referencia a la cita puntual en la que se pidió este servicio</t>
  </si>
  <si>
    <t>Hace referencia a cual servicio del catalogo fue el que se pidió en esa cita</t>
  </si>
  <si>
    <t>Representa cuanto valía el servicio en el momento exacto en que se agendó la cita, se guarda aparte del precio del catalogo por si el precio de ese servicio cambia después (por si el dueño cambio de precio), las citas ya registradas no se vean afectadas</t>
  </si>
  <si>
    <t>Combinación única que indica que un mismo servicio no puede repetirse dos veces dentro de la misma cita</t>
  </si>
  <si>
    <t>cita</t>
  </si>
  <si>
    <t>precioAlMomento</t>
  </si>
  <si>
    <t>Si tipo='retraso' toma Regla.montoMultaTardanzaCliente; si tipo='incumplida' toma la suma de precioAlMomento de los CitaServicio de la cita.</t>
  </si>
  <si>
    <t>Se obtiene del estado de la Cita que la generó: retraso o incumplida.</t>
  </si>
  <si>
    <t>Hace referencia a que cliente se le esta cobrando la multa, es el dato que se usa para sumar cuántas multas sin pagar tiene una persona y decidir si debe ser vetada, dependiendo de como se definio en regla</t>
  </si>
  <si>
    <t>Hace referencia a la cita puntual que el cliente incumplió (llegando tarde fuera de la tolerancia o no presentándose), de esa cita es de donde sale el valor de monto si fue el caso de no presentase</t>
  </si>
  <si>
    <t>Representa cuanto dinero en pesos colombianos debe pagar el cliente la multa. Es un dato calculado si es por retraso el monto es el que dice en regla y si es por incumplida el monto es del o los servicios que pidió</t>
  </si>
  <si>
    <t>Representa el tipo de multa con el que se va sancionar, si es retraso o incumplida. Este es un dato obtenido del estado de cita</t>
  </si>
  <si>
    <t>Representa si el cliente ya pagó o no esta multa, es el dato que se revisa para decidir si un cliente llega al número de multas sin pagar que activa el veto</t>
  </si>
  <si>
    <t>Combinación única que indica que una misma cita no puede generar más de una multa</t>
  </si>
  <si>
    <t>monto</t>
  </si>
  <si>
    <t>tipo</t>
  </si>
  <si>
    <t>pagada</t>
  </si>
  <si>
    <t>Representa como el barbero llama a su propia agenda. Su valor por defecto es el vacio y no es permitido</t>
  </si>
  <si>
    <t>Representa la agenda personal de un barbero, donde se junta todo lo que ocupa su tiempo: los horarios de trabajo que definió para cada día, los bloqueos puntuales y las citas que el agrego agendaron. Es el único lugar donde el barbero ve su tiempo organizado.</t>
  </si>
  <si>
    <t>Se almacena cifrada con bcrypt</t>
  </si>
  <si>
    <t>Porcentaje entero de 0 a 100</t>
  </si>
  <si>
    <t>Representa un momento puntual en una fecha y hora específica, en el que un barbero no puede trabajar por un compromiso personal, aunque ese día normalmente sí trabaje según su horario</t>
  </si>
  <si>
    <t>Representa las políticas de la barbería frente al incumplimiento de los clientes o barberos: cuantos minutos de tolerancia se dan antes de considerar tardanza, cuanto vale la multa fija por llegar tarde, y cuantas multas sin pagar activan un veto</t>
  </si>
  <si>
    <t>Representa cada tipo de corte o arreglo que ha definido el dueño para la barberia y que cada barbero luego decida que servicio prestar</t>
  </si>
  <si>
    <t>Representa el día de la semana, con la hora en que empieza y termina trabajar un barbero, con su descanso si el lo quiere</t>
  </si>
  <si>
    <t>Representa la reserva de un cliente con un barbero para una fecha y hora puntual. La cita puede tener seis estados (agendada, atendida, el cliente se demoro, me demore, incumplida, cancelada)</t>
  </si>
  <si>
    <t>el cliente se demoro</t>
  </si>
  <si>
    <t>Representa en que momento del proceso está la cita: agendada (se creó y espera a que el cliente llegue), atendida (la cita se cumplió sin ningún inconveniente), el cliente se demoro (el cliente llegó, pero pasada la tolerancia de tiempo), me demore (el barbero se demoró más del tiempo de tolerancia para atender al cliente) ,incumplida (el cliente nunca llegó) o cancelada (el cliente avisó con anticipación que ya no la quiere). Su valor por defecto es agendada y es permitido</t>
  </si>
  <si>
    <t>Debe iniciar con el símbolo + seguido del indicativo telefónico del país</t>
  </si>
  <si>
    <t>Se calcula evaluando si el barbero tiene al menos un HorarioBarbero vigente; si no tiene ninguna, no es vigente</t>
  </si>
  <si>
    <t>Representa el día de la semana en que aplica este horario, el dueño solo podrá seleccionar los días de la semana y el dia festivo</t>
  </si>
  <si>
    <t>Representa la hora a la que abre la barbería</t>
  </si>
  <si>
    <t>Representa la hora a la que cierra la barbería</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</si>
  <si>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</si>
  <si>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</si>
  <si>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</si>
  <si>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</si>
  <si>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de que pais es el numero de celular del cliente</t>
  </si>
  <si>
    <t>Representa el numero de celular de la persona que le va a escribir al barbero por WhatsApp para pedirle una cita</t>
  </si>
  <si>
    <t>Representa el primer nombre del barbero que trabaja en barbería</t>
  </si>
  <si>
    <t>Representa el segundo nombre del barbero que trabaja en barbería</t>
  </si>
  <si>
    <t>Representa el primer apellido del barbero que trabaja en la barbería</t>
  </si>
  <si>
    <t>Representa el segundo apellido del barbero que trabaja en la barbería</t>
  </si>
  <si>
    <t>Representa de que pais es el numero de celular del barbero</t>
  </si>
  <si>
    <t>Representa el número de celular del barbero</t>
  </si>
  <si>
    <t>Representa el correo electronico del barbero, con el que se va a registrar o iniciar seción</t>
  </si>
  <si>
    <t>Representa la contraseña encriptada del barbero</t>
  </si>
  <si>
    <t>Se calcula contando las Multa del cliente donde pagada='no'</t>
  </si>
  <si>
    <t>Se calcula comparando multasSinPagar contra Regla.numeroMultasMaxima; si multasSinPagar alcanza ese máximo, el cliente queda vetado</t>
  </si>
  <si>
    <t>Aplican las reglas del objeto referenciado</t>
  </si>
  <si>
    <t>Solo puede tomar uno de los valores: Lunes, Martes, Miércoles, Jueves, Viernes, Sábado, Domingo o Festivo</t>
  </si>
  <si>
    <t>Debe ser mayor a horaApertura</t>
  </si>
  <si>
    <t>Representa la cantidad de minutos que el cliente puede llegarle tarde un cliente a la cita establecida con el barbero, despues de eso el barbero lo podrá multar</t>
  </si>
  <si>
    <t>Se usa el formato de moneda Europea</t>
  </si>
  <si>
    <t>Formato de modena Europea</t>
  </si>
  <si>
    <t>1/01/1000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</si>
</sst>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mm\ AM/PM"/>
    <numFmt numFmtId="165" formatCode="&quot;$ &quot;#,##0"/>
    <numFmt numFmtId="166" formatCode="m/d/yyyy"/>
    <numFmt numFmtId="167" formatCode="m/d/yyyy\ h:mm"/>
  </numFmts>
  <fonts count="15" x14ac:knownFonts="1">
    <font>
      <sz val="11"/>
      <color theme="1"/>
      <name val="Calibri"/>
      <family val="2"/>
      <charset val="1"/>
    </font>
    <font>
      <sz val="10"/>
      <name val="Arial"/>
      <family val="2"/>
    </font>
    <font>
      <u/>
      <sz val="11"/>
      <color theme="10"/>
      <name val="Calibri"/>
      <family val="2"/>
      <charset val="1"/>
    </font>
    <font>
      <b/>
      <sz val="11"/>
      <color theme="1"/>
      <name val="Calibri"/>
      <family val="2"/>
      <charset val="1"/>
    </font>
    <font>
      <b/>
      <sz val="11"/>
      <color rgb="FF000000"/>
      <name val="Aptos Narrow"/>
      <family val="2"/>
      <charset val="1"/>
    </font>
    <font>
      <sz val="11"/>
      <color theme="1"/>
      <name val="Aptos Narrow"/>
      <family val="2"/>
      <charset val="1"/>
    </font>
    <font>
      <u/>
      <sz val="11"/>
      <color rgb="FF467886"/>
      <name val="Aptos Narrow"/>
      <family val="2"/>
      <charset val="1"/>
    </font>
    <font>
      <sz val="7"/>
      <name val="Calibri"/>
      <family val="2"/>
      <charset val="1"/>
    </font>
    <font>
      <b/>
      <sz val="11"/>
      <name val="Calibri"/>
      <family val="2"/>
      <charset val="1"/>
    </font>
    <font>
      <sz val="7"/>
      <color theme="1"/>
      <name val="Calibri"/>
      <family val="2"/>
      <charset val="1"/>
    </font>
    <font>
      <sz val="11"/>
      <name val="Calibri"/>
      <family val="2"/>
      <charset val="1"/>
    </font>
    <font>
      <b/>
      <u/>
      <sz val="11"/>
      <color theme="10"/>
      <name val="Calibri"/>
      <family val="2"/>
      <charset val="1"/>
    </font>
    <font>
      <u/>
      <sz val="11"/>
      <color rgb="FF467886"/>
      <name val="Calibri"/>
      <family val="2"/>
      <charset val="1"/>
    </font>
    <font>
      <b/>
      <sz val="11"/>
      <color rgb="FF000000"/>
      <name val="Calibri"/>
      <family val="2"/>
      <charset val="1"/>
    </font>
    <font>
      <b/>
      <u/>
      <sz val="11"/>
      <color rgb="FF467886"/>
      <name val="Calibri"/>
      <family val="2"/>
      <charset val="1"/>
    </font>
  </fonts>
  <fills count="22">
    <fill>
      <patternFill patternType="none"/>
    </fill>
    <fill>
      <patternFill patternType="gray125"/>
    </fill>
    <fill>
      <patternFill patternType="solid">
        <fgColor theme="0"/>
        <bgColor rgb="FFD9D9D9"/>
      </patternFill>
    </fill>
    <fill>
      <patternFill patternType="solid">
        <fgColor rgb="FFD9D9D9"/>
        <bgColor rgb="FFD0D0D0"/>
      </patternFill>
    </fill>
    <fill>
      <patternFill patternType="solid">
        <fgColor rgb="FFC0E6F5"/>
        <bgColor rgb="FFD9D9D9"/>
      </patternFill>
    </fill>
    <fill>
      <patternFill patternType="solid">
        <fgColor rgb="FFF2CEEF"/>
        <bgColor rgb="FFD9D9D9"/>
      </patternFill>
    </fill>
    <fill>
      <patternFill patternType="solid">
        <fgColor theme="2" tint="-9.9978637043366805E-2"/>
        <bgColor rgb="FFD0D0D0"/>
      </patternFill>
    </fill>
    <fill>
      <patternFill patternType="solid">
        <fgColor theme="9"/>
        <bgColor rgb="FF4EA72E"/>
      </patternFill>
    </fill>
    <fill>
      <patternFill patternType="solid">
        <fgColor theme="4" tint="-0.249977111117893"/>
        <bgColor rgb="FF467886"/>
      </patternFill>
    </fill>
    <fill>
      <patternFill patternType="solid">
        <fgColor rgb="FFFFFF00"/>
        <bgColor rgb="FFFFFF00"/>
      </patternFill>
    </fill>
    <fill>
      <patternFill patternType="solid">
        <fgColor rgb="FFF1ABE9"/>
        <bgColor rgb="FFE49EDD"/>
      </patternFill>
    </fill>
    <fill>
      <patternFill patternType="solid">
        <fgColor rgb="FF00B0F0"/>
        <bgColor rgb="FF33CCCC"/>
      </patternFill>
    </fill>
    <fill>
      <patternFill patternType="solid">
        <fgColor theme="7" tint="0.59968871120334488"/>
        <bgColor rgb="FFFFD966"/>
      </patternFill>
    </fill>
    <fill>
      <patternFill patternType="solid">
        <fgColor theme="7" tint="0.39979247413556324"/>
        <bgColor rgb="FFFFE699"/>
      </patternFill>
    </fill>
    <fill>
      <patternFill patternType="solid">
        <fgColor theme="5" tint="0.59968871120334488"/>
        <bgColor rgb="FFF7C7AC"/>
      </patternFill>
    </fill>
    <fill>
      <patternFill patternType="solid">
        <fgColor rgb="FF7030A0"/>
        <bgColor rgb="FF993366"/>
      </patternFill>
    </fill>
    <fill>
      <patternFill patternType="solid">
        <fgColor theme="5" tint="-0.249977111117893"/>
        <bgColor rgb="FF993300"/>
      </patternFill>
    </fill>
    <fill>
      <patternFill patternType="solid">
        <fgColor rgb="FFD0D0D0"/>
        <bgColor rgb="FFD0CECE"/>
      </patternFill>
    </fill>
    <fill>
      <patternFill patternType="solid">
        <fgColor rgb="FF4EA72E"/>
        <bgColor rgb="FF70AD47"/>
      </patternFill>
    </fill>
    <fill>
      <patternFill patternType="solid">
        <fgColor rgb="FFE49EDD"/>
        <bgColor rgb="FFF1ABE9"/>
      </patternFill>
    </fill>
    <fill>
      <patternFill patternType="solid">
        <fgColor rgb="FFF7C7AC"/>
        <bgColor rgb="FFF8CBAD"/>
      </patternFill>
    </fill>
    <fill>
      <patternFill patternType="solid">
        <fgColor theme="4" tint="-0.249977111117893"/>
        <bgColor rgb="FFD0CECE"/>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33">
    <xf numFmtId="0" fontId="0" fillId="0" borderId="0" xfId="0"/>
    <xf numFmtId="0" fontId="6"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5" fillId="5" borderId="1" xfId="0" applyFont="1" applyFill="1" applyBorder="1" applyAlignment="1">
      <alignment horizontal="left" vertical="center"/>
    </xf>
    <xf numFmtId="0" fontId="2"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xf numFmtId="0" fontId="0" fillId="0" borderId="2" xfId="0" applyBorder="1" applyAlignment="1">
      <alignment vertical="center" wrapText="1"/>
    </xf>
    <xf numFmtId="0" fontId="0" fillId="0" borderId="0" xfId="0" applyAlignment="1">
      <alignment vertical="center"/>
    </xf>
    <xf numFmtId="0" fontId="4" fillId="3" borderId="1" xfId="0" applyFont="1" applyFill="1" applyBorder="1" applyAlignment="1">
      <alignment horizontal="center" vertical="center"/>
    </xf>
    <xf numFmtId="0" fontId="5" fillId="3" borderId="1" xfId="0" applyFont="1" applyFill="1" applyBorder="1" applyAlignment="1">
      <alignment vertical="center"/>
    </xf>
    <xf numFmtId="0" fontId="5" fillId="3" borderId="1" xfId="0" applyFont="1" applyFill="1" applyBorder="1" applyAlignment="1">
      <alignment vertical="center" wrapText="1"/>
    </xf>
    <xf numFmtId="0" fontId="5" fillId="2" borderId="0" xfId="0" applyFont="1" applyFill="1" applyAlignment="1">
      <alignment vertical="center"/>
    </xf>
    <xf numFmtId="0" fontId="4" fillId="4" borderId="1" xfId="0" applyFont="1" applyFill="1" applyBorder="1" applyAlignment="1">
      <alignment horizontal="center" vertical="center"/>
    </xf>
    <xf numFmtId="0" fontId="5" fillId="2" borderId="0" xfId="0" applyFont="1" applyFill="1" applyAlignment="1">
      <alignment horizontal="center" vertical="center"/>
    </xf>
    <xf numFmtId="0" fontId="7" fillId="6" borderId="1" xfId="0" applyFont="1" applyFill="1" applyBorder="1" applyAlignment="1">
      <alignment horizontal="center" wrapText="1"/>
    </xf>
    <xf numFmtId="0" fontId="3" fillId="7" borderId="1" xfId="0" applyFont="1" applyFill="1" applyBorder="1" applyAlignment="1">
      <alignment horizontal="center"/>
    </xf>
    <xf numFmtId="0" fontId="8" fillId="8" borderId="1" xfId="0" applyFont="1" applyFill="1" applyBorder="1" applyAlignment="1">
      <alignment horizontal="center"/>
    </xf>
    <xf numFmtId="0" fontId="8" fillId="9" borderId="1" xfId="0" applyFont="1" applyFill="1" applyBorder="1" applyAlignment="1">
      <alignment horizontal="center"/>
    </xf>
    <xf numFmtId="0" fontId="8" fillId="10" borderId="1" xfId="0" applyFont="1" applyFill="1" applyBorder="1" applyAlignment="1">
      <alignment horizontal="center"/>
    </xf>
    <xf numFmtId="0" fontId="8" fillId="11" borderId="1" xfId="0" applyFont="1" applyFill="1" applyBorder="1" applyAlignment="1">
      <alignment horizontal="center"/>
    </xf>
    <xf numFmtId="0" fontId="3" fillId="12" borderId="1" xfId="0" applyFont="1" applyFill="1" applyBorder="1" applyAlignment="1">
      <alignment horizontal="center"/>
    </xf>
    <xf numFmtId="0" fontId="0" fillId="0" borderId="1" xfId="0" applyBorder="1" applyAlignment="1">
      <alignment horizontal="center"/>
    </xf>
    <xf numFmtId="20" fontId="0" fillId="0" borderId="1" xfId="0" applyNumberFormat="1" applyBorder="1" applyAlignment="1">
      <alignment horizontal="center"/>
    </xf>
    <xf numFmtId="0" fontId="0" fillId="3" borderId="1" xfId="0" applyFill="1" applyBorder="1"/>
    <xf numFmtId="0" fontId="0" fillId="3" borderId="1" xfId="0" applyFill="1" applyBorder="1" applyAlignment="1">
      <alignment horizontal="center" wrapText="1"/>
    </xf>
    <xf numFmtId="0" fontId="0" fillId="0" borderId="0" xfId="0" applyAlignment="1">
      <alignment horizontal="center"/>
    </xf>
    <xf numFmtId="0" fontId="3" fillId="8" borderId="1" xfId="0" applyFont="1" applyFill="1" applyBorder="1" applyAlignment="1">
      <alignment horizontal="center"/>
    </xf>
    <xf numFmtId="0" fontId="3" fillId="8" borderId="1" xfId="0" applyFont="1" applyFill="1" applyBorder="1" applyAlignment="1">
      <alignment horizontal="center" wrapText="1"/>
    </xf>
    <xf numFmtId="0" fontId="2" fillId="0" borderId="1" xfId="0" applyFont="1" applyBorder="1" applyAlignment="1">
      <alignment horizontal="center"/>
    </xf>
    <xf numFmtId="0" fontId="0" fillId="6" borderId="0" xfId="0" applyFill="1"/>
    <xf numFmtId="0" fontId="0" fillId="0" borderId="0" xfId="0" applyAlignment="1">
      <alignment wrapText="1"/>
    </xf>
    <xf numFmtId="0" fontId="0" fillId="7" borderId="0" xfId="0" applyFill="1"/>
    <xf numFmtId="0" fontId="0" fillId="8" borderId="0" xfId="0" applyFill="1"/>
    <xf numFmtId="0" fontId="4" fillId="2" borderId="0" xfId="0" applyFont="1" applyFill="1" applyAlignment="1">
      <alignment horizontal="center" vertical="center"/>
    </xf>
    <xf numFmtId="0" fontId="6" fillId="5" borderId="1" xfId="0" applyFont="1" applyFill="1" applyBorder="1" applyAlignment="1">
      <alignment vertical="center"/>
    </xf>
    <xf numFmtId="0" fontId="7" fillId="3" borderId="1" xfId="0" applyFont="1" applyFill="1" applyBorder="1" applyAlignment="1">
      <alignment horizontal="center" wrapText="1"/>
    </xf>
    <xf numFmtId="0" fontId="9" fillId="3" borderId="1" xfId="0" applyFont="1" applyFill="1" applyBorder="1" applyAlignment="1">
      <alignment horizontal="center" wrapText="1"/>
    </xf>
    <xf numFmtId="0" fontId="3" fillId="10" borderId="1" xfId="0" applyFont="1" applyFill="1" applyBorder="1" applyAlignment="1">
      <alignment horizontal="center"/>
    </xf>
    <xf numFmtId="0" fontId="3" fillId="13" borderId="1" xfId="0" applyFont="1" applyFill="1" applyBorder="1" applyAlignment="1">
      <alignment horizontal="center"/>
    </xf>
    <xf numFmtId="49" fontId="0" fillId="0" borderId="1" xfId="0" applyNumberFormat="1" applyBorder="1" applyAlignment="1">
      <alignment horizontal="center"/>
    </xf>
    <xf numFmtId="0" fontId="10" fillId="0" borderId="1" xfId="0" applyFont="1" applyBorder="1" applyAlignment="1">
      <alignment horizontal="center"/>
    </xf>
    <xf numFmtId="0" fontId="0" fillId="10" borderId="0" xfId="0" applyFill="1"/>
    <xf numFmtId="0" fontId="0" fillId="13" borderId="0" xfId="0" applyFill="1"/>
    <xf numFmtId="0" fontId="9" fillId="6" borderId="1" xfId="0" applyFont="1" applyFill="1" applyBorder="1" applyAlignment="1">
      <alignment horizontal="center" wrapText="1"/>
    </xf>
    <xf numFmtId="0" fontId="9" fillId="6" borderId="1" xfId="0" applyFont="1" applyFill="1" applyBorder="1" applyAlignment="1">
      <alignment wrapText="1"/>
    </xf>
    <xf numFmtId="0" fontId="4" fillId="2" borderId="1" xfId="0" applyFont="1" applyFill="1" applyBorder="1" applyAlignment="1">
      <alignment horizontal="center" vertical="center"/>
    </xf>
    <xf numFmtId="0" fontId="11" fillId="14" borderId="1" xfId="0" applyFont="1" applyFill="1" applyBorder="1" applyAlignment="1">
      <alignment horizontal="center"/>
    </xf>
    <xf numFmtId="0" fontId="3" fillId="9" borderId="1" xfId="0" applyFont="1" applyFill="1" applyBorder="1" applyAlignment="1">
      <alignment horizontal="center" wrapText="1"/>
    </xf>
    <xf numFmtId="0" fontId="3" fillId="9" borderId="1" xfId="0" applyFont="1" applyFill="1" applyBorder="1" applyAlignment="1">
      <alignment horizontal="center"/>
    </xf>
    <xf numFmtId="0" fontId="8" fillId="13" borderId="1" xfId="0" applyFont="1" applyFill="1" applyBorder="1" applyAlignment="1">
      <alignment horizontal="center"/>
    </xf>
    <xf numFmtId="164" fontId="0" fillId="0" borderId="1" xfId="0" applyNumberFormat="1" applyBorder="1" applyAlignment="1">
      <alignment horizontal="center"/>
    </xf>
    <xf numFmtId="20" fontId="0" fillId="0" borderId="1" xfId="0" applyNumberFormat="1" applyBorder="1" applyAlignment="1">
      <alignment horizontal="center" vertical="top"/>
    </xf>
    <xf numFmtId="0" fontId="0" fillId="14" borderId="0" xfId="0" applyFill="1"/>
    <xf numFmtId="0" fontId="0" fillId="9" borderId="0" xfId="0" applyFill="1"/>
    <xf numFmtId="0" fontId="0" fillId="11" borderId="0" xfId="0" applyFill="1"/>
    <xf numFmtId="0" fontId="11" fillId="14" borderId="1" xfId="0" applyFont="1" applyFill="1" applyBorder="1" applyAlignment="1">
      <alignment horizontal="center" vertical="center"/>
    </xf>
    <xf numFmtId="0" fontId="3" fillId="15" borderId="1" xfId="0" applyFont="1" applyFill="1" applyBorder="1" applyAlignment="1">
      <alignment horizontal="center"/>
    </xf>
    <xf numFmtId="165" fontId="0" fillId="0" borderId="1" xfId="0" applyNumberFormat="1" applyBorder="1" applyAlignment="1">
      <alignment horizontal="center"/>
    </xf>
    <xf numFmtId="0" fontId="10" fillId="15" borderId="0" xfId="0" applyFont="1" applyFill="1"/>
    <xf numFmtId="0" fontId="2" fillId="0" borderId="0" xfId="0" applyFont="1" applyAlignment="1">
      <alignment horizontal="center" vertical="top"/>
    </xf>
    <xf numFmtId="0" fontId="0" fillId="0" borderId="0" xfId="0" applyAlignment="1">
      <alignment horizontal="center" vertical="top"/>
    </xf>
    <xf numFmtId="0" fontId="8" fillId="7" borderId="1" xfId="0" applyFont="1" applyFill="1" applyBorder="1" applyAlignment="1">
      <alignment horizontal="center" vertical="top"/>
    </xf>
    <xf numFmtId="0" fontId="11" fillId="14" borderId="1" xfId="0" applyFont="1" applyFill="1" applyBorder="1" applyAlignment="1">
      <alignment horizontal="center" vertical="top"/>
    </xf>
    <xf numFmtId="0" fontId="8" fillId="8" borderId="1" xfId="0" applyFont="1" applyFill="1" applyBorder="1" applyAlignment="1">
      <alignment horizontal="center" vertical="top"/>
    </xf>
    <xf numFmtId="0" fontId="8" fillId="15" borderId="1" xfId="0" applyFont="1" applyFill="1" applyBorder="1" applyAlignment="1">
      <alignment horizontal="center" vertical="top"/>
    </xf>
    <xf numFmtId="0" fontId="8" fillId="11" borderId="1" xfId="0" applyFont="1" applyFill="1" applyBorder="1" applyAlignment="1">
      <alignment horizontal="center" vertical="top"/>
    </xf>
    <xf numFmtId="0" fontId="0" fillId="0" borderId="1" xfId="0" applyBorder="1" applyAlignment="1">
      <alignment horizontal="center" vertical="top"/>
    </xf>
    <xf numFmtId="0" fontId="2" fillId="0" borderId="0" xfId="0" applyFont="1" applyAlignment="1">
      <alignment horizontal="center" vertical="center"/>
    </xf>
    <xf numFmtId="0" fontId="0" fillId="0" borderId="1" xfId="0" applyBorder="1" applyAlignment="1">
      <alignment horizontal="center" vertical="top" wrapText="1"/>
    </xf>
    <xf numFmtId="165" fontId="0" fillId="0" borderId="1" xfId="0" applyNumberFormat="1" applyBorder="1" applyAlignment="1">
      <alignment horizontal="center" vertical="top"/>
    </xf>
    <xf numFmtId="0" fontId="2" fillId="0" borderId="1" xfId="0" applyFont="1" applyBorder="1" applyAlignment="1">
      <alignment horizontal="center" vertical="center"/>
    </xf>
    <xf numFmtId="0" fontId="0" fillId="0" borderId="1" xfId="0" applyBorder="1" applyAlignment="1">
      <alignment horizontal="center" wrapText="1"/>
    </xf>
    <xf numFmtId="0" fontId="0" fillId="15" borderId="0" xfId="0" applyFill="1"/>
    <xf numFmtId="0" fontId="0" fillId="12" borderId="0" xfId="0" applyFill="1"/>
    <xf numFmtId="0" fontId="7" fillId="6" borderId="1" xfId="0" applyFont="1" applyFill="1" applyBorder="1" applyAlignment="1">
      <alignment horizontal="center"/>
    </xf>
    <xf numFmtId="0" fontId="8" fillId="15" borderId="1" xfId="0" applyFont="1" applyFill="1" applyBorder="1" applyAlignment="1">
      <alignment horizontal="center"/>
    </xf>
    <xf numFmtId="0" fontId="8" fillId="12" borderId="1" xfId="0" applyFont="1" applyFill="1" applyBorder="1" applyAlignment="1">
      <alignment horizontal="center"/>
    </xf>
    <xf numFmtId="0" fontId="11" fillId="14" borderId="0" xfId="0" applyFont="1" applyFill="1" applyAlignment="1">
      <alignment horizontal="center"/>
    </xf>
    <xf numFmtId="0" fontId="2" fillId="0" borderId="1" xfId="0" applyFont="1" applyBorder="1" applyAlignment="1">
      <alignment wrapText="1"/>
    </xf>
    <xf numFmtId="166" fontId="0" fillId="0" borderId="1" xfId="0" applyNumberFormat="1" applyBorder="1" applyAlignment="1">
      <alignment horizontal="center"/>
    </xf>
    <xf numFmtId="166" fontId="0" fillId="0" borderId="3" xfId="0" applyNumberFormat="1" applyBorder="1" applyAlignment="1">
      <alignment horizontal="center"/>
    </xf>
    <xf numFmtId="166" fontId="0" fillId="0" borderId="4" xfId="0" applyNumberFormat="1" applyBorder="1" applyAlignment="1">
      <alignment horizontal="center"/>
    </xf>
    <xf numFmtId="20" fontId="0" fillId="0" borderId="5" xfId="0" applyNumberFormat="1" applyBorder="1" applyAlignment="1">
      <alignment horizontal="center"/>
    </xf>
    <xf numFmtId="166" fontId="0" fillId="0" borderId="0" xfId="0" applyNumberFormat="1" applyAlignment="1">
      <alignment horizontal="center"/>
    </xf>
    <xf numFmtId="0" fontId="2" fillId="0" borderId="1" xfId="0" applyFont="1" applyBorder="1" applyAlignment="1">
      <alignment horizontal="center" wrapText="1"/>
    </xf>
    <xf numFmtId="0" fontId="8" fillId="16" borderId="1" xfId="0" applyFont="1" applyFill="1" applyBorder="1" applyAlignment="1">
      <alignment horizontal="center"/>
    </xf>
    <xf numFmtId="167" fontId="10" fillId="0" borderId="1" xfId="0" applyNumberFormat="1" applyFont="1" applyBorder="1" applyAlignment="1">
      <alignment horizontal="center"/>
    </xf>
    <xf numFmtId="164" fontId="10" fillId="0" borderId="1" xfId="0" applyNumberFormat="1" applyFont="1" applyBorder="1" applyAlignment="1">
      <alignment horizontal="center"/>
    </xf>
    <xf numFmtId="0" fontId="0" fillId="16" borderId="0" xfId="0" applyFill="1"/>
    <xf numFmtId="0" fontId="12" fillId="0" borderId="0" xfId="0" applyFont="1"/>
    <xf numFmtId="0" fontId="7" fillId="17" borderId="1" xfId="0" applyFont="1" applyFill="1" applyBorder="1" applyAlignment="1">
      <alignment horizontal="center" wrapText="1"/>
    </xf>
    <xf numFmtId="0" fontId="13" fillId="18" borderId="1" xfId="0" applyFont="1" applyFill="1" applyBorder="1" applyAlignment="1">
      <alignment horizontal="center"/>
    </xf>
    <xf numFmtId="0" fontId="13" fillId="16" borderId="1" xfId="0" applyFont="1" applyFill="1" applyBorder="1" applyAlignment="1">
      <alignment horizontal="center"/>
    </xf>
    <xf numFmtId="0" fontId="13" fillId="19" borderId="1" xfId="0" applyFont="1" applyFill="1" applyBorder="1" applyAlignment="1">
      <alignment horizontal="center"/>
    </xf>
    <xf numFmtId="0" fontId="13" fillId="12" borderId="1" xfId="0" applyFont="1" applyFill="1" applyBorder="1" applyAlignment="1">
      <alignment horizontal="center"/>
    </xf>
    <xf numFmtId="0" fontId="12" fillId="0" borderId="1" xfId="0" applyFont="1" applyBorder="1" applyAlignment="1">
      <alignment horizontal="center"/>
    </xf>
    <xf numFmtId="0" fontId="12" fillId="0" borderId="1" xfId="0" applyFont="1" applyBorder="1" applyAlignment="1">
      <alignment horizontal="center" wrapText="1"/>
    </xf>
    <xf numFmtId="167" fontId="0" fillId="0" borderId="1" xfId="0" applyNumberFormat="1" applyBorder="1" applyAlignment="1">
      <alignment horizontal="center"/>
    </xf>
    <xf numFmtId="0" fontId="8" fillId="18" borderId="1" xfId="0" applyFont="1" applyFill="1" applyBorder="1" applyAlignment="1">
      <alignment horizontal="center"/>
    </xf>
    <xf numFmtId="0" fontId="13" fillId="10" borderId="1" xfId="0" applyFont="1" applyFill="1" applyBorder="1" applyAlignment="1">
      <alignment horizontal="center"/>
    </xf>
    <xf numFmtId="0" fontId="7" fillId="17" borderId="0" xfId="0" applyFont="1" applyFill="1" applyAlignment="1">
      <alignment horizontal="center" wrapText="1"/>
    </xf>
    <xf numFmtId="0" fontId="8" fillId="18" borderId="0" xfId="0" applyFont="1" applyFill="1" applyAlignment="1">
      <alignment horizontal="center"/>
    </xf>
    <xf numFmtId="0" fontId="14" fillId="20" borderId="0" xfId="0" applyFont="1" applyFill="1" applyAlignment="1">
      <alignment horizontal="center"/>
    </xf>
    <xf numFmtId="0" fontId="13" fillId="10" borderId="0" xfId="0" applyFont="1" applyFill="1" applyAlignment="1">
      <alignment horizontal="center"/>
    </xf>
    <xf numFmtId="0" fontId="13" fillId="12" borderId="0" xfId="0" applyFont="1" applyFill="1" applyAlignment="1">
      <alignment horizontal="center"/>
    </xf>
    <xf numFmtId="0" fontId="8" fillId="20" borderId="1" xfId="0" applyFont="1" applyFill="1" applyBorder="1" applyAlignment="1">
      <alignment horizontal="center"/>
    </xf>
    <xf numFmtId="0" fontId="13" fillId="11" borderId="1" xfId="0" applyFont="1" applyFill="1" applyBorder="1" applyAlignment="1">
      <alignment horizontal="center"/>
    </xf>
    <xf numFmtId="0" fontId="13" fillId="13" borderId="1" xfId="0" applyFont="1" applyFill="1" applyBorder="1" applyAlignment="1">
      <alignment horizontal="center"/>
    </xf>
    <xf numFmtId="0" fontId="13" fillId="18" borderId="0" xfId="0" applyFont="1" applyFill="1" applyAlignment="1">
      <alignment horizontal="center"/>
    </xf>
    <xf numFmtId="0" fontId="13" fillId="19" borderId="0" xfId="0" applyFont="1" applyFill="1" applyAlignment="1">
      <alignment horizontal="center"/>
    </xf>
    <xf numFmtId="0" fontId="13" fillId="11" borderId="0" xfId="0" applyFont="1" applyFill="1" applyAlignment="1">
      <alignment horizontal="center"/>
    </xf>
    <xf numFmtId="0" fontId="13" fillId="13" borderId="0" xfId="0" applyFont="1" applyFill="1" applyAlignment="1">
      <alignment horizontal="center"/>
    </xf>
    <xf numFmtId="0" fontId="6" fillId="2" borderId="0" xfId="0" applyFont="1" applyFill="1" applyAlignment="1">
      <alignment vertical="center"/>
    </xf>
    <xf numFmtId="0" fontId="7" fillId="6" borderId="0" xfId="0" applyFont="1" applyFill="1" applyAlignment="1">
      <alignment horizontal="center" wrapText="1"/>
    </xf>
    <xf numFmtId="0" fontId="3" fillId="7" borderId="0" xfId="0" applyFont="1" applyFill="1" applyAlignment="1">
      <alignment horizontal="center"/>
    </xf>
    <xf numFmtId="0" fontId="8" fillId="8" borderId="0" xfId="0" applyFont="1" applyFill="1" applyAlignment="1">
      <alignment horizontal="center"/>
    </xf>
    <xf numFmtId="0" fontId="3" fillId="12" borderId="0" xfId="0" applyFont="1" applyFill="1" applyAlignment="1">
      <alignment horizontal="center"/>
    </xf>
    <xf numFmtId="0" fontId="2" fillId="0" borderId="1" xfId="1" applyBorder="1" applyAlignment="1">
      <alignment horizontal="center"/>
    </xf>
    <xf numFmtId="0" fontId="2" fillId="0" borderId="1" xfId="1" applyBorder="1" applyAlignment="1">
      <alignment horizontal="center" wrapText="1"/>
    </xf>
    <xf numFmtId="0" fontId="13" fillId="21" borderId="1" xfId="0" applyFont="1" applyFill="1" applyBorder="1" applyAlignment="1">
      <alignment horizontal="center"/>
    </xf>
    <xf numFmtId="0" fontId="0" fillId="21" borderId="0" xfId="0" applyFill="1"/>
    <xf numFmtId="22" fontId="0" fillId="0" borderId="1" xfId="0" applyNumberFormat="1" applyBorder="1" applyAlignment="1">
      <alignment horizontal="center"/>
    </xf>
    <xf numFmtId="0" fontId="5" fillId="3" borderId="1" xfId="0" quotePrefix="1" applyFont="1" applyFill="1" applyBorder="1" applyAlignment="1">
      <alignment vertical="center"/>
    </xf>
    <xf numFmtId="0" fontId="2" fillId="3" borderId="1" xfId="1" applyFill="1" applyBorder="1" applyAlignment="1">
      <alignment vertical="center"/>
    </xf>
    <xf numFmtId="20" fontId="5" fillId="3" borderId="1" xfId="0" applyNumberFormat="1" applyFont="1" applyFill="1" applyBorder="1" applyAlignment="1">
      <alignment horizontal="left" vertical="center"/>
    </xf>
    <xf numFmtId="0" fontId="5"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6" fillId="5" borderId="1"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7030A0"/>
      <rgbColor rgb="FFF2CEEF"/>
      <rgbColor rgb="FFC0E6F5"/>
      <rgbColor rgb="FF660066"/>
      <rgbColor rgb="FFFF8080"/>
      <rgbColor rgb="FF0563C1"/>
      <rgbColor rgb="FFD0D0D0"/>
      <rgbColor rgb="FF000080"/>
      <rgbColor rgb="FFFF00FF"/>
      <rgbColor rgb="FFFFFF00"/>
      <rgbColor rgb="FF00FFFF"/>
      <rgbColor rgb="FF800080"/>
      <rgbColor rgb="FF800000"/>
      <rgbColor rgb="FF008080"/>
      <rgbColor rgb="FF0000FF"/>
      <rgbColor rgb="FF00B0F0"/>
      <rgbColor rgb="FFF7C7AC"/>
      <rgbColor rgb="FFD9D9D9"/>
      <rgbColor rgb="FFFFE699"/>
      <rgbColor rgb="FF9DC3E6"/>
      <rgbColor rgb="FFE49EDD"/>
      <rgbColor rgb="FFF1ABE9"/>
      <rgbColor rgb="FFF8CBAD"/>
      <rgbColor rgb="FF2E75B6"/>
      <rgbColor rgb="FF33CCCC"/>
      <rgbColor rgb="FF99CC00"/>
      <rgbColor rgb="FFFFD966"/>
      <rgbColor rgb="FFFF9900"/>
      <rgbColor rgb="FFC55A11"/>
      <rgbColor rgb="FF467886"/>
      <rgbColor rgb="FF70AD47"/>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1800</xdr:rowOff>
    </xdr:from>
    <xdr:to>
      <xdr:col>9</xdr:col>
      <xdr:colOff>554400</xdr:colOff>
      <xdr:row>29</xdr:row>
      <xdr:rowOff>68760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182880"/>
          <a:ext cx="7530480" cy="51343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mailto:dueniodelabarberia12345@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carlosbeladez@gmail.com" TargetMode="External"/><Relationship Id="rId2" Type="http://schemas.openxmlformats.org/officeDocument/2006/relationships/hyperlink" Target="mailto:juandaviddd2525@gmail.com" TargetMode="External"/><Relationship Id="rId1" Type="http://schemas.openxmlformats.org/officeDocument/2006/relationships/hyperlink" Target="mailto:juanfer234535@gmail.com" TargetMode="External"/><Relationship Id="rId5" Type="http://schemas.openxmlformats.org/officeDocument/2006/relationships/hyperlink" Target="mailto:juancarloszambrano4394@gmail.com" TargetMode="External"/><Relationship Id="rId4" Type="http://schemas.openxmlformats.org/officeDocument/2006/relationships/hyperlink" Target="mailto:andresramirezpatino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8"/>
  <sheetViews>
    <sheetView zoomScaleNormal="100" workbookViewId="0"/>
  </sheetViews>
  <sheetFormatPr baseColWidth="10" defaultColWidth="9.140625" defaultRowHeight="15" x14ac:dyDescent="0.25"/>
  <cols>
    <col min="1" max="1" width="26.140625" customWidth="1"/>
  </cols>
  <sheetData>
    <row r="1" spans="1:29" ht="14.25" customHeight="1" x14ac:dyDescent="0.25">
      <c r="A1" s="4" t="s">
        <v>0</v>
      </c>
      <c r="B1" s="5"/>
      <c r="C1" s="5"/>
      <c r="D1" s="5"/>
      <c r="E1" s="5"/>
      <c r="F1" s="5"/>
      <c r="G1" s="5"/>
      <c r="H1" s="5"/>
      <c r="I1" s="5"/>
      <c r="J1" s="5"/>
      <c r="K1" s="5"/>
      <c r="L1" s="5"/>
      <c r="M1" s="5"/>
      <c r="N1" s="5"/>
      <c r="O1" s="5"/>
      <c r="P1" s="5"/>
      <c r="Q1" s="5"/>
      <c r="R1" s="5"/>
      <c r="S1" s="5"/>
      <c r="T1" s="5"/>
      <c r="U1" s="5"/>
      <c r="V1" s="5"/>
      <c r="W1" s="5"/>
      <c r="X1" s="5"/>
      <c r="Y1" s="5"/>
      <c r="Z1" s="5"/>
      <c r="AA1" s="5"/>
      <c r="AB1" s="5"/>
      <c r="AC1" s="5"/>
    </row>
    <row r="2" spans="1:29" ht="14.25" customHeight="1" x14ac:dyDescent="0.25">
      <c r="B2" s="5"/>
      <c r="C2" s="5"/>
      <c r="D2" s="5"/>
      <c r="E2" s="5"/>
      <c r="F2" s="5"/>
      <c r="G2" s="5"/>
      <c r="H2" s="5"/>
      <c r="I2" s="5"/>
      <c r="J2" s="5"/>
      <c r="K2" s="5"/>
      <c r="L2" s="5"/>
      <c r="M2" s="5"/>
      <c r="N2" s="5"/>
      <c r="O2" s="5"/>
      <c r="P2" s="5"/>
      <c r="Q2" s="5"/>
      <c r="R2" s="5"/>
      <c r="S2" s="5"/>
      <c r="T2" s="5"/>
      <c r="U2" s="5"/>
      <c r="V2" s="5"/>
      <c r="W2" s="5"/>
      <c r="X2" s="5"/>
      <c r="Y2" s="5"/>
      <c r="Z2" s="5"/>
      <c r="AA2" s="5"/>
      <c r="AB2" s="5"/>
      <c r="AC2" s="5"/>
    </row>
    <row r="3" spans="1:29" ht="14.25" customHeight="1"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row>
    <row r="4" spans="1:29" ht="14.25" customHeight="1" x14ac:dyDescent="0.25">
      <c r="A4" s="5"/>
      <c r="B4" s="5"/>
      <c r="C4" s="5"/>
      <c r="D4" s="5"/>
      <c r="E4" s="5"/>
      <c r="F4" s="5"/>
      <c r="G4" s="5"/>
      <c r="H4" s="5"/>
      <c r="I4" s="5"/>
      <c r="J4" s="5"/>
      <c r="K4" s="5"/>
      <c r="L4" s="5"/>
      <c r="M4" s="5"/>
      <c r="N4" s="5"/>
      <c r="O4" s="5"/>
      <c r="P4" s="5"/>
      <c r="Q4" s="5"/>
      <c r="R4" s="5"/>
      <c r="S4" s="5"/>
      <c r="T4" s="5"/>
      <c r="U4" s="5"/>
      <c r="V4" s="5"/>
      <c r="W4" s="5"/>
      <c r="X4" s="5"/>
      <c r="Y4" s="5"/>
      <c r="Z4" s="5"/>
      <c r="AA4" s="5"/>
      <c r="AB4" s="5"/>
      <c r="AC4" s="5"/>
    </row>
    <row r="5" spans="1:29" ht="14.25" customHeight="1" x14ac:dyDescent="0.25">
      <c r="A5" s="5"/>
      <c r="B5" s="5"/>
      <c r="C5" s="5"/>
      <c r="D5" s="5"/>
      <c r="E5" s="5"/>
      <c r="F5" s="5"/>
      <c r="G5" s="5"/>
      <c r="H5" s="5"/>
      <c r="I5" s="5"/>
      <c r="J5" s="5"/>
      <c r="K5" s="5"/>
      <c r="L5" s="5"/>
      <c r="M5" s="5"/>
      <c r="N5" s="5"/>
      <c r="O5" s="5"/>
      <c r="P5" s="5"/>
      <c r="Q5" s="5"/>
      <c r="R5" s="5"/>
      <c r="S5" s="5"/>
      <c r="T5" s="5"/>
      <c r="U5" s="5"/>
      <c r="V5" s="5"/>
      <c r="W5" s="5"/>
      <c r="X5" s="5"/>
      <c r="Y5" s="5"/>
      <c r="Z5" s="5"/>
      <c r="AA5" s="5"/>
      <c r="AB5" s="5"/>
      <c r="AC5" s="5"/>
    </row>
    <row r="6" spans="1:29" ht="14.25" customHeight="1"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row>
    <row r="7" spans="1:29" ht="14.25" customHeight="1"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row>
    <row r="8" spans="1:29" ht="14.25" customHeight="1" x14ac:dyDescent="0.25">
      <c r="A8" s="5"/>
      <c r="B8" s="5"/>
      <c r="C8" s="5"/>
      <c r="D8" s="5"/>
      <c r="E8" s="5"/>
      <c r="F8" s="5"/>
      <c r="G8" s="5"/>
      <c r="H8" s="5"/>
      <c r="I8" s="5"/>
      <c r="J8" s="5"/>
      <c r="K8" s="5"/>
      <c r="L8" s="5"/>
      <c r="M8" s="5"/>
      <c r="N8" s="5"/>
      <c r="O8" s="5"/>
      <c r="P8" s="5"/>
      <c r="Q8" s="5"/>
      <c r="R8" s="5"/>
      <c r="S8" s="5"/>
      <c r="T8" s="5"/>
      <c r="U8" s="5"/>
      <c r="V8" s="5"/>
      <c r="W8" s="5"/>
      <c r="X8" s="5"/>
      <c r="Y8" s="5"/>
      <c r="Z8" s="5"/>
      <c r="AA8" s="5"/>
      <c r="AB8" s="5"/>
      <c r="AC8" s="5"/>
    </row>
    <row r="9" spans="1:29" ht="14.25" customHeight="1" x14ac:dyDescent="0.25">
      <c r="A9" s="5"/>
      <c r="B9" s="5"/>
      <c r="C9" s="5"/>
      <c r="D9" s="5"/>
      <c r="E9" s="5"/>
      <c r="F9" s="5"/>
      <c r="G9" s="5"/>
      <c r="H9" s="5"/>
      <c r="I9" s="5"/>
      <c r="J9" s="5"/>
      <c r="K9" s="5"/>
      <c r="L9" s="5"/>
      <c r="M9" s="5"/>
      <c r="N9" s="5"/>
      <c r="O9" s="5"/>
      <c r="P9" s="5"/>
      <c r="Q9" s="5"/>
      <c r="R9" s="5"/>
      <c r="S9" s="5"/>
      <c r="T9" s="5"/>
      <c r="U9" s="5"/>
      <c r="V9" s="5"/>
      <c r="W9" s="5"/>
      <c r="X9" s="5"/>
      <c r="Y9" s="5"/>
      <c r="Z9" s="5"/>
      <c r="AA9" s="5"/>
      <c r="AB9" s="5"/>
      <c r="AC9" s="5"/>
    </row>
    <row r="10" spans="1:29" ht="14.25" customHeight="1" x14ac:dyDescent="0.25">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29" ht="14.25" customHeight="1" x14ac:dyDescent="0.2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ht="14.25" customHeight="1" x14ac:dyDescent="0.25">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spans="1:29" ht="14.25" customHeight="1" x14ac:dyDescent="0.25">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row>
    <row r="14" spans="1:29" ht="14.25" customHeight="1" x14ac:dyDescent="0.25">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29" ht="14.25" customHeight="1"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row>
    <row r="16" spans="1:29" ht="14.25" customHeight="1"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spans="1:29" ht="14.25" customHeight="1"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spans="1:29" ht="14.25" customHeight="1"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spans="1:29" ht="14.25" customHeight="1"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spans="1:29" ht="14.25" customHeight="1"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spans="1:29" ht="14.2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spans="1:29" ht="14.2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spans="1:29" ht="14.2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spans="1:29" ht="14.2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ht="14.2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spans="1:29" ht="14.2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ht="14.2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ht="14.2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ht="14.2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ht="14.2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ht="14.2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ht="14.2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ht="14.2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ht="14.2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ht="14.2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ht="14.2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ht="14.2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ht="14.2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29" ht="14.2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ht="14.2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ht="14.2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ht="14.2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ht="14.2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ht="14.2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ht="14.2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ht="14.2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ht="14.2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ht="14.2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spans="1:29" ht="14.2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spans="1:29" ht="14.2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spans="1:29" ht="14.2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spans="1:29" ht="14.2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ht="14.2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spans="1:29" ht="14.2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spans="1:29" ht="14.2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spans="1:29" ht="14.2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spans="1:29" ht="14.2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spans="1:29" ht="14.2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opLeftCell="A6" zoomScale="115" zoomScaleNormal="115" workbookViewId="0">
      <selection activeCell="D12" sqref="D12"/>
    </sheetView>
  </sheetViews>
  <sheetFormatPr baseColWidth="10" defaultColWidth="10.7109375" defaultRowHeight="15" x14ac:dyDescent="0.25"/>
  <cols>
    <col min="1" max="1" width="27" customWidth="1"/>
    <col min="2" max="2" width="62.85546875" customWidth="1"/>
    <col min="3" max="3" width="12.5703125" customWidth="1"/>
  </cols>
  <sheetData>
    <row r="1" spans="1:4" ht="14.25" customHeight="1" x14ac:dyDescent="0.25">
      <c r="A1" s="6" t="s">
        <v>1</v>
      </c>
    </row>
    <row r="2" spans="1:4" ht="14.25" customHeight="1" x14ac:dyDescent="0.25">
      <c r="A2" s="7" t="s">
        <v>2</v>
      </c>
      <c r="B2" s="7" t="s">
        <v>3</v>
      </c>
      <c r="C2" s="7" t="s">
        <v>4</v>
      </c>
      <c r="D2" s="7" t="s">
        <v>5</v>
      </c>
    </row>
    <row r="3" spans="1:4" ht="30" customHeight="1" x14ac:dyDescent="0.25">
      <c r="A3" s="8" t="s">
        <v>6</v>
      </c>
      <c r="B3" s="9" t="s">
        <v>7</v>
      </c>
      <c r="C3" s="8">
        <v>1</v>
      </c>
      <c r="D3" s="10" t="s">
        <v>8</v>
      </c>
    </row>
    <row r="4" spans="1:4" ht="45" customHeight="1" x14ac:dyDescent="0.25">
      <c r="A4" s="8" t="s">
        <v>9</v>
      </c>
      <c r="B4" s="9" t="s">
        <v>10</v>
      </c>
      <c r="C4" s="8">
        <v>1</v>
      </c>
      <c r="D4" s="10" t="s">
        <v>8</v>
      </c>
    </row>
    <row r="5" spans="1:4" ht="89.25" customHeight="1" x14ac:dyDescent="0.25">
      <c r="A5" s="8" t="s">
        <v>11</v>
      </c>
      <c r="B5" s="9" t="s">
        <v>12</v>
      </c>
      <c r="C5" s="8">
        <v>1</v>
      </c>
      <c r="D5" s="10" t="s">
        <v>8</v>
      </c>
    </row>
    <row r="6" spans="1:4" ht="89.25" customHeight="1" x14ac:dyDescent="0.25">
      <c r="A6" s="8" t="s">
        <v>13</v>
      </c>
      <c r="B6" s="9" t="s">
        <v>289</v>
      </c>
      <c r="C6" s="8">
        <v>1</v>
      </c>
      <c r="D6" s="10" t="s">
        <v>8</v>
      </c>
    </row>
    <row r="7" spans="1:4" ht="60" customHeight="1" x14ac:dyDescent="0.25">
      <c r="A7" s="8" t="s">
        <v>14</v>
      </c>
      <c r="B7" s="9" t="s">
        <v>15</v>
      </c>
      <c r="C7" s="8">
        <v>2</v>
      </c>
      <c r="D7" s="10" t="s">
        <v>8</v>
      </c>
    </row>
    <row r="8" spans="1:4" ht="60" customHeight="1" x14ac:dyDescent="0.25">
      <c r="A8" s="8" t="s">
        <v>16</v>
      </c>
      <c r="B8" s="9" t="s">
        <v>293</v>
      </c>
      <c r="C8" s="8">
        <v>2</v>
      </c>
      <c r="D8" s="10" t="s">
        <v>8</v>
      </c>
    </row>
    <row r="9" spans="1:4" ht="30" customHeight="1" x14ac:dyDescent="0.25">
      <c r="A9" s="8" t="s">
        <v>17</v>
      </c>
      <c r="B9" s="9" t="s">
        <v>294</v>
      </c>
      <c r="C9" s="8">
        <v>2</v>
      </c>
      <c r="D9" s="10" t="s">
        <v>8</v>
      </c>
    </row>
    <row r="10" spans="1:4" ht="47.45" customHeight="1" x14ac:dyDescent="0.25">
      <c r="A10" s="8" t="s">
        <v>21</v>
      </c>
      <c r="B10" s="9" t="s">
        <v>292</v>
      </c>
      <c r="C10" s="8">
        <v>2</v>
      </c>
      <c r="D10" s="10" t="s">
        <v>8</v>
      </c>
    </row>
    <row r="11" spans="1:4" ht="60" customHeight="1" x14ac:dyDescent="0.25">
      <c r="A11" s="8" t="s">
        <v>18</v>
      </c>
      <c r="B11" s="9" t="s">
        <v>19</v>
      </c>
      <c r="C11" s="8">
        <v>3</v>
      </c>
      <c r="D11" s="10" t="s">
        <v>8</v>
      </c>
    </row>
    <row r="12" spans="1:4" ht="28.5" customHeight="1" x14ac:dyDescent="0.25">
      <c r="A12" s="8" t="s">
        <v>20</v>
      </c>
      <c r="B12" s="9" t="s">
        <v>295</v>
      </c>
      <c r="C12" s="8">
        <v>3</v>
      </c>
      <c r="D12" s="10" t="s">
        <v>8</v>
      </c>
    </row>
    <row r="13" spans="1:4" ht="45" customHeight="1" x14ac:dyDescent="0.25">
      <c r="A13" s="8" t="s">
        <v>22</v>
      </c>
      <c r="B13" s="9" t="s">
        <v>296</v>
      </c>
      <c r="C13" s="8">
        <v>3</v>
      </c>
      <c r="D13" s="10" t="s">
        <v>8</v>
      </c>
    </row>
    <row r="14" spans="1:4" ht="60" customHeight="1" x14ac:dyDescent="0.25">
      <c r="A14" s="8" t="s">
        <v>23</v>
      </c>
      <c r="B14" s="11" t="s">
        <v>24</v>
      </c>
      <c r="C14" s="8">
        <v>4</v>
      </c>
      <c r="D14" s="10" t="s">
        <v>8</v>
      </c>
    </row>
    <row r="15" spans="1:4" ht="45" customHeight="1" x14ac:dyDescent="0.25">
      <c r="A15" s="8" t="s">
        <v>25</v>
      </c>
      <c r="B15" s="9" t="s">
        <v>26</v>
      </c>
      <c r="C15" s="8">
        <v>4</v>
      </c>
      <c r="D15" s="10" t="s">
        <v>8</v>
      </c>
    </row>
    <row r="16" spans="1:4" ht="14.25" customHeight="1" x14ac:dyDescent="0.25">
      <c r="A16" s="12"/>
      <c r="B16" s="12"/>
      <c r="C16" s="12"/>
      <c r="D16" s="12"/>
    </row>
    <row r="17" spans="1:4" ht="14.25" customHeight="1" x14ac:dyDescent="0.25">
      <c r="A17" s="12"/>
      <c r="B17" s="12"/>
      <c r="C17" s="12"/>
      <c r="D17" s="12"/>
    </row>
    <row r="18" spans="1:4" ht="14.25" customHeight="1" x14ac:dyDescent="0.25">
      <c r="A18" s="12"/>
      <c r="B18" s="12"/>
      <c r="C18" s="12"/>
      <c r="D18" s="12"/>
    </row>
    <row r="19" spans="1:4" ht="14.25" customHeight="1" x14ac:dyDescent="0.25">
      <c r="A19" s="12"/>
      <c r="B19" s="12"/>
      <c r="C19" s="12"/>
      <c r="D19" s="12"/>
    </row>
    <row r="20" spans="1:4" ht="14.25" customHeight="1" x14ac:dyDescent="0.25">
      <c r="A20" s="12"/>
      <c r="B20" s="12"/>
      <c r="C20" s="12"/>
      <c r="D20" s="12"/>
    </row>
    <row r="21" spans="1:4" ht="14.25" customHeight="1" x14ac:dyDescent="0.25">
      <c r="A21" s="12"/>
      <c r="B21" s="12"/>
      <c r="C21" s="12"/>
      <c r="D21" s="12"/>
    </row>
    <row r="22" spans="1:4" ht="14.25" customHeight="1" x14ac:dyDescent="0.25">
      <c r="A22" s="12"/>
      <c r="B22" s="12"/>
      <c r="C22" s="12"/>
      <c r="D22" s="12"/>
    </row>
    <row r="23" spans="1:4" ht="14.25" customHeight="1" x14ac:dyDescent="0.25">
      <c r="A23" s="12"/>
      <c r="B23" s="12"/>
      <c r="C23" s="12"/>
      <c r="D23" s="12"/>
    </row>
    <row r="24" spans="1:4" ht="14.25" customHeight="1" x14ac:dyDescent="0.25">
      <c r="A24" s="12"/>
      <c r="B24" s="12"/>
      <c r="C24" s="12"/>
      <c r="D24" s="12"/>
    </row>
    <row r="25" spans="1:4" ht="14.25" customHeight="1" x14ac:dyDescent="0.25">
      <c r="A25" s="12"/>
      <c r="B25" s="12"/>
      <c r="C25" s="12"/>
      <c r="D25" s="12"/>
    </row>
    <row r="26" spans="1:4" ht="14.25" customHeight="1" x14ac:dyDescent="0.25">
      <c r="A26" s="12"/>
      <c r="B26" s="12"/>
      <c r="C26" s="12"/>
      <c r="D26" s="12"/>
    </row>
    <row r="27" spans="1:4" ht="14.25" customHeight="1" x14ac:dyDescent="0.25">
      <c r="A27" s="12"/>
      <c r="B27" s="12"/>
      <c r="C27" s="12"/>
      <c r="D27" s="12"/>
    </row>
    <row r="28" spans="1:4" ht="14.25" customHeight="1" x14ac:dyDescent="0.25">
      <c r="A28" s="12"/>
      <c r="B28" s="12"/>
      <c r="C28" s="12"/>
      <c r="D28" s="12"/>
    </row>
    <row r="29" spans="1:4" ht="14.25" customHeight="1" x14ac:dyDescent="0.25">
      <c r="A29" s="12"/>
      <c r="B29" s="12"/>
      <c r="C29" s="12"/>
      <c r="D29" s="12"/>
    </row>
    <row r="30" spans="1:4" ht="14.25" customHeight="1" x14ac:dyDescent="0.25">
      <c r="A30" s="12"/>
      <c r="B30" s="12"/>
      <c r="C30" s="12"/>
      <c r="D30" s="12"/>
    </row>
    <row r="31" spans="1:4" ht="14.25" customHeight="1" x14ac:dyDescent="0.25">
      <c r="A31" s="12"/>
      <c r="B31" s="12"/>
      <c r="C31" s="12"/>
      <c r="D31" s="12"/>
    </row>
    <row r="32" spans="1:4" ht="14.25" customHeight="1" x14ac:dyDescent="0.25">
      <c r="A32" s="12"/>
      <c r="B32" s="12"/>
      <c r="C32" s="12"/>
      <c r="D32" s="12"/>
    </row>
    <row r="33" spans="1:4" ht="14.25" customHeight="1" x14ac:dyDescent="0.25">
      <c r="A33" s="12"/>
      <c r="B33" s="12"/>
      <c r="C33" s="12"/>
      <c r="D33" s="12"/>
    </row>
    <row r="34" spans="1:4" ht="14.25" customHeight="1" x14ac:dyDescent="0.25">
      <c r="A34" s="12"/>
      <c r="B34" s="12"/>
      <c r="C34" s="12"/>
      <c r="D34" s="12"/>
    </row>
    <row r="35" spans="1:4" ht="14.25" customHeight="1" x14ac:dyDescent="0.25">
      <c r="A35" s="12"/>
      <c r="B35" s="12"/>
      <c r="C35" s="12"/>
      <c r="D35" s="12"/>
    </row>
    <row r="36" spans="1:4" ht="14.25" customHeight="1" x14ac:dyDescent="0.25">
      <c r="A36" s="12"/>
      <c r="B36" s="12"/>
      <c r="C36" s="12"/>
      <c r="D36" s="12"/>
    </row>
    <row r="37" spans="1:4" ht="14.25" customHeight="1" x14ac:dyDescent="0.25">
      <c r="A37" s="12"/>
      <c r="B37" s="12"/>
      <c r="C37" s="12"/>
      <c r="D37" s="12"/>
    </row>
    <row r="38" spans="1:4" ht="14.25" customHeight="1" x14ac:dyDescent="0.25">
      <c r="A38" s="12"/>
      <c r="B38" s="12"/>
      <c r="C38" s="12"/>
      <c r="D38" s="12"/>
    </row>
    <row r="39" spans="1:4" ht="14.25" customHeight="1" x14ac:dyDescent="0.25">
      <c r="A39" s="12"/>
      <c r="B39" s="12"/>
      <c r="C39" s="12"/>
      <c r="D39" s="12"/>
    </row>
    <row r="40" spans="1:4" ht="14.25" customHeight="1" x14ac:dyDescent="0.25">
      <c r="A40" s="12"/>
      <c r="B40" s="12"/>
      <c r="C40" s="12"/>
      <c r="D40" s="12"/>
    </row>
    <row r="41" spans="1:4" ht="14.25" customHeight="1" x14ac:dyDescent="0.25">
      <c r="A41" s="12"/>
      <c r="B41" s="12"/>
      <c r="C41" s="12"/>
      <c r="D41" s="12"/>
    </row>
    <row r="42" spans="1:4" ht="14.25" customHeight="1" x14ac:dyDescent="0.25">
      <c r="A42" s="12"/>
      <c r="B42" s="12"/>
      <c r="C42" s="12"/>
      <c r="D42" s="12"/>
    </row>
    <row r="43" spans="1:4" ht="14.25" customHeight="1" x14ac:dyDescent="0.25">
      <c r="A43" s="12"/>
      <c r="B43" s="12"/>
      <c r="C43" s="12"/>
      <c r="D43" s="12"/>
    </row>
  </sheetData>
  <hyperlinks>
    <hyperlink ref="A1" location="'Modelo de Dominio'!A1" display="&lt;&lt;&lt;&lt; Ir al modulo de dominio" xr:uid="{00000000-0004-0000-0100-000000000000}"/>
    <hyperlink ref="D3" location="'M-Dueño'!A1" display="aquí" xr:uid="{00000000-0004-0000-0100-000001000000}"/>
    <hyperlink ref="D4" location="'M-Barbero'!A1" display="aquí" xr:uid="{00000000-0004-0000-0100-000002000000}"/>
    <hyperlink ref="D5" location="'M-Cliente'!A1" display="aquí" xr:uid="{00000000-0004-0000-0100-000003000000}"/>
    <hyperlink ref="D6" location="'M-Agenda'!A1" display="aquí" xr:uid="{00000000-0004-0000-0100-000004000000}"/>
    <hyperlink ref="D7" location="'M-HorarioBarberia'!A1" display="aquí" xr:uid="{00000000-0004-0000-0100-000005000000}"/>
    <hyperlink ref="D8" location="'M-Regla'!A1" display="aquí" xr:uid="{00000000-0004-0000-0100-000006000000}"/>
    <hyperlink ref="D9" location="'M-Servicio'!A1" display="aquí" xr:uid="{00000000-0004-0000-0100-000007000000}"/>
    <hyperlink ref="D11" location="'M-BarberoServicio'!A1" display="aquí" xr:uid="{00000000-0004-0000-0100-000008000000}"/>
    <hyperlink ref="D12" location="'M-HorarioBarbero'!A1" display="aquí" xr:uid="{00000000-0004-0000-0100-000009000000}"/>
    <hyperlink ref="D10" location="'M-Bloqueo'!A1" display="aquí" xr:uid="{00000000-0004-0000-0100-00000A000000}"/>
    <hyperlink ref="D13" location="'M-Cita'!A1" display="aquí" xr:uid="{00000000-0004-0000-0100-00000B000000}"/>
    <hyperlink ref="D14" location="'M-CitaServicio'!A1" display="aquí" xr:uid="{00000000-0004-0000-0100-00000C000000}"/>
    <hyperlink ref="D15" location="'M-Multa'!A1" display="aquí" xr:uid="{00000000-0004-0000-0100-00000D000000}"/>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zoomScaleNormal="100" workbookViewId="0">
      <selection activeCell="B5" sqref="B5"/>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28.14062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54.75" customHeight="1" x14ac:dyDescent="0.25">
      <c r="A3" s="14" t="str">
        <f>'M-Agenda'!A3</f>
        <v>id</v>
      </c>
      <c r="B3" s="15" t="str">
        <f>'M-Agenda'!A2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54" customHeight="1" x14ac:dyDescent="0.25">
      <c r="A4" s="14" t="str">
        <f>'M-Agenda'!B3</f>
        <v>nombre</v>
      </c>
      <c r="B4" s="15" t="str">
        <f>'M-Agenda'!B2</f>
        <v>Representa como el barbero llama a su propia agenda. Su valor por defecto es el vacio y no es permitido</v>
      </c>
      <c r="C4" s="14" t="s">
        <v>51</v>
      </c>
      <c r="D4" s="14" t="s">
        <v>52</v>
      </c>
      <c r="E4" s="14" t="s">
        <v>49</v>
      </c>
      <c r="F4" s="14">
        <v>3</v>
      </c>
      <c r="G4" s="14">
        <v>100</v>
      </c>
      <c r="H4" s="14"/>
      <c r="I4" s="14"/>
      <c r="J4" s="14"/>
      <c r="K4" s="14"/>
      <c r="L4" s="14"/>
      <c r="M4" s="15"/>
      <c r="N4" s="14" t="s">
        <v>51</v>
      </c>
      <c r="O4" s="14" t="s">
        <v>51</v>
      </c>
      <c r="P4" s="14"/>
      <c r="Q4" s="14" t="s">
        <v>49</v>
      </c>
      <c r="R4" s="14" t="s">
        <v>49</v>
      </c>
      <c r="S4" s="14" t="s">
        <v>51</v>
      </c>
      <c r="T4" s="14"/>
      <c r="U4" s="14" t="s">
        <v>51</v>
      </c>
    </row>
    <row r="5" spans="1:21" ht="14.25" customHeight="1" x14ac:dyDescent="0.25">
      <c r="A5" s="16"/>
      <c r="B5" s="16"/>
      <c r="C5" s="16"/>
      <c r="D5" s="16"/>
      <c r="E5" s="16"/>
      <c r="F5" s="16"/>
      <c r="G5" s="16"/>
      <c r="H5" s="16"/>
      <c r="I5" s="16"/>
      <c r="J5" s="16"/>
      <c r="K5" s="16"/>
      <c r="L5" s="16"/>
      <c r="M5" s="16"/>
      <c r="N5" s="16"/>
      <c r="O5" s="16"/>
      <c r="P5" s="16"/>
      <c r="Q5" s="16"/>
      <c r="R5" s="16"/>
      <c r="S5" s="16"/>
      <c r="T5" s="16"/>
      <c r="U5" s="16"/>
    </row>
    <row r="6" spans="1:21" ht="14.25" customHeight="1" x14ac:dyDescent="0.25">
      <c r="A6" s="17" t="s">
        <v>62</v>
      </c>
      <c r="B6" s="17" t="s">
        <v>63</v>
      </c>
      <c r="C6" s="17" t="s">
        <v>64</v>
      </c>
      <c r="D6" s="18"/>
      <c r="E6" s="18"/>
      <c r="F6" s="18"/>
      <c r="G6" s="18"/>
      <c r="H6" s="18"/>
      <c r="I6" s="18"/>
      <c r="J6" s="18"/>
      <c r="K6" s="18"/>
      <c r="L6" s="18"/>
      <c r="M6" s="18"/>
      <c r="N6" s="18"/>
      <c r="O6" s="18"/>
      <c r="P6" s="18"/>
      <c r="Q6" s="18"/>
      <c r="R6" s="18"/>
      <c r="S6" s="18"/>
      <c r="T6" s="18"/>
      <c r="U6" s="18"/>
    </row>
    <row r="7" spans="1:21" ht="54.75" customHeight="1" x14ac:dyDescent="0.25">
      <c r="A7" s="3" t="str">
        <f>'M-Agenda'!C3</f>
        <v>Combinación única</v>
      </c>
      <c r="B7" s="2" t="str">
        <f>'M-Agenda'!C2</f>
        <v>Combinación única que indica que no puede existir más de una agenda con el mismo nombre</v>
      </c>
      <c r="C7" s="1" t="str">
        <f>A4</f>
        <v>nombre</v>
      </c>
      <c r="D7" s="16"/>
      <c r="E7" s="16"/>
      <c r="F7" s="16"/>
      <c r="G7" s="16"/>
      <c r="H7" s="16"/>
      <c r="I7" s="16"/>
      <c r="J7" s="16"/>
      <c r="K7" s="16"/>
      <c r="L7" s="16"/>
      <c r="M7" s="16"/>
      <c r="N7" s="16"/>
      <c r="O7" s="16"/>
      <c r="P7" s="16"/>
      <c r="Q7" s="16"/>
      <c r="R7" s="16"/>
      <c r="S7" s="16"/>
      <c r="T7" s="16"/>
      <c r="U7" s="16"/>
    </row>
  </sheetData>
  <hyperlinks>
    <hyperlink ref="A1" location="'Modelo de Dominio'!A1" display="&lt;&lt;&lt;&lt; Ir al modulo de dominio" xr:uid="{00000000-0004-0000-0200-000000000000}"/>
    <hyperlink ref="B1" location="'Objetos de Dominio'!A1" display="&lt;&lt;&lt;&lt; Ir a objetos de dominio" xr:uid="{00000000-0004-0000-0200-000001000000}"/>
  </hyperlink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zoomScaleNormal="100" workbookViewId="0">
      <selection activeCell="B1" sqref="B1"/>
    </sheetView>
  </sheetViews>
  <sheetFormatPr baseColWidth="10" defaultColWidth="10.7109375" defaultRowHeight="15" x14ac:dyDescent="0.25"/>
  <cols>
    <col min="1" max="1" width="27" customWidth="1"/>
    <col min="2" max="2" width="34" customWidth="1"/>
    <col min="3" max="3" width="48" bestFit="1" customWidth="1"/>
  </cols>
  <sheetData>
    <row r="1" spans="1:3" ht="14.25" customHeight="1" x14ac:dyDescent="0.25">
      <c r="A1" s="6" t="s">
        <v>1</v>
      </c>
      <c r="B1" s="6" t="s">
        <v>27</v>
      </c>
    </row>
    <row r="2" spans="1:3" ht="58.15" customHeight="1" x14ac:dyDescent="0.25">
      <c r="A2" s="19" t="s">
        <v>65</v>
      </c>
      <c r="B2" s="19" t="s">
        <v>288</v>
      </c>
      <c r="C2" s="19" t="s">
        <v>66</v>
      </c>
    </row>
    <row r="3" spans="1:3" ht="14.25" customHeight="1" x14ac:dyDescent="0.25">
      <c r="A3" s="20" t="s">
        <v>67</v>
      </c>
      <c r="B3" s="21" t="s">
        <v>68</v>
      </c>
      <c r="C3" s="25" t="s">
        <v>72</v>
      </c>
    </row>
    <row r="4" spans="1:3" ht="30" customHeight="1" x14ac:dyDescent="0.25">
      <c r="A4" s="26">
        <v>1</v>
      </c>
      <c r="B4" s="27" t="s">
        <v>73</v>
      </c>
      <c r="C4" s="27" t="str">
        <f>B4</f>
        <v>Agenda de Juan García</v>
      </c>
    </row>
    <row r="5" spans="1:3" ht="30" customHeight="1" x14ac:dyDescent="0.25">
      <c r="A5" s="26">
        <v>2</v>
      </c>
      <c r="B5" s="27" t="s">
        <v>75</v>
      </c>
      <c r="C5" s="27" t="str">
        <f t="shared" ref="C5:C8" si="0">B5</f>
        <v>Agenda de Juan Ortiz</v>
      </c>
    </row>
    <row r="6" spans="1:3" ht="30" customHeight="1" x14ac:dyDescent="0.25">
      <c r="A6" s="26">
        <v>3</v>
      </c>
      <c r="B6" s="27" t="s">
        <v>76</v>
      </c>
      <c r="C6" s="27" t="str">
        <f t="shared" si="0"/>
        <v>Agenda de Carlos Arbeladez</v>
      </c>
    </row>
    <row r="7" spans="1:3" ht="30" customHeight="1" x14ac:dyDescent="0.25">
      <c r="A7" s="26">
        <v>4</v>
      </c>
      <c r="B7" s="27" t="s">
        <v>77</v>
      </c>
      <c r="C7" s="27" t="str">
        <f t="shared" si="0"/>
        <v>Agenda de Andres Ramirez</v>
      </c>
    </row>
    <row r="8" spans="1:3" ht="30" customHeight="1" x14ac:dyDescent="0.25">
      <c r="A8" s="26">
        <v>5</v>
      </c>
      <c r="B8" s="27" t="s">
        <v>79</v>
      </c>
      <c r="C8" s="27" t="str">
        <f t="shared" si="0"/>
        <v>Agenda de Juan Carlos Zambrano</v>
      </c>
    </row>
    <row r="11" spans="1:3" ht="30" customHeight="1" x14ac:dyDescent="0.25"/>
    <row r="12" spans="1:3" ht="30" customHeight="1" x14ac:dyDescent="0.25"/>
    <row r="13" spans="1:3" ht="30" customHeight="1" x14ac:dyDescent="0.25">
      <c r="A13" s="118"/>
      <c r="B13" s="35" t="s">
        <v>80</v>
      </c>
    </row>
    <row r="14" spans="1:3" ht="30" customHeight="1" x14ac:dyDescent="0.25">
      <c r="A14" s="119"/>
      <c r="B14" s="35" t="s">
        <v>81</v>
      </c>
    </row>
    <row r="15" spans="1:3" ht="30" customHeight="1" x14ac:dyDescent="0.25">
      <c r="A15" s="120"/>
      <c r="B15" s="35" t="s">
        <v>82</v>
      </c>
    </row>
    <row r="16" spans="1:3" x14ac:dyDescent="0.25">
      <c r="A16" s="121"/>
      <c r="B16" t="s">
        <v>86</v>
      </c>
    </row>
  </sheetData>
  <hyperlinks>
    <hyperlink ref="A1" location="'Modelo de Dominio'!A1" display="&lt;&lt;&lt;&lt; Ir al modulo de dominio" xr:uid="{00000000-0004-0000-0300-000000000000}"/>
    <hyperlink ref="B1" location="'Objetos de Dominio'!A1" display="&lt;&lt;&lt;&lt; Ir a objetos de dominio" xr:uid="{B5F598C2-1A76-4DDC-B0B5-540EE43180BA}"/>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0"/>
  <sheetViews>
    <sheetView topLeftCell="H1" zoomScaleNormal="100" workbookViewId="0">
      <selection activeCell="H6" sqref="H6"/>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28.14062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5" customHeight="1" x14ac:dyDescent="0.25">
      <c r="A3" s="14" t="str">
        <f>'M-Dueño'!A3</f>
        <v>id</v>
      </c>
      <c r="B3" s="15" t="str">
        <f>'M-Dueño'!A2</f>
        <v>Representa un identificador que hará unico cada objeto de dominio de este tipo, no se puede repetir</v>
      </c>
      <c r="C3" s="14" t="s">
        <v>49</v>
      </c>
      <c r="D3" s="14" t="s">
        <v>50</v>
      </c>
      <c r="E3" s="14" t="s">
        <v>49</v>
      </c>
      <c r="F3" s="14"/>
      <c r="G3" s="14"/>
      <c r="H3" s="14"/>
      <c r="I3" s="14"/>
      <c r="J3" s="14"/>
      <c r="K3" s="14"/>
      <c r="L3" s="14"/>
      <c r="M3" s="14"/>
      <c r="N3" s="14" t="s">
        <v>51</v>
      </c>
      <c r="O3" s="14" t="s">
        <v>51</v>
      </c>
      <c r="P3" s="14"/>
      <c r="Q3" s="14" t="s">
        <v>51</v>
      </c>
      <c r="R3" s="14" t="s">
        <v>51</v>
      </c>
      <c r="S3" s="14" t="s">
        <v>51</v>
      </c>
      <c r="T3" s="14"/>
      <c r="U3" s="14" t="s">
        <v>49</v>
      </c>
    </row>
    <row r="4" spans="1:21" ht="105" customHeight="1" x14ac:dyDescent="0.25">
      <c r="A4" s="14" t="str">
        <f>'M-Dueño'!B3</f>
        <v>correo</v>
      </c>
      <c r="B4" s="15" t="str">
        <f>'M-Dueño'!B2</f>
        <v>Representa el correo electronico del dueño de la barberia, con el que se va a registrar o iniciar seción. Su valor por defecto es el vacio y no es permitido</v>
      </c>
      <c r="C4" s="14" t="s">
        <v>51</v>
      </c>
      <c r="D4" s="14" t="s">
        <v>52</v>
      </c>
      <c r="E4" s="14" t="s">
        <v>49</v>
      </c>
      <c r="F4" s="14">
        <v>3</v>
      </c>
      <c r="G4" s="14">
        <v>255</v>
      </c>
      <c r="H4" s="14"/>
      <c r="I4" s="14"/>
      <c r="J4" s="14"/>
      <c r="K4" s="14"/>
      <c r="L4" s="15" t="s">
        <v>87</v>
      </c>
      <c r="M4" s="15"/>
      <c r="N4" s="14" t="s">
        <v>51</v>
      </c>
      <c r="O4" s="14" t="s">
        <v>51</v>
      </c>
      <c r="P4" s="14"/>
      <c r="Q4" s="14" t="s">
        <v>49</v>
      </c>
      <c r="R4" s="14" t="s">
        <v>49</v>
      </c>
      <c r="S4" s="14" t="s">
        <v>51</v>
      </c>
      <c r="T4" s="14"/>
      <c r="U4" s="14" t="s">
        <v>51</v>
      </c>
    </row>
    <row r="5" spans="1:21" ht="57" customHeight="1" x14ac:dyDescent="0.25">
      <c r="A5" s="14" t="str">
        <f>'M-Dueño'!C3</f>
        <v>contraseña</v>
      </c>
      <c r="B5" s="15" t="str">
        <f>'M-Dueño'!C2</f>
        <v>Representa la contraseña encriptada del dueño de la barberia. Su tipo de dato es alfanumérico, su valor por defecto es el vacio y no esta permitido</v>
      </c>
      <c r="C5" s="14" t="s">
        <v>51</v>
      </c>
      <c r="D5" s="28" t="s">
        <v>52</v>
      </c>
      <c r="E5" s="14" t="s">
        <v>49</v>
      </c>
      <c r="F5" s="14">
        <v>8</v>
      </c>
      <c r="G5" s="14">
        <v>60</v>
      </c>
      <c r="H5" s="14"/>
      <c r="I5" s="14"/>
      <c r="J5" s="14"/>
      <c r="K5" s="14"/>
      <c r="L5" s="14"/>
      <c r="M5" s="15" t="s">
        <v>290</v>
      </c>
      <c r="N5" s="14" t="s">
        <v>51</v>
      </c>
      <c r="O5" s="14" t="s">
        <v>51</v>
      </c>
      <c r="P5" s="14"/>
      <c r="Q5" s="14" t="s">
        <v>51</v>
      </c>
      <c r="R5" s="14" t="s">
        <v>51</v>
      </c>
      <c r="S5" s="14" t="s">
        <v>49</v>
      </c>
      <c r="T5" s="14"/>
      <c r="U5" s="14" t="s">
        <v>51</v>
      </c>
    </row>
    <row r="6" spans="1:21" ht="42.75" customHeight="1" x14ac:dyDescent="0.25">
      <c r="A6" s="14" t="str">
        <f>'M-Dueño'!D3</f>
        <v>nombre</v>
      </c>
      <c r="B6" s="15" t="str">
        <f>'M-Dueño'!D2</f>
        <v>Representa el nombre de como el dueño, es quien decide el los cambios de la barberia</v>
      </c>
      <c r="C6" s="14" t="s">
        <v>51</v>
      </c>
      <c r="D6" s="28" t="s">
        <v>52</v>
      </c>
      <c r="E6" s="14" t="s">
        <v>49</v>
      </c>
      <c r="F6" s="14">
        <v>1</v>
      </c>
      <c r="G6" s="14">
        <v>30</v>
      </c>
      <c r="H6" s="14"/>
      <c r="I6" s="14"/>
      <c r="J6" s="14"/>
      <c r="K6" s="14"/>
      <c r="L6" s="14"/>
      <c r="M6" s="15"/>
      <c r="N6" s="14" t="s">
        <v>51</v>
      </c>
      <c r="O6" s="14" t="s">
        <v>51</v>
      </c>
      <c r="P6" s="14"/>
      <c r="Q6" s="14" t="s">
        <v>49</v>
      </c>
      <c r="R6" s="14" t="s">
        <v>49</v>
      </c>
      <c r="S6" s="14" t="s">
        <v>51</v>
      </c>
      <c r="T6" s="14"/>
      <c r="U6" s="14" t="s">
        <v>51</v>
      </c>
    </row>
    <row r="7" spans="1:21" ht="14.25" customHeight="1" x14ac:dyDescent="0.25">
      <c r="A7" s="16"/>
      <c r="B7" s="16"/>
      <c r="C7" s="16"/>
      <c r="D7" s="16"/>
      <c r="E7" s="16"/>
      <c r="F7" s="16"/>
      <c r="G7" s="16"/>
      <c r="H7" s="16"/>
      <c r="I7" s="16"/>
      <c r="J7" s="16"/>
      <c r="K7" s="16"/>
      <c r="L7" s="16"/>
      <c r="M7" s="16"/>
      <c r="N7" s="16"/>
      <c r="O7" s="16"/>
      <c r="P7" s="16"/>
      <c r="Q7" s="16"/>
      <c r="R7" s="16"/>
      <c r="S7" s="16"/>
      <c r="T7" s="16"/>
      <c r="U7" s="16"/>
    </row>
    <row r="8" spans="1:21" ht="14.25" customHeight="1" x14ac:dyDescent="0.25">
      <c r="A8" s="17" t="s">
        <v>62</v>
      </c>
      <c r="B8" s="17" t="s">
        <v>63</v>
      </c>
      <c r="C8" s="17" t="s">
        <v>64</v>
      </c>
      <c r="D8" s="18"/>
      <c r="E8" s="18"/>
      <c r="F8" s="18"/>
      <c r="G8" s="18"/>
      <c r="H8" s="18"/>
      <c r="I8" s="18"/>
      <c r="J8" s="18"/>
      <c r="K8" s="18"/>
      <c r="L8" s="18"/>
      <c r="M8" s="18"/>
      <c r="N8" s="18"/>
      <c r="O8" s="18"/>
      <c r="P8" s="18"/>
      <c r="Q8" s="18"/>
      <c r="R8" s="18"/>
      <c r="S8" s="18"/>
      <c r="T8" s="18"/>
      <c r="U8" s="18"/>
    </row>
    <row r="9" spans="1:21" ht="15" customHeight="1" x14ac:dyDescent="0.25">
      <c r="A9" s="130" t="s">
        <v>88</v>
      </c>
      <c r="B9" s="131" t="s">
        <v>89</v>
      </c>
      <c r="C9" s="132" t="str">
        <f>A4</f>
        <v>correo</v>
      </c>
      <c r="D9" s="16"/>
      <c r="E9" s="16"/>
      <c r="F9" s="16"/>
      <c r="G9" s="16"/>
      <c r="H9" s="16"/>
      <c r="I9" s="16"/>
      <c r="J9" s="16"/>
      <c r="K9" s="16"/>
      <c r="L9" s="16"/>
      <c r="M9" s="16"/>
      <c r="N9" s="16"/>
      <c r="O9" s="16"/>
      <c r="P9" s="16"/>
      <c r="Q9" s="16"/>
      <c r="R9" s="16"/>
      <c r="S9" s="16"/>
      <c r="T9" s="16"/>
      <c r="U9" s="16"/>
    </row>
    <row r="10" spans="1:21" ht="14.25" customHeight="1" x14ac:dyDescent="0.25">
      <c r="A10" s="130"/>
      <c r="B10" s="130"/>
      <c r="C10" s="130"/>
      <c r="D10" s="16"/>
      <c r="E10" s="16"/>
      <c r="F10" s="16"/>
      <c r="G10" s="16"/>
      <c r="H10" s="16"/>
      <c r="I10" s="16"/>
      <c r="J10" s="16"/>
      <c r="K10" s="16"/>
      <c r="L10" s="16"/>
      <c r="M10" s="16"/>
      <c r="N10" s="16"/>
      <c r="O10" s="16"/>
      <c r="P10" s="16"/>
      <c r="Q10" s="16"/>
      <c r="R10" s="16"/>
      <c r="S10" s="16"/>
      <c r="T10" s="16"/>
      <c r="U10" s="16"/>
    </row>
  </sheetData>
  <mergeCells count="3">
    <mergeCell ref="A9:A10"/>
    <mergeCell ref="B9:B10"/>
    <mergeCell ref="C9:C10"/>
  </mergeCells>
  <hyperlinks>
    <hyperlink ref="A1" location="'Modelo de Dominio'!A1" display="&lt;&lt;&lt;&lt; Ir al modulo de dominio" xr:uid="{00000000-0004-0000-0400-000000000000}"/>
    <hyperlink ref="B1" location="'Objetos de Dominio'!A1" display="&lt;&lt;&lt;&lt; Ir a objetos de dominio" xr:uid="{00000000-0004-0000-0400-000001000000}"/>
    <hyperlink ref="C9" location="'C-Departamento'!A6" display="#'C-Departamento'.A6" xr:uid="{00000000-0004-0000-0400-000002000000}"/>
  </hyperlink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zoomScale="115" zoomScaleNormal="115" workbookViewId="0">
      <selection activeCell="B1" sqref="B1"/>
    </sheetView>
  </sheetViews>
  <sheetFormatPr baseColWidth="10" defaultColWidth="10.7109375" defaultRowHeight="15" x14ac:dyDescent="0.25"/>
  <cols>
    <col min="1" max="1" width="39.85546875" customWidth="1"/>
    <col min="2" max="2" width="49" customWidth="1"/>
    <col min="3" max="3" width="69.28515625" customWidth="1"/>
    <col min="4" max="4" width="45.7109375" customWidth="1"/>
    <col min="5" max="5" width="35.140625" customWidth="1"/>
  </cols>
  <sheetData>
    <row r="1" spans="1:5" ht="14.25" customHeight="1" x14ac:dyDescent="0.25">
      <c r="A1" s="6" t="s">
        <v>1</v>
      </c>
      <c r="B1" s="6" t="s">
        <v>27</v>
      </c>
    </row>
    <row r="2" spans="1:5" ht="45" customHeight="1" x14ac:dyDescent="0.25">
      <c r="A2" s="29" t="s">
        <v>65</v>
      </c>
      <c r="B2" s="29" t="s">
        <v>90</v>
      </c>
      <c r="C2" s="29" t="s">
        <v>91</v>
      </c>
      <c r="D2" s="29" t="s">
        <v>92</v>
      </c>
      <c r="E2" s="30"/>
    </row>
    <row r="3" spans="1:5" ht="14.25" customHeight="1" x14ac:dyDescent="0.25">
      <c r="A3" s="20" t="s">
        <v>67</v>
      </c>
      <c r="B3" s="31" t="s">
        <v>93</v>
      </c>
      <c r="C3" s="31" t="s">
        <v>94</v>
      </c>
      <c r="D3" s="32" t="s">
        <v>68</v>
      </c>
      <c r="E3" s="30"/>
    </row>
    <row r="4" spans="1:5" ht="14.25" customHeight="1" x14ac:dyDescent="0.25">
      <c r="A4" s="26">
        <v>1</v>
      </c>
      <c r="B4" s="33" t="s">
        <v>95</v>
      </c>
      <c r="C4" s="26" t="s">
        <v>96</v>
      </c>
      <c r="D4" s="26" t="s">
        <v>97</v>
      </c>
      <c r="E4" s="30"/>
    </row>
    <row r="10" spans="1:5" ht="14.25" customHeight="1" x14ac:dyDescent="0.25">
      <c r="A10" s="34"/>
      <c r="B10" s="35" t="s">
        <v>80</v>
      </c>
    </row>
    <row r="11" spans="1:5" ht="30" customHeight="1" x14ac:dyDescent="0.25">
      <c r="A11" s="36"/>
      <c r="B11" s="35" t="s">
        <v>81</v>
      </c>
    </row>
    <row r="12" spans="1:5" ht="14.25" customHeight="1" x14ac:dyDescent="0.25">
      <c r="A12" s="37"/>
      <c r="B12" s="35" t="s">
        <v>82</v>
      </c>
    </row>
  </sheetData>
  <hyperlinks>
    <hyperlink ref="A1" location="'Modelo de Dominio'!A1" display="&lt;&lt;&lt;&lt; Ir al modulo de dominio" xr:uid="{00000000-0004-0000-0500-000000000000}"/>
    <hyperlink ref="B4" r:id="rId1" xr:uid="{00000000-0004-0000-0500-000001000000}"/>
    <hyperlink ref="B1" location="'Objetos de Dominio'!A1" display="&lt;&lt;&lt;&lt; Ir a objetos de dominio" xr:uid="{66B49D21-0994-44E7-B354-1C38A3C45878}"/>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0"/>
  <sheetViews>
    <sheetView zoomScale="55" zoomScaleNormal="55" workbookViewId="0">
      <selection activeCell="M12" sqref="M12"/>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'M-Barbero'!A3</f>
        <v>id</v>
      </c>
      <c r="B3" s="15" t="str">
        <f>'M-Barbero'!A2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57" customHeight="1" x14ac:dyDescent="0.25">
      <c r="A4" s="14" t="str">
        <f>'M-Barbero'!B3</f>
        <v>primerNombre</v>
      </c>
      <c r="B4" s="15" t="str">
        <f>'M-Barbero'!B2</f>
        <v>Representa el primer nombre del barbero que trabaja en barbería</v>
      </c>
      <c r="C4" s="14" t="s">
        <v>51</v>
      </c>
      <c r="D4" s="14" t="s">
        <v>52</v>
      </c>
      <c r="E4" s="14" t="s">
        <v>49</v>
      </c>
      <c r="F4" s="14">
        <v>2</v>
      </c>
      <c r="G4" s="14">
        <v>50</v>
      </c>
      <c r="H4" s="14"/>
      <c r="I4" s="14"/>
      <c r="J4" s="14"/>
      <c r="K4" s="14"/>
      <c r="L4" s="14"/>
      <c r="M4" s="15"/>
      <c r="N4" s="14" t="s">
        <v>51</v>
      </c>
      <c r="O4" s="14" t="s">
        <v>51</v>
      </c>
      <c r="P4" s="14"/>
      <c r="Q4" s="14" t="s">
        <v>49</v>
      </c>
      <c r="R4" s="14" t="s">
        <v>49</v>
      </c>
      <c r="S4" s="14" t="s">
        <v>51</v>
      </c>
      <c r="T4" s="14"/>
      <c r="U4" s="14" t="s">
        <v>51</v>
      </c>
    </row>
    <row r="5" spans="1:21" ht="57" customHeight="1" x14ac:dyDescent="0.25">
      <c r="A5" s="14" t="str">
        <f>'M-Barbero'!C3</f>
        <v>segundoNombre</v>
      </c>
      <c r="B5" s="15" t="str">
        <f>'M-Barbero'!C2</f>
        <v>Representa el segundo nombre del barbero que trabaja en barbería</v>
      </c>
      <c r="C5" s="14" t="s">
        <v>51</v>
      </c>
      <c r="D5" s="14" t="s">
        <v>52</v>
      </c>
      <c r="E5" s="14" t="s">
        <v>51</v>
      </c>
      <c r="F5" s="14">
        <v>2</v>
      </c>
      <c r="G5" s="14">
        <v>50</v>
      </c>
      <c r="H5" s="14"/>
      <c r="I5" s="14"/>
      <c r="J5" s="14"/>
      <c r="K5" s="14"/>
      <c r="L5" s="14"/>
      <c r="M5" s="15"/>
      <c r="N5" s="14" t="s">
        <v>51</v>
      </c>
      <c r="O5" s="14" t="s">
        <v>51</v>
      </c>
      <c r="P5" s="14"/>
      <c r="Q5" s="14" t="s">
        <v>49</v>
      </c>
      <c r="R5" s="14" t="s">
        <v>49</v>
      </c>
      <c r="S5" s="14" t="s">
        <v>51</v>
      </c>
      <c r="T5" s="14"/>
      <c r="U5" s="14" t="s">
        <v>51</v>
      </c>
    </row>
    <row r="6" spans="1:21" ht="57" customHeight="1" x14ac:dyDescent="0.25">
      <c r="A6" s="14" t="str">
        <f>'M-Barbero'!D3</f>
        <v>primerApellido</v>
      </c>
      <c r="B6" s="15" t="str">
        <f>'M-Barbero'!D2</f>
        <v>Representa el primer apellido del barbero que trabaja en la barbería</v>
      </c>
      <c r="C6" s="14" t="s">
        <v>51</v>
      </c>
      <c r="D6" s="14" t="s">
        <v>52</v>
      </c>
      <c r="E6" s="14" t="s">
        <v>49</v>
      </c>
      <c r="F6" s="14">
        <v>2</v>
      </c>
      <c r="G6" s="14">
        <v>50</v>
      </c>
      <c r="H6" s="14"/>
      <c r="I6" s="14"/>
      <c r="J6" s="14"/>
      <c r="K6" s="14"/>
      <c r="L6" s="14"/>
      <c r="M6" s="15"/>
      <c r="N6" s="14" t="s">
        <v>51</v>
      </c>
      <c r="O6" s="14" t="s">
        <v>51</v>
      </c>
      <c r="P6" s="14"/>
      <c r="Q6" s="14" t="s">
        <v>49</v>
      </c>
      <c r="R6" s="14" t="s">
        <v>49</v>
      </c>
      <c r="S6" s="14" t="s">
        <v>51</v>
      </c>
      <c r="T6" s="14"/>
      <c r="U6" s="14" t="s">
        <v>51</v>
      </c>
    </row>
    <row r="7" spans="1:21" ht="57" customHeight="1" x14ac:dyDescent="0.25">
      <c r="A7" s="14" t="str">
        <f>'M-Barbero'!E3</f>
        <v>segundoApellido</v>
      </c>
      <c r="B7" s="15" t="str">
        <f>'M-Barbero'!E2</f>
        <v>Representa el segundo apellido del barbero que trabaja en la barbería</v>
      </c>
      <c r="C7" s="14" t="s">
        <v>51</v>
      </c>
      <c r="D7" s="14" t="s">
        <v>52</v>
      </c>
      <c r="E7" s="14" t="s">
        <v>51</v>
      </c>
      <c r="F7" s="14">
        <v>2</v>
      </c>
      <c r="G7" s="14">
        <v>50</v>
      </c>
      <c r="H7" s="14"/>
      <c r="I7" s="14"/>
      <c r="J7" s="14"/>
      <c r="K7" s="14"/>
      <c r="L7" s="14"/>
      <c r="M7" s="15"/>
      <c r="N7" s="14" t="s">
        <v>51</v>
      </c>
      <c r="O7" s="14" t="s">
        <v>51</v>
      </c>
      <c r="P7" s="14"/>
      <c r="Q7" s="14" t="s">
        <v>49</v>
      </c>
      <c r="R7" s="14" t="s">
        <v>49</v>
      </c>
      <c r="S7" s="14" t="s">
        <v>51</v>
      </c>
      <c r="T7" s="14"/>
      <c r="U7" s="14" t="s">
        <v>51</v>
      </c>
    </row>
    <row r="8" spans="1:21" ht="57" customHeight="1" x14ac:dyDescent="0.25">
      <c r="A8" s="14" t="str">
        <f>'M-Barbero'!F3</f>
        <v>prefijo</v>
      </c>
      <c r="B8" s="15" t="str">
        <f>'M-Barbero'!F2</f>
        <v>Representa de que pais es el numero de celular del barbero</v>
      </c>
      <c r="C8" s="14" t="s">
        <v>51</v>
      </c>
      <c r="D8" s="14" t="s">
        <v>52</v>
      </c>
      <c r="E8" s="14" t="s">
        <v>49</v>
      </c>
      <c r="F8" s="14">
        <v>2</v>
      </c>
      <c r="G8" s="14">
        <v>4</v>
      </c>
      <c r="H8" s="14"/>
      <c r="I8" s="14"/>
      <c r="J8" s="14"/>
      <c r="K8" s="14"/>
      <c r="L8" s="14"/>
      <c r="M8" s="15" t="s">
        <v>299</v>
      </c>
      <c r="N8" s="14" t="s">
        <v>51</v>
      </c>
      <c r="O8" s="14" t="s">
        <v>51</v>
      </c>
      <c r="P8" s="14"/>
      <c r="Q8" s="14" t="s">
        <v>49</v>
      </c>
      <c r="R8" s="14" t="s">
        <v>49</v>
      </c>
      <c r="S8" s="14" t="s">
        <v>51</v>
      </c>
      <c r="T8" s="14" t="s">
        <v>98</v>
      </c>
      <c r="U8" s="14" t="s">
        <v>51</v>
      </c>
    </row>
    <row r="9" spans="1:21" ht="57" customHeight="1" x14ac:dyDescent="0.25">
      <c r="A9" s="14" t="str">
        <f>'M-Barbero'!G3</f>
        <v>celular</v>
      </c>
      <c r="B9" s="15" t="str">
        <f>'M-Barbero'!G2</f>
        <v>Representa el número de celular del barbero</v>
      </c>
      <c r="C9" s="14" t="s">
        <v>51</v>
      </c>
      <c r="D9" s="14" t="s">
        <v>52</v>
      </c>
      <c r="E9" s="14" t="s">
        <v>49</v>
      </c>
      <c r="F9" s="14">
        <v>4</v>
      </c>
      <c r="G9" s="14">
        <v>15</v>
      </c>
      <c r="H9" s="14"/>
      <c r="I9" s="14"/>
      <c r="J9" s="14"/>
      <c r="K9" s="14"/>
      <c r="L9" s="15" t="s">
        <v>99</v>
      </c>
      <c r="M9" s="15"/>
      <c r="N9" s="14" t="s">
        <v>51</v>
      </c>
      <c r="O9" s="14" t="s">
        <v>51</v>
      </c>
      <c r="P9" s="14"/>
      <c r="Q9" s="14" t="s">
        <v>49</v>
      </c>
      <c r="R9" s="14" t="s">
        <v>49</v>
      </c>
      <c r="S9" s="14" t="s">
        <v>51</v>
      </c>
      <c r="T9" s="14" t="s">
        <v>100</v>
      </c>
      <c r="U9" s="14" t="s">
        <v>51</v>
      </c>
    </row>
    <row r="10" spans="1:21" ht="129" customHeight="1" x14ac:dyDescent="0.25">
      <c r="A10" s="14" t="str">
        <f>'M-Barbero'!H3</f>
        <v>correo</v>
      </c>
      <c r="B10" s="15" t="str">
        <f>'M-Barbero'!H2</f>
        <v>Representa el correo electronico del barbero, con el que se va a registrar o iniciar seción</v>
      </c>
      <c r="C10" s="14" t="s">
        <v>51</v>
      </c>
      <c r="D10" s="14" t="s">
        <v>52</v>
      </c>
      <c r="E10" s="14" t="s">
        <v>49</v>
      </c>
      <c r="F10" s="14">
        <v>3</v>
      </c>
      <c r="G10" s="14">
        <v>255</v>
      </c>
      <c r="H10" s="14"/>
      <c r="I10" s="14"/>
      <c r="J10" s="14"/>
      <c r="K10" s="14"/>
      <c r="L10" s="15" t="s">
        <v>87</v>
      </c>
      <c r="M10" s="15"/>
      <c r="N10" s="14" t="s">
        <v>51</v>
      </c>
      <c r="O10" s="14" t="s">
        <v>51</v>
      </c>
      <c r="P10" s="14"/>
      <c r="Q10" s="14" t="s">
        <v>49</v>
      </c>
      <c r="R10" s="14" t="s">
        <v>49</v>
      </c>
      <c r="S10" s="14" t="s">
        <v>51</v>
      </c>
      <c r="T10" s="14"/>
      <c r="U10" s="14" t="s">
        <v>51</v>
      </c>
    </row>
    <row r="11" spans="1:21" ht="57" customHeight="1" x14ac:dyDescent="0.25">
      <c r="A11" s="14" t="str">
        <f>'M-Barbero'!I3</f>
        <v>contraseña</v>
      </c>
      <c r="B11" s="15" t="str">
        <f>'M-Barbero'!I2</f>
        <v>Representa la contraseña encriptada del barbero</v>
      </c>
      <c r="C11" s="14" t="s">
        <v>51</v>
      </c>
      <c r="D11" s="14" t="s">
        <v>52</v>
      </c>
      <c r="E11" s="14" t="s">
        <v>49</v>
      </c>
      <c r="F11" s="14">
        <v>8</v>
      </c>
      <c r="G11" s="14">
        <v>60</v>
      </c>
      <c r="H11" s="14"/>
      <c r="I11" s="14"/>
      <c r="J11" s="14"/>
      <c r="K11" s="14"/>
      <c r="L11" s="14"/>
      <c r="M11" s="15" t="s">
        <v>290</v>
      </c>
      <c r="N11" s="14" t="s">
        <v>51</v>
      </c>
      <c r="O11" s="14" t="s">
        <v>51</v>
      </c>
      <c r="P11" s="14"/>
      <c r="Q11" s="14" t="s">
        <v>51</v>
      </c>
      <c r="R11" s="14" t="s">
        <v>51</v>
      </c>
      <c r="S11" s="14" t="s">
        <v>49</v>
      </c>
      <c r="T11" s="14"/>
      <c r="U11" s="14" t="s">
        <v>51</v>
      </c>
    </row>
    <row r="12" spans="1:21" ht="72" customHeight="1" x14ac:dyDescent="0.25">
      <c r="A12" s="14" t="str">
        <f>'M-Barbero'!J3</f>
        <v>vigente</v>
      </c>
      <c r="B12" s="15" t="str">
        <f>'M-Barbero'!J2</f>
        <v>Representa si el barbero sigue o no trabajando. Es un dato calculado, si el barbero tiene en su agenda un horario de trabajo si es vigente y si no tiene horario de trabajo dice no es vigente</v>
      </c>
      <c r="C12" s="14" t="s">
        <v>51</v>
      </c>
      <c r="D12" s="14" t="s">
        <v>59</v>
      </c>
      <c r="E12" s="14" t="s">
        <v>51</v>
      </c>
      <c r="F12" s="14"/>
      <c r="G12" s="14"/>
      <c r="H12" s="14"/>
      <c r="I12" s="14"/>
      <c r="J12" s="14"/>
      <c r="K12" s="14"/>
      <c r="L12" s="14"/>
      <c r="M12" s="15" t="s">
        <v>300</v>
      </c>
      <c r="N12" s="14" t="s">
        <v>49</v>
      </c>
      <c r="O12" s="14" t="s">
        <v>51</v>
      </c>
      <c r="P12" s="14"/>
      <c r="Q12" s="14" t="s">
        <v>51</v>
      </c>
      <c r="R12" s="14" t="s">
        <v>51</v>
      </c>
      <c r="S12" s="14" t="s">
        <v>51</v>
      </c>
      <c r="T12" s="14"/>
      <c r="U12" s="14" t="s">
        <v>51</v>
      </c>
    </row>
    <row r="13" spans="1:21" ht="14.25" customHeight="1" x14ac:dyDescent="0.25">
      <c r="A13" s="5"/>
      <c r="B13" s="5"/>
      <c r="C13" s="5"/>
      <c r="D13" s="5"/>
      <c r="E13" s="5"/>
      <c r="F13" s="5"/>
      <c r="G13" s="5"/>
      <c r="H13" s="5"/>
      <c r="I13" s="5"/>
      <c r="J13" s="5"/>
      <c r="K13" s="5"/>
      <c r="L13" s="5"/>
      <c r="M13" s="5"/>
      <c r="N13" s="5"/>
      <c r="O13" s="5"/>
      <c r="P13" s="5"/>
      <c r="Q13" s="5"/>
      <c r="R13" s="5"/>
      <c r="S13" s="5"/>
      <c r="T13" s="5"/>
      <c r="U13" s="5"/>
    </row>
    <row r="14" spans="1:21" ht="14.25" customHeight="1" x14ac:dyDescent="0.25">
      <c r="A14" s="17" t="s">
        <v>62</v>
      </c>
      <c r="B14" s="17" t="s">
        <v>63</v>
      </c>
      <c r="C14" s="17" t="s">
        <v>64</v>
      </c>
      <c r="D14" s="38"/>
      <c r="E14" s="38"/>
      <c r="F14" s="38"/>
      <c r="G14" s="38"/>
      <c r="H14" s="38"/>
      <c r="I14" s="38"/>
      <c r="J14" s="38"/>
      <c r="K14" s="38"/>
      <c r="L14" s="38"/>
      <c r="M14" s="38"/>
      <c r="N14" s="38"/>
      <c r="O14" s="38"/>
      <c r="P14" s="38"/>
      <c r="Q14" s="38"/>
      <c r="R14" s="38"/>
      <c r="S14" s="38"/>
      <c r="T14" s="38"/>
      <c r="U14" s="38"/>
    </row>
    <row r="15" spans="1:21" ht="14.25" customHeight="1" x14ac:dyDescent="0.25">
      <c r="A15" s="130" t="str">
        <f>'M-Barbero'!K3</f>
        <v xml:space="preserve">Combinación única </v>
      </c>
      <c r="B15" s="131" t="str">
        <f>'M-Barbero'!K2</f>
        <v>Combinacion única que indica que no puede existir más de un barbero con el mismo nombre, apellidos, prefijo de celular y número de celular</v>
      </c>
      <c r="C15" s="39" t="str">
        <f t="shared" ref="C15:C20" si="0">A4</f>
        <v>primerNombre</v>
      </c>
      <c r="D15" s="5"/>
      <c r="E15" s="5"/>
      <c r="F15" s="5"/>
      <c r="G15" s="5"/>
      <c r="H15" s="5"/>
      <c r="I15" s="5"/>
      <c r="J15" s="5"/>
      <c r="K15" s="5"/>
      <c r="L15" s="5"/>
      <c r="M15" s="5"/>
      <c r="N15" s="5"/>
      <c r="O15" s="5"/>
      <c r="P15" s="5"/>
      <c r="Q15" s="5"/>
      <c r="R15" s="5"/>
      <c r="S15" s="5"/>
      <c r="T15" s="5"/>
      <c r="U15" s="5"/>
    </row>
    <row r="16" spans="1:21" ht="14.25" customHeight="1" x14ac:dyDescent="0.25">
      <c r="A16" s="130"/>
      <c r="B16" s="130"/>
      <c r="C16" s="39" t="str">
        <f t="shared" si="0"/>
        <v>segundoNombre</v>
      </c>
      <c r="D16" s="5"/>
      <c r="E16" s="5"/>
      <c r="F16" s="5"/>
      <c r="G16" s="5"/>
      <c r="H16" s="5"/>
      <c r="I16" s="5"/>
      <c r="J16" s="5"/>
      <c r="K16" s="5"/>
      <c r="L16" s="5"/>
      <c r="M16" s="5"/>
      <c r="N16" s="5"/>
      <c r="O16" s="5"/>
      <c r="P16" s="5"/>
      <c r="Q16" s="5"/>
      <c r="R16" s="5"/>
      <c r="S16" s="5"/>
      <c r="T16" s="5"/>
      <c r="U16" s="5"/>
    </row>
    <row r="17" spans="1:21" ht="14.25" customHeight="1" x14ac:dyDescent="0.25">
      <c r="A17" s="130"/>
      <c r="B17" s="130"/>
      <c r="C17" s="39" t="str">
        <f t="shared" si="0"/>
        <v>primerApellido</v>
      </c>
      <c r="D17" s="5"/>
      <c r="E17" s="5"/>
      <c r="F17" s="5"/>
      <c r="G17" s="5"/>
      <c r="H17" s="5"/>
      <c r="I17" s="5"/>
      <c r="J17" s="5"/>
      <c r="K17" s="5"/>
      <c r="L17" s="5"/>
      <c r="M17" s="5"/>
      <c r="N17" s="5"/>
      <c r="O17" s="5"/>
      <c r="P17" s="5"/>
      <c r="Q17" s="5"/>
      <c r="R17" s="5"/>
      <c r="S17" s="5"/>
      <c r="T17" s="5"/>
      <c r="U17" s="5"/>
    </row>
    <row r="18" spans="1:21" ht="14.25" customHeight="1" x14ac:dyDescent="0.25">
      <c r="A18" s="130"/>
      <c r="B18" s="130"/>
      <c r="C18" s="39" t="str">
        <f t="shared" si="0"/>
        <v>segundoApellido</v>
      </c>
      <c r="D18" s="5"/>
      <c r="E18" s="5"/>
      <c r="F18" s="5"/>
      <c r="G18" s="5"/>
      <c r="H18" s="5"/>
      <c r="I18" s="5"/>
      <c r="J18" s="5"/>
      <c r="K18" s="5"/>
      <c r="L18" s="5"/>
      <c r="M18" s="5"/>
      <c r="N18" s="5"/>
      <c r="O18" s="5"/>
      <c r="P18" s="5"/>
      <c r="Q18" s="5"/>
      <c r="R18" s="5"/>
      <c r="S18" s="5"/>
      <c r="T18" s="5"/>
      <c r="U18" s="5"/>
    </row>
    <row r="19" spans="1:21" ht="14.25" customHeight="1" x14ac:dyDescent="0.25">
      <c r="A19" s="130"/>
      <c r="B19" s="130"/>
      <c r="C19" s="39" t="str">
        <f t="shared" si="0"/>
        <v>prefijo</v>
      </c>
      <c r="D19" s="5"/>
      <c r="E19" s="5"/>
      <c r="F19" s="5"/>
      <c r="G19" s="5"/>
      <c r="H19" s="5"/>
      <c r="I19" s="5"/>
      <c r="J19" s="5"/>
      <c r="K19" s="5"/>
      <c r="L19" s="5"/>
      <c r="M19" s="5"/>
      <c r="N19" s="5"/>
      <c r="O19" s="5"/>
      <c r="P19" s="5"/>
      <c r="Q19" s="5"/>
      <c r="R19" s="5"/>
      <c r="S19" s="5"/>
      <c r="T19" s="5"/>
      <c r="U19" s="5"/>
    </row>
    <row r="20" spans="1:21" ht="14.25" customHeight="1" x14ac:dyDescent="0.25">
      <c r="A20" s="130"/>
      <c r="B20" s="130"/>
      <c r="C20" s="39" t="str">
        <f t="shared" si="0"/>
        <v>celular</v>
      </c>
      <c r="D20" s="5"/>
      <c r="E20" s="5"/>
      <c r="F20" s="5"/>
      <c r="G20" s="5"/>
      <c r="H20" s="5"/>
      <c r="I20" s="5"/>
      <c r="J20" s="5"/>
      <c r="K20" s="5"/>
      <c r="L20" s="5"/>
      <c r="M20" s="5"/>
      <c r="N20" s="5"/>
      <c r="O20" s="5"/>
      <c r="P20" s="5"/>
      <c r="Q20" s="5"/>
      <c r="R20" s="5"/>
      <c r="S20" s="5"/>
      <c r="T20" s="5"/>
      <c r="U20" s="5"/>
    </row>
  </sheetData>
  <mergeCells count="2">
    <mergeCell ref="A15:A20"/>
    <mergeCell ref="B15:B20"/>
  </mergeCells>
  <hyperlinks>
    <hyperlink ref="A1" location="'Modelo de Dominio'!A1" display="&lt;&lt;&lt;&lt; Ir al modulo de dominio" xr:uid="{00000000-0004-0000-0600-000000000000}"/>
    <hyperlink ref="B1" location="'Objetos de Dominio'!A1" display="&lt;&lt;&lt;&lt; Ir a objetos de dominio" xr:uid="{00000000-0004-0000-0600-000001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8"/>
  <sheetViews>
    <sheetView zoomScale="130" zoomScaleNormal="130" workbookViewId="0">
      <selection activeCell="B1" sqref="B1"/>
    </sheetView>
  </sheetViews>
  <sheetFormatPr baseColWidth="10" defaultColWidth="10.7109375" defaultRowHeight="15" x14ac:dyDescent="0.25"/>
  <cols>
    <col min="1" max="1" width="27" customWidth="1"/>
    <col min="2" max="2" width="26.140625" customWidth="1"/>
    <col min="3" max="3" width="23.28515625" customWidth="1"/>
    <col min="4" max="4" width="24.140625" customWidth="1"/>
    <col min="5" max="5" width="25.5703125" customWidth="1"/>
    <col min="6" max="6" width="23.28515625" customWidth="1"/>
    <col min="7" max="7" width="19.28515625" customWidth="1"/>
    <col min="8" max="8" width="33.7109375" bestFit="1" customWidth="1"/>
    <col min="9" max="9" width="68.5703125" customWidth="1"/>
    <col min="10" max="10" width="32" customWidth="1"/>
    <col min="11" max="11" width="41.5703125" customWidth="1"/>
  </cols>
  <sheetData>
    <row r="1" spans="1:11" ht="14.25" customHeight="1" x14ac:dyDescent="0.25">
      <c r="A1" s="6" t="s">
        <v>1</v>
      </c>
      <c r="B1" s="6" t="s">
        <v>27</v>
      </c>
      <c r="C1" s="6"/>
      <c r="D1" s="6"/>
      <c r="E1" s="6"/>
      <c r="F1" s="6"/>
    </row>
    <row r="2" spans="1:11" ht="41.25" customHeight="1" x14ac:dyDescent="0.25">
      <c r="A2" s="40" t="s">
        <v>65</v>
      </c>
      <c r="B2" s="40" t="s">
        <v>310</v>
      </c>
      <c r="C2" s="40" t="s">
        <v>311</v>
      </c>
      <c r="D2" s="40" t="s">
        <v>312</v>
      </c>
      <c r="E2" s="40" t="s">
        <v>313</v>
      </c>
      <c r="F2" s="40" t="s">
        <v>314</v>
      </c>
      <c r="G2" s="40" t="s">
        <v>315</v>
      </c>
      <c r="H2" s="40" t="s">
        <v>316</v>
      </c>
      <c r="I2" s="40" t="s">
        <v>317</v>
      </c>
      <c r="J2" s="40" t="s">
        <v>101</v>
      </c>
      <c r="K2" s="41" t="s">
        <v>102</v>
      </c>
    </row>
    <row r="3" spans="1:11" ht="14.25" customHeight="1" x14ac:dyDescent="0.25">
      <c r="A3" s="20" t="s">
        <v>67</v>
      </c>
      <c r="B3" s="31" t="s">
        <v>103</v>
      </c>
      <c r="C3" s="31" t="s">
        <v>104</v>
      </c>
      <c r="D3" s="31" t="s">
        <v>105</v>
      </c>
      <c r="E3" s="31" t="s">
        <v>106</v>
      </c>
      <c r="F3" s="31" t="s">
        <v>107</v>
      </c>
      <c r="G3" s="31" t="s">
        <v>108</v>
      </c>
      <c r="H3" s="31" t="s">
        <v>93</v>
      </c>
      <c r="I3" s="31" t="s">
        <v>94</v>
      </c>
      <c r="J3" s="42" t="s">
        <v>71</v>
      </c>
      <c r="K3" s="43" t="s">
        <v>109</v>
      </c>
    </row>
    <row r="4" spans="1:11" ht="14.25" customHeight="1" x14ac:dyDescent="0.25">
      <c r="A4" s="26">
        <v>1</v>
      </c>
      <c r="B4" s="26" t="s">
        <v>110</v>
      </c>
      <c r="C4" s="26" t="s">
        <v>111</v>
      </c>
      <c r="D4" s="26" t="s">
        <v>112</v>
      </c>
      <c r="E4" s="26" t="s">
        <v>113</v>
      </c>
      <c r="F4" s="44" t="s">
        <v>114</v>
      </c>
      <c r="G4" s="26">
        <v>3245627890</v>
      </c>
      <c r="H4" s="33" t="s">
        <v>115</v>
      </c>
      <c r="I4" s="45" t="s">
        <v>116</v>
      </c>
      <c r="J4" s="26" t="s">
        <v>61</v>
      </c>
      <c r="K4" s="26" t="str">
        <f>_xlfn.CONCAT(B4,"-",C4,"-",D4,"-",E4,"-",F4,"-",G4)</f>
        <v>Juan-Fernando-García-Lopez-+57-3245627890</v>
      </c>
    </row>
    <row r="5" spans="1:11" ht="14.25" customHeight="1" x14ac:dyDescent="0.25">
      <c r="A5" s="26">
        <v>2</v>
      </c>
      <c r="B5" s="26" t="s">
        <v>110</v>
      </c>
      <c r="C5" s="26" t="s">
        <v>117</v>
      </c>
      <c r="D5" s="26" t="s">
        <v>118</v>
      </c>
      <c r="E5" s="26" t="s">
        <v>119</v>
      </c>
      <c r="F5" s="44" t="s">
        <v>114</v>
      </c>
      <c r="G5" s="26">
        <v>3124518923</v>
      </c>
      <c r="H5" s="33" t="s">
        <v>120</v>
      </c>
      <c r="I5" s="45" t="s">
        <v>121</v>
      </c>
      <c r="J5" s="26" t="s">
        <v>61</v>
      </c>
      <c r="K5" s="26" t="str">
        <f>_xlfn.CONCAT(B5,"-",C5,"-",D5,"-",E5,"-",F5,"-",G5)</f>
        <v>Juan-David-Ortiz-Sanchez-+57-3124518923</v>
      </c>
    </row>
    <row r="6" spans="1:11" ht="14.25" customHeight="1" x14ac:dyDescent="0.25">
      <c r="A6" s="26">
        <v>3</v>
      </c>
      <c r="B6" s="26" t="s">
        <v>97</v>
      </c>
      <c r="C6" s="26"/>
      <c r="D6" s="26" t="s">
        <v>122</v>
      </c>
      <c r="E6" s="26"/>
      <c r="F6" s="44" t="s">
        <v>114</v>
      </c>
      <c r="G6" s="26">
        <v>3214533321</v>
      </c>
      <c r="H6" s="33" t="s">
        <v>123</v>
      </c>
      <c r="I6" s="45" t="s">
        <v>124</v>
      </c>
      <c r="J6" s="26" t="s">
        <v>61</v>
      </c>
      <c r="K6" s="26" t="str">
        <f>_xlfn.CONCAT(B6,"-",C6,"-",D6,"-",E6,"-",F6,"-",G6)</f>
        <v>Carlos--Arbeladez--+57-3214533321</v>
      </c>
    </row>
    <row r="7" spans="1:11" ht="14.25" customHeight="1" x14ac:dyDescent="0.25">
      <c r="A7" s="26">
        <v>4</v>
      </c>
      <c r="B7" s="26" t="s">
        <v>125</v>
      </c>
      <c r="C7" s="26"/>
      <c r="D7" s="26" t="s">
        <v>126</v>
      </c>
      <c r="E7" s="26" t="s">
        <v>127</v>
      </c>
      <c r="F7" s="44" t="s">
        <v>128</v>
      </c>
      <c r="G7" s="26">
        <v>9876543210</v>
      </c>
      <c r="H7" s="33" t="s">
        <v>129</v>
      </c>
      <c r="I7" s="45" t="s">
        <v>130</v>
      </c>
      <c r="J7" s="26" t="s">
        <v>78</v>
      </c>
      <c r="K7" s="26" t="str">
        <f>_xlfn.CONCAT(B7,"-",C7,"-",D7,"-",E7,"-",F7,"-",G7)</f>
        <v>Andres--Ramirez-Patiño-+91-9876543210</v>
      </c>
    </row>
    <row r="8" spans="1:11" ht="14.25" customHeight="1" x14ac:dyDescent="0.25">
      <c r="A8" s="26">
        <v>5</v>
      </c>
      <c r="B8" s="26" t="s">
        <v>110</v>
      </c>
      <c r="C8" s="26" t="s">
        <v>97</v>
      </c>
      <c r="D8" s="26" t="s">
        <v>131</v>
      </c>
      <c r="E8" s="26" t="s">
        <v>132</v>
      </c>
      <c r="F8" s="44" t="s">
        <v>133</v>
      </c>
      <c r="G8" s="26">
        <v>998765432</v>
      </c>
      <c r="H8" s="33" t="s">
        <v>134</v>
      </c>
      <c r="I8" s="26" t="s">
        <v>135</v>
      </c>
      <c r="J8" s="26" t="s">
        <v>78</v>
      </c>
      <c r="K8" s="26" t="str">
        <f>_xlfn.CONCAT(B8,"-",C8,"-",D8,"-",E8,"-",F8,"-",G8)</f>
        <v>Juan-Carlos-Zambrano-Perez-+593-998765432</v>
      </c>
    </row>
    <row r="14" spans="1:11" ht="30" customHeight="1" x14ac:dyDescent="0.25">
      <c r="A14" s="34"/>
      <c r="B14" s="35" t="s">
        <v>80</v>
      </c>
    </row>
    <row r="15" spans="1:11" ht="45" customHeight="1" x14ac:dyDescent="0.25">
      <c r="A15" s="36"/>
      <c r="B15" s="35" t="s">
        <v>81</v>
      </c>
    </row>
    <row r="16" spans="1:11" ht="30" customHeight="1" x14ac:dyDescent="0.25">
      <c r="A16" s="37"/>
      <c r="B16" s="35" t="s">
        <v>82</v>
      </c>
    </row>
    <row r="17" spans="1:2" ht="30" customHeight="1" x14ac:dyDescent="0.25">
      <c r="A17" s="46"/>
      <c r="B17" s="35" t="s">
        <v>84</v>
      </c>
    </row>
    <row r="18" spans="1:2" ht="30" customHeight="1" x14ac:dyDescent="0.25">
      <c r="A18" s="47"/>
      <c r="B18" s="35" t="s">
        <v>86</v>
      </c>
    </row>
  </sheetData>
  <hyperlinks>
    <hyperlink ref="A1" location="'Modelo de Dominio'!A1" display="&lt;&lt;&lt;&lt; Ir al modulo de dominio" xr:uid="{00000000-0004-0000-0700-000000000000}"/>
    <hyperlink ref="B1" location="'Objetos de Dominio'!A1" display="&lt;&lt;&lt;&lt; Ir a objetos de dominio" xr:uid="{00000000-0004-0000-0700-000001000000}"/>
    <hyperlink ref="H4" r:id="rId1" xr:uid="{00000000-0004-0000-0700-000002000000}"/>
    <hyperlink ref="H5" r:id="rId2" xr:uid="{00000000-0004-0000-0700-000003000000}"/>
    <hyperlink ref="H6" r:id="rId3" xr:uid="{00000000-0004-0000-0700-000004000000}"/>
    <hyperlink ref="H7" r:id="rId4" xr:uid="{00000000-0004-0000-0700-000005000000}"/>
    <hyperlink ref="H8" r:id="rId5" xr:uid="{00000000-0004-0000-0700-000006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9"/>
  <sheetViews>
    <sheetView topLeftCell="J1" zoomScale="70" zoomScaleNormal="70" workbookViewId="0">
      <selection activeCell="M12" sqref="M12"/>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'M-Cliente'!A3</f>
        <v>id</v>
      </c>
      <c r="B3" s="15" t="str">
        <f>'M-Cliente'!A2</f>
        <v>Representa un identificador que hará unico cada objeto de dominio de este tipo, no se puede repetir</v>
      </c>
      <c r="C3" s="14" t="s">
        <v>49</v>
      </c>
      <c r="D3" s="14" t="s">
        <v>50</v>
      </c>
      <c r="E3" s="14" t="s">
        <v>49</v>
      </c>
      <c r="F3" s="14"/>
      <c r="G3" s="14"/>
      <c r="H3" s="14"/>
      <c r="I3" s="14"/>
      <c r="J3" s="14"/>
      <c r="K3" s="14"/>
      <c r="L3" s="14"/>
      <c r="M3" s="15"/>
      <c r="N3" s="14" t="s">
        <v>49</v>
      </c>
      <c r="O3" s="14" t="s">
        <v>51</v>
      </c>
      <c r="P3" s="14"/>
      <c r="Q3" s="14" t="s">
        <v>51</v>
      </c>
      <c r="R3" s="14" t="s">
        <v>51</v>
      </c>
      <c r="S3" s="14" t="s">
        <v>51</v>
      </c>
      <c r="T3" s="14"/>
      <c r="U3" s="14" t="s">
        <v>49</v>
      </c>
    </row>
    <row r="4" spans="1:21" ht="57" customHeight="1" x14ac:dyDescent="0.25">
      <c r="A4" s="14" t="str">
        <f>'M-Cliente'!B3</f>
        <v>primerNombre</v>
      </c>
      <c r="B4" s="15" t="str">
        <f>'M-Cliente'!B2</f>
        <v>Representa el primer nombre de la persona, que va a estar llendo a la barberia para las citas</v>
      </c>
      <c r="C4" s="14" t="s">
        <v>51</v>
      </c>
      <c r="D4" s="14" t="s">
        <v>52</v>
      </c>
      <c r="E4" s="14" t="s">
        <v>49</v>
      </c>
      <c r="F4" s="14">
        <v>2</v>
      </c>
      <c r="G4" s="14">
        <v>50</v>
      </c>
      <c r="H4" s="14"/>
      <c r="I4" s="14"/>
      <c r="J4" s="14"/>
      <c r="K4" s="14"/>
      <c r="L4" s="14"/>
      <c r="M4" s="15"/>
      <c r="N4" s="14" t="s">
        <v>51</v>
      </c>
      <c r="O4" s="14" t="s">
        <v>51</v>
      </c>
      <c r="P4" s="14"/>
      <c r="Q4" s="14" t="s">
        <v>49</v>
      </c>
      <c r="R4" s="14" t="s">
        <v>49</v>
      </c>
      <c r="S4" s="14" t="s">
        <v>51</v>
      </c>
      <c r="T4" s="14"/>
      <c r="U4" s="14" t="s">
        <v>51</v>
      </c>
    </row>
    <row r="5" spans="1:21" ht="57" customHeight="1" x14ac:dyDescent="0.25">
      <c r="A5" s="14" t="str">
        <f>'M-Cliente'!C3</f>
        <v>segundoNombre</v>
      </c>
      <c r="B5" s="15" t="str">
        <f>'M-Cliente'!C2</f>
        <v>Representa el segundo nombre de la persona, que va a estar llendo a la barberia para las citas</v>
      </c>
      <c r="C5" s="14" t="s">
        <v>51</v>
      </c>
      <c r="D5" s="14" t="s">
        <v>52</v>
      </c>
      <c r="E5" s="14" t="s">
        <v>51</v>
      </c>
      <c r="F5" s="14">
        <v>2</v>
      </c>
      <c r="G5" s="14">
        <v>50</v>
      </c>
      <c r="H5" s="14"/>
      <c r="I5" s="14"/>
      <c r="J5" s="14"/>
      <c r="K5" s="14"/>
      <c r="L5" s="14"/>
      <c r="M5" s="15"/>
      <c r="N5" s="14" t="s">
        <v>51</v>
      </c>
      <c r="O5" s="14" t="s">
        <v>51</v>
      </c>
      <c r="P5" s="14"/>
      <c r="Q5" s="14" t="s">
        <v>49</v>
      </c>
      <c r="R5" s="14" t="s">
        <v>49</v>
      </c>
      <c r="S5" s="14" t="s">
        <v>51</v>
      </c>
      <c r="T5" s="14"/>
      <c r="U5" s="14" t="s">
        <v>51</v>
      </c>
    </row>
    <row r="6" spans="1:21" ht="57" customHeight="1" x14ac:dyDescent="0.25">
      <c r="A6" s="14" t="str">
        <f>'M-Cliente'!D3</f>
        <v>primerApellido</v>
      </c>
      <c r="B6" s="15" t="str">
        <f>'M-Cliente'!D2</f>
        <v>Representa el primer apellido de la persona, que va a estar llendo a la barberia para las citas</v>
      </c>
      <c r="C6" s="14" t="s">
        <v>51</v>
      </c>
      <c r="D6" s="14" t="s">
        <v>52</v>
      </c>
      <c r="E6" s="14" t="s">
        <v>49</v>
      </c>
      <c r="F6" s="14">
        <v>2</v>
      </c>
      <c r="G6" s="14">
        <v>50</v>
      </c>
      <c r="H6" s="14"/>
      <c r="I6" s="14"/>
      <c r="J6" s="14"/>
      <c r="K6" s="14"/>
      <c r="L6" s="14"/>
      <c r="M6" s="15"/>
      <c r="N6" s="14" t="s">
        <v>51</v>
      </c>
      <c r="O6" s="14" t="s">
        <v>51</v>
      </c>
      <c r="P6" s="14"/>
      <c r="Q6" s="14" t="s">
        <v>49</v>
      </c>
      <c r="R6" s="14" t="s">
        <v>49</v>
      </c>
      <c r="S6" s="14" t="s">
        <v>51</v>
      </c>
      <c r="T6" s="14"/>
      <c r="U6" s="14" t="s">
        <v>51</v>
      </c>
    </row>
    <row r="7" spans="1:21" ht="57" customHeight="1" x14ac:dyDescent="0.25">
      <c r="A7" s="14" t="str">
        <f>'M-Cliente'!E3</f>
        <v>segundoApellido</v>
      </c>
      <c r="B7" s="15" t="str">
        <f>'M-Cliente'!E2</f>
        <v>Representa el segundo apellido de la persona, que va a estar llendo a la barberia para las citas</v>
      </c>
      <c r="C7" s="14" t="s">
        <v>51</v>
      </c>
      <c r="D7" s="14" t="s">
        <v>52</v>
      </c>
      <c r="E7" s="14" t="s">
        <v>51</v>
      </c>
      <c r="F7" s="14">
        <v>2</v>
      </c>
      <c r="G7" s="14">
        <v>50</v>
      </c>
      <c r="H7" s="14"/>
      <c r="I7" s="14"/>
      <c r="J7" s="14"/>
      <c r="K7" s="14"/>
      <c r="L7" s="14"/>
      <c r="M7" s="15"/>
      <c r="N7" s="14" t="s">
        <v>51</v>
      </c>
      <c r="O7" s="14" t="s">
        <v>51</v>
      </c>
      <c r="P7" s="14"/>
      <c r="Q7" s="14" t="s">
        <v>49</v>
      </c>
      <c r="R7" s="14" t="s">
        <v>49</v>
      </c>
      <c r="S7" s="14" t="s">
        <v>51</v>
      </c>
      <c r="T7" s="14"/>
      <c r="U7" s="14" t="s">
        <v>51</v>
      </c>
    </row>
    <row r="8" spans="1:21" ht="57" customHeight="1" x14ac:dyDescent="0.25">
      <c r="A8" s="14" t="str">
        <f>'M-Cliente'!F3</f>
        <v>prefijoCelular</v>
      </c>
      <c r="B8" s="15" t="str">
        <f>'M-Cliente'!F2</f>
        <v>Representa de que pais es el numero de celular del cliente</v>
      </c>
      <c r="C8" s="14" t="s">
        <v>51</v>
      </c>
      <c r="D8" s="14" t="s">
        <v>52</v>
      </c>
      <c r="E8" s="14" t="s">
        <v>49</v>
      </c>
      <c r="F8" s="14">
        <v>2</v>
      </c>
      <c r="G8" s="14">
        <v>4</v>
      </c>
      <c r="H8" s="14"/>
      <c r="I8" s="14"/>
      <c r="J8" s="14"/>
      <c r="K8" s="14"/>
      <c r="L8" s="14"/>
      <c r="M8" s="15" t="s">
        <v>299</v>
      </c>
      <c r="N8" s="14" t="s">
        <v>51</v>
      </c>
      <c r="O8" s="14" t="s">
        <v>51</v>
      </c>
      <c r="P8" s="14"/>
      <c r="Q8" s="14" t="s">
        <v>51</v>
      </c>
      <c r="R8" s="14" t="s">
        <v>51</v>
      </c>
      <c r="S8" s="14" t="s">
        <v>51</v>
      </c>
      <c r="T8" s="14" t="s">
        <v>98</v>
      </c>
      <c r="U8" s="14" t="s">
        <v>51</v>
      </c>
    </row>
    <row r="9" spans="1:21" ht="57" customHeight="1" x14ac:dyDescent="0.25">
      <c r="A9" s="14" t="str">
        <f>'M-Cliente'!G3</f>
        <v>celular</v>
      </c>
      <c r="B9" s="15" t="str">
        <f>'M-Cliente'!G2</f>
        <v>Representa el numero de celular de la persona que le va a escribir al barbero por WhatsApp para pedirle una cita</v>
      </c>
      <c r="C9" s="14" t="s">
        <v>51</v>
      </c>
      <c r="D9" s="14" t="s">
        <v>52</v>
      </c>
      <c r="E9" s="14" t="s">
        <v>49</v>
      </c>
      <c r="F9" s="14">
        <v>4</v>
      </c>
      <c r="G9" s="14">
        <v>15</v>
      </c>
      <c r="H9" s="14"/>
      <c r="I9" s="14"/>
      <c r="J9" s="14"/>
      <c r="K9" s="14"/>
      <c r="L9" s="15" t="s">
        <v>99</v>
      </c>
      <c r="M9" s="15"/>
      <c r="N9" s="14" t="s">
        <v>51</v>
      </c>
      <c r="O9" s="14" t="s">
        <v>51</v>
      </c>
      <c r="P9" s="14"/>
      <c r="Q9" s="14" t="s">
        <v>49</v>
      </c>
      <c r="R9" s="14" t="s">
        <v>49</v>
      </c>
      <c r="S9" s="14" t="s">
        <v>51</v>
      </c>
      <c r="T9" s="14"/>
      <c r="U9" s="14" t="s">
        <v>51</v>
      </c>
    </row>
    <row r="10" spans="1:21" ht="42.75" customHeight="1" x14ac:dyDescent="0.25">
      <c r="A10" s="14" t="str">
        <f>'M-Cliente'!H3</f>
        <v>multasSinPagar</v>
      </c>
      <c r="B10" s="15" t="str">
        <f>'M-Cliente'!H2</f>
        <v>Representa la cantidad de multas que tiene sin pagar en las citas que ha tenido, ya sea multa por tardanza o por no llegar</v>
      </c>
      <c r="C10" s="14" t="s">
        <v>51</v>
      </c>
      <c r="D10" s="14" t="s">
        <v>136</v>
      </c>
      <c r="E10" s="14" t="s">
        <v>49</v>
      </c>
      <c r="F10" s="14"/>
      <c r="G10" s="14"/>
      <c r="H10" s="14"/>
      <c r="I10" s="14"/>
      <c r="J10" s="14"/>
      <c r="K10" s="14"/>
      <c r="L10" s="14"/>
      <c r="M10" s="15" t="s">
        <v>318</v>
      </c>
      <c r="N10" s="14" t="s">
        <v>49</v>
      </c>
      <c r="O10" s="14" t="s">
        <v>51</v>
      </c>
      <c r="P10" s="14"/>
      <c r="Q10" s="14"/>
      <c r="R10" s="14"/>
      <c r="S10" s="14"/>
      <c r="T10" s="14">
        <v>0</v>
      </c>
      <c r="U10" s="14" t="s">
        <v>51</v>
      </c>
    </row>
    <row r="11" spans="1:21" ht="86.25" customHeight="1" x14ac:dyDescent="0.25">
      <c r="A11" s="14" t="str">
        <f>'M-Cliente'!I3</f>
        <v>estaVetado</v>
      </c>
      <c r="B11" s="15" t="str">
        <f>'M-Cliente'!I2</f>
        <v>Representa si el cliente esta en estado de veto o no, cuando el cliente esta vetado el sistema no va a permitir agendar citas con este cliente con ningun barbero</v>
      </c>
      <c r="C11" s="14" t="s">
        <v>51</v>
      </c>
      <c r="D11" s="14" t="s">
        <v>59</v>
      </c>
      <c r="E11" s="14" t="s">
        <v>49</v>
      </c>
      <c r="F11" s="14"/>
      <c r="G11" s="14"/>
      <c r="H11" s="14"/>
      <c r="I11" s="14"/>
      <c r="J11" s="14"/>
      <c r="K11" s="14"/>
      <c r="L11" s="14"/>
      <c r="M11" s="15" t="s">
        <v>319</v>
      </c>
      <c r="N11" s="14" t="s">
        <v>49</v>
      </c>
      <c r="O11" s="14" t="s">
        <v>51</v>
      </c>
      <c r="P11" s="14"/>
      <c r="Q11" s="14"/>
      <c r="R11" s="14"/>
      <c r="S11" s="14"/>
      <c r="T11" s="14" t="s">
        <v>51</v>
      </c>
      <c r="U11" s="14" t="s">
        <v>51</v>
      </c>
    </row>
    <row r="12" spans="1:21" ht="14.25" customHeight="1" x14ac:dyDescent="0.25">
      <c r="A12" s="5"/>
      <c r="B12" s="5"/>
      <c r="C12" s="5"/>
      <c r="D12" s="5"/>
      <c r="E12" s="5"/>
      <c r="F12" s="5"/>
      <c r="G12" s="5"/>
      <c r="H12" s="5"/>
      <c r="I12" s="5"/>
      <c r="J12" s="5"/>
      <c r="K12" s="5"/>
      <c r="L12" s="5"/>
      <c r="M12" s="5"/>
      <c r="N12" s="5"/>
      <c r="O12" s="5"/>
      <c r="P12" s="5"/>
      <c r="Q12" s="5"/>
      <c r="R12" s="5"/>
      <c r="S12" s="5"/>
      <c r="T12" s="5"/>
      <c r="U12" s="5"/>
    </row>
    <row r="13" spans="1:21" ht="14.25" customHeight="1" x14ac:dyDescent="0.25">
      <c r="A13" s="17" t="s">
        <v>62</v>
      </c>
      <c r="B13" s="17" t="s">
        <v>63</v>
      </c>
      <c r="C13" s="17" t="s">
        <v>64</v>
      </c>
      <c r="D13" s="38"/>
      <c r="E13" s="38"/>
      <c r="F13" s="38"/>
      <c r="G13" s="38"/>
      <c r="H13" s="38"/>
      <c r="I13" s="38"/>
      <c r="J13" s="38"/>
      <c r="K13" s="38"/>
      <c r="L13" s="38"/>
      <c r="M13" s="38"/>
      <c r="N13" s="38"/>
      <c r="O13" s="38"/>
      <c r="P13" s="38"/>
      <c r="Q13" s="38"/>
      <c r="R13" s="38"/>
      <c r="S13" s="38"/>
      <c r="T13" s="38"/>
      <c r="U13" s="38"/>
    </row>
    <row r="14" spans="1:21" ht="14.25" customHeight="1" x14ac:dyDescent="0.25">
      <c r="A14" s="130" t="str">
        <f>'M-Cliente'!J3</f>
        <v>Combinación única</v>
      </c>
      <c r="B14" s="131" t="str">
        <f>'M-Cliente'!J2</f>
        <v>Combinacion única que indica que no puede existir más de un cliente con un mismo nombre, apellidos, prefijo de celular y número de celular</v>
      </c>
      <c r="C14" s="39" t="str">
        <f t="shared" ref="C14:C19" si="0">A4</f>
        <v>primerNombre</v>
      </c>
      <c r="D14" s="5"/>
      <c r="E14" s="5"/>
      <c r="F14" s="5"/>
      <c r="G14" s="5"/>
      <c r="H14" s="5"/>
      <c r="I14" s="5"/>
      <c r="J14" s="5"/>
      <c r="K14" s="5"/>
      <c r="L14" s="5"/>
      <c r="M14" s="5"/>
      <c r="N14" s="5"/>
      <c r="O14" s="5"/>
      <c r="P14" s="5"/>
      <c r="Q14" s="5"/>
      <c r="R14" s="5"/>
      <c r="S14" s="5"/>
      <c r="T14" s="5"/>
      <c r="U14" s="5"/>
    </row>
    <row r="15" spans="1:21" ht="14.25" customHeight="1" x14ac:dyDescent="0.25">
      <c r="A15" s="130"/>
      <c r="B15" s="130"/>
      <c r="C15" s="39" t="str">
        <f t="shared" si="0"/>
        <v>segundoNombre</v>
      </c>
      <c r="D15" s="5"/>
      <c r="E15" s="5"/>
      <c r="F15" s="5"/>
      <c r="G15" s="5"/>
      <c r="H15" s="5"/>
      <c r="I15" s="5"/>
      <c r="J15" s="5"/>
      <c r="K15" s="5"/>
      <c r="L15" s="5"/>
      <c r="M15" s="5"/>
      <c r="N15" s="5"/>
      <c r="O15" s="5"/>
      <c r="P15" s="5"/>
      <c r="Q15" s="5"/>
      <c r="R15" s="5"/>
      <c r="S15" s="5"/>
      <c r="T15" s="5"/>
      <c r="U15" s="5"/>
    </row>
    <row r="16" spans="1:21" ht="14.25" customHeight="1" x14ac:dyDescent="0.25">
      <c r="A16" s="130"/>
      <c r="B16" s="130"/>
      <c r="C16" s="39" t="str">
        <f t="shared" si="0"/>
        <v>primerApellido</v>
      </c>
      <c r="D16" s="5"/>
      <c r="E16" s="5"/>
      <c r="F16" s="5"/>
      <c r="G16" s="5"/>
      <c r="H16" s="5"/>
      <c r="I16" s="5"/>
      <c r="J16" s="5"/>
      <c r="K16" s="5"/>
      <c r="L16" s="5"/>
      <c r="M16" s="5"/>
      <c r="N16" s="5"/>
      <c r="O16" s="5"/>
      <c r="P16" s="5"/>
      <c r="Q16" s="5"/>
      <c r="R16" s="5"/>
      <c r="S16" s="5"/>
      <c r="T16" s="5"/>
      <c r="U16" s="5"/>
    </row>
    <row r="17" spans="1:21" ht="14.25" customHeight="1" x14ac:dyDescent="0.25">
      <c r="A17" s="130"/>
      <c r="B17" s="130"/>
      <c r="C17" s="39" t="str">
        <f t="shared" si="0"/>
        <v>segundoApellido</v>
      </c>
      <c r="D17" s="5"/>
      <c r="E17" s="5"/>
      <c r="F17" s="5"/>
      <c r="G17" s="5"/>
      <c r="H17" s="5"/>
      <c r="I17" s="5"/>
      <c r="J17" s="5"/>
      <c r="K17" s="5"/>
      <c r="L17" s="5"/>
      <c r="M17" s="5"/>
      <c r="N17" s="5"/>
      <c r="O17" s="5"/>
      <c r="P17" s="5"/>
      <c r="Q17" s="5"/>
      <c r="R17" s="5"/>
      <c r="S17" s="5"/>
      <c r="T17" s="5"/>
      <c r="U17" s="5"/>
    </row>
    <row r="18" spans="1:21" ht="14.25" customHeight="1" x14ac:dyDescent="0.25">
      <c r="A18" s="130"/>
      <c r="B18" s="130"/>
      <c r="C18" s="39" t="str">
        <f t="shared" si="0"/>
        <v>prefijoCelular</v>
      </c>
      <c r="D18" s="5"/>
      <c r="E18" s="5"/>
      <c r="F18" s="5"/>
      <c r="G18" s="5"/>
      <c r="H18" s="5"/>
      <c r="I18" s="5"/>
      <c r="J18" s="5"/>
      <c r="K18" s="5"/>
      <c r="L18" s="5"/>
      <c r="M18" s="5"/>
      <c r="N18" s="5"/>
      <c r="O18" s="5"/>
      <c r="P18" s="5"/>
      <c r="Q18" s="5"/>
      <c r="R18" s="5"/>
      <c r="S18" s="5"/>
      <c r="T18" s="5"/>
      <c r="U18" s="5"/>
    </row>
    <row r="19" spans="1:21" ht="14.25" customHeight="1" x14ac:dyDescent="0.25">
      <c r="A19" s="130"/>
      <c r="B19" s="130"/>
      <c r="C19" s="39" t="str">
        <f t="shared" si="0"/>
        <v>celular</v>
      </c>
      <c r="D19" s="5"/>
      <c r="E19" s="5"/>
      <c r="F19" s="5"/>
      <c r="G19" s="5"/>
      <c r="H19" s="5"/>
      <c r="I19" s="5"/>
      <c r="J19" s="5"/>
      <c r="K19" s="5"/>
      <c r="L19" s="5"/>
      <c r="M19" s="5"/>
      <c r="N19" s="5"/>
      <c r="O19" s="5"/>
      <c r="P19" s="5"/>
      <c r="Q19" s="5"/>
      <c r="R19" s="5"/>
      <c r="S19" s="5"/>
      <c r="T19" s="5"/>
      <c r="U19" s="5"/>
    </row>
  </sheetData>
  <mergeCells count="2">
    <mergeCell ref="A14:A19"/>
    <mergeCell ref="B14:B19"/>
  </mergeCells>
  <hyperlinks>
    <hyperlink ref="A1" location="'Modelo de Dominio'!A1" display="&lt;&lt;&lt;&lt; Ir al modulo de dominio" xr:uid="{00000000-0004-0000-0800-000000000000}"/>
    <hyperlink ref="B1" location="'Objetos de Dominio'!A1" display="&lt;&lt;&lt;&lt; Ir a objetos de dominio" xr:uid="{00000000-0004-0000-0800-000001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8"/>
  <sheetViews>
    <sheetView zoomScale="130" zoomScaleNormal="130" workbookViewId="0">
      <selection activeCell="J10" sqref="J10"/>
    </sheetView>
  </sheetViews>
  <sheetFormatPr baseColWidth="10" defaultColWidth="10.7109375" defaultRowHeight="15" x14ac:dyDescent="0.25"/>
  <cols>
    <col min="1" max="1" width="27" customWidth="1"/>
    <col min="2" max="2" width="26.140625" customWidth="1"/>
    <col min="3" max="3" width="23.5703125" customWidth="1"/>
    <col min="4" max="4" width="24.28515625" customWidth="1"/>
    <col min="5" max="5" width="26.140625" customWidth="1"/>
    <col min="6" max="6" width="29" customWidth="1"/>
    <col min="7" max="9" width="26.42578125" customWidth="1"/>
    <col min="10" max="10" width="40.42578125" customWidth="1"/>
  </cols>
  <sheetData>
    <row r="1" spans="1:10" ht="14.25" customHeight="1" x14ac:dyDescent="0.25">
      <c r="A1" s="33" t="s">
        <v>1</v>
      </c>
      <c r="B1" s="33" t="s">
        <v>27</v>
      </c>
      <c r="C1" s="33"/>
      <c r="D1" s="33"/>
      <c r="E1" s="33"/>
      <c r="F1" s="33"/>
      <c r="G1" s="26"/>
      <c r="H1" s="26"/>
      <c r="I1" s="26"/>
      <c r="J1" s="26"/>
    </row>
    <row r="2" spans="1:10" ht="46.5" customHeight="1" x14ac:dyDescent="0.25">
      <c r="A2" s="19" t="s">
        <v>65</v>
      </c>
      <c r="B2" s="19" t="s">
        <v>304</v>
      </c>
      <c r="C2" s="19" t="s">
        <v>305</v>
      </c>
      <c r="D2" s="19" t="s">
        <v>306</v>
      </c>
      <c r="E2" s="19" t="s">
        <v>307</v>
      </c>
      <c r="F2" s="19" t="s">
        <v>308</v>
      </c>
      <c r="G2" s="48" t="s">
        <v>309</v>
      </c>
      <c r="H2" s="48" t="s">
        <v>137</v>
      </c>
      <c r="I2" s="48" t="s">
        <v>138</v>
      </c>
      <c r="J2" s="49" t="s">
        <v>139</v>
      </c>
    </row>
    <row r="3" spans="1:10" ht="14.25" customHeight="1" x14ac:dyDescent="0.25">
      <c r="A3" s="20" t="s">
        <v>67</v>
      </c>
      <c r="B3" s="31" t="s">
        <v>103</v>
      </c>
      <c r="C3" s="31" t="s">
        <v>104</v>
      </c>
      <c r="D3" s="31" t="s">
        <v>105</v>
      </c>
      <c r="E3" s="31" t="s">
        <v>106</v>
      </c>
      <c r="F3" s="31" t="s">
        <v>140</v>
      </c>
      <c r="G3" s="31" t="s">
        <v>108</v>
      </c>
      <c r="H3" s="42" t="s">
        <v>141</v>
      </c>
      <c r="I3" s="42" t="s">
        <v>142</v>
      </c>
      <c r="J3" s="43" t="s">
        <v>72</v>
      </c>
    </row>
    <row r="4" spans="1:10" ht="14.25" customHeight="1" x14ac:dyDescent="0.25">
      <c r="A4" s="26">
        <v>1</v>
      </c>
      <c r="B4" s="26" t="s">
        <v>110</v>
      </c>
      <c r="C4" s="26"/>
      <c r="D4" s="26" t="s">
        <v>143</v>
      </c>
      <c r="E4" s="26"/>
      <c r="F4" s="44" t="s">
        <v>114</v>
      </c>
      <c r="G4" s="26">
        <v>3234528921</v>
      </c>
      <c r="H4" s="26">
        <v>0</v>
      </c>
      <c r="I4" s="26" t="s">
        <v>78</v>
      </c>
      <c r="J4" s="26" t="str">
        <f>_xlfn.CONCAT(B4,"-",C4,"-",D4,"-",E4,"-",F4,"-",G4)</f>
        <v>Juan--Gómez--+57-3234528921</v>
      </c>
    </row>
    <row r="5" spans="1:10" ht="14.25" customHeight="1" x14ac:dyDescent="0.25">
      <c r="A5" s="26">
        <v>2</v>
      </c>
      <c r="B5" s="26" t="s">
        <v>144</v>
      </c>
      <c r="C5" s="26" t="s">
        <v>145</v>
      </c>
      <c r="D5" s="26" t="s">
        <v>126</v>
      </c>
      <c r="E5" s="26" t="s">
        <v>132</v>
      </c>
      <c r="F5" s="44" t="s">
        <v>114</v>
      </c>
      <c r="G5" s="26">
        <v>3161657782</v>
      </c>
      <c r="H5" s="26">
        <v>0</v>
      </c>
      <c r="I5" s="26" t="s">
        <v>78</v>
      </c>
      <c r="J5" s="26" t="str">
        <f t="shared" ref="J5:J8" si="0">_xlfn.CONCAT(B5,"-",C5,"-",D5,"-",E5,"-",F5,"-",G5)</f>
        <v>Jose-Miguel-Ramirez-Perez-+57-3161657782</v>
      </c>
    </row>
    <row r="6" spans="1:10" ht="14.25" customHeight="1" x14ac:dyDescent="0.25">
      <c r="A6" s="26">
        <v>3</v>
      </c>
      <c r="B6" s="26" t="s">
        <v>146</v>
      </c>
      <c r="C6" s="26"/>
      <c r="D6" s="26" t="s">
        <v>147</v>
      </c>
      <c r="E6" s="26" t="s">
        <v>126</v>
      </c>
      <c r="F6" s="44" t="s">
        <v>114</v>
      </c>
      <c r="G6" s="26">
        <v>3119884321</v>
      </c>
      <c r="H6" s="26">
        <v>0</v>
      </c>
      <c r="I6" s="26" t="s">
        <v>78</v>
      </c>
      <c r="J6" s="26" t="str">
        <f t="shared" si="0"/>
        <v>Simon--Ochoa-Ramirez-+57-3119884321</v>
      </c>
    </row>
    <row r="7" spans="1:10" ht="14.25" customHeight="1" x14ac:dyDescent="0.25">
      <c r="A7" s="26">
        <v>4</v>
      </c>
      <c r="B7" s="26" t="s">
        <v>148</v>
      </c>
      <c r="C7" s="26"/>
      <c r="D7" s="26" t="s">
        <v>149</v>
      </c>
      <c r="E7" s="26"/>
      <c r="F7" s="44" t="s">
        <v>150</v>
      </c>
      <c r="G7" s="26">
        <v>4127359182</v>
      </c>
      <c r="H7" s="26">
        <v>1</v>
      </c>
      <c r="I7" s="26" t="s">
        <v>78</v>
      </c>
      <c r="J7" s="26" t="str">
        <f t="shared" si="0"/>
        <v>Alexis--Gallego--+58-4127359182</v>
      </c>
    </row>
    <row r="8" spans="1:10" ht="14.25" customHeight="1" x14ac:dyDescent="0.25">
      <c r="A8" s="26">
        <v>5</v>
      </c>
      <c r="B8" s="26" t="s">
        <v>151</v>
      </c>
      <c r="C8" s="26" t="s">
        <v>152</v>
      </c>
      <c r="D8" s="26" t="s">
        <v>153</v>
      </c>
      <c r="E8" s="26" t="s">
        <v>154</v>
      </c>
      <c r="F8" s="44" t="s">
        <v>114</v>
      </c>
      <c r="G8" s="26">
        <v>3005544332</v>
      </c>
      <c r="H8" s="26">
        <v>3</v>
      </c>
      <c r="I8" s="26" t="s">
        <v>61</v>
      </c>
      <c r="J8" s="26" t="str">
        <f t="shared" si="0"/>
        <v>Kevin-Andrés-Muñoz-Salazar-+57-3005544332</v>
      </c>
    </row>
    <row r="13" spans="1:10" ht="30" customHeight="1" x14ac:dyDescent="0.25">
      <c r="B13" s="35"/>
    </row>
    <row r="14" spans="1:10" ht="45" customHeight="1" x14ac:dyDescent="0.25">
      <c r="A14" s="34"/>
      <c r="B14" s="35" t="s">
        <v>80</v>
      </c>
    </row>
    <row r="15" spans="1:10" ht="30" customHeight="1" x14ac:dyDescent="0.25">
      <c r="A15" s="36"/>
      <c r="B15" s="35" t="s">
        <v>81</v>
      </c>
    </row>
    <row r="16" spans="1:10" ht="30" customHeight="1" x14ac:dyDescent="0.25">
      <c r="A16" s="37"/>
      <c r="B16" s="35" t="s">
        <v>82</v>
      </c>
    </row>
    <row r="17" spans="1:2" ht="30" customHeight="1" x14ac:dyDescent="0.25">
      <c r="A17" s="46"/>
      <c r="B17" s="35" t="s">
        <v>84</v>
      </c>
    </row>
    <row r="18" spans="1:2" ht="30" customHeight="1" x14ac:dyDescent="0.25">
      <c r="A18" s="47"/>
      <c r="B18" s="35" t="s">
        <v>86</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4"/>
  <sheetViews>
    <sheetView zoomScaleNormal="100" workbookViewId="0">
      <selection activeCell="D5" sqref="D5"/>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'M-HorarioBarberia'!A3</f>
        <v>id</v>
      </c>
      <c r="B3" s="15" t="str">
        <f>'M-HorarioBarberia'!A2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42.75" customHeight="1" x14ac:dyDescent="0.25">
      <c r="A4" s="14" t="str">
        <f>'M-HorarioBarberia'!B3</f>
        <v>dueño</v>
      </c>
      <c r="B4" s="15" t="str">
        <f>'M-HorarioBarberia'!B2</f>
        <v>Representa que el dueño tomo la decisión de agregar un horario para la barberia</v>
      </c>
      <c r="C4" s="14" t="s">
        <v>51</v>
      </c>
      <c r="D4" s="128" t="s">
        <v>6</v>
      </c>
      <c r="E4" s="14" t="s">
        <v>49</v>
      </c>
      <c r="F4" s="14"/>
      <c r="G4" s="14"/>
      <c r="H4" s="14"/>
      <c r="I4" s="14"/>
      <c r="J4" s="14"/>
      <c r="K4" s="14"/>
      <c r="L4" s="14"/>
      <c r="M4" s="15" t="s">
        <v>320</v>
      </c>
      <c r="N4" s="14" t="s">
        <v>51</v>
      </c>
      <c r="O4" s="14" t="s">
        <v>51</v>
      </c>
      <c r="P4" s="14"/>
      <c r="Q4" s="14" t="s">
        <v>51</v>
      </c>
      <c r="R4" s="14" t="s">
        <v>51</v>
      </c>
      <c r="S4" s="14" t="s">
        <v>51</v>
      </c>
      <c r="T4" s="14"/>
      <c r="U4" s="14" t="s">
        <v>51</v>
      </c>
    </row>
    <row r="5" spans="1:21" ht="100.5" customHeight="1" x14ac:dyDescent="0.25">
      <c r="A5" s="14" t="str">
        <f>'M-HorarioBarberia'!C3</f>
        <v>diaDeLaSemana</v>
      </c>
      <c r="B5" s="15" t="str">
        <f>'M-HorarioBarberia'!C2</f>
        <v>Representa el día de la semana en que aplica este horario, el dueño solo podrá seleccionar los días de la semana y el dia festivo</v>
      </c>
      <c r="C5" s="14" t="s">
        <v>51</v>
      </c>
      <c r="D5" s="14" t="s">
        <v>52</v>
      </c>
      <c r="E5" s="14" t="s">
        <v>49</v>
      </c>
      <c r="F5" s="14">
        <v>5</v>
      </c>
      <c r="G5" s="14">
        <v>9</v>
      </c>
      <c r="H5" s="14"/>
      <c r="I5" s="14"/>
      <c r="J5" s="14"/>
      <c r="K5" s="14"/>
      <c r="L5" s="14"/>
      <c r="M5" s="15" t="s">
        <v>321</v>
      </c>
      <c r="N5" s="14" t="s">
        <v>51</v>
      </c>
      <c r="O5" s="14" t="s">
        <v>51</v>
      </c>
      <c r="P5" s="14"/>
      <c r="Q5" s="14" t="s">
        <v>51</v>
      </c>
      <c r="R5" s="14" t="s">
        <v>51</v>
      </c>
      <c r="S5" s="14" t="s">
        <v>51</v>
      </c>
      <c r="T5" s="14"/>
      <c r="U5" s="14" t="s">
        <v>51</v>
      </c>
    </row>
    <row r="6" spans="1:21" ht="42.75" customHeight="1" x14ac:dyDescent="0.25">
      <c r="A6" s="14" t="str">
        <f>'M-HorarioBarberia'!D3</f>
        <v>horaApertura</v>
      </c>
      <c r="B6" s="15" t="str">
        <f>'M-HorarioBarberia'!D2</f>
        <v>Representa la hora a la que abre la barbería</v>
      </c>
      <c r="C6" s="14" t="s">
        <v>51</v>
      </c>
      <c r="D6" s="14" t="s">
        <v>156</v>
      </c>
      <c r="E6" s="14" t="s">
        <v>51</v>
      </c>
      <c r="F6" s="14"/>
      <c r="G6" s="14"/>
      <c r="H6" s="14"/>
      <c r="I6" s="14"/>
      <c r="J6" s="14"/>
      <c r="K6" s="14"/>
      <c r="L6" s="14" t="s">
        <v>157</v>
      </c>
      <c r="M6" s="15"/>
      <c r="N6" s="14" t="s">
        <v>51</v>
      </c>
      <c r="O6" s="14" t="s">
        <v>51</v>
      </c>
      <c r="P6" s="14"/>
      <c r="Q6" s="14" t="s">
        <v>51</v>
      </c>
      <c r="R6" s="14" t="s">
        <v>51</v>
      </c>
      <c r="S6" s="14" t="s">
        <v>51</v>
      </c>
      <c r="T6" s="14" t="s">
        <v>158</v>
      </c>
      <c r="U6" s="14" t="s">
        <v>51</v>
      </c>
    </row>
    <row r="7" spans="1:21" ht="42.75" customHeight="1" x14ac:dyDescent="0.25">
      <c r="A7" s="14" t="str">
        <f>'M-HorarioBarberia'!E3</f>
        <v>horaCierre</v>
      </c>
      <c r="B7" s="15" t="str">
        <f>'M-HorarioBarberia'!E2</f>
        <v>Representa la hora a la que cierra la barbería</v>
      </c>
      <c r="C7" s="14" t="s">
        <v>51</v>
      </c>
      <c r="D7" s="14" t="s">
        <v>156</v>
      </c>
      <c r="E7" s="14" t="s">
        <v>49</v>
      </c>
      <c r="F7" s="14"/>
      <c r="G7" s="14"/>
      <c r="H7" s="14"/>
      <c r="I7" s="14"/>
      <c r="J7" s="14"/>
      <c r="K7" s="14"/>
      <c r="L7" s="14" t="s">
        <v>157</v>
      </c>
      <c r="M7" s="15" t="s">
        <v>322</v>
      </c>
      <c r="N7" s="14" t="s">
        <v>51</v>
      </c>
      <c r="O7" s="14" t="s">
        <v>51</v>
      </c>
      <c r="P7" s="14"/>
      <c r="Q7" s="14" t="s">
        <v>51</v>
      </c>
      <c r="R7" s="14" t="s">
        <v>51</v>
      </c>
      <c r="S7" s="14" t="s">
        <v>51</v>
      </c>
      <c r="T7" s="127" t="s">
        <v>158</v>
      </c>
      <c r="U7" s="14" t="s">
        <v>51</v>
      </c>
    </row>
    <row r="8" spans="1:21" ht="14.25" customHeight="1" x14ac:dyDescent="0.25">
      <c r="A8" s="5"/>
      <c r="B8" s="5"/>
      <c r="C8" s="5"/>
      <c r="D8" s="5"/>
      <c r="E8" s="5"/>
      <c r="F8" s="5"/>
      <c r="G8" s="5"/>
      <c r="H8" s="5"/>
      <c r="I8" s="5"/>
      <c r="J8" s="5"/>
      <c r="K8" s="5"/>
      <c r="L8" s="5"/>
      <c r="M8" s="5"/>
      <c r="N8" s="5"/>
      <c r="O8" s="5"/>
      <c r="P8" s="5"/>
      <c r="Q8" s="5"/>
      <c r="R8" s="5"/>
      <c r="S8" s="5"/>
      <c r="T8" s="5"/>
      <c r="U8" s="5"/>
    </row>
    <row r="9" spans="1:21" ht="14.25" customHeight="1" x14ac:dyDescent="0.25">
      <c r="A9" s="17" t="s">
        <v>62</v>
      </c>
      <c r="B9" s="17" t="s">
        <v>63</v>
      </c>
      <c r="C9" s="17" t="s">
        <v>64</v>
      </c>
      <c r="D9" s="38"/>
      <c r="E9" s="38"/>
      <c r="F9" s="38"/>
      <c r="G9" s="38"/>
      <c r="H9" s="38"/>
      <c r="I9" s="38"/>
      <c r="J9" s="38"/>
      <c r="K9" s="38"/>
      <c r="L9" s="38"/>
      <c r="M9" s="38"/>
      <c r="N9" s="38"/>
      <c r="O9" s="38"/>
      <c r="P9" s="38"/>
      <c r="Q9" s="38"/>
      <c r="R9" s="38"/>
      <c r="S9" s="38"/>
      <c r="T9" s="38"/>
      <c r="U9" s="38"/>
    </row>
    <row r="10" spans="1:21" ht="14.25" customHeight="1" x14ac:dyDescent="0.25">
      <c r="A10" s="130" t="str">
        <f>'M-HorarioBarberia'!F3</f>
        <v>Combinación única</v>
      </c>
      <c r="B10" s="131" t="str">
        <f>'M-HorarioBarberia'!F2</f>
        <v>Combinacion única que indica que no puede existir más de un horario con la misma barberia, dia de la semana, hora de apertura y cierre</v>
      </c>
      <c r="C10" s="39" t="str">
        <f>A5</f>
        <v>diaDeLaSemana</v>
      </c>
      <c r="D10" s="5"/>
      <c r="E10" s="5"/>
      <c r="F10" s="5"/>
      <c r="G10" s="5"/>
      <c r="H10" s="5"/>
      <c r="I10" s="5"/>
      <c r="J10" s="5"/>
      <c r="K10" s="5"/>
      <c r="L10" s="5"/>
      <c r="M10" s="5"/>
      <c r="N10" s="5"/>
      <c r="O10" s="5"/>
      <c r="P10" s="5"/>
      <c r="Q10" s="5"/>
      <c r="R10" s="5"/>
      <c r="S10" s="5"/>
      <c r="T10" s="5"/>
      <c r="U10" s="5"/>
    </row>
    <row r="11" spans="1:21" ht="14.25" customHeight="1" x14ac:dyDescent="0.25">
      <c r="A11" s="130"/>
      <c r="B11" s="130"/>
      <c r="C11" s="39" t="str">
        <f>A6</f>
        <v>horaApertura</v>
      </c>
      <c r="D11" s="5"/>
      <c r="E11" s="5"/>
      <c r="F11" s="5"/>
      <c r="G11" s="5"/>
      <c r="H11" s="5"/>
      <c r="I11" s="5"/>
      <c r="J11" s="5"/>
      <c r="K11" s="5"/>
      <c r="L11" s="5"/>
      <c r="M11" s="5"/>
      <c r="N11" s="5"/>
      <c r="O11" s="5"/>
      <c r="P11" s="5"/>
      <c r="Q11" s="5"/>
      <c r="R11" s="5"/>
      <c r="S11" s="5"/>
      <c r="T11" s="5"/>
      <c r="U11" s="5"/>
    </row>
    <row r="12" spans="1:21" ht="14.25" customHeight="1" x14ac:dyDescent="0.25">
      <c r="A12" s="130"/>
      <c r="B12" s="130"/>
      <c r="C12" s="39" t="str">
        <f>A7</f>
        <v>horaCierre</v>
      </c>
      <c r="D12" s="5"/>
      <c r="E12" s="5"/>
      <c r="F12" s="5"/>
      <c r="G12" s="5"/>
      <c r="H12" s="5"/>
      <c r="I12" s="5"/>
      <c r="J12" s="5"/>
      <c r="K12" s="5"/>
      <c r="L12" s="5"/>
      <c r="M12" s="5"/>
      <c r="N12" s="5"/>
      <c r="O12" s="5"/>
      <c r="P12" s="5"/>
      <c r="Q12" s="5"/>
      <c r="R12" s="5"/>
      <c r="S12" s="5"/>
      <c r="T12" s="5"/>
      <c r="U12" s="5"/>
    </row>
    <row r="13" spans="1:21" ht="14.25" customHeight="1" x14ac:dyDescent="0.25">
      <c r="A13" s="5"/>
      <c r="B13" s="5"/>
      <c r="C13" s="117"/>
      <c r="D13" s="5"/>
      <c r="E13" s="5"/>
      <c r="F13" s="5"/>
      <c r="G13" s="5"/>
      <c r="H13" s="5"/>
      <c r="I13" s="5"/>
      <c r="J13" s="5"/>
      <c r="K13" s="5"/>
      <c r="L13" s="5"/>
      <c r="M13" s="5"/>
      <c r="N13" s="5"/>
      <c r="O13" s="5"/>
      <c r="P13" s="5"/>
      <c r="Q13" s="5"/>
      <c r="R13" s="5"/>
      <c r="S13" s="5"/>
      <c r="T13" s="5"/>
      <c r="U13" s="5"/>
    </row>
    <row r="14" spans="1:21" ht="14.25" customHeight="1" x14ac:dyDescent="0.25">
      <c r="A14" s="5"/>
      <c r="B14" s="5"/>
      <c r="C14" s="117"/>
      <c r="D14" s="5"/>
      <c r="E14" s="5"/>
      <c r="F14" s="5"/>
      <c r="G14" s="5"/>
      <c r="H14" s="5"/>
      <c r="I14" s="5"/>
      <c r="J14" s="5"/>
      <c r="K14" s="5"/>
      <c r="L14" s="5"/>
      <c r="M14" s="5"/>
      <c r="N14" s="5"/>
      <c r="O14" s="5"/>
      <c r="P14" s="5"/>
      <c r="Q14" s="5"/>
      <c r="R14" s="5"/>
      <c r="S14" s="5"/>
      <c r="T14" s="5"/>
      <c r="U14" s="5"/>
    </row>
  </sheetData>
  <mergeCells count="2">
    <mergeCell ref="A10:A12"/>
    <mergeCell ref="B10:B12"/>
  </mergeCells>
  <hyperlinks>
    <hyperlink ref="A1" location="'Modelo de Dominio'!A1" display="&lt;&lt;&lt;&lt; Ir al modulo de dominio" xr:uid="{00000000-0004-0000-0A00-000000000000}"/>
    <hyperlink ref="B1" location="'Objetos de Dominio'!A1" display="&lt;&lt;&lt;&lt; Ir a objetos de dominio" xr:uid="{00000000-0004-0000-0A00-000001000000}"/>
    <hyperlink ref="D4" location="'C-Dueño'!A1" display="dueño" xr:uid="{F1166D03-A9F8-4A5E-914A-0DCAD6368F8A}"/>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
  <sheetViews>
    <sheetView zoomScale="130" zoomScaleNormal="130" workbookViewId="0">
      <selection activeCell="C17" sqref="C17"/>
    </sheetView>
  </sheetViews>
  <sheetFormatPr baseColWidth="10" defaultColWidth="10.7109375" defaultRowHeight="15" x14ac:dyDescent="0.25"/>
  <cols>
    <col min="1" max="1" width="27" customWidth="1"/>
    <col min="2" max="2" width="24.7109375" customWidth="1"/>
    <col min="3" max="3" width="39.85546875" customWidth="1"/>
    <col min="4" max="4" width="22" customWidth="1"/>
    <col min="5" max="5" width="21.5703125" customWidth="1"/>
    <col min="6" max="6" width="43" customWidth="1"/>
  </cols>
  <sheetData>
    <row r="1" spans="1:6" ht="14.25" customHeight="1" x14ac:dyDescent="0.25">
      <c r="A1" s="6" t="s">
        <v>1</v>
      </c>
      <c r="B1" s="6" t="s">
        <v>27</v>
      </c>
    </row>
    <row r="2" spans="1:6" ht="43.5" customHeight="1" x14ac:dyDescent="0.25">
      <c r="A2" s="48" t="s">
        <v>65</v>
      </c>
      <c r="B2" s="48" t="s">
        <v>159</v>
      </c>
      <c r="C2" s="48" t="s">
        <v>301</v>
      </c>
      <c r="D2" s="48" t="s">
        <v>302</v>
      </c>
      <c r="E2" s="48" t="s">
        <v>303</v>
      </c>
      <c r="F2" s="48" t="s">
        <v>160</v>
      </c>
    </row>
    <row r="3" spans="1:6" ht="14.25" customHeight="1" x14ac:dyDescent="0.25">
      <c r="A3" s="20" t="s">
        <v>67</v>
      </c>
      <c r="B3" s="51" t="s">
        <v>161</v>
      </c>
      <c r="C3" s="21" t="s">
        <v>162</v>
      </c>
      <c r="D3" s="52" t="s">
        <v>163</v>
      </c>
      <c r="E3" s="53" t="s">
        <v>164</v>
      </c>
      <c r="F3" s="54" t="s">
        <v>72</v>
      </c>
    </row>
    <row r="4" spans="1:6" ht="14.25" customHeight="1" x14ac:dyDescent="0.25">
      <c r="A4" s="26">
        <v>1</v>
      </c>
      <c r="B4" s="33" t="str">
        <f>'M-Dueño'!D4</f>
        <v>Carlos</v>
      </c>
      <c r="C4" s="55" t="s">
        <v>165</v>
      </c>
      <c r="D4" s="27">
        <v>0.375</v>
      </c>
      <c r="E4" s="27">
        <v>0.79166666666666696</v>
      </c>
      <c r="F4" s="26" t="str">
        <f t="shared" ref="F4:F10" si="0">_xlfn.CONCAT(C4,"-",TEXT(D4,"hh:mm"),"-",TEXT(E4,"hh:mm"))</f>
        <v>Lunes-09:00-19:00</v>
      </c>
    </row>
    <row r="5" spans="1:6" ht="14.25" customHeight="1" x14ac:dyDescent="0.25">
      <c r="A5" s="26">
        <v>2</v>
      </c>
      <c r="B5" s="33" t="str">
        <f>'M-Dueño'!D4</f>
        <v>Carlos</v>
      </c>
      <c r="C5" s="26" t="s">
        <v>166</v>
      </c>
      <c r="D5" s="27">
        <v>0.375</v>
      </c>
      <c r="E5" s="27">
        <v>0.79166666666666696</v>
      </c>
      <c r="F5" s="26" t="str">
        <f t="shared" si="0"/>
        <v>Martes-09:00-19:00</v>
      </c>
    </row>
    <row r="6" spans="1:6" ht="14.25" customHeight="1" x14ac:dyDescent="0.25">
      <c r="A6" s="26">
        <v>3</v>
      </c>
      <c r="B6" s="33" t="str">
        <f>'M-Dueño'!D4</f>
        <v>Carlos</v>
      </c>
      <c r="C6" s="55" t="s">
        <v>167</v>
      </c>
      <c r="D6" s="27">
        <v>0.375</v>
      </c>
      <c r="E6" s="27">
        <v>0.79166666666666696</v>
      </c>
      <c r="F6" s="26" t="str">
        <f t="shared" si="0"/>
        <v>Miércoles-09:00-19:00</v>
      </c>
    </row>
    <row r="7" spans="1:6" ht="14.25" customHeight="1" x14ac:dyDescent="0.25">
      <c r="A7" s="26">
        <v>4</v>
      </c>
      <c r="B7" s="33" t="str">
        <f>'M-Dueño'!D4</f>
        <v>Carlos</v>
      </c>
      <c r="C7" s="26" t="s">
        <v>168</v>
      </c>
      <c r="D7" s="27">
        <v>0.375</v>
      </c>
      <c r="E7" s="27">
        <v>0.79166666666666696</v>
      </c>
      <c r="F7" s="26" t="str">
        <f t="shared" si="0"/>
        <v>Jueves-09:00-19:00</v>
      </c>
    </row>
    <row r="8" spans="1:6" ht="14.25" customHeight="1" x14ac:dyDescent="0.25">
      <c r="A8" s="26">
        <v>5</v>
      </c>
      <c r="B8" s="33" t="str">
        <f>'M-Dueño'!D4</f>
        <v>Carlos</v>
      </c>
      <c r="C8" s="55" t="s">
        <v>169</v>
      </c>
      <c r="D8" s="27">
        <v>0.375</v>
      </c>
      <c r="E8" s="27">
        <v>0.79166666666666696</v>
      </c>
      <c r="F8" s="26" t="str">
        <f t="shared" si="0"/>
        <v>Viernes-09:00-19:00</v>
      </c>
    </row>
    <row r="9" spans="1:6" ht="14.25" customHeight="1" x14ac:dyDescent="0.25">
      <c r="A9" s="26">
        <v>6</v>
      </c>
      <c r="B9" s="33" t="str">
        <f>'M-Dueño'!D4</f>
        <v>Carlos</v>
      </c>
      <c r="C9" s="26" t="s">
        <v>170</v>
      </c>
      <c r="D9" s="56">
        <v>0.33333333333333298</v>
      </c>
      <c r="E9" s="27">
        <v>0.875</v>
      </c>
      <c r="F9" s="26" t="str">
        <f t="shared" si="0"/>
        <v>Sábado-08:00-21:00</v>
      </c>
    </row>
    <row r="10" spans="1:6" ht="14.25" customHeight="1" x14ac:dyDescent="0.25">
      <c r="A10" s="26">
        <v>7</v>
      </c>
      <c r="B10" s="33" t="str">
        <f>'M-Dueño'!D4</f>
        <v>Carlos</v>
      </c>
      <c r="C10" s="55" t="s">
        <v>171</v>
      </c>
      <c r="D10" s="27">
        <v>0.41666666666666702</v>
      </c>
      <c r="E10" s="27">
        <v>0.625</v>
      </c>
      <c r="F10" s="26" t="str">
        <f t="shared" si="0"/>
        <v>Festivo-10:00-15:00</v>
      </c>
    </row>
    <row r="16" spans="1:6" ht="45" customHeight="1" x14ac:dyDescent="0.25">
      <c r="A16" s="34"/>
      <c r="B16" s="35" t="s">
        <v>80</v>
      </c>
    </row>
    <row r="17" spans="1:2" ht="45" customHeight="1" x14ac:dyDescent="0.25">
      <c r="A17" s="36"/>
      <c r="B17" s="35" t="s">
        <v>81</v>
      </c>
    </row>
    <row r="18" spans="1:2" ht="30" customHeight="1" x14ac:dyDescent="0.25">
      <c r="A18" s="57"/>
      <c r="B18" s="35" t="s">
        <v>172</v>
      </c>
    </row>
    <row r="19" spans="1:2" ht="30" customHeight="1" x14ac:dyDescent="0.25">
      <c r="A19" s="37"/>
      <c r="B19" s="35" t="s">
        <v>82</v>
      </c>
    </row>
    <row r="20" spans="1:2" ht="30" customHeight="1" x14ac:dyDescent="0.25">
      <c r="A20" s="58"/>
      <c r="B20" s="35" t="s">
        <v>173</v>
      </c>
    </row>
    <row r="21" spans="1:2" ht="30" customHeight="1" x14ac:dyDescent="0.25">
      <c r="A21" s="47"/>
      <c r="B21" s="35" t="s">
        <v>86</v>
      </c>
    </row>
  </sheetData>
  <hyperlinks>
    <hyperlink ref="A1" location="'Modelo de Dominio'!A1" display="&lt;&lt;&lt;&lt; Ir al modulo de dominio" xr:uid="{00000000-0004-0000-0B00-000000000000}"/>
    <hyperlink ref="B1" location="'Objetos de Dominio'!A1" display="&lt;&lt;&lt;&lt; Ir a objetos de dominio" xr:uid="{00000000-0004-0000-0B00-000001000000}"/>
    <hyperlink ref="B3" location="'M-Dueño'!A1" display="dueño" xr:uid="{00000000-0004-0000-0B00-000002000000}"/>
    <hyperlink ref="B4" location="'M-Dueño'!A4" display="#'M-Dueño'.A4" xr:uid="{00000000-0004-0000-0B00-000003000000}"/>
    <hyperlink ref="B5" location="'M-Dueño'!A4" display="#'M-Dueño'.A4" xr:uid="{00000000-0004-0000-0B00-000004000000}"/>
    <hyperlink ref="B6" location="'M-Dueño'!A4" display="#'M-Dueño'.A4" xr:uid="{00000000-0004-0000-0B00-000005000000}"/>
    <hyperlink ref="B7" location="'M-Dueño'!A4" display="#'M-Dueño'.A4" xr:uid="{00000000-0004-0000-0B00-000006000000}"/>
    <hyperlink ref="B8" location="'M-Dueño'!A4" display="#'M-Dueño'.A4" xr:uid="{00000000-0004-0000-0B00-000007000000}"/>
    <hyperlink ref="B9" location="'M-Dueño'!A4" display="#'M-Dueño'.A4" xr:uid="{00000000-0004-0000-0B00-000008000000}"/>
    <hyperlink ref="B10" location="'M-Dueño'!A4" display="#'M-Dueño'.A4" xr:uid="{00000000-0004-0000-0B00-000009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10"/>
  <sheetViews>
    <sheetView zoomScale="70" zoomScaleNormal="70" workbookViewId="0">
      <selection activeCell="D4" sqref="D4"/>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19.140625" bestFit="1" customWidth="1"/>
    <col min="10" max="10" width="21.85546875" customWidth="1"/>
    <col min="11" max="11" width="20.28515625" customWidth="1"/>
    <col min="12" max="12" width="20.570312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'M-Regla'!A3</f>
        <v>id</v>
      </c>
      <c r="B3" s="15" t="str">
        <f>'M-Regla'!A2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42.75" customHeight="1" x14ac:dyDescent="0.25">
      <c r="A4" s="14" t="str">
        <f>'M-Regla'!B3</f>
        <v>dueño</v>
      </c>
      <c r="B4" s="15" t="str">
        <f>'M-Regla'!B2</f>
        <v>Representa el objeto de dominio del dueño de la barberia, quien es el que crea regla</v>
      </c>
      <c r="C4" s="14" t="s">
        <v>51</v>
      </c>
      <c r="D4" s="128" t="s">
        <v>6</v>
      </c>
      <c r="E4" s="14" t="s">
        <v>49</v>
      </c>
      <c r="F4" s="14"/>
      <c r="G4" s="14"/>
      <c r="H4" s="14"/>
      <c r="I4" s="14"/>
      <c r="J4" s="14"/>
      <c r="K4" s="14"/>
      <c r="L4" s="14"/>
      <c r="M4" s="15" t="s">
        <v>155</v>
      </c>
      <c r="N4" s="14" t="s">
        <v>51</v>
      </c>
      <c r="O4" s="14" t="s">
        <v>51</v>
      </c>
      <c r="P4" s="14"/>
      <c r="Q4" s="14" t="s">
        <v>51</v>
      </c>
      <c r="R4" s="14" t="s">
        <v>51</v>
      </c>
      <c r="S4" s="14" t="s">
        <v>51</v>
      </c>
      <c r="T4" s="14"/>
      <c r="U4" s="14" t="s">
        <v>51</v>
      </c>
    </row>
    <row r="5" spans="1:21" ht="86.25" customHeight="1" x14ac:dyDescent="0.25">
      <c r="A5" s="14" t="str">
        <f>'M-Regla'!C3</f>
        <v>toleranciaTardanzaCliente</v>
      </c>
      <c r="B5" s="15" t="str">
        <f>'M-Regla'!C2</f>
        <v>Representa la cantidad de minutos que el cliente puede llegarle tarde un cliente a la cita establecida con el barbero, despues de eso el barbero lo podrá multar</v>
      </c>
      <c r="C5" s="14" t="s">
        <v>51</v>
      </c>
      <c r="D5" s="14" t="s">
        <v>136</v>
      </c>
      <c r="E5" s="14" t="s">
        <v>51</v>
      </c>
      <c r="F5" s="14"/>
      <c r="G5" s="14"/>
      <c r="H5" s="14"/>
      <c r="I5" s="14"/>
      <c r="J5" s="14">
        <v>0</v>
      </c>
      <c r="K5" s="14"/>
      <c r="L5" s="14"/>
      <c r="M5" s="15"/>
      <c r="N5" s="14" t="s">
        <v>51</v>
      </c>
      <c r="O5" s="14" t="s">
        <v>51</v>
      </c>
      <c r="P5" s="14"/>
      <c r="Q5" s="14" t="s">
        <v>51</v>
      </c>
      <c r="R5" s="14" t="s">
        <v>51</v>
      </c>
      <c r="S5" s="14"/>
      <c r="T5" s="14">
        <v>0</v>
      </c>
      <c r="U5" s="14" t="s">
        <v>51</v>
      </c>
    </row>
    <row r="6" spans="1:21" ht="86.25" customHeight="1" x14ac:dyDescent="0.25">
      <c r="A6" s="14" t="str">
        <f>'M-Regla'!D3</f>
        <v>montoMultaTardanzaCliente</v>
      </c>
      <c r="B6" s="15" t="str">
        <f>'M-Regla'!D2</f>
        <v>Representa la cantidad de dinero que el cliente debe de pagar en pesos colombianos, por superar la toleranciaTardanza. Debe de ser mayor a cero, su valor por defecto es 0 y no es permitido</v>
      </c>
      <c r="C6" s="14" t="s">
        <v>51</v>
      </c>
      <c r="D6" s="14" t="s">
        <v>136</v>
      </c>
      <c r="E6" s="14" t="s">
        <v>51</v>
      </c>
      <c r="F6" s="14"/>
      <c r="G6" s="14"/>
      <c r="H6" s="14"/>
      <c r="I6" s="14"/>
      <c r="J6" s="14">
        <v>0</v>
      </c>
      <c r="K6" s="14"/>
      <c r="L6" s="15" t="s">
        <v>324</v>
      </c>
      <c r="M6" s="15"/>
      <c r="N6" s="14" t="s">
        <v>51</v>
      </c>
      <c r="O6" s="14" t="s">
        <v>51</v>
      </c>
      <c r="P6" s="14"/>
      <c r="Q6" s="14" t="s">
        <v>51</v>
      </c>
      <c r="R6" s="14" t="s">
        <v>51</v>
      </c>
      <c r="S6" s="14"/>
      <c r="T6" s="14">
        <v>0</v>
      </c>
      <c r="U6" s="14" t="s">
        <v>51</v>
      </c>
    </row>
    <row r="7" spans="1:21" ht="86.25" customHeight="1" x14ac:dyDescent="0.25">
      <c r="A7" s="14" t="str">
        <f>'M-Regla'!E3</f>
        <v>numeroMultasMaxima</v>
      </c>
      <c r="B7" s="15" t="str">
        <f>'M-Regla'!E2</f>
        <v>Representa la maxima de multas que pueda tener un cliente sin pagar, a partir de esta cantidad se le hace un veto al cliente. Debe de ser mayor o igual a cero, su valor por defecto es 0 y es no es permitido</v>
      </c>
      <c r="C7" s="14" t="s">
        <v>51</v>
      </c>
      <c r="D7" s="14" t="s">
        <v>136</v>
      </c>
      <c r="E7" s="14" t="s">
        <v>51</v>
      </c>
      <c r="F7" s="14"/>
      <c r="G7" s="14"/>
      <c r="H7" s="14"/>
      <c r="I7" s="14"/>
      <c r="J7" s="14">
        <v>0</v>
      </c>
      <c r="K7" s="14"/>
      <c r="L7" s="14"/>
      <c r="M7" s="15"/>
      <c r="N7" s="14" t="s">
        <v>51</v>
      </c>
      <c r="O7" s="14" t="s">
        <v>51</v>
      </c>
      <c r="P7" s="14"/>
      <c r="Q7" s="14" t="s">
        <v>51</v>
      </c>
      <c r="R7" s="14" t="s">
        <v>51</v>
      </c>
      <c r="S7" s="14"/>
      <c r="T7" s="14">
        <v>0</v>
      </c>
      <c r="U7" s="14" t="s">
        <v>51</v>
      </c>
    </row>
    <row r="8" spans="1:21" ht="72" customHeight="1" x14ac:dyDescent="0.25">
      <c r="A8" s="14" t="str">
        <f>'M-Regla'!F3</f>
        <v>toleranciaTardanzaBarbero</v>
      </c>
      <c r="B8" s="15" t="str">
        <f>'M-Regla'!F2</f>
        <v>Representa la cantidad de minutos que un barbero puede demorarse en atender a un cliente, en caso de que el barbero se demore mas de lo previsto en su cita anterior</v>
      </c>
      <c r="C8" s="14" t="s">
        <v>51</v>
      </c>
      <c r="D8" s="14" t="s">
        <v>136</v>
      </c>
      <c r="E8" s="14" t="s">
        <v>51</v>
      </c>
      <c r="F8" s="14"/>
      <c r="G8" s="14"/>
      <c r="H8" s="14"/>
      <c r="I8" s="14"/>
      <c r="J8" s="14">
        <v>0</v>
      </c>
      <c r="K8" s="14"/>
      <c r="L8" s="14"/>
      <c r="M8" s="15"/>
      <c r="N8" s="14" t="s">
        <v>51</v>
      </c>
      <c r="O8" s="14" t="s">
        <v>51</v>
      </c>
      <c r="P8" s="14"/>
      <c r="Q8" s="14" t="s">
        <v>51</v>
      </c>
      <c r="R8" s="14" t="s">
        <v>51</v>
      </c>
      <c r="S8" s="14"/>
      <c r="T8" s="14">
        <v>0</v>
      </c>
      <c r="U8" s="14" t="s">
        <v>51</v>
      </c>
    </row>
    <row r="9" spans="1:21" ht="72" customHeight="1" x14ac:dyDescent="0.25">
      <c r="A9" s="14" t="str">
        <f>'M-Regla'!G3</f>
        <v>porcentajeDescuentoCita</v>
      </c>
      <c r="B9" s="15" t="str">
        <f>'M-Regla'!G2</f>
        <v>Representa la cantidad cuanto descuento va a tener un cliente en la cita con el barbero, como recompesa por esperar al barbero mas de la tolerancia permitida</v>
      </c>
      <c r="C9" s="14" t="s">
        <v>51</v>
      </c>
      <c r="D9" s="14" t="s">
        <v>136</v>
      </c>
      <c r="E9" s="14" t="s">
        <v>51</v>
      </c>
      <c r="F9" s="14"/>
      <c r="G9" s="14"/>
      <c r="H9" s="14"/>
      <c r="I9" s="14"/>
      <c r="J9" s="14">
        <v>0</v>
      </c>
      <c r="K9" s="14">
        <v>100</v>
      </c>
      <c r="L9" s="15" t="s">
        <v>291</v>
      </c>
      <c r="M9" s="15"/>
      <c r="N9" s="14" t="s">
        <v>51</v>
      </c>
      <c r="O9" s="14" t="s">
        <v>51</v>
      </c>
      <c r="P9" s="14"/>
      <c r="Q9" s="14" t="s">
        <v>51</v>
      </c>
      <c r="R9" s="14" t="s">
        <v>51</v>
      </c>
      <c r="S9" s="14"/>
      <c r="T9" s="14">
        <v>0</v>
      </c>
      <c r="U9" s="14" t="s">
        <v>51</v>
      </c>
    </row>
    <row r="10" spans="1:21" ht="14.25" customHeight="1" x14ac:dyDescent="0.25">
      <c r="A10" s="5"/>
      <c r="B10" s="5"/>
      <c r="C10" s="5"/>
      <c r="D10" s="5"/>
      <c r="E10" s="5"/>
      <c r="F10" s="5"/>
      <c r="G10" s="5"/>
      <c r="H10" s="5"/>
      <c r="I10" s="5"/>
      <c r="J10" s="5"/>
      <c r="K10" s="5"/>
      <c r="L10" s="5"/>
      <c r="M10" s="5"/>
      <c r="N10" s="5"/>
      <c r="O10" s="5"/>
      <c r="P10" s="5"/>
      <c r="Q10" s="5"/>
      <c r="R10" s="5"/>
      <c r="S10" s="5"/>
      <c r="T10" s="5"/>
      <c r="U10" s="5"/>
    </row>
  </sheetData>
  <hyperlinks>
    <hyperlink ref="A1" location="'Modelo de Dominio'!A1" display="&lt;&lt;&lt;&lt; Ir al modulo de dominio" xr:uid="{00000000-0004-0000-0C00-000000000000}"/>
    <hyperlink ref="B1" location="'Objetos de Dominio'!A1" display="&lt;&lt;&lt;&lt; Ir a objetos de dominio" xr:uid="{00000000-0004-0000-0C00-000001000000}"/>
    <hyperlink ref="D4" location="'C-Dueño'!A1" display="Dueño" xr:uid="{394BA1DA-186B-48F4-A0C4-76D10FDD9F96}"/>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2"/>
  <sheetViews>
    <sheetView zoomScale="130" zoomScaleNormal="130" workbookViewId="0">
      <selection activeCell="B1" sqref="B1"/>
    </sheetView>
  </sheetViews>
  <sheetFormatPr baseColWidth="10" defaultColWidth="10.7109375" defaultRowHeight="15" x14ac:dyDescent="0.25"/>
  <cols>
    <col min="1" max="2" width="27" customWidth="1"/>
    <col min="3" max="3" width="34.28515625" customWidth="1"/>
    <col min="4" max="4" width="34.140625" customWidth="1"/>
    <col min="5" max="5" width="32.5703125" customWidth="1"/>
    <col min="6" max="6" width="25" customWidth="1"/>
    <col min="7" max="7" width="23.7109375" customWidth="1"/>
  </cols>
  <sheetData>
    <row r="1" spans="1:7" ht="14.25" customHeight="1" x14ac:dyDescent="0.25">
      <c r="A1" s="6" t="s">
        <v>1</v>
      </c>
      <c r="B1" s="6" t="s">
        <v>27</v>
      </c>
    </row>
    <row r="2" spans="1:7" ht="52.5" customHeight="1" x14ac:dyDescent="0.25">
      <c r="A2" s="19" t="s">
        <v>65</v>
      </c>
      <c r="B2" s="19" t="s">
        <v>175</v>
      </c>
      <c r="C2" s="48" t="s">
        <v>323</v>
      </c>
      <c r="D2" s="48" t="s">
        <v>176</v>
      </c>
      <c r="E2" s="48" t="s">
        <v>177</v>
      </c>
      <c r="F2" s="48" t="s">
        <v>178</v>
      </c>
      <c r="G2" s="48" t="s">
        <v>179</v>
      </c>
    </row>
    <row r="3" spans="1:7" ht="14.25" customHeight="1" x14ac:dyDescent="0.25">
      <c r="A3" s="20" t="s">
        <v>67</v>
      </c>
      <c r="B3" s="60" t="s">
        <v>161</v>
      </c>
      <c r="C3" s="61" t="s">
        <v>180</v>
      </c>
      <c r="D3" s="61" t="s">
        <v>181</v>
      </c>
      <c r="E3" s="61" t="s">
        <v>182</v>
      </c>
      <c r="F3" s="61" t="s">
        <v>183</v>
      </c>
      <c r="G3" s="61" t="s">
        <v>184</v>
      </c>
    </row>
    <row r="4" spans="1:7" ht="14.25" customHeight="1" x14ac:dyDescent="0.25">
      <c r="A4" s="26">
        <v>1</v>
      </c>
      <c r="B4" s="33" t="str">
        <f>'M-Dueño'!D4</f>
        <v>Carlos</v>
      </c>
      <c r="C4" s="26">
        <v>10</v>
      </c>
      <c r="D4" s="62">
        <v>10000</v>
      </c>
      <c r="E4" s="26">
        <v>3</v>
      </c>
      <c r="F4" s="26">
        <v>15</v>
      </c>
      <c r="G4" s="26">
        <v>10</v>
      </c>
    </row>
    <row r="9" spans="1:7" ht="30" customHeight="1" x14ac:dyDescent="0.25">
      <c r="A9" s="34"/>
      <c r="B9" s="35" t="s">
        <v>80</v>
      </c>
    </row>
    <row r="10" spans="1:7" ht="30" customHeight="1" x14ac:dyDescent="0.25">
      <c r="A10" s="36"/>
      <c r="B10" s="35" t="s">
        <v>81</v>
      </c>
    </row>
    <row r="11" spans="1:7" ht="30" customHeight="1" x14ac:dyDescent="0.25">
      <c r="A11" s="57"/>
      <c r="B11" s="35" t="s">
        <v>172</v>
      </c>
    </row>
    <row r="12" spans="1:7" ht="30" customHeight="1" x14ac:dyDescent="0.25">
      <c r="A12" s="63"/>
      <c r="B12" s="35" t="s">
        <v>83</v>
      </c>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 ref="B3" location="'M-Dueño'!A1" display="dueño" xr:uid="{00000000-0004-0000-0D00-000002000000}"/>
    <hyperlink ref="B4" location="'M-Dueño'!A4" display="#'M-Dueño'.A4" xr:uid="{00000000-0004-0000-0D00-000003000000}"/>
  </hyperlink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1"/>
  <sheetViews>
    <sheetView zoomScaleNormal="100" workbookViewId="0">
      <selection activeCell="D5" sqref="D5"/>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'M-Servicio'!A3</f>
        <v>id</v>
      </c>
      <c r="B3" s="15" t="str">
        <f>'M-Servicio'!A2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42.75" customHeight="1" x14ac:dyDescent="0.25">
      <c r="A4" s="14" t="str">
        <f>'M-Servicio'!B3</f>
        <v>dueño</v>
      </c>
      <c r="B4" s="15" t="str">
        <f>'M-Servicio'!B2</f>
        <v>Representa que el dueño tomo la decisión de agregar un servicio para la barberia</v>
      </c>
      <c r="C4" s="14" t="s">
        <v>51</v>
      </c>
      <c r="D4" s="128" t="s">
        <v>6</v>
      </c>
      <c r="E4" s="14" t="s">
        <v>49</v>
      </c>
      <c r="F4" s="14"/>
      <c r="G4" s="14"/>
      <c r="H4" s="14"/>
      <c r="I4" s="14"/>
      <c r="J4" s="14"/>
      <c r="K4" s="14"/>
      <c r="L4" s="14"/>
      <c r="M4" s="15" t="s">
        <v>155</v>
      </c>
      <c r="N4" s="14" t="s">
        <v>51</v>
      </c>
      <c r="O4" s="14" t="s">
        <v>51</v>
      </c>
      <c r="P4" s="14"/>
      <c r="Q4" s="14" t="s">
        <v>51</v>
      </c>
      <c r="R4" s="14" t="s">
        <v>51</v>
      </c>
      <c r="S4" s="14" t="s">
        <v>51</v>
      </c>
      <c r="T4" s="14"/>
      <c r="U4" s="14" t="s">
        <v>51</v>
      </c>
    </row>
    <row r="5" spans="1:21" ht="57" customHeight="1" x14ac:dyDescent="0.25">
      <c r="A5" s="14" t="str">
        <f>'M-Servicio'!C3</f>
        <v>nombre</v>
      </c>
      <c r="B5" s="15" t="str">
        <f>'M-Servicio'!C2</f>
        <v>Representa el nombre del servicio que va estar en la barberia, que el barbero ofrece y en las citas que esta. Su valor por defecto es el vacio y no es permitido</v>
      </c>
      <c r="C5" s="14" t="s">
        <v>51</v>
      </c>
      <c r="D5" s="14" t="s">
        <v>52</v>
      </c>
      <c r="E5" s="14" t="s">
        <v>49</v>
      </c>
      <c r="F5" s="14">
        <v>3</v>
      </c>
      <c r="G5" s="14">
        <v>50</v>
      </c>
      <c r="H5" s="14"/>
      <c r="I5" s="14"/>
      <c r="J5" s="14"/>
      <c r="K5" s="14"/>
      <c r="L5" s="14"/>
      <c r="M5" s="15"/>
      <c r="N5" s="14" t="s">
        <v>51</v>
      </c>
      <c r="O5" s="14" t="s">
        <v>51</v>
      </c>
      <c r="P5" s="14"/>
      <c r="Q5" s="14" t="s">
        <v>49</v>
      </c>
      <c r="R5" s="14" t="s">
        <v>49</v>
      </c>
      <c r="S5" s="14" t="s">
        <v>51</v>
      </c>
      <c r="T5" s="14"/>
      <c r="U5" s="14" t="s">
        <v>51</v>
      </c>
    </row>
    <row r="6" spans="1:21" ht="42.75" customHeight="1" x14ac:dyDescent="0.25">
      <c r="A6" s="14" t="str">
        <f>'M-Servicio'!D3</f>
        <v>descripcion</v>
      </c>
      <c r="B6" s="15" t="str">
        <f>'M-Servicio'!D2</f>
        <v>Representa como el dueño describe que va a hacer cada servicio, para que el barbero sepa que hace el servicio</v>
      </c>
      <c r="C6" s="14" t="s">
        <v>51</v>
      </c>
      <c r="D6" s="14" t="s">
        <v>52</v>
      </c>
      <c r="E6" s="14" t="s">
        <v>51</v>
      </c>
      <c r="F6" s="14">
        <v>10</v>
      </c>
      <c r="G6" s="14">
        <v>100</v>
      </c>
      <c r="H6" s="14"/>
      <c r="I6" s="14"/>
      <c r="J6" s="14"/>
      <c r="K6" s="14"/>
      <c r="L6" s="14"/>
      <c r="M6" s="15"/>
      <c r="N6" s="14" t="s">
        <v>51</v>
      </c>
      <c r="O6" s="14" t="s">
        <v>51</v>
      </c>
      <c r="P6" s="14"/>
      <c r="Q6" s="14" t="s">
        <v>49</v>
      </c>
      <c r="R6" s="14" t="s">
        <v>49</v>
      </c>
      <c r="S6" s="14" t="s">
        <v>51</v>
      </c>
      <c r="T6" s="14"/>
      <c r="U6" s="14" t="s">
        <v>51</v>
      </c>
    </row>
    <row r="7" spans="1:21" ht="57" customHeight="1" x14ac:dyDescent="0.25">
      <c r="A7" s="14" t="str">
        <f>'M-Servicio'!E3</f>
        <v>precio</v>
      </c>
      <c r="B7" s="15" t="str">
        <f>'M-Servicio'!E2</f>
        <v>Representa cuanto va a valer el servicio en pesos colombianos. Debe de ser mayor a cero, su valor por defecto es 0 y no esta permitido</v>
      </c>
      <c r="C7" s="14" t="s">
        <v>51</v>
      </c>
      <c r="D7" s="14" t="s">
        <v>136</v>
      </c>
      <c r="E7" s="14" t="s">
        <v>49</v>
      </c>
      <c r="F7" s="14"/>
      <c r="G7" s="14"/>
      <c r="H7" s="14"/>
      <c r="I7" s="14"/>
      <c r="J7" s="14">
        <v>0</v>
      </c>
      <c r="K7" s="14"/>
      <c r="L7" s="15" t="s">
        <v>325</v>
      </c>
      <c r="M7" s="15"/>
      <c r="N7" s="14" t="s">
        <v>51</v>
      </c>
      <c r="O7" s="14"/>
      <c r="P7" s="14"/>
      <c r="Q7" s="14"/>
      <c r="R7" s="14"/>
      <c r="S7" s="14" t="s">
        <v>51</v>
      </c>
      <c r="T7" s="14"/>
      <c r="U7" s="14" t="s">
        <v>51</v>
      </c>
    </row>
    <row r="8" spans="1:21" ht="28.5" customHeight="1" x14ac:dyDescent="0.25">
      <c r="A8" s="14" t="str">
        <f>'M-Servicio'!F3</f>
        <v>disponible</v>
      </c>
      <c r="B8" s="15" t="str">
        <f>'M-Servicio'!F2</f>
        <v>Representa si el servicio sigue o no disponible en la barberia</v>
      </c>
      <c r="C8" s="14" t="s">
        <v>51</v>
      </c>
      <c r="D8" s="14" t="s">
        <v>59</v>
      </c>
      <c r="E8" s="14" t="s">
        <v>51</v>
      </c>
      <c r="F8" s="14"/>
      <c r="G8" s="14"/>
      <c r="H8" s="14"/>
      <c r="I8" s="14"/>
      <c r="J8" s="14"/>
      <c r="K8" s="14"/>
      <c r="L8" s="14"/>
      <c r="M8" s="15"/>
      <c r="N8" s="14" t="s">
        <v>51</v>
      </c>
      <c r="O8" s="14"/>
      <c r="P8" s="14"/>
      <c r="Q8" s="14"/>
      <c r="R8" s="14"/>
      <c r="S8" s="14" t="s">
        <v>51</v>
      </c>
      <c r="T8" s="14" t="s">
        <v>49</v>
      </c>
      <c r="U8" s="14" t="s">
        <v>51</v>
      </c>
    </row>
    <row r="9" spans="1:21" ht="14.25" customHeight="1" x14ac:dyDescent="0.25">
      <c r="A9" s="5"/>
      <c r="B9" s="5"/>
      <c r="C9" s="5"/>
      <c r="D9" s="5"/>
      <c r="E9" s="5"/>
      <c r="F9" s="5"/>
      <c r="G9" s="5"/>
      <c r="H9" s="5"/>
      <c r="I9" s="5"/>
      <c r="J9" s="5"/>
      <c r="K9" s="5"/>
      <c r="L9" s="5"/>
      <c r="M9" s="5"/>
      <c r="N9" s="5"/>
      <c r="O9" s="5"/>
      <c r="P9" s="5"/>
      <c r="Q9" s="5"/>
      <c r="R9" s="5"/>
      <c r="S9" s="5"/>
      <c r="T9" s="5"/>
      <c r="U9" s="5"/>
    </row>
    <row r="10" spans="1:21" ht="14.25" customHeight="1" x14ac:dyDescent="0.25">
      <c r="A10" s="17" t="s">
        <v>62</v>
      </c>
      <c r="B10" s="17" t="s">
        <v>63</v>
      </c>
      <c r="C10" s="17" t="s">
        <v>64</v>
      </c>
      <c r="D10" s="38"/>
      <c r="E10" s="38"/>
      <c r="F10" s="38"/>
      <c r="G10" s="38"/>
      <c r="H10" s="38"/>
      <c r="I10" s="38"/>
      <c r="J10" s="38"/>
      <c r="K10" s="38"/>
      <c r="L10" s="38"/>
      <c r="M10" s="38"/>
      <c r="N10" s="38"/>
      <c r="O10" s="38"/>
      <c r="P10" s="38"/>
      <c r="Q10" s="38"/>
      <c r="R10" s="38"/>
      <c r="S10" s="38"/>
      <c r="T10" s="38"/>
      <c r="U10" s="38"/>
    </row>
    <row r="11" spans="1:21" ht="42.75" customHeight="1" x14ac:dyDescent="0.25">
      <c r="A11" s="3" t="str">
        <f>'M-Servicio'!G3</f>
        <v xml:space="preserve">Combinacion única </v>
      </c>
      <c r="B11" s="2" t="str">
        <f>'M-Servicio'!G2</f>
        <v>Combinacion única que indica que no puede existir más de un servicio con el mismo nombre</v>
      </c>
      <c r="C11" s="39" t="str">
        <f>A5</f>
        <v>nombre</v>
      </c>
      <c r="D11" s="5"/>
      <c r="E11" s="5"/>
      <c r="F11" s="5"/>
      <c r="G11" s="5"/>
      <c r="H11" s="5"/>
      <c r="I11" s="5"/>
      <c r="J11" s="5"/>
      <c r="K11" s="5"/>
      <c r="L11" s="5"/>
      <c r="M11" s="5"/>
      <c r="N11" s="5"/>
      <c r="O11" s="5"/>
      <c r="P11" s="5"/>
      <c r="Q11" s="5"/>
      <c r="R11" s="5"/>
      <c r="S11" s="5"/>
      <c r="T11" s="5"/>
      <c r="U11" s="5"/>
    </row>
  </sheetData>
  <hyperlinks>
    <hyperlink ref="A1" location="'Modelo de Dominio'!A1" display="&lt;&lt;&lt;&lt; Ir al modulo de dominio" xr:uid="{00000000-0004-0000-0E00-000000000000}"/>
    <hyperlink ref="B1" location="'Objetos de Dominio'!A1" display="&lt;&lt;&lt;&lt; Ir a objetos de dominio" xr:uid="{00000000-0004-0000-0E00-000001000000}"/>
    <hyperlink ref="D4" location="'C-Dueño'!A1" display="Dueño" xr:uid="{9836EE62-E8E1-4746-9187-FF25462038CA}"/>
  </hyperlink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9"/>
  <sheetViews>
    <sheetView zoomScale="145" zoomScaleNormal="145" workbookViewId="0">
      <selection activeCell="B1" sqref="B1"/>
    </sheetView>
  </sheetViews>
  <sheetFormatPr baseColWidth="10" defaultColWidth="10.7109375" defaultRowHeight="15" x14ac:dyDescent="0.25"/>
  <cols>
    <col min="1" max="2" width="27" customWidth="1"/>
    <col min="3" max="3" width="26.140625" customWidth="1"/>
    <col min="4" max="4" width="51.85546875" customWidth="1"/>
    <col min="5" max="6" width="22.85546875" customWidth="1"/>
    <col min="7" max="7" width="22" customWidth="1"/>
  </cols>
  <sheetData>
    <row r="1" spans="1:7" ht="14.25" customHeight="1" x14ac:dyDescent="0.25">
      <c r="A1" s="64" t="s">
        <v>1</v>
      </c>
      <c r="B1" s="64" t="s">
        <v>27</v>
      </c>
      <c r="D1" s="64"/>
      <c r="E1" s="65"/>
      <c r="F1" s="65"/>
      <c r="G1" s="30"/>
    </row>
    <row r="2" spans="1:7" ht="52.5" customHeight="1" x14ac:dyDescent="0.25">
      <c r="A2" s="19" t="s">
        <v>65</v>
      </c>
      <c r="B2" s="19" t="s">
        <v>185</v>
      </c>
      <c r="C2" s="19" t="s">
        <v>186</v>
      </c>
      <c r="D2" s="19" t="s">
        <v>187</v>
      </c>
      <c r="E2" s="19" t="s">
        <v>188</v>
      </c>
      <c r="F2" s="19" t="s">
        <v>189</v>
      </c>
      <c r="G2" s="48" t="s">
        <v>190</v>
      </c>
    </row>
    <row r="3" spans="1:7" ht="14.25" customHeight="1" x14ac:dyDescent="0.25">
      <c r="A3" s="66" t="s">
        <v>67</v>
      </c>
      <c r="B3" s="67" t="s">
        <v>161</v>
      </c>
      <c r="C3" s="68" t="s">
        <v>68</v>
      </c>
      <c r="D3" s="68" t="s">
        <v>191</v>
      </c>
      <c r="E3" s="69" t="s">
        <v>192</v>
      </c>
      <c r="F3" s="70" t="s">
        <v>193</v>
      </c>
      <c r="G3" s="25" t="s">
        <v>194</v>
      </c>
    </row>
    <row r="4" spans="1:7" ht="30" customHeight="1" x14ac:dyDescent="0.25">
      <c r="A4" s="71">
        <v>1</v>
      </c>
      <c r="B4" s="72" t="str">
        <f>'M-Dueño'!D4</f>
        <v>Carlos</v>
      </c>
      <c r="C4" s="71" t="s">
        <v>195</v>
      </c>
      <c r="D4" s="73" t="s">
        <v>196</v>
      </c>
      <c r="E4" s="74">
        <v>22000</v>
      </c>
      <c r="F4" s="74" t="s">
        <v>61</v>
      </c>
      <c r="G4" s="26" t="str">
        <f>C4</f>
        <v>Motilada</v>
      </c>
    </row>
    <row r="5" spans="1:7" ht="30" customHeight="1" x14ac:dyDescent="0.25">
      <c r="A5" s="71">
        <v>2</v>
      </c>
      <c r="B5" s="75" t="str">
        <f>'M-Dueño'!D4</f>
        <v>Carlos</v>
      </c>
      <c r="C5" s="71" t="s">
        <v>197</v>
      </c>
      <c r="D5" s="73" t="s">
        <v>198</v>
      </c>
      <c r="E5" s="74">
        <v>12000</v>
      </c>
      <c r="F5" s="74" t="s">
        <v>61</v>
      </c>
      <c r="G5" s="26" t="str">
        <f>C5</f>
        <v>Corte de barba</v>
      </c>
    </row>
    <row r="6" spans="1:7" ht="30" customHeight="1" x14ac:dyDescent="0.25">
      <c r="A6" s="71">
        <v>3</v>
      </c>
      <c r="B6" s="75" t="str">
        <f>'M-Dueño'!D4</f>
        <v>Carlos</v>
      </c>
      <c r="C6" s="71" t="s">
        <v>199</v>
      </c>
      <c r="D6" s="73" t="s">
        <v>200</v>
      </c>
      <c r="E6" s="74">
        <v>15000</v>
      </c>
      <c r="F6" s="74" t="s">
        <v>61</v>
      </c>
      <c r="G6" s="26" t="str">
        <f>C6</f>
        <v>Perfilada de barba</v>
      </c>
    </row>
    <row r="7" spans="1:7" ht="32.25" customHeight="1" x14ac:dyDescent="0.25">
      <c r="A7" s="71">
        <v>4</v>
      </c>
      <c r="B7" s="75" t="str">
        <f>'M-Dueño'!D4</f>
        <v>Carlos</v>
      </c>
      <c r="C7" s="73" t="s">
        <v>201</v>
      </c>
      <c r="D7" s="73" t="s">
        <v>202</v>
      </c>
      <c r="E7" s="74">
        <v>35000</v>
      </c>
      <c r="F7" s="74" t="s">
        <v>61</v>
      </c>
      <c r="G7" s="76" t="str">
        <f>C7</f>
        <v>Arreglo completo de barba con toalla caliente</v>
      </c>
    </row>
    <row r="13" spans="1:7" ht="30" customHeight="1" x14ac:dyDescent="0.25">
      <c r="A13" s="34"/>
      <c r="B13" s="35" t="s">
        <v>80</v>
      </c>
    </row>
    <row r="14" spans="1:7" ht="30" customHeight="1" x14ac:dyDescent="0.25">
      <c r="A14" s="36"/>
      <c r="B14" s="35" t="s">
        <v>81</v>
      </c>
    </row>
    <row r="15" spans="1:7" ht="45" customHeight="1" x14ac:dyDescent="0.25">
      <c r="A15" s="57"/>
      <c r="B15" s="35" t="s">
        <v>203</v>
      </c>
    </row>
    <row r="16" spans="1:7" ht="30" customHeight="1" x14ac:dyDescent="0.25">
      <c r="A16" s="37"/>
      <c r="B16" s="35" t="s">
        <v>82</v>
      </c>
    </row>
    <row r="17" spans="1:2" ht="30" customHeight="1" x14ac:dyDescent="0.25">
      <c r="A17" s="77"/>
      <c r="B17" s="35" t="s">
        <v>83</v>
      </c>
    </row>
    <row r="18" spans="1:2" ht="30" customHeight="1" x14ac:dyDescent="0.25">
      <c r="A18" s="59"/>
      <c r="B18" s="35" t="s">
        <v>85</v>
      </c>
    </row>
    <row r="19" spans="1:2" ht="30" customHeight="1" x14ac:dyDescent="0.25">
      <c r="A19" s="78"/>
      <c r="B19" s="35" t="s">
        <v>86</v>
      </c>
    </row>
  </sheetData>
  <hyperlinks>
    <hyperlink ref="A1" location="'Modelo de Dominio'!A1" display="&lt;&lt;&lt;&lt; Ir al modulo de dominio" xr:uid="{00000000-0004-0000-0F00-000000000000}"/>
    <hyperlink ref="B1" location="'Objetos de Dominio'!A1" display="&lt;&lt;&lt;&lt; Ir a objetos de dominio" xr:uid="{00000000-0004-0000-0F00-000001000000}"/>
    <hyperlink ref="B3" location="'M-Dueño'!A1" display="dueño" xr:uid="{00000000-0004-0000-0F00-000002000000}"/>
    <hyperlink ref="B4" location="'M-Dueño'!A4" display="#'M-Dueño'.A4" xr:uid="{00000000-0004-0000-0F00-000003000000}"/>
    <hyperlink ref="B5" location="'M-Dueño'!A4" display="#'M-Dueño'.A4" xr:uid="{00000000-0004-0000-0F00-000004000000}"/>
    <hyperlink ref="B6" location="'M-Dueño'!A4" display="#'M-Dueño'.A4" xr:uid="{00000000-0004-0000-0F00-000005000000}"/>
    <hyperlink ref="B7" location="'M-Dueño'!A4" display="#'M-Dueño'.A4" xr:uid="{00000000-0004-0000-0F00-000006000000}"/>
  </hyperlink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1"/>
  <sheetViews>
    <sheetView zoomScaleNormal="100" workbookViewId="0">
      <selection activeCell="Q6" sqref="Q6"/>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'M-BarberoServicio'!A3</f>
        <v>id</v>
      </c>
      <c r="B3" s="15" t="str">
        <f>'M-BarberoServicio'!A2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28.5" customHeight="1" x14ac:dyDescent="0.25">
      <c r="A4" s="14" t="str">
        <f>'M-BarberoServicio'!B3</f>
        <v>barbero</v>
      </c>
      <c r="B4" s="15" t="str">
        <f>'M-BarberoServicio'!B2</f>
        <v>Representa el nombre y apellidos del barbero</v>
      </c>
      <c r="C4" s="14" t="s">
        <v>51</v>
      </c>
      <c r="D4" s="128" t="s">
        <v>9</v>
      </c>
      <c r="E4" s="14" t="s">
        <v>49</v>
      </c>
      <c r="F4" s="14"/>
      <c r="G4" s="14"/>
      <c r="H4" s="14"/>
      <c r="I4" s="14"/>
      <c r="J4" s="14"/>
      <c r="K4" s="14"/>
      <c r="L4" s="14"/>
      <c r="M4" s="15" t="s">
        <v>155</v>
      </c>
      <c r="N4" s="14" t="s">
        <v>51</v>
      </c>
      <c r="O4" s="14" t="s">
        <v>51</v>
      </c>
      <c r="P4" s="14"/>
      <c r="Q4" s="14" t="s">
        <v>51</v>
      </c>
      <c r="R4" s="14" t="s">
        <v>51</v>
      </c>
      <c r="S4" s="14" t="s">
        <v>51</v>
      </c>
      <c r="T4" s="14"/>
      <c r="U4" s="14" t="s">
        <v>51</v>
      </c>
    </row>
    <row r="5" spans="1:21" ht="28.5" customHeight="1" x14ac:dyDescent="0.25">
      <c r="A5" s="14" t="str">
        <f>'M-BarberoServicio'!C3</f>
        <v>servicio</v>
      </c>
      <c r="B5" s="15" t="str">
        <f>'M-BarberoServicio'!C2</f>
        <v xml:space="preserve">Representa el nombre del servicio de la barberia </v>
      </c>
      <c r="C5" s="14" t="s">
        <v>51</v>
      </c>
      <c r="D5" s="128" t="s">
        <v>17</v>
      </c>
      <c r="E5" s="14" t="s">
        <v>49</v>
      </c>
      <c r="F5" s="14"/>
      <c r="G5" s="14"/>
      <c r="H5" s="14"/>
      <c r="I5" s="14"/>
      <c r="J5" s="14"/>
      <c r="K5" s="14"/>
      <c r="L5" s="14"/>
      <c r="M5" s="15" t="s">
        <v>155</v>
      </c>
      <c r="N5" s="14" t="s">
        <v>51</v>
      </c>
      <c r="O5" s="14" t="s">
        <v>51</v>
      </c>
      <c r="P5" s="14"/>
      <c r="Q5" s="14" t="s">
        <v>51</v>
      </c>
      <c r="R5" s="14" t="s">
        <v>51</v>
      </c>
      <c r="S5" s="14" t="s">
        <v>51</v>
      </c>
      <c r="T5" s="14"/>
      <c r="U5" s="14" t="s">
        <v>51</v>
      </c>
    </row>
    <row r="6" spans="1:21" ht="72" customHeight="1" x14ac:dyDescent="0.25">
      <c r="A6" s="14" t="str">
        <f>'M-BarberoServicio'!D3</f>
        <v>duracionServicio</v>
      </c>
      <c r="B6" s="15" t="str">
        <f>'M-BarberoServicio'!D2</f>
        <v>Representa la cantidad de minutos que un barbero tarda en realizar un servicio, esta duracion el barbero debe de ser consiente de cuanto se demora en realizarlo</v>
      </c>
      <c r="C6" s="14" t="s">
        <v>51</v>
      </c>
      <c r="D6" s="14" t="s">
        <v>136</v>
      </c>
      <c r="E6" s="14" t="s">
        <v>49</v>
      </c>
      <c r="F6" s="14"/>
      <c r="G6" s="14"/>
      <c r="H6" s="14"/>
      <c r="I6" s="14"/>
      <c r="J6" s="14">
        <v>1</v>
      </c>
      <c r="K6" s="14"/>
      <c r="L6" s="14" t="s">
        <v>54</v>
      </c>
      <c r="M6" s="15" t="s">
        <v>204</v>
      </c>
      <c r="N6" s="14" t="s">
        <v>51</v>
      </c>
      <c r="O6" s="14" t="s">
        <v>51</v>
      </c>
      <c r="P6" s="14"/>
      <c r="Q6" s="14"/>
      <c r="R6" s="14"/>
      <c r="S6" s="14" t="s">
        <v>51</v>
      </c>
      <c r="T6" s="14">
        <v>0</v>
      </c>
      <c r="U6" s="14" t="s">
        <v>51</v>
      </c>
    </row>
    <row r="7" spans="1:21" ht="100.5" customHeight="1" x14ac:dyDescent="0.25">
      <c r="A7" s="14" t="str">
        <f>'M-BarberoServicio'!E3</f>
        <v>tiempoExtra</v>
      </c>
      <c r="B7" s="15" t="str">
        <f>'M-BarberoServicio'!E2</f>
        <v>Representa la cantidad de minutos que un barbero pone de tiempo extra en las citas de su agenda, cada barbero usa este tiempo porque hay ocaciones que la cita se puede demorar más de lo previsto. Este tiempo les ayuda a evitar que se les retrase la agenda</v>
      </c>
      <c r="C7" s="14" t="s">
        <v>51</v>
      </c>
      <c r="D7" s="14" t="s">
        <v>136</v>
      </c>
      <c r="E7" s="14" t="s">
        <v>51</v>
      </c>
      <c r="F7" s="14"/>
      <c r="G7" s="14"/>
      <c r="H7" s="14"/>
      <c r="I7" s="14"/>
      <c r="J7" s="14">
        <v>0</v>
      </c>
      <c r="K7" s="14"/>
      <c r="L7" s="14" t="s">
        <v>54</v>
      </c>
      <c r="M7" s="15"/>
      <c r="N7" s="14" t="s">
        <v>51</v>
      </c>
      <c r="O7" s="14" t="s">
        <v>51</v>
      </c>
      <c r="P7" s="14"/>
      <c r="Q7" s="14"/>
      <c r="R7" s="14"/>
      <c r="S7" s="14" t="s">
        <v>51</v>
      </c>
      <c r="T7" s="14">
        <v>0</v>
      </c>
      <c r="U7" s="14" t="s">
        <v>51</v>
      </c>
    </row>
    <row r="8" spans="1:21" ht="14.25" customHeight="1" x14ac:dyDescent="0.25">
      <c r="A8" s="5"/>
      <c r="B8" s="5"/>
      <c r="C8" s="5"/>
      <c r="D8" s="5"/>
      <c r="E8" s="5"/>
      <c r="F8" s="5"/>
      <c r="G8" s="5"/>
      <c r="H8" s="5"/>
      <c r="I8" s="5"/>
      <c r="J8" s="5"/>
      <c r="K8" s="5"/>
      <c r="L8" s="5"/>
      <c r="M8" s="5"/>
      <c r="N8" s="5"/>
      <c r="O8" s="5"/>
      <c r="P8" s="5"/>
      <c r="Q8" s="5"/>
      <c r="R8" s="5"/>
      <c r="S8" s="5"/>
      <c r="T8" s="5"/>
      <c r="U8" s="5"/>
    </row>
    <row r="9" spans="1:21" ht="14.25" customHeight="1" x14ac:dyDescent="0.25">
      <c r="A9" s="17" t="s">
        <v>62</v>
      </c>
      <c r="B9" s="17" t="s">
        <v>63</v>
      </c>
      <c r="C9" s="17" t="s">
        <v>64</v>
      </c>
      <c r="D9" s="38"/>
      <c r="E9" s="38"/>
      <c r="F9" s="38"/>
      <c r="G9" s="38"/>
      <c r="H9" s="38"/>
      <c r="I9" s="38"/>
      <c r="J9" s="38"/>
      <c r="K9" s="38"/>
      <c r="L9" s="38"/>
      <c r="M9" s="38"/>
      <c r="N9" s="38"/>
      <c r="O9" s="38"/>
      <c r="P9" s="38"/>
      <c r="Q9" s="38"/>
      <c r="R9" s="38"/>
      <c r="S9" s="38"/>
      <c r="T9" s="38"/>
      <c r="U9" s="38"/>
    </row>
    <row r="10" spans="1:21" ht="14.25" customHeight="1" x14ac:dyDescent="0.25">
      <c r="A10" s="130" t="str">
        <f>'M-BarberoServicio'!F3</f>
        <v>Combinación única</v>
      </c>
      <c r="B10" s="131" t="str">
        <f>'M-BarberoServicio'!F2</f>
        <v>Combinación única que indica que un mismo barbero no puede aparecer dos veces ofreciendo el mismo servicio</v>
      </c>
      <c r="C10" s="39" t="str">
        <f>A4</f>
        <v>barbero</v>
      </c>
      <c r="D10" s="5"/>
      <c r="E10" s="5"/>
      <c r="F10" s="5"/>
      <c r="G10" s="5"/>
      <c r="H10" s="5"/>
      <c r="I10" s="5"/>
      <c r="J10" s="5"/>
      <c r="K10" s="5"/>
      <c r="L10" s="5"/>
      <c r="M10" s="5"/>
      <c r="N10" s="5"/>
      <c r="O10" s="5"/>
      <c r="P10" s="5"/>
      <c r="Q10" s="5"/>
      <c r="R10" s="5"/>
      <c r="S10" s="5"/>
      <c r="T10" s="5"/>
      <c r="U10" s="5"/>
    </row>
    <row r="11" spans="1:21" ht="14.25" customHeight="1" x14ac:dyDescent="0.25">
      <c r="A11" s="130"/>
      <c r="B11" s="130"/>
      <c r="C11" s="39" t="str">
        <f>A5</f>
        <v>servicio</v>
      </c>
      <c r="D11" s="5"/>
      <c r="E11" s="5"/>
      <c r="F11" s="5"/>
      <c r="G11" s="5"/>
      <c r="H11" s="5"/>
      <c r="I11" s="5"/>
      <c r="J11" s="5"/>
      <c r="K11" s="5"/>
      <c r="L11" s="5"/>
      <c r="M11" s="5"/>
      <c r="N11" s="5"/>
      <c r="O11" s="5"/>
      <c r="P11" s="5"/>
      <c r="Q11" s="5"/>
      <c r="R11" s="5"/>
      <c r="S11" s="5"/>
      <c r="T11" s="5"/>
      <c r="U11" s="5"/>
    </row>
  </sheetData>
  <mergeCells count="2">
    <mergeCell ref="A10:A11"/>
    <mergeCell ref="B10:B11"/>
  </mergeCells>
  <hyperlinks>
    <hyperlink ref="A1" location="'Modelo de Dominio'!A1" display="&lt;&lt;&lt;&lt; Ir al modulo de dominio" xr:uid="{00000000-0004-0000-1000-000000000000}"/>
    <hyperlink ref="B1" location="'Objetos de Dominio'!A1" display="&lt;&lt;&lt;&lt; Ir a objetos de dominio" xr:uid="{00000000-0004-0000-1000-000001000000}"/>
    <hyperlink ref="D4" location="'C-Barbero'!A1" display="Barbero" xr:uid="{B8E0982D-DC05-4B8E-B4EB-F18648A55D9F}"/>
    <hyperlink ref="D5" location="'C-Servicio'!A1" display="Servicio" xr:uid="{F70F437B-1742-464A-8E49-A6D9F9330DC7}"/>
  </hyperlink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2"/>
  <sheetViews>
    <sheetView zoomScale="130" zoomScaleNormal="130" workbookViewId="0"/>
  </sheetViews>
  <sheetFormatPr baseColWidth="10" defaultColWidth="10.7109375" defaultRowHeight="15" x14ac:dyDescent="0.25"/>
  <cols>
    <col min="1" max="1" width="27" customWidth="1"/>
    <col min="2" max="2" width="29.85546875" customWidth="1"/>
    <col min="3" max="5" width="42" customWidth="1"/>
    <col min="6" max="6" width="56.140625" customWidth="1"/>
  </cols>
  <sheetData>
    <row r="1" spans="1:6" ht="14.25" customHeight="1" x14ac:dyDescent="0.25">
      <c r="A1" s="6" t="s">
        <v>1</v>
      </c>
      <c r="B1" s="6" t="s">
        <v>27</v>
      </c>
    </row>
    <row r="2" spans="1:6" ht="40.5" customHeight="1" x14ac:dyDescent="0.25">
      <c r="A2" s="19" t="s">
        <v>65</v>
      </c>
      <c r="B2" s="79" t="s">
        <v>205</v>
      </c>
      <c r="C2" s="19" t="s">
        <v>206</v>
      </c>
      <c r="D2" s="19" t="s">
        <v>207</v>
      </c>
      <c r="E2" s="19" t="s">
        <v>208</v>
      </c>
      <c r="F2" s="48" t="s">
        <v>209</v>
      </c>
    </row>
    <row r="3" spans="1:6" ht="14.25" customHeight="1" x14ac:dyDescent="0.25">
      <c r="A3" s="20" t="s">
        <v>67</v>
      </c>
      <c r="B3" s="51" t="s">
        <v>210</v>
      </c>
      <c r="C3" s="51" t="s">
        <v>211</v>
      </c>
      <c r="D3" s="80" t="s">
        <v>212</v>
      </c>
      <c r="E3" s="80" t="s">
        <v>213</v>
      </c>
      <c r="F3" s="81" t="s">
        <v>72</v>
      </c>
    </row>
    <row r="4" spans="1:6" ht="14.25" customHeight="1" x14ac:dyDescent="0.25">
      <c r="A4" s="26">
        <v>1</v>
      </c>
      <c r="B4" s="33" t="str">
        <f>_xlfn.CONCAT('M-Barbero'!B4," ",'M-Barbero'!D4)</f>
        <v>Juan García</v>
      </c>
      <c r="C4" s="33" t="str">
        <f>'M-Servicio'!C4</f>
        <v>Motilada</v>
      </c>
      <c r="D4" s="45">
        <v>45</v>
      </c>
      <c r="E4" s="45">
        <v>15</v>
      </c>
      <c r="F4" s="26" t="str">
        <f t="shared" ref="F4:F12" si="0">_xlfn.CONCAT(B4,"-",C4)</f>
        <v>Juan García-Motilada</v>
      </c>
    </row>
    <row r="5" spans="1:6" ht="14.25" customHeight="1" x14ac:dyDescent="0.25">
      <c r="A5" s="26">
        <v>2</v>
      </c>
      <c r="B5" s="33" t="str">
        <f>_xlfn.CONCAT('M-Barbero'!B5," ",'M-Barbero'!D5)</f>
        <v>Juan Ortiz</v>
      </c>
      <c r="C5" s="33" t="str">
        <f>'M-Servicio'!C5</f>
        <v>Corte de barba</v>
      </c>
      <c r="D5" s="45">
        <v>10</v>
      </c>
      <c r="E5" s="45">
        <v>5</v>
      </c>
      <c r="F5" s="26" t="str">
        <f t="shared" si="0"/>
        <v>Juan Ortiz-Corte de barba</v>
      </c>
    </row>
    <row r="6" spans="1:6" ht="14.25" customHeight="1" x14ac:dyDescent="0.25">
      <c r="A6" s="26">
        <v>3</v>
      </c>
      <c r="B6" s="33" t="str">
        <f>_xlfn.CONCAT('M-Barbero'!B6," ",'M-Barbero'!D6)</f>
        <v>Carlos Arbeladez</v>
      </c>
      <c r="C6" s="33" t="str">
        <f>'M-Servicio'!C6</f>
        <v>Perfilada de barba</v>
      </c>
      <c r="D6" s="45">
        <v>15</v>
      </c>
      <c r="E6" s="45">
        <v>5</v>
      </c>
      <c r="F6" s="26" t="str">
        <f t="shared" si="0"/>
        <v>Carlos Arbeladez-Perfilada de barba</v>
      </c>
    </row>
    <row r="7" spans="1:6" ht="14.25" customHeight="1" x14ac:dyDescent="0.25">
      <c r="A7" s="26">
        <v>4</v>
      </c>
      <c r="B7" s="33" t="str">
        <f>_xlfn.CONCAT('M-Barbero'!B7," ",'M-Barbero'!D7)</f>
        <v>Andres Ramirez</v>
      </c>
      <c r="C7" s="33" t="str">
        <f>'M-Servicio'!C7</f>
        <v>Arreglo completo de barba con toalla caliente</v>
      </c>
      <c r="D7" s="45">
        <v>40</v>
      </c>
      <c r="E7" s="45">
        <v>10</v>
      </c>
      <c r="F7" s="26" t="str">
        <f t="shared" si="0"/>
        <v>Andres Ramirez-Arreglo completo de barba con toalla caliente</v>
      </c>
    </row>
    <row r="8" spans="1:6" ht="14.25" customHeight="1" x14ac:dyDescent="0.25">
      <c r="A8" s="26">
        <v>5</v>
      </c>
      <c r="B8" s="33" t="str">
        <f>_xlfn.CONCAT('M-Barbero'!B5," ",'M-Barbero'!D5)</f>
        <v>Juan Ortiz</v>
      </c>
      <c r="C8" s="33" t="str">
        <f>'M-Servicio'!C4</f>
        <v>Motilada</v>
      </c>
      <c r="D8" s="45">
        <v>40</v>
      </c>
      <c r="E8" s="45">
        <v>10</v>
      </c>
      <c r="F8" s="26" t="str">
        <f t="shared" si="0"/>
        <v>Juan Ortiz-Motilada</v>
      </c>
    </row>
    <row r="9" spans="1:6" ht="14.25" customHeight="1" x14ac:dyDescent="0.25">
      <c r="A9" s="26">
        <v>6</v>
      </c>
      <c r="B9" s="33" t="str">
        <f>_xlfn.CONCAT('M-Barbero'!B6," ",'M-Barbero'!D6)</f>
        <v>Carlos Arbeladez</v>
      </c>
      <c r="C9" s="33" t="str">
        <f>'M-Servicio'!C5</f>
        <v>Corte de barba</v>
      </c>
      <c r="D9" s="45">
        <v>15</v>
      </c>
      <c r="E9" s="45">
        <v>5</v>
      </c>
      <c r="F9" s="26" t="str">
        <f t="shared" si="0"/>
        <v>Carlos Arbeladez-Corte de barba</v>
      </c>
    </row>
    <row r="10" spans="1:6" ht="14.25" customHeight="1" x14ac:dyDescent="0.25">
      <c r="A10" s="26">
        <v>7</v>
      </c>
      <c r="B10" s="33" t="str">
        <f>_xlfn.CONCAT('M-Barbero'!B4," ",'M-Barbero'!D4)</f>
        <v>Juan García</v>
      </c>
      <c r="C10" s="33" t="str">
        <f>'M-Servicio'!C6</f>
        <v>Perfilada de barba</v>
      </c>
      <c r="D10" s="45">
        <v>20</v>
      </c>
      <c r="E10" s="45">
        <v>5</v>
      </c>
      <c r="F10" s="26" t="str">
        <f t="shared" si="0"/>
        <v>Juan García-Perfilada de barba</v>
      </c>
    </row>
    <row r="11" spans="1:6" ht="14.25" customHeight="1" x14ac:dyDescent="0.25">
      <c r="A11" s="26">
        <v>8</v>
      </c>
      <c r="B11" s="33" t="str">
        <f>_xlfn.CONCAT('M-Barbero'!B7," ",'M-Barbero'!D7)</f>
        <v>Andres Ramirez</v>
      </c>
      <c r="C11" s="33" t="str">
        <f>'M-Servicio'!C4</f>
        <v>Motilada</v>
      </c>
      <c r="D11" s="45">
        <v>50</v>
      </c>
      <c r="E11" s="45">
        <v>15</v>
      </c>
      <c r="F11" s="26" t="str">
        <f t="shared" si="0"/>
        <v>Andres Ramirez-Motilada</v>
      </c>
    </row>
    <row r="12" spans="1:6" ht="14.25" customHeight="1" x14ac:dyDescent="0.25">
      <c r="A12" s="26">
        <v>9</v>
      </c>
      <c r="B12" s="33" t="str">
        <f>_xlfn.CONCAT('M-Barbero'!B8," ",'M-Barbero'!D8)</f>
        <v>Juan Zambrano</v>
      </c>
      <c r="C12" s="33" t="str">
        <f>'M-Servicio'!C5</f>
        <v>Corte de barba</v>
      </c>
      <c r="D12" s="45">
        <v>12</v>
      </c>
      <c r="E12" s="45">
        <v>5</v>
      </c>
      <c r="F12" s="26" t="str">
        <f t="shared" si="0"/>
        <v>Juan Zambrano-Corte de barba</v>
      </c>
    </row>
    <row r="13" spans="1:6" ht="30" customHeight="1" x14ac:dyDescent="0.25">
      <c r="B13" s="35"/>
    </row>
    <row r="14" spans="1:6" ht="30" customHeight="1" x14ac:dyDescent="0.25">
      <c r="B14" s="35"/>
    </row>
    <row r="15" spans="1:6" ht="45" customHeight="1" x14ac:dyDescent="0.25">
      <c r="B15" s="35"/>
    </row>
    <row r="16" spans="1:6" ht="30" customHeight="1" x14ac:dyDescent="0.25">
      <c r="B16" s="35"/>
    </row>
    <row r="17" spans="1:2" ht="30" customHeight="1" x14ac:dyDescent="0.25">
      <c r="B17" s="35"/>
    </row>
    <row r="18" spans="1:2" ht="30" customHeight="1" x14ac:dyDescent="0.25">
      <c r="A18" s="34"/>
      <c r="B18" s="35" t="s">
        <v>80</v>
      </c>
    </row>
    <row r="19" spans="1:2" ht="30" customHeight="1" x14ac:dyDescent="0.25">
      <c r="A19" s="36"/>
      <c r="B19" s="35" t="s">
        <v>81</v>
      </c>
    </row>
    <row r="20" spans="1:2" ht="45" customHeight="1" x14ac:dyDescent="0.25">
      <c r="A20" s="57"/>
      <c r="B20" s="35" t="s">
        <v>203</v>
      </c>
    </row>
    <row r="21" spans="1:2" ht="30" customHeight="1" x14ac:dyDescent="0.25">
      <c r="A21" s="77"/>
      <c r="B21" s="35" t="s">
        <v>83</v>
      </c>
    </row>
    <row r="22" spans="1:2" ht="30" customHeight="1" x14ac:dyDescent="0.25">
      <c r="A22" s="78"/>
      <c r="B22" s="35" t="s">
        <v>86</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 ref="B3" location="'M-Barbero'!A1" display="barbero" xr:uid="{00000000-0004-0000-1100-000002000000}"/>
    <hyperlink ref="C3" location="'M-Servicio'!A1" display="servicio" xr:uid="{00000000-0004-0000-1100-000003000000}"/>
    <hyperlink ref="B4" location="Barbero_D!A4" display="#Barbero_D.A4" xr:uid="{00000000-0004-0000-1100-000004000000}"/>
    <hyperlink ref="C4" location="Servicio_D!A4" display="#Servicio_D.A4" xr:uid="{00000000-0004-0000-1100-000005000000}"/>
    <hyperlink ref="B5" location="Barbero_D!A5" display="#Barbero_D.A5" xr:uid="{00000000-0004-0000-1100-000006000000}"/>
    <hyperlink ref="C5" location="Servicio_D!A5" display="#Servicio_D.A5" xr:uid="{00000000-0004-0000-1100-000007000000}"/>
    <hyperlink ref="B6" location="Barbero_D!A6" display="#Barbero_D.A6" xr:uid="{00000000-0004-0000-1100-000008000000}"/>
    <hyperlink ref="C6" location="Servicio_D!A6" display="#Servicio_D.A6" xr:uid="{00000000-0004-0000-1100-000009000000}"/>
    <hyperlink ref="B7" location="Barbero_D!A7" display="#Barbero_D.A7" xr:uid="{00000000-0004-0000-1100-00000A000000}"/>
    <hyperlink ref="C7" location="Servicio_D!A7" display="#Servicio_D.A7" xr:uid="{00000000-0004-0000-1100-00000B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9"/>
  <sheetViews>
    <sheetView zoomScaleNormal="100" workbookViewId="0">
      <selection activeCell="N6" sqref="N6"/>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'M-HorarioBarbero'!A3</f>
        <v>id</v>
      </c>
      <c r="B3" s="15" t="str">
        <f>'M-HorarioBarbero'!A2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28.5" customHeight="1" x14ac:dyDescent="0.25">
      <c r="A4" s="14" t="str">
        <f>'M-HorarioBarbero'!B3</f>
        <v>barbero</v>
      </c>
      <c r="B4" s="15" t="str">
        <f>'M-HorarioBarbero'!B2</f>
        <v>Referencia a que barbero va a ser dueño de esta agenda</v>
      </c>
      <c r="C4" s="14" t="s">
        <v>51</v>
      </c>
      <c r="D4" s="128" t="s">
        <v>9</v>
      </c>
      <c r="E4" s="14" t="s">
        <v>49</v>
      </c>
      <c r="F4" s="14"/>
      <c r="G4" s="14"/>
      <c r="H4" s="14"/>
      <c r="I4" s="14"/>
      <c r="J4" s="14"/>
      <c r="K4" s="14"/>
      <c r="L4" s="14"/>
      <c r="M4" s="15" t="s">
        <v>155</v>
      </c>
      <c r="N4" s="14" t="s">
        <v>51</v>
      </c>
      <c r="O4" s="14" t="s">
        <v>51</v>
      </c>
      <c r="P4" s="14"/>
      <c r="Q4" s="14" t="s">
        <v>51</v>
      </c>
      <c r="R4" s="14" t="s">
        <v>51</v>
      </c>
      <c r="S4" s="14" t="s">
        <v>51</v>
      </c>
      <c r="T4" s="14"/>
      <c r="U4" s="14" t="s">
        <v>51</v>
      </c>
    </row>
    <row r="5" spans="1:21" ht="45" x14ac:dyDescent="0.25">
      <c r="A5" s="14" t="s">
        <v>230</v>
      </c>
      <c r="B5" s="15" t="str">
        <f>'M-HorarioBarbero'!C2</f>
        <v>Hace referencia a la agenda del barbero en la que queda guardado este horario de trabajo</v>
      </c>
      <c r="C5" s="14" t="s">
        <v>51</v>
      </c>
      <c r="D5" s="128" t="s">
        <v>13</v>
      </c>
      <c r="E5" s="14" t="s">
        <v>49</v>
      </c>
      <c r="F5" s="14"/>
      <c r="G5" s="14"/>
      <c r="H5" s="14"/>
      <c r="I5" s="14"/>
      <c r="J5" s="14"/>
      <c r="K5" s="14"/>
      <c r="L5" s="14"/>
      <c r="M5" s="15"/>
      <c r="N5" s="14" t="s">
        <v>51</v>
      </c>
      <c r="O5" s="14"/>
      <c r="P5" s="14"/>
      <c r="Q5" s="14"/>
      <c r="R5" s="14"/>
      <c r="S5" s="14"/>
      <c r="T5" s="14"/>
      <c r="U5" s="14" t="s">
        <v>51</v>
      </c>
    </row>
    <row r="6" spans="1:21" ht="114.75" customHeight="1" x14ac:dyDescent="0.25">
      <c r="A6" s="14" t="str">
        <f>'M-HorarioBarbero'!D3</f>
        <v>diaDeLaSemana</v>
      </c>
      <c r="B6" s="15" t="str">
        <f>'M-HorarioBarbero'!D2</f>
        <v>Representa el día de la semana en que aplica este horario que para la agenda del barbero, es necesario porque un barbero puede trabajar unos días sí y otros no. Su valor por defecto es el vacío y no es permitido, el barbero solo podra seleccionar los días de la semana que la barberia tiene en su horario</v>
      </c>
      <c r="C6" s="14" t="s">
        <v>51</v>
      </c>
      <c r="D6" s="14" t="s">
        <v>52</v>
      </c>
      <c r="E6" s="14" t="s">
        <v>49</v>
      </c>
      <c r="F6" s="14">
        <v>5</v>
      </c>
      <c r="G6" s="14">
        <v>9</v>
      </c>
      <c r="H6" s="14"/>
      <c r="I6" s="14"/>
      <c r="J6" s="14"/>
      <c r="K6" s="14"/>
      <c r="L6" s="14"/>
      <c r="M6" s="15" t="s">
        <v>214</v>
      </c>
      <c r="N6" s="14" t="s">
        <v>51</v>
      </c>
      <c r="O6" s="14" t="s">
        <v>51</v>
      </c>
      <c r="P6" s="14"/>
      <c r="Q6" s="14" t="s">
        <v>51</v>
      </c>
      <c r="R6" s="14" t="s">
        <v>51</v>
      </c>
      <c r="S6" s="14" t="s">
        <v>51</v>
      </c>
      <c r="T6" s="14"/>
      <c r="U6" s="14" t="s">
        <v>51</v>
      </c>
    </row>
    <row r="7" spans="1:21" ht="72" customHeight="1" x14ac:dyDescent="0.25">
      <c r="A7" s="14" t="str">
        <f>'M-HorarioBarbero'!E3</f>
        <v>horaInicio</v>
      </c>
      <c r="B7" s="15" t="str">
        <f>'M-HorarioBarbero'!E2</f>
        <v>Representa la hora en la que el barbero empieza a estar disponible ese dia. Su valor por defecto es 00:00 y es permitido. La hora debe de estar dentro del horario barberia</v>
      </c>
      <c r="C7" s="14" t="s">
        <v>51</v>
      </c>
      <c r="D7" s="14" t="s">
        <v>156</v>
      </c>
      <c r="E7" s="14" t="s">
        <v>51</v>
      </c>
      <c r="F7" s="14"/>
      <c r="G7" s="14"/>
      <c r="H7" s="14"/>
      <c r="I7" s="14"/>
      <c r="J7" s="14"/>
      <c r="K7" s="14"/>
      <c r="L7" s="14" t="s">
        <v>157</v>
      </c>
      <c r="M7" s="15" t="s">
        <v>215</v>
      </c>
      <c r="N7" s="14" t="s">
        <v>51</v>
      </c>
      <c r="O7" s="14" t="s">
        <v>51</v>
      </c>
      <c r="P7" s="14"/>
      <c r="Q7" s="14"/>
      <c r="R7" s="14"/>
      <c r="S7" s="14" t="s">
        <v>51</v>
      </c>
      <c r="T7" s="14" t="s">
        <v>158</v>
      </c>
      <c r="U7" s="14" t="s">
        <v>51</v>
      </c>
    </row>
    <row r="8" spans="1:21" ht="129" customHeight="1" x14ac:dyDescent="0.25">
      <c r="A8" s="14" t="str">
        <f>'M-HorarioBarbero'!F3</f>
        <v>horaFinal</v>
      </c>
      <c r="B8" s="15" t="str">
        <f>'M-HorarioBarbero'!F2</f>
        <v>Representa la hora en la que el barbero deja de estar disponible ese día, junto con horaInicio, es lo que la aplicación usa para saber si hay campo para agendar una cita nueva. Su valor por defecto es 00:00 y no es permitido. Esta hora debe de ser mayor a horaInicio y también debe de estar dentro de horario barberia</v>
      </c>
      <c r="C8" s="14" t="s">
        <v>51</v>
      </c>
      <c r="D8" s="14" t="s">
        <v>156</v>
      </c>
      <c r="E8" s="14" t="s">
        <v>49</v>
      </c>
      <c r="F8" s="14"/>
      <c r="G8" s="14"/>
      <c r="H8" s="14"/>
      <c r="I8" s="14"/>
      <c r="J8" s="14"/>
      <c r="K8" s="14"/>
      <c r="L8" s="14" t="s">
        <v>157</v>
      </c>
      <c r="M8" s="15" t="s">
        <v>216</v>
      </c>
      <c r="N8" s="14" t="s">
        <v>51</v>
      </c>
      <c r="O8" s="14" t="s">
        <v>51</v>
      </c>
      <c r="P8" s="14"/>
      <c r="Q8" s="14"/>
      <c r="R8" s="14"/>
      <c r="S8" s="14" t="s">
        <v>51</v>
      </c>
      <c r="T8" s="129">
        <v>0</v>
      </c>
      <c r="U8" s="14" t="s">
        <v>51</v>
      </c>
    </row>
    <row r="9" spans="1:21" ht="57" customHeight="1" x14ac:dyDescent="0.25">
      <c r="A9" s="14" t="str">
        <f>'M-HorarioBarbero'!G3</f>
        <v>fechaCreacion</v>
      </c>
      <c r="B9" s="15" t="str">
        <f>'M-HorarioBarbero'!G2</f>
        <v>Representa la fecha en el que el barbero creo esta agenda. Es un dato calculado que toma la fecha de hoy cuando el barbero crea la agenda</v>
      </c>
      <c r="C9" s="14" t="s">
        <v>51</v>
      </c>
      <c r="D9" s="14" t="s">
        <v>55</v>
      </c>
      <c r="E9" s="14" t="s">
        <v>49</v>
      </c>
      <c r="F9" s="14"/>
      <c r="G9" s="14"/>
      <c r="H9" s="14"/>
      <c r="I9" s="14"/>
      <c r="J9" s="14"/>
      <c r="K9" s="14"/>
      <c r="L9" s="14" t="s">
        <v>56</v>
      </c>
      <c r="M9" s="15" t="s">
        <v>217</v>
      </c>
      <c r="N9" s="14" t="s">
        <v>49</v>
      </c>
      <c r="O9" s="14" t="s">
        <v>51</v>
      </c>
      <c r="P9" s="14"/>
      <c r="Q9" s="14"/>
      <c r="R9" s="14"/>
      <c r="S9" s="14" t="s">
        <v>51</v>
      </c>
      <c r="T9" s="14"/>
      <c r="U9" s="14" t="s">
        <v>51</v>
      </c>
    </row>
    <row r="10" spans="1:21" ht="86.25" customHeight="1" x14ac:dyDescent="0.25">
      <c r="A10" s="14" t="str">
        <f>'M-HorarioBarbero'!H3</f>
        <v>fechaDesactivacion</v>
      </c>
      <c r="B10" s="15" t="str">
        <f>'M-HorarioBarbero'!H2</f>
        <v>Representa la fecha en el que el barbero decidio que ya no va a trabaja más en este horario. Es un dato calculo que toma la fecha de hoy cuando el barbero dice que ya no es vigente</v>
      </c>
      <c r="C10" s="14" t="s">
        <v>51</v>
      </c>
      <c r="D10" s="14" t="s">
        <v>55</v>
      </c>
      <c r="E10" s="14" t="s">
        <v>51</v>
      </c>
      <c r="F10" s="14"/>
      <c r="G10" s="14"/>
      <c r="H10" s="14"/>
      <c r="I10" s="14"/>
      <c r="J10" s="14"/>
      <c r="K10" s="14"/>
      <c r="L10" s="14" t="s">
        <v>56</v>
      </c>
      <c r="M10" s="15" t="s">
        <v>57</v>
      </c>
      <c r="N10" s="14" t="s">
        <v>49</v>
      </c>
      <c r="O10" s="14" t="s">
        <v>51</v>
      </c>
      <c r="P10" s="14"/>
      <c r="Q10" s="14"/>
      <c r="R10" s="14"/>
      <c r="S10" s="14" t="s">
        <v>51</v>
      </c>
      <c r="T10" s="14" t="s">
        <v>58</v>
      </c>
      <c r="U10" s="14" t="s">
        <v>51</v>
      </c>
    </row>
    <row r="11" spans="1:21" ht="57" customHeight="1" x14ac:dyDescent="0.25">
      <c r="A11" s="14" t="str">
        <f>'M-HorarioBarbero'!I3</f>
        <v>vigente</v>
      </c>
      <c r="B11" s="15" t="str">
        <f>'M-HorarioBarbero'!I2</f>
        <v>Representa si este horario lo sigue o no usando el barbero. Una vez que el barbero cambie este estado a no vigente, no se puede volver a cambiar</v>
      </c>
      <c r="C11" s="14" t="s">
        <v>51</v>
      </c>
      <c r="D11" s="14" t="s">
        <v>59</v>
      </c>
      <c r="E11" s="14" t="s">
        <v>51</v>
      </c>
      <c r="F11" s="14"/>
      <c r="G11" s="14"/>
      <c r="H11" s="14"/>
      <c r="I11" s="14"/>
      <c r="J11" s="14"/>
      <c r="K11" s="14"/>
      <c r="L11" s="14"/>
      <c r="M11" s="15" t="s">
        <v>60</v>
      </c>
      <c r="N11" s="14" t="s">
        <v>51</v>
      </c>
      <c r="O11" s="14" t="s">
        <v>51</v>
      </c>
      <c r="P11" s="14"/>
      <c r="Q11" s="14"/>
      <c r="R11" s="14"/>
      <c r="S11" s="14" t="s">
        <v>51</v>
      </c>
      <c r="T11" s="14" t="s">
        <v>49</v>
      </c>
      <c r="U11" s="14" t="s">
        <v>51</v>
      </c>
    </row>
    <row r="12" spans="1:21" ht="14.25" customHeight="1" x14ac:dyDescent="0.25">
      <c r="A12" s="5"/>
      <c r="B12" s="5"/>
      <c r="C12" s="5"/>
      <c r="D12" s="5"/>
      <c r="E12" s="5"/>
      <c r="F12" s="5"/>
      <c r="G12" s="5"/>
      <c r="H12" s="5"/>
      <c r="I12" s="5"/>
      <c r="J12" s="5"/>
      <c r="K12" s="5"/>
      <c r="L12" s="5"/>
      <c r="M12" s="5"/>
      <c r="N12" s="5"/>
      <c r="O12" s="5"/>
      <c r="P12" s="5"/>
      <c r="Q12" s="5"/>
      <c r="R12" s="5"/>
      <c r="S12" s="5"/>
      <c r="T12" s="5"/>
      <c r="U12" s="5"/>
    </row>
    <row r="13" spans="1:21" ht="14.25" customHeight="1" x14ac:dyDescent="0.25">
      <c r="A13" s="17" t="s">
        <v>62</v>
      </c>
      <c r="B13" s="17" t="s">
        <v>63</v>
      </c>
      <c r="C13" s="17" t="s">
        <v>64</v>
      </c>
      <c r="D13" s="38"/>
      <c r="E13" s="38"/>
      <c r="F13" s="38"/>
      <c r="G13" s="38"/>
      <c r="H13" s="38"/>
      <c r="I13" s="38"/>
      <c r="J13" s="38"/>
      <c r="K13" s="38"/>
      <c r="L13" s="38"/>
      <c r="M13" s="38"/>
      <c r="N13" s="38"/>
      <c r="O13" s="38"/>
      <c r="P13" s="38"/>
      <c r="Q13" s="38"/>
      <c r="R13" s="38"/>
      <c r="S13" s="38"/>
      <c r="T13" s="38"/>
      <c r="U13" s="38"/>
    </row>
    <row r="14" spans="1:21" ht="14.25" customHeight="1" x14ac:dyDescent="0.25">
      <c r="A14" s="130" t="str">
        <f>'M-HorarioBarbero'!M3</f>
        <v>Combinación única</v>
      </c>
      <c r="B14" s="131" t="str">
        <f>'M-HorarioBarbero'!M2</f>
        <v>Combinación única que indica que un barbero no puede tener más de una agenda, cada barbero organiza todo su tiempo en un único lugar</v>
      </c>
      <c r="C14" s="39" t="str">
        <f>A4</f>
        <v>barbero</v>
      </c>
      <c r="D14" s="5"/>
      <c r="E14" s="5"/>
      <c r="F14" s="5"/>
      <c r="G14" s="5"/>
      <c r="H14" s="5"/>
      <c r="I14" s="5"/>
      <c r="J14" s="5"/>
      <c r="K14" s="5"/>
      <c r="L14" s="5"/>
      <c r="M14" s="5"/>
      <c r="N14" s="5"/>
      <c r="O14" s="5"/>
      <c r="P14" s="5"/>
      <c r="Q14" s="5"/>
      <c r="R14" s="5"/>
      <c r="S14" s="5"/>
      <c r="T14" s="5"/>
      <c r="U14" s="5"/>
    </row>
    <row r="15" spans="1:21" ht="14.25" customHeight="1" x14ac:dyDescent="0.25">
      <c r="A15" s="130"/>
      <c r="B15" s="130"/>
      <c r="C15" s="39" t="str">
        <f t="shared" ref="C15:C19" si="0">A6</f>
        <v>diaDeLaSemana</v>
      </c>
      <c r="D15" s="5"/>
      <c r="E15" s="5"/>
      <c r="F15" s="5"/>
      <c r="G15" s="5"/>
      <c r="H15" s="5"/>
      <c r="I15" s="5"/>
      <c r="J15" s="5"/>
      <c r="K15" s="5"/>
      <c r="L15" s="5"/>
      <c r="M15" s="5"/>
      <c r="N15" s="5"/>
      <c r="O15" s="5"/>
      <c r="P15" s="5"/>
      <c r="Q15" s="5"/>
      <c r="R15" s="5"/>
      <c r="S15" s="5"/>
      <c r="T15" s="5"/>
      <c r="U15" s="5"/>
    </row>
    <row r="16" spans="1:21" ht="14.25" customHeight="1" x14ac:dyDescent="0.25">
      <c r="A16" s="130"/>
      <c r="B16" s="130"/>
      <c r="C16" s="39" t="str">
        <f t="shared" si="0"/>
        <v>horaInicio</v>
      </c>
      <c r="D16" s="5"/>
      <c r="E16" s="5"/>
      <c r="F16" s="5"/>
      <c r="G16" s="5"/>
      <c r="H16" s="5"/>
      <c r="I16" s="5"/>
      <c r="J16" s="5"/>
      <c r="K16" s="5"/>
      <c r="L16" s="5"/>
      <c r="M16" s="5"/>
      <c r="N16" s="5"/>
      <c r="O16" s="5"/>
      <c r="P16" s="5"/>
      <c r="Q16" s="5"/>
      <c r="R16" s="5"/>
      <c r="S16" s="5"/>
      <c r="T16" s="5"/>
      <c r="U16" s="5"/>
    </row>
    <row r="17" spans="1:21" ht="14.25" customHeight="1" x14ac:dyDescent="0.25">
      <c r="A17" s="130"/>
      <c r="B17" s="130"/>
      <c r="C17" s="39" t="str">
        <f t="shared" si="0"/>
        <v>horaFinal</v>
      </c>
      <c r="D17" s="5"/>
      <c r="E17" s="5"/>
      <c r="F17" s="5"/>
      <c r="G17" s="5"/>
      <c r="H17" s="5"/>
      <c r="I17" s="5"/>
      <c r="J17" s="5"/>
      <c r="K17" s="5"/>
      <c r="L17" s="5"/>
      <c r="M17" s="5"/>
      <c r="N17" s="5"/>
      <c r="O17" s="5"/>
      <c r="P17" s="5"/>
      <c r="Q17" s="5"/>
      <c r="R17" s="5"/>
      <c r="S17" s="5"/>
      <c r="T17" s="5"/>
      <c r="U17" s="5"/>
    </row>
    <row r="18" spans="1:21" ht="14.25" customHeight="1" x14ac:dyDescent="0.25">
      <c r="A18" s="130"/>
      <c r="B18" s="130"/>
      <c r="C18" s="39" t="str">
        <f t="shared" si="0"/>
        <v>fechaCreacion</v>
      </c>
      <c r="D18" s="5"/>
      <c r="E18" s="5"/>
      <c r="F18" s="5"/>
      <c r="G18" s="5"/>
      <c r="H18" s="5"/>
      <c r="I18" s="5"/>
      <c r="J18" s="5"/>
      <c r="K18" s="5"/>
      <c r="L18" s="5"/>
      <c r="M18" s="5"/>
      <c r="N18" s="5"/>
      <c r="O18" s="5"/>
      <c r="P18" s="5"/>
      <c r="Q18" s="5"/>
      <c r="R18" s="5"/>
      <c r="S18" s="5"/>
      <c r="T18" s="5"/>
      <c r="U18" s="5"/>
    </row>
    <row r="19" spans="1:21" ht="14.25" customHeight="1" x14ac:dyDescent="0.25">
      <c r="A19" s="130"/>
      <c r="B19" s="130"/>
      <c r="C19" s="39" t="str">
        <f t="shared" si="0"/>
        <v>fechaDesactivacion</v>
      </c>
      <c r="D19" s="5"/>
      <c r="E19" s="5"/>
      <c r="F19" s="5"/>
      <c r="G19" s="5"/>
      <c r="H19" s="5"/>
      <c r="I19" s="5"/>
      <c r="J19" s="5"/>
      <c r="K19" s="5"/>
      <c r="L19" s="5"/>
      <c r="M19" s="5"/>
      <c r="N19" s="5"/>
      <c r="O19" s="5"/>
      <c r="P19" s="5"/>
      <c r="Q19" s="5"/>
      <c r="R19" s="5"/>
      <c r="S19" s="5"/>
      <c r="T19" s="5"/>
      <c r="U19" s="5"/>
    </row>
  </sheetData>
  <mergeCells count="2">
    <mergeCell ref="A14:A19"/>
    <mergeCell ref="B14:B19"/>
  </mergeCells>
  <hyperlinks>
    <hyperlink ref="A1" location="'Modelo de Dominio'!A1" display="&lt;&lt;&lt;&lt; Ir al modulo de dominio" xr:uid="{00000000-0004-0000-1200-000000000000}"/>
    <hyperlink ref="B1" location="'Objetos de Dominio'!A1" display="&lt;&lt;&lt;&lt; Ir a objetos de dominio" xr:uid="{00000000-0004-0000-1200-000001000000}"/>
    <hyperlink ref="D4" location="'C-Barbero'!A1" display="Barbero" xr:uid="{B86CB38E-7CB5-4552-A9A8-4DA5BD24463A}"/>
    <hyperlink ref="D5" location="'C-Agenda'!A1" display="Agenda" xr:uid="{84704B50-D08B-403B-BF24-51366B516C83}"/>
  </hyperlink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19"/>
  <sheetViews>
    <sheetView tabSelected="1" topLeftCell="A6" zoomScale="130" zoomScaleNormal="130" workbookViewId="0"/>
  </sheetViews>
  <sheetFormatPr baseColWidth="10" defaultColWidth="10.7109375" defaultRowHeight="15" x14ac:dyDescent="0.25"/>
  <cols>
    <col min="1" max="1" width="27" customWidth="1"/>
    <col min="2" max="3" width="32.85546875" customWidth="1"/>
    <col min="4" max="4" width="45.42578125" customWidth="1"/>
    <col min="5" max="5" width="23.5703125" customWidth="1"/>
    <col min="6" max="9" width="36" customWidth="1"/>
    <col min="10" max="10" width="31" customWidth="1"/>
    <col min="11" max="12" width="31.28515625" customWidth="1"/>
    <col min="13" max="13" width="55.140625" customWidth="1"/>
  </cols>
  <sheetData>
    <row r="1" spans="1:13" ht="14.25" customHeight="1" x14ac:dyDescent="0.25">
      <c r="A1" s="6" t="s">
        <v>1</v>
      </c>
      <c r="B1" s="6" t="s">
        <v>27</v>
      </c>
      <c r="C1" s="6"/>
      <c r="D1" s="6"/>
      <c r="E1" s="6"/>
      <c r="F1" s="6"/>
      <c r="G1" s="6"/>
      <c r="H1" s="6"/>
      <c r="I1" s="6"/>
      <c r="J1" s="6"/>
      <c r="K1" s="6"/>
      <c r="L1" s="6"/>
    </row>
    <row r="2" spans="1:13" ht="69" customHeight="1" x14ac:dyDescent="0.25">
      <c r="A2" s="19" t="s">
        <v>65</v>
      </c>
      <c r="B2" s="19" t="s">
        <v>218</v>
      </c>
      <c r="C2" s="19" t="s">
        <v>219</v>
      </c>
      <c r="D2" s="19" t="s">
        <v>220</v>
      </c>
      <c r="E2" s="19" t="s">
        <v>221</v>
      </c>
      <c r="F2" s="19" t="s">
        <v>222</v>
      </c>
      <c r="G2" s="19" t="s">
        <v>223</v>
      </c>
      <c r="H2" s="19" t="s">
        <v>224</v>
      </c>
      <c r="I2" s="19" t="s">
        <v>225</v>
      </c>
      <c r="J2" s="19" t="s">
        <v>226</v>
      </c>
      <c r="K2" s="19" t="s">
        <v>227</v>
      </c>
      <c r="L2" s="19" t="s">
        <v>228</v>
      </c>
      <c r="M2" s="48" t="s">
        <v>229</v>
      </c>
    </row>
    <row r="3" spans="1:13" ht="14.25" customHeight="1" x14ac:dyDescent="0.25">
      <c r="A3" s="20" t="s">
        <v>67</v>
      </c>
      <c r="B3" s="82" t="s">
        <v>210</v>
      </c>
      <c r="C3" s="51" t="s">
        <v>230</v>
      </c>
      <c r="D3" s="21" t="s">
        <v>162</v>
      </c>
      <c r="E3" s="22" t="s">
        <v>231</v>
      </c>
      <c r="F3" s="22" t="s">
        <v>232</v>
      </c>
      <c r="G3" s="23" t="s">
        <v>69</v>
      </c>
      <c r="H3" s="23" t="s">
        <v>70</v>
      </c>
      <c r="I3" s="24" t="s">
        <v>71</v>
      </c>
      <c r="J3" s="22" t="s">
        <v>233</v>
      </c>
      <c r="K3" s="22" t="s">
        <v>234</v>
      </c>
      <c r="L3" s="24" t="s">
        <v>235</v>
      </c>
      <c r="M3" s="25" t="s">
        <v>72</v>
      </c>
    </row>
    <row r="4" spans="1:13" ht="30" customHeight="1" x14ac:dyDescent="0.25">
      <c r="A4" s="26">
        <v>1</v>
      </c>
      <c r="B4" s="83" t="str">
        <f>'M-Barbero'!K4</f>
        <v>Juan-Fernando-García-Lopez-+57-3245627890</v>
      </c>
      <c r="C4" s="83" t="str">
        <f>'M-Agenda'!C4</f>
        <v>Agenda de Juan García</v>
      </c>
      <c r="D4" s="55" t="s">
        <v>165</v>
      </c>
      <c r="E4" s="27">
        <v>0.41666666666666702</v>
      </c>
      <c r="F4" s="27">
        <v>0.66666666666666696</v>
      </c>
      <c r="G4" s="84">
        <v>45780</v>
      </c>
      <c r="H4" s="84" t="s">
        <v>74</v>
      </c>
      <c r="I4" s="27" t="s">
        <v>61</v>
      </c>
      <c r="J4" s="27">
        <v>0</v>
      </c>
      <c r="K4" s="27">
        <v>0</v>
      </c>
      <c r="L4" s="27" t="s">
        <v>51</v>
      </c>
      <c r="M4" s="76" t="str">
        <f>_xlfn.CONCAT(B4,"-",D4,"-",TEXT(E4,"hh:mm"),"-",TEXT(F4,"hh:mm"),"-",TEXT(G4,"dd/mm/yyyy"),"-",TEXT(H4,"dd/mm/yyyy"))</f>
        <v>Juan-Fernando-García-Lopez-+57-3245627890-Lunes-10:00-16:00-03/05/2025-1/01/1000</v>
      </c>
    </row>
    <row r="5" spans="1:13" ht="30" customHeight="1" x14ac:dyDescent="0.25">
      <c r="A5" s="26">
        <v>2</v>
      </c>
      <c r="B5" s="83" t="str">
        <f>'M-Barbero'!K5</f>
        <v>Juan-David-Ortiz-Sanchez-+57-3124518923</v>
      </c>
      <c r="C5" s="83" t="str">
        <f>'M-Agenda'!C5</f>
        <v>Agenda de Juan Ortiz</v>
      </c>
      <c r="D5" s="26" t="s">
        <v>166</v>
      </c>
      <c r="E5" s="27">
        <v>0.375</v>
      </c>
      <c r="F5" s="27">
        <v>0.625</v>
      </c>
      <c r="G5" s="84">
        <v>45718</v>
      </c>
      <c r="H5" s="84" t="s">
        <v>74</v>
      </c>
      <c r="I5" s="27" t="s">
        <v>61</v>
      </c>
      <c r="J5" s="27">
        <v>0.54166666666666696</v>
      </c>
      <c r="K5" s="27">
        <v>0.58333333333333304</v>
      </c>
      <c r="L5" s="27" t="s">
        <v>49</v>
      </c>
      <c r="M5" s="76" t="str">
        <f>_xlfn.CONCAT(B5,"-",D5,"-",TEXT(E5,"hh:mm"),"-",TEXT(F5,"hh:mm"),"-",TEXT(G5,"dd/mm/yyyy"),"-",TEXT(H5,"dd/mm/yyyy"))</f>
        <v>Juan-David-Ortiz-Sanchez-+57-3124518923-Martes-09:00-15:00-02/03/2025-1/01/1000</v>
      </c>
    </row>
    <row r="6" spans="1:13" ht="30" customHeight="1" x14ac:dyDescent="0.25">
      <c r="A6" s="26">
        <v>3</v>
      </c>
      <c r="B6" s="83" t="str">
        <f>'M-Barbero'!K6</f>
        <v>Carlos--Arbeladez--+57-3214533321</v>
      </c>
      <c r="C6" s="83" t="str">
        <f>'M-Agenda'!C6</f>
        <v>Agenda de Carlos Arbeladez</v>
      </c>
      <c r="D6" s="26" t="s">
        <v>168</v>
      </c>
      <c r="E6" s="27">
        <v>0.54166666666666696</v>
      </c>
      <c r="F6" s="27">
        <v>0.79166666666666696</v>
      </c>
      <c r="G6" s="84">
        <v>44917</v>
      </c>
      <c r="H6" s="85" t="s">
        <v>74</v>
      </c>
      <c r="I6" s="27" t="s">
        <v>61</v>
      </c>
      <c r="J6" s="27">
        <v>0.58333333333333304</v>
      </c>
      <c r="K6" s="27">
        <v>0.60416666666666696</v>
      </c>
      <c r="L6" s="27" t="s">
        <v>49</v>
      </c>
      <c r="M6" s="76" t="str">
        <f>_xlfn.CONCAT(B6,"-",D6,"-",TEXT(E6,"hh:mm"),"-",TEXT(F6,"hh:mm"),"-",TEXT(G6,"dd/mm/yyyy"),"-",TEXT(H6,"dd/mm/yyyy"))</f>
        <v>Carlos--Arbeladez--+57-3214533321-Jueves-13:00-19:00-22/12/2022-1/01/1000</v>
      </c>
    </row>
    <row r="7" spans="1:13" ht="30" customHeight="1" x14ac:dyDescent="0.25">
      <c r="A7" s="26">
        <v>4</v>
      </c>
      <c r="B7" s="83" t="str">
        <f>'M-Barbero'!K7</f>
        <v>Andres--Ramirez-Patiño-+91-9876543210</v>
      </c>
      <c r="C7" s="83" t="str">
        <f>'M-Agenda'!C7</f>
        <v>Agenda de Andres Ramirez</v>
      </c>
      <c r="D7" s="26" t="s">
        <v>170</v>
      </c>
      <c r="E7" s="27">
        <v>0.33333333333333298</v>
      </c>
      <c r="F7" s="27">
        <v>0.58333333333333304</v>
      </c>
      <c r="G7" s="86">
        <v>45915</v>
      </c>
      <c r="H7" s="84">
        <v>46023</v>
      </c>
      <c r="I7" s="87" t="s">
        <v>78</v>
      </c>
      <c r="J7" s="87">
        <v>0.5</v>
      </c>
      <c r="K7" s="87">
        <v>0.5625</v>
      </c>
      <c r="L7" s="87" t="s">
        <v>51</v>
      </c>
      <c r="M7" s="76" t="str">
        <f>_xlfn.CONCAT(B7,"-",D7,"-",TEXT(E7,"hh:mm"),"-",TEXT(F7,"hh:mm"),"-",TEXT(G7,"dd/mm/yyyy"),"-",TEXT(H7,"dd/mm/yyyy"))</f>
        <v>Andres--Ramirez-Patiño-+91-9876543210-Sábado-08:00-14:00-15/09/2025-01/01/2026</v>
      </c>
    </row>
    <row r="8" spans="1:13" ht="30" customHeight="1" x14ac:dyDescent="0.25">
      <c r="A8" s="26">
        <v>5</v>
      </c>
      <c r="B8" s="83" t="str">
        <f>'M-Barbero'!K7</f>
        <v>Andres--Ramirez-Patiño-+91-9876543210</v>
      </c>
      <c r="C8" s="83" t="str">
        <f>'M-Agenda'!C7</f>
        <v>Agenda de Andres Ramirez</v>
      </c>
      <c r="D8" s="26" t="s">
        <v>171</v>
      </c>
      <c r="E8" s="27">
        <v>0.5</v>
      </c>
      <c r="F8" s="27">
        <v>0.625</v>
      </c>
      <c r="G8" s="86">
        <v>46054</v>
      </c>
      <c r="H8" s="84">
        <v>46083</v>
      </c>
      <c r="I8" s="87" t="s">
        <v>78</v>
      </c>
      <c r="J8" s="87">
        <v>0</v>
      </c>
      <c r="K8" s="87">
        <v>0</v>
      </c>
      <c r="L8" s="87" t="s">
        <v>51</v>
      </c>
      <c r="M8" s="76" t="str">
        <f>_xlfn.CONCAT(B8,"-",D8,"-",TEXT(E8,"hh:mm"),"-",TEXT(F8,"hh:mm"),"-",TEXT(G8,"dd/mm/yyyy"),"-",TEXT(H8,"dd/mm/yyyy"))</f>
        <v>Andres--Ramirez-Patiño-+91-9876543210-Festivo-12:00-15:00-01/02/2026-02/03/2026</v>
      </c>
    </row>
    <row r="10" spans="1:13" ht="14.25" customHeight="1" x14ac:dyDescent="0.25">
      <c r="H10" s="88"/>
    </row>
    <row r="14" spans="1:13" ht="30" customHeight="1" x14ac:dyDescent="0.25">
      <c r="A14" s="34"/>
      <c r="B14" s="35" t="s">
        <v>80</v>
      </c>
      <c r="C14" s="35"/>
    </row>
    <row r="15" spans="1:13" ht="45" customHeight="1" x14ac:dyDescent="0.25">
      <c r="A15" s="36"/>
      <c r="B15" s="35" t="s">
        <v>81</v>
      </c>
      <c r="C15" s="35"/>
    </row>
    <row r="16" spans="1:13" ht="30" customHeight="1" x14ac:dyDescent="0.25">
      <c r="A16" s="57"/>
      <c r="B16" s="35" t="s">
        <v>172</v>
      </c>
      <c r="C16" s="35"/>
    </row>
    <row r="17" spans="1:3" ht="30" customHeight="1" x14ac:dyDescent="0.25">
      <c r="A17" s="37"/>
      <c r="B17" s="35" t="s">
        <v>82</v>
      </c>
      <c r="C17" s="35"/>
    </row>
    <row r="18" spans="1:3" ht="30" customHeight="1" x14ac:dyDescent="0.25">
      <c r="A18" s="58"/>
      <c r="B18" s="35" t="s">
        <v>173</v>
      </c>
      <c r="C18" s="35"/>
    </row>
    <row r="19" spans="1:3" ht="30" customHeight="1" x14ac:dyDescent="0.25">
      <c r="A19" s="47"/>
      <c r="B19" s="35" t="s">
        <v>86</v>
      </c>
      <c r="C19" s="35"/>
    </row>
  </sheetData>
  <hyperlinks>
    <hyperlink ref="A1" location="'Modelo de Dominio'!A1" display="&lt;&lt;&lt;&lt; Ir al modulo de dominio" xr:uid="{00000000-0004-0000-1300-000000000000}"/>
    <hyperlink ref="B1" location="'Objetos de Dominio'!A1" display="&lt;&lt;&lt;&lt; Ir a objetos de dominio" xr:uid="{00000000-0004-0000-1300-000001000000}"/>
    <hyperlink ref="B3" location="'M-Barbero'!A1" display="barbero" xr:uid="{00000000-0004-0000-1300-000002000000}"/>
    <hyperlink ref="B4" location="'M-Barbero'!A4" display="#'M-Barbero'.A4" xr:uid="{00000000-0004-0000-1300-000003000000}"/>
    <hyperlink ref="B5" location="'M-Barbero'!A5" display="#'M-Barbero'.A5" xr:uid="{00000000-0004-0000-1300-000004000000}"/>
    <hyperlink ref="B6" location="'M-Barbero'!A6" display="#'M-Barbero'.A6" xr:uid="{00000000-0004-0000-1300-000005000000}"/>
    <hyperlink ref="B7" location="'M-Barbero'!A7" display="#'M-Barbero'.A7" xr:uid="{00000000-0004-0000-1300-000006000000}"/>
    <hyperlink ref="B8" location="'M-Barbero'!A7" display="#'M-Barbero'.A7" xr:uid="{00000000-0004-0000-1300-000007000000}"/>
  </hyperlink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13"/>
  <sheetViews>
    <sheetView topLeftCell="A5" zoomScaleNormal="100" workbookViewId="0">
      <selection activeCell="S11" sqref="S11"/>
    </sheetView>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'M-Bloqueo'!A3</f>
        <v>id</v>
      </c>
      <c r="B3" s="15" t="str">
        <f>'M-Bloqueo'!A2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72" customHeight="1" x14ac:dyDescent="0.25">
      <c r="A4" s="14" t="str">
        <f>'M-Bloqueo'!B3</f>
        <v>agenda</v>
      </c>
      <c r="B4" s="15" t="str">
        <f>'M-Bloqueo'!B2</f>
        <v xml:space="preserve">
Hace referencia a la agenda (y por lo tanto al barbero) a la que pertenece este bloqueo, permite saber en cual agenda se va agregar el bloqueo</v>
      </c>
      <c r="C4" s="14" t="s">
        <v>51</v>
      </c>
      <c r="D4" s="128" t="s">
        <v>13</v>
      </c>
      <c r="E4" s="14" t="s">
        <v>49</v>
      </c>
      <c r="F4" s="14"/>
      <c r="G4" s="14"/>
      <c r="H4" s="14"/>
      <c r="I4" s="14"/>
      <c r="J4" s="14"/>
      <c r="K4" s="14"/>
      <c r="L4" s="14"/>
      <c r="M4" s="15" t="s">
        <v>155</v>
      </c>
      <c r="N4" s="14" t="s">
        <v>51</v>
      </c>
      <c r="O4" s="14" t="s">
        <v>51</v>
      </c>
      <c r="P4" s="14"/>
      <c r="Q4" s="14"/>
      <c r="R4" s="14"/>
      <c r="S4" s="14" t="s">
        <v>51</v>
      </c>
      <c r="T4" s="14"/>
      <c r="U4" s="14" t="s">
        <v>51</v>
      </c>
    </row>
    <row r="5" spans="1:21" ht="86.25" customHeight="1" x14ac:dyDescent="0.25">
      <c r="A5" s="14" t="str">
        <f>'M-Bloqueo'!C3</f>
        <v>fechaHoraInicio</v>
      </c>
      <c r="B5" s="15" t="str">
        <f>'M-Bloqueo'!C2</f>
        <v>Representa la fecha y la hora en el que va a empezar el bloqueo para la agenda del barbero. Su valor por defecto es 01/01/1000 00:00 y no es permitido. No se puden seleccionar fechas antes del momento de hoy, solo fechas futuras</v>
      </c>
      <c r="C5" s="14" t="s">
        <v>51</v>
      </c>
      <c r="D5" s="14" t="s">
        <v>237</v>
      </c>
      <c r="E5" s="14" t="s">
        <v>49</v>
      </c>
      <c r="F5" s="14"/>
      <c r="G5" s="14"/>
      <c r="H5" s="14"/>
      <c r="I5" s="14"/>
      <c r="J5" s="14"/>
      <c r="K5" s="14"/>
      <c r="L5" s="14" t="s">
        <v>238</v>
      </c>
      <c r="M5" s="15" t="s">
        <v>239</v>
      </c>
      <c r="N5" s="14" t="s">
        <v>51</v>
      </c>
      <c r="O5" s="14" t="s">
        <v>51</v>
      </c>
      <c r="P5" s="14"/>
      <c r="Q5" s="14"/>
      <c r="R5" s="14"/>
      <c r="S5" s="14" t="s">
        <v>51</v>
      </c>
      <c r="T5" s="14"/>
      <c r="U5" s="14" t="s">
        <v>51</v>
      </c>
    </row>
    <row r="6" spans="1:21" ht="86.25" customHeight="1" x14ac:dyDescent="0.25">
      <c r="A6" s="14" t="str">
        <f>'M-Bloqueo'!D3</f>
        <v>fechaHoraFinal</v>
      </c>
      <c r="B6" s="15" t="str">
        <f>'M-Bloqueo'!D2</f>
        <v>Representa la fecha y la hora en el que va a terminar el bloqueo para la agenda del barbero. Su valor por defecto es 01/01/1000 00:00 y no es permitido, la fecha debe de ser mayor a la fecha de inicio</v>
      </c>
      <c r="C6" s="14" t="s">
        <v>51</v>
      </c>
      <c r="D6" s="14" t="s">
        <v>237</v>
      </c>
      <c r="E6" s="14" t="s">
        <v>49</v>
      </c>
      <c r="F6" s="14"/>
      <c r="G6" s="14"/>
      <c r="H6" s="14"/>
      <c r="I6" s="14"/>
      <c r="J6" s="14"/>
      <c r="K6" s="14"/>
      <c r="L6" s="14" t="s">
        <v>238</v>
      </c>
      <c r="M6" s="15" t="s">
        <v>240</v>
      </c>
      <c r="N6" s="14" t="s">
        <v>51</v>
      </c>
      <c r="O6" s="14" t="s">
        <v>51</v>
      </c>
      <c r="P6" s="14"/>
      <c r="Q6" s="14"/>
      <c r="R6" s="14"/>
      <c r="S6" s="14" t="s">
        <v>51</v>
      </c>
      <c r="T6" s="14"/>
      <c r="U6" s="14" t="s">
        <v>51</v>
      </c>
    </row>
    <row r="7" spans="1:21" ht="42.75" customHeight="1" x14ac:dyDescent="0.25">
      <c r="A7" s="14" t="str">
        <f>'M-Bloqueo'!E3</f>
        <v>nombre</v>
      </c>
      <c r="B7" s="15" t="str">
        <f>'M-Bloqueo'!E2</f>
        <v>Representa como el barbero va a llamar este bloqueo para su agenda. Su valor por defecto es el vacio y no es permitido</v>
      </c>
      <c r="C7" s="14" t="s">
        <v>51</v>
      </c>
      <c r="D7" s="14" t="s">
        <v>52</v>
      </c>
      <c r="E7" s="14" t="s">
        <v>49</v>
      </c>
      <c r="F7" s="14">
        <v>3</v>
      </c>
      <c r="G7" s="14">
        <v>100</v>
      </c>
      <c r="H7" s="14"/>
      <c r="I7" s="14"/>
      <c r="J7" s="14"/>
      <c r="K7" s="14"/>
      <c r="L7" s="14"/>
      <c r="M7" s="15"/>
      <c r="N7" s="14" t="s">
        <v>51</v>
      </c>
      <c r="O7" s="14" t="s">
        <v>51</v>
      </c>
      <c r="P7" s="14"/>
      <c r="Q7" s="14" t="s">
        <v>49</v>
      </c>
      <c r="R7" s="14" t="s">
        <v>49</v>
      </c>
      <c r="S7" s="14" t="s">
        <v>51</v>
      </c>
      <c r="T7" s="14"/>
      <c r="U7" s="14" t="s">
        <v>51</v>
      </c>
    </row>
    <row r="8" spans="1:21" ht="57" customHeight="1" x14ac:dyDescent="0.25">
      <c r="A8" s="14" t="str">
        <f>'M-Bloqueo'!F3</f>
        <v>duracion</v>
      </c>
      <c r="B8" s="15" t="str">
        <f>'M-Bloqueo'!F2</f>
        <v>Representa la cantidad de minutos dura el bloqueo de la agenda. Es un dato calculado a partir de la fechaHoraInicio y fechaHoraFinal</v>
      </c>
      <c r="C8" s="14" t="s">
        <v>51</v>
      </c>
      <c r="D8" s="14" t="s">
        <v>136</v>
      </c>
      <c r="E8" s="14" t="s">
        <v>49</v>
      </c>
      <c r="F8" s="14"/>
      <c r="G8" s="14"/>
      <c r="H8" s="14"/>
      <c r="I8" s="14"/>
      <c r="J8" s="14">
        <v>1</v>
      </c>
      <c r="K8" s="14"/>
      <c r="L8" s="14" t="s">
        <v>54</v>
      </c>
      <c r="M8" s="15" t="s">
        <v>241</v>
      </c>
      <c r="N8" s="14" t="s">
        <v>49</v>
      </c>
      <c r="O8" s="14" t="s">
        <v>51</v>
      </c>
      <c r="P8" s="14"/>
      <c r="Q8" s="14" t="s">
        <v>51</v>
      </c>
      <c r="R8" s="14"/>
      <c r="S8" s="14"/>
      <c r="T8" s="14"/>
      <c r="U8" s="14" t="s">
        <v>51</v>
      </c>
    </row>
    <row r="9" spans="1:21" ht="14.25" customHeight="1" x14ac:dyDescent="0.25">
      <c r="A9" s="5"/>
      <c r="B9" s="5"/>
      <c r="C9" s="5"/>
      <c r="D9" s="5"/>
      <c r="E9" s="5"/>
      <c r="F9" s="5"/>
      <c r="G9" s="5"/>
      <c r="H9" s="5"/>
      <c r="I9" s="5"/>
      <c r="J9" s="5"/>
      <c r="K9" s="5"/>
      <c r="L9" s="5"/>
      <c r="M9" s="5"/>
      <c r="N9" s="5"/>
      <c r="O9" s="5"/>
      <c r="P9" s="5"/>
      <c r="Q9" s="5"/>
      <c r="R9" s="5"/>
      <c r="S9" s="5"/>
      <c r="T9" s="5"/>
      <c r="U9" s="5"/>
    </row>
    <row r="10" spans="1:21" ht="14.25" customHeight="1" x14ac:dyDescent="0.25">
      <c r="A10" s="17" t="s">
        <v>62</v>
      </c>
      <c r="B10" s="17" t="s">
        <v>63</v>
      </c>
      <c r="C10" s="17" t="s">
        <v>64</v>
      </c>
      <c r="D10" s="38"/>
      <c r="E10" s="38"/>
      <c r="F10" s="38"/>
      <c r="G10" s="38"/>
      <c r="H10" s="38"/>
      <c r="I10" s="38"/>
      <c r="J10" s="38"/>
      <c r="K10" s="38"/>
      <c r="L10" s="38"/>
      <c r="M10" s="38"/>
      <c r="N10" s="38"/>
      <c r="O10" s="38"/>
      <c r="P10" s="38"/>
      <c r="Q10" s="38"/>
      <c r="R10" s="38"/>
      <c r="S10" s="38"/>
      <c r="T10" s="38"/>
      <c r="U10" s="38"/>
    </row>
    <row r="11" spans="1:21" ht="14.25" customHeight="1" x14ac:dyDescent="0.25">
      <c r="A11" s="130" t="str">
        <f>'M-Bloqueo'!G3</f>
        <v>Combinación única</v>
      </c>
      <c r="B11" s="131" t="str">
        <f>'M-Bloqueo'!G2</f>
        <v>Combinación única que indica que una misma agenda no puede tener dos bloqueos en una misma fecha, horaInicio y horaFinal</v>
      </c>
      <c r="C11" s="39" t="str">
        <f>A4</f>
        <v>agenda</v>
      </c>
      <c r="D11" s="5"/>
      <c r="E11" s="5"/>
      <c r="F11" s="5"/>
      <c r="G11" s="5"/>
      <c r="H11" s="5"/>
      <c r="I11" s="5"/>
      <c r="J11" s="5"/>
      <c r="K11" s="5"/>
      <c r="L11" s="5"/>
      <c r="M11" s="5"/>
      <c r="N11" s="5"/>
      <c r="O11" s="5"/>
      <c r="P11" s="5"/>
      <c r="Q11" s="5"/>
      <c r="R11" s="5"/>
      <c r="S11" s="5"/>
      <c r="T11" s="5"/>
      <c r="U11" s="5"/>
    </row>
    <row r="12" spans="1:21" ht="14.25" customHeight="1" x14ac:dyDescent="0.25">
      <c r="A12" s="130"/>
      <c r="B12" s="130"/>
      <c r="C12" s="39" t="str">
        <f>A5</f>
        <v>fechaHoraInicio</v>
      </c>
      <c r="D12" s="5"/>
      <c r="E12" s="5"/>
      <c r="F12" s="5"/>
      <c r="G12" s="5"/>
      <c r="H12" s="5"/>
      <c r="I12" s="5"/>
      <c r="J12" s="5"/>
      <c r="K12" s="5"/>
      <c r="L12" s="5"/>
      <c r="M12" s="5"/>
      <c r="N12" s="5"/>
      <c r="O12" s="5"/>
      <c r="P12" s="5"/>
      <c r="Q12" s="5"/>
      <c r="R12" s="5"/>
      <c r="S12" s="5"/>
      <c r="T12" s="5"/>
      <c r="U12" s="5"/>
    </row>
    <row r="13" spans="1:21" ht="14.25" customHeight="1" x14ac:dyDescent="0.25">
      <c r="A13" s="130"/>
      <c r="B13" s="130"/>
      <c r="C13" s="39" t="str">
        <f>A6</f>
        <v>fechaHoraFinal</v>
      </c>
      <c r="D13" s="5"/>
      <c r="E13" s="5"/>
      <c r="F13" s="5"/>
      <c r="G13" s="5"/>
      <c r="H13" s="5"/>
      <c r="I13" s="5"/>
      <c r="J13" s="5"/>
      <c r="K13" s="5"/>
      <c r="L13" s="5"/>
      <c r="M13" s="5"/>
      <c r="N13" s="5"/>
      <c r="O13" s="5"/>
      <c r="P13" s="5"/>
      <c r="Q13" s="5"/>
      <c r="R13" s="5"/>
      <c r="S13" s="5"/>
      <c r="T13" s="5"/>
      <c r="U13" s="5"/>
    </row>
  </sheetData>
  <mergeCells count="2">
    <mergeCell ref="A11:A13"/>
    <mergeCell ref="B11:B13"/>
  </mergeCells>
  <hyperlinks>
    <hyperlink ref="A1" location="'Modelo de Dominio'!A1" display="&lt;&lt;&lt;&lt; Ir al modulo de dominio" xr:uid="{00000000-0004-0000-1600-000000000000}"/>
    <hyperlink ref="B1" location="'Objetos de Dominio'!A1" display="&lt;&lt;&lt;&lt; Ir a objetos de dominio" xr:uid="{00000000-0004-0000-1600-000001000000}"/>
    <hyperlink ref="D4" location="'C-Agenda'!A1" display="Agenda" xr:uid="{08FB8A50-6B12-428E-B565-7A798AEF79FB}"/>
  </hyperlink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9"/>
  <sheetViews>
    <sheetView zoomScale="115" zoomScaleNormal="115" workbookViewId="0">
      <selection activeCell="E3" sqref="E3"/>
    </sheetView>
  </sheetViews>
  <sheetFormatPr baseColWidth="10" defaultColWidth="10.7109375" defaultRowHeight="15" x14ac:dyDescent="0.25"/>
  <cols>
    <col min="1" max="1" width="27" customWidth="1"/>
    <col min="2" max="2" width="33.7109375" customWidth="1"/>
    <col min="3" max="3" width="36.42578125" customWidth="1"/>
    <col min="4" max="4" width="32.28515625" customWidth="1"/>
    <col min="5" max="5" width="25.140625" customWidth="1"/>
    <col min="6" max="6" width="25.5703125" customWidth="1"/>
    <col min="7" max="7" width="68.140625" customWidth="1"/>
  </cols>
  <sheetData>
    <row r="1" spans="1:7" ht="14.25" customHeight="1" x14ac:dyDescent="0.25">
      <c r="A1" s="6" t="s">
        <v>1</v>
      </c>
      <c r="B1" s="6" t="s">
        <v>27</v>
      </c>
      <c r="C1" s="6"/>
      <c r="D1" s="6"/>
    </row>
    <row r="2" spans="1:7" ht="45.75" customHeight="1" x14ac:dyDescent="0.25">
      <c r="A2" s="19" t="s">
        <v>65</v>
      </c>
      <c r="B2" s="48" t="s">
        <v>242</v>
      </c>
      <c r="C2" s="19" t="s">
        <v>243</v>
      </c>
      <c r="D2" s="19" t="s">
        <v>244</v>
      </c>
      <c r="E2" s="48" t="s">
        <v>245</v>
      </c>
      <c r="F2" s="48" t="s">
        <v>246</v>
      </c>
      <c r="G2" s="48" t="s">
        <v>247</v>
      </c>
    </row>
    <row r="3" spans="1:7" ht="14.25" customHeight="1" x14ac:dyDescent="0.25">
      <c r="A3" s="20" t="s">
        <v>67</v>
      </c>
      <c r="B3" s="82" t="s">
        <v>230</v>
      </c>
      <c r="C3" s="90" t="s">
        <v>248</v>
      </c>
      <c r="D3" s="90" t="s">
        <v>249</v>
      </c>
      <c r="E3" s="21" t="s">
        <v>68</v>
      </c>
      <c r="F3" s="42" t="s">
        <v>236</v>
      </c>
      <c r="G3" s="25" t="s">
        <v>72</v>
      </c>
    </row>
    <row r="4" spans="1:7" ht="30" customHeight="1" x14ac:dyDescent="0.25">
      <c r="A4" s="26">
        <v>1</v>
      </c>
      <c r="B4" s="89" t="str">
        <f>'M-Agenda'!C4</f>
        <v>Agenda de Juan García</v>
      </c>
      <c r="C4" s="91">
        <v>46272.416666666701</v>
      </c>
      <c r="D4" s="91">
        <v>46272.5</v>
      </c>
      <c r="E4" s="92" t="s">
        <v>250</v>
      </c>
      <c r="F4" s="26">
        <v>120</v>
      </c>
      <c r="G4" s="76" t="str">
        <f>_xlfn.CONCAT(B4,"-",TEXT(C4,"dd/mm/yyyy hh:mm"),"-",TEXT(D4,"dd/mm/yyyy hh:mm"))</f>
        <v>Agenda de Juan García-07/09/2026 10:00-07/09/2026 12:00</v>
      </c>
    </row>
    <row r="5" spans="1:7" ht="30" customHeight="1" x14ac:dyDescent="0.25">
      <c r="A5" s="26">
        <v>2</v>
      </c>
      <c r="B5" s="89" t="str">
        <f>'M-Agenda'!C5</f>
        <v>Agenda de Juan Ortiz</v>
      </c>
      <c r="C5" s="91">
        <v>46273.395833333299</v>
      </c>
      <c r="D5" s="91">
        <v>46273.458333333299</v>
      </c>
      <c r="E5" s="92" t="s">
        <v>251</v>
      </c>
      <c r="F5" s="26">
        <v>90</v>
      </c>
      <c r="G5" s="76" t="str">
        <f>_xlfn.CONCAT(B5,"-",TEXT(C5,"dd/mm/yyyy hh:mm"),"-",TEXT(D5,"dd/mm/yyyy hh:mm"))</f>
        <v>Agenda de Juan Ortiz-08/09/2026 09:30-08/09/2026 11:00</v>
      </c>
    </row>
    <row r="6" spans="1:7" ht="30" customHeight="1" x14ac:dyDescent="0.25">
      <c r="A6" s="26">
        <v>3</v>
      </c>
      <c r="B6" s="89" t="str">
        <f>'M-Agenda'!C6</f>
        <v>Agenda de Carlos Arbeladez</v>
      </c>
      <c r="C6" s="91">
        <v>46275.541666666701</v>
      </c>
      <c r="D6" s="91">
        <v>46275.583333333299</v>
      </c>
      <c r="E6" s="92" t="s">
        <v>252</v>
      </c>
      <c r="F6" s="26">
        <v>60</v>
      </c>
      <c r="G6" s="76" t="str">
        <f>_xlfn.CONCAT(B6,"-",TEXT(C6,"dd/mm/yyyy hh:mm"),"-",TEXT(D6,"dd/mm/yyyy hh:mm"))</f>
        <v>Agenda de Carlos Arbeladez-10/09/2026 13:00-10/09/2026 14:00</v>
      </c>
    </row>
    <row r="7" spans="1:7" ht="30" customHeight="1" x14ac:dyDescent="0.25">
      <c r="A7" s="26">
        <v>4</v>
      </c>
      <c r="B7" s="89" t="str">
        <f>'M-Agenda'!C5</f>
        <v>Agenda de Juan Ortiz</v>
      </c>
      <c r="C7" s="91">
        <v>46301.541666666701</v>
      </c>
      <c r="D7" s="91">
        <v>46301.625</v>
      </c>
      <c r="E7" s="92" t="s">
        <v>253</v>
      </c>
      <c r="F7" s="26">
        <v>120</v>
      </c>
      <c r="G7" s="76" t="str">
        <f>_xlfn.CONCAT(B7,"-",TEXT(C7,"dd/mm/yyyy hh:mm"),"-",TEXT(D7,"dd/mm/yyyy hh:mm"))</f>
        <v>Agenda de Juan Ortiz-06/10/2026 13:00-06/10/2026 15:00</v>
      </c>
    </row>
    <row r="13" spans="1:7" ht="30" customHeight="1" x14ac:dyDescent="0.25">
      <c r="A13" s="34"/>
      <c r="B13" s="35" t="s">
        <v>80</v>
      </c>
    </row>
    <row r="14" spans="1:7" ht="30" customHeight="1" x14ac:dyDescent="0.25">
      <c r="A14" s="36"/>
      <c r="B14" s="35" t="s">
        <v>81</v>
      </c>
    </row>
    <row r="15" spans="1:7" ht="30" customHeight="1" x14ac:dyDescent="0.25">
      <c r="A15" s="57"/>
      <c r="B15" s="35" t="s">
        <v>172</v>
      </c>
    </row>
    <row r="16" spans="1:7" ht="30" customHeight="1" x14ac:dyDescent="0.25">
      <c r="A16" s="37"/>
      <c r="B16" s="35" t="s">
        <v>82</v>
      </c>
    </row>
    <row r="17" spans="1:2" ht="30" customHeight="1" x14ac:dyDescent="0.25">
      <c r="A17" s="93"/>
      <c r="B17" s="35" t="s">
        <v>254</v>
      </c>
    </row>
    <row r="18" spans="1:2" ht="30" customHeight="1" x14ac:dyDescent="0.25">
      <c r="A18" s="46"/>
      <c r="B18" s="35" t="s">
        <v>84</v>
      </c>
    </row>
    <row r="19" spans="1:2" ht="14.25" customHeight="1" x14ac:dyDescent="0.25">
      <c r="A19" s="47"/>
      <c r="B19" s="35" t="s">
        <v>86</v>
      </c>
    </row>
  </sheetData>
  <hyperlinks>
    <hyperlink ref="A1" location="'Modelo de Dominio'!A1" display="&lt;&lt;&lt;&lt; Ir al modulo de dominio" xr:uid="{00000000-0004-0000-1700-000000000000}"/>
    <hyperlink ref="B1" location="'Objetos de Dominio'!A1" display="&lt;&lt;&lt;&lt; Ir a objetos de dominio" xr:uid="{00000000-0004-0000-1700-000001000000}"/>
    <hyperlink ref="B3" location="'M-Agenda'!A1" display="agenda" xr:uid="{00000000-0004-0000-1700-000002000000}"/>
    <hyperlink ref="B4" location="Agenda_D!A4" display="#Agenda_D.A4" xr:uid="{00000000-0004-0000-1700-000003000000}"/>
    <hyperlink ref="B5" location="Agenda_D!A5" display="#Agenda_D.A5" xr:uid="{00000000-0004-0000-1700-000004000000}"/>
    <hyperlink ref="B6" location="Agenda_D!A6" display="#Agenda_D.A6" xr:uid="{00000000-0004-0000-1700-000005000000}"/>
    <hyperlink ref="B7" location="Agenda_D!A7" display="#Agenda_D.A7" xr:uid="{00000000-0004-0000-1700-000006000000}"/>
  </hyperlink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12"/>
  <sheetViews>
    <sheetView zoomScaleNormal="100" workbookViewId="0"/>
  </sheetViews>
  <sheetFormatPr baseColWidth="10" defaultColWidth="10.7109375" defaultRowHeight="15" x14ac:dyDescent="0.25"/>
  <cols>
    <col min="1" max="1" width="27" customWidth="1"/>
    <col min="2" max="2" width="42.28515625" bestFit="1"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'M-Cita'!A3</f>
        <v>id</v>
      </c>
      <c r="B3" s="15" t="str">
        <f>'M-Cita'!A2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57" customHeight="1" x14ac:dyDescent="0.25">
      <c r="A4" s="14" t="str">
        <f>'M-Cita'!B3</f>
        <v>cliente</v>
      </c>
      <c r="B4" s="15" t="str">
        <f>'M-Cita'!B2</f>
        <v>Representa el nombre completo del cliente que va a estar en la cita, para que luego el barbero se acuerde a quien tiene que atender</v>
      </c>
      <c r="C4" s="14" t="s">
        <v>51</v>
      </c>
      <c r="D4" s="128" t="s">
        <v>11</v>
      </c>
      <c r="E4" s="14" t="s">
        <v>49</v>
      </c>
      <c r="F4" s="14"/>
      <c r="G4" s="14"/>
      <c r="H4" s="14"/>
      <c r="I4" s="14"/>
      <c r="J4" s="14"/>
      <c r="K4" s="14"/>
      <c r="L4" s="14"/>
      <c r="M4" s="15" t="s">
        <v>155</v>
      </c>
      <c r="N4" s="14" t="s">
        <v>51</v>
      </c>
      <c r="O4" s="14" t="s">
        <v>51</v>
      </c>
      <c r="P4" s="14"/>
      <c r="Q4" s="14"/>
      <c r="R4" s="14"/>
      <c r="S4" s="14" t="s">
        <v>51</v>
      </c>
      <c r="T4" s="14"/>
      <c r="U4" s="14" t="s">
        <v>51</v>
      </c>
    </row>
    <row r="5" spans="1:21" ht="57" customHeight="1" x14ac:dyDescent="0.25">
      <c r="A5" s="14" t="str">
        <f>'M-Cita'!C3</f>
        <v>agenda</v>
      </c>
      <c r="B5" s="15" t="str">
        <f>'M-Cita'!C2</f>
        <v>Hace referencia a en la agenda de que barbero quedó registrada esta cita, es lo que permite validar que no se cruce con otra cita del mismo barbero</v>
      </c>
      <c r="C5" s="14" t="s">
        <v>51</v>
      </c>
      <c r="D5" s="128" t="s">
        <v>13</v>
      </c>
      <c r="E5" s="14" t="s">
        <v>49</v>
      </c>
      <c r="F5" s="14"/>
      <c r="G5" s="14"/>
      <c r="H5" s="14"/>
      <c r="I5" s="14"/>
      <c r="J5" s="14"/>
      <c r="K5" s="14"/>
      <c r="L5" s="14"/>
      <c r="M5" s="15" t="s">
        <v>155</v>
      </c>
      <c r="N5" s="14" t="s">
        <v>51</v>
      </c>
      <c r="O5" s="14" t="s">
        <v>51</v>
      </c>
      <c r="P5" s="14"/>
      <c r="Q5" s="14"/>
      <c r="R5" s="14"/>
      <c r="S5" s="14" t="s">
        <v>51</v>
      </c>
      <c r="T5" s="14"/>
      <c r="U5" s="14" t="s">
        <v>51</v>
      </c>
    </row>
    <row r="6" spans="1:21" ht="57" customHeight="1" x14ac:dyDescent="0.25">
      <c r="A6" s="14" t="str">
        <f>'M-Cita'!D3</f>
        <v>fechaHora</v>
      </c>
      <c r="B6" s="15" t="str">
        <f>'M-Cita'!D2</f>
        <v>Representa la fecha y la hora en el que se va a realizar la cita al cliente. Su valor por defecto es 01/01/1000 00:00 y no es permitido</v>
      </c>
      <c r="C6" s="14" t="s">
        <v>51</v>
      </c>
      <c r="D6" s="14" t="s">
        <v>237</v>
      </c>
      <c r="E6" s="14" t="s">
        <v>49</v>
      </c>
      <c r="F6" s="14"/>
      <c r="G6" s="14"/>
      <c r="H6" s="14"/>
      <c r="I6" s="14"/>
      <c r="J6" s="14"/>
      <c r="K6" s="14"/>
      <c r="L6" s="14" t="s">
        <v>238</v>
      </c>
      <c r="M6" s="15"/>
      <c r="N6" s="14" t="s">
        <v>51</v>
      </c>
      <c r="O6" s="14" t="s">
        <v>51</v>
      </c>
      <c r="P6" s="14"/>
      <c r="Q6" s="14"/>
      <c r="R6" s="14"/>
      <c r="S6" s="14" t="s">
        <v>51</v>
      </c>
      <c r="T6" s="14" t="s">
        <v>326</v>
      </c>
      <c r="U6" s="14" t="s">
        <v>51</v>
      </c>
    </row>
    <row r="7" spans="1:21" ht="86.25" customHeight="1" x14ac:dyDescent="0.25">
      <c r="A7" s="14" t="str">
        <f>'M-Cita'!E3</f>
        <v>fechaHoraFin</v>
      </c>
      <c r="B7" s="15" t="str">
        <f>'M-Cita'!E2</f>
        <v>Representa la fecha y hora prevista a la que finaliza una cita, es un dato calculado a partir de la fecha y hora en que empieza la cita y la duración del servicio, sumándole la duración del servicio a fechaHora</v>
      </c>
      <c r="C7" s="14" t="s">
        <v>51</v>
      </c>
      <c r="D7" s="14" t="s">
        <v>237</v>
      </c>
      <c r="E7" s="14" t="s">
        <v>49</v>
      </c>
      <c r="F7" s="14"/>
      <c r="G7" s="14"/>
      <c r="H7" s="14"/>
      <c r="I7" s="14"/>
      <c r="J7" s="14"/>
      <c r="K7" s="14"/>
      <c r="L7" s="14" t="s">
        <v>238</v>
      </c>
      <c r="M7" s="15" t="s">
        <v>255</v>
      </c>
      <c r="N7" s="14" t="s">
        <v>49</v>
      </c>
      <c r="O7" s="14" t="s">
        <v>51</v>
      </c>
      <c r="P7" s="14"/>
      <c r="Q7" s="14"/>
      <c r="R7" s="14"/>
      <c r="S7" s="14" t="s">
        <v>51</v>
      </c>
      <c r="T7" s="14"/>
      <c r="U7" s="14" t="s">
        <v>51</v>
      </c>
    </row>
    <row r="8" spans="1:21" ht="144" customHeight="1" x14ac:dyDescent="0.25">
      <c r="A8" s="14" t="str">
        <f>'M-Cita'!F3</f>
        <v>estado</v>
      </c>
      <c r="B8" s="15" t="str">
        <f>'M-Cita'!F2</f>
        <v>Representa en que momento del proceso está la cita: agendada (se creó y espera a que el cliente llegue), atendida (la cita se cumplió sin ningún inconveniente), el cliente se demoro (el cliente llegó, pero pasada la tolerancia de tiempo), me demore (el barbero se demoró más del tiempo de tolerancia para atender al cliente) ,incumplida (el cliente nunca llegó) o cancelada (el cliente avisó con anticipación que ya no la quiere). Su valor por defecto es agendada y es permitido</v>
      </c>
      <c r="C8" s="14" t="s">
        <v>51</v>
      </c>
      <c r="D8" s="14" t="s">
        <v>52</v>
      </c>
      <c r="E8" s="14" t="s">
        <v>51</v>
      </c>
      <c r="F8" s="14">
        <v>7</v>
      </c>
      <c r="G8" s="14">
        <v>10</v>
      </c>
      <c r="H8" s="14"/>
      <c r="I8" s="14"/>
      <c r="J8" s="14"/>
      <c r="K8" s="14"/>
      <c r="L8" s="14"/>
      <c r="M8" s="15" t="s">
        <v>256</v>
      </c>
      <c r="N8" s="14" t="s">
        <v>51</v>
      </c>
      <c r="O8" s="14" t="s">
        <v>51</v>
      </c>
      <c r="P8" s="14"/>
      <c r="Q8" s="14" t="s">
        <v>51</v>
      </c>
      <c r="R8" s="14" t="s">
        <v>51</v>
      </c>
      <c r="S8" s="14" t="s">
        <v>51</v>
      </c>
      <c r="T8" s="14" t="s">
        <v>257</v>
      </c>
      <c r="U8" s="14" t="s">
        <v>51</v>
      </c>
    </row>
    <row r="9" spans="1:21" ht="14.25" customHeight="1" x14ac:dyDescent="0.25">
      <c r="A9" s="5"/>
      <c r="B9" s="5"/>
      <c r="C9" s="5"/>
      <c r="D9" s="5"/>
      <c r="E9" s="5"/>
      <c r="F9" s="5"/>
      <c r="G9" s="5"/>
      <c r="H9" s="5"/>
      <c r="I9" s="5"/>
      <c r="J9" s="5"/>
      <c r="K9" s="5"/>
      <c r="L9" s="5"/>
      <c r="M9" s="5"/>
      <c r="N9" s="5"/>
      <c r="O9" s="5"/>
      <c r="P9" s="5"/>
      <c r="Q9" s="5"/>
      <c r="R9" s="5"/>
      <c r="S9" s="5"/>
      <c r="T9" s="5"/>
      <c r="U9" s="5"/>
    </row>
    <row r="10" spans="1:21" ht="14.25" customHeight="1" x14ac:dyDescent="0.25">
      <c r="A10" s="17" t="s">
        <v>62</v>
      </c>
      <c r="B10" s="17" t="s">
        <v>63</v>
      </c>
      <c r="C10" s="17" t="s">
        <v>64</v>
      </c>
      <c r="D10" s="38"/>
      <c r="E10" s="38"/>
      <c r="F10" s="38"/>
      <c r="G10" s="38"/>
      <c r="H10" s="38"/>
      <c r="I10" s="38"/>
      <c r="J10" s="38"/>
      <c r="K10" s="38"/>
      <c r="L10" s="38"/>
      <c r="M10" s="38"/>
      <c r="N10" s="38"/>
      <c r="O10" s="38"/>
      <c r="P10" s="38"/>
      <c r="Q10" s="38"/>
      <c r="R10" s="38"/>
      <c r="S10" s="38"/>
      <c r="T10" s="38"/>
      <c r="U10" s="38"/>
    </row>
    <row r="11" spans="1:21" ht="14.25" customHeight="1" x14ac:dyDescent="0.25">
      <c r="A11" s="130" t="str">
        <f>'M-Cita'!G3</f>
        <v>Combinación única</v>
      </c>
      <c r="B11" s="131" t="str">
        <f>'M-Cita'!G2</f>
        <v xml:space="preserve">
Combinación única que indica que una cita no puede existir dentro de una agenda con la misma fecha y hora de inicio para la cita</v>
      </c>
      <c r="C11" s="39" t="str">
        <f>A5</f>
        <v>agenda</v>
      </c>
      <c r="D11" s="5"/>
      <c r="E11" s="5"/>
      <c r="F11" s="5"/>
      <c r="G11" s="5"/>
      <c r="H11" s="5"/>
      <c r="I11" s="5"/>
      <c r="J11" s="5"/>
      <c r="K11" s="5"/>
      <c r="L11" s="5"/>
      <c r="M11" s="5"/>
      <c r="N11" s="5"/>
      <c r="O11" s="5"/>
      <c r="P11" s="5"/>
      <c r="Q11" s="5"/>
      <c r="R11" s="5"/>
      <c r="S11" s="5"/>
      <c r="T11" s="5"/>
      <c r="U11" s="5"/>
    </row>
    <row r="12" spans="1:21" ht="14.25" customHeight="1" x14ac:dyDescent="0.25">
      <c r="A12" s="130"/>
      <c r="B12" s="130"/>
      <c r="C12" s="39" t="str">
        <f>A6</f>
        <v>fechaHora</v>
      </c>
      <c r="D12" s="5"/>
      <c r="E12" s="5"/>
      <c r="F12" s="5"/>
      <c r="G12" s="5"/>
      <c r="H12" s="5"/>
      <c r="I12" s="5"/>
      <c r="J12" s="5"/>
      <c r="K12" s="5"/>
      <c r="L12" s="5"/>
      <c r="M12" s="5"/>
      <c r="N12" s="5"/>
      <c r="O12" s="5"/>
      <c r="P12" s="5"/>
      <c r="Q12" s="5"/>
      <c r="R12" s="5"/>
      <c r="S12" s="5"/>
      <c r="T12" s="5"/>
      <c r="U12" s="5"/>
    </row>
  </sheetData>
  <mergeCells count="2">
    <mergeCell ref="A11:A12"/>
    <mergeCell ref="B11:B12"/>
  </mergeCells>
  <hyperlinks>
    <hyperlink ref="A1" location="'Modelo de Dominio'!A1" display="&lt;&lt;&lt;&lt; Ir al modulo de dominio" xr:uid="{00000000-0004-0000-1800-000000000000}"/>
    <hyperlink ref="B1" location="'Objetos de Dominio'!A1" display="&lt;&lt;&lt;&lt; Ir a objetos de dominio" xr:uid="{00000000-0004-0000-1800-000001000000}"/>
    <hyperlink ref="D4" location="'C-Cliente'!A1" display="Cliente" xr:uid="{2E4F6FCC-EF38-472D-B14E-F3ECE7AB92CB}"/>
    <hyperlink ref="D5" location="'C-Agenda'!A1" display="Agenda" xr:uid="{4BFE2FC3-BD44-4040-9349-451D69C366BB}"/>
  </hyperlink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24"/>
  <sheetViews>
    <sheetView zoomScale="130" zoomScaleNormal="130" workbookViewId="0">
      <selection activeCell="B1" sqref="B1"/>
    </sheetView>
  </sheetViews>
  <sheetFormatPr baseColWidth="10" defaultColWidth="10.7109375" defaultRowHeight="15" x14ac:dyDescent="0.25"/>
  <cols>
    <col min="1" max="1" width="27" customWidth="1"/>
    <col min="2" max="2" width="26" customWidth="1"/>
    <col min="3" max="3" width="33.42578125" customWidth="1"/>
    <col min="4" max="4" width="30.28515625" customWidth="1"/>
    <col min="5" max="5" width="36.140625" customWidth="1"/>
    <col min="6" max="6" width="57.7109375" customWidth="1"/>
    <col min="7" max="7" width="49.28515625" customWidth="1"/>
  </cols>
  <sheetData>
    <row r="1" spans="1:7" ht="14.25" customHeight="1" x14ac:dyDescent="0.25">
      <c r="A1" s="94" t="s">
        <v>1</v>
      </c>
      <c r="B1" s="94" t="s">
        <v>27</v>
      </c>
    </row>
    <row r="2" spans="1:7" ht="58.5" customHeight="1" x14ac:dyDescent="0.25">
      <c r="A2" s="95" t="s">
        <v>65</v>
      </c>
      <c r="B2" s="95" t="s">
        <v>258</v>
      </c>
      <c r="C2" s="95" t="s">
        <v>259</v>
      </c>
      <c r="D2" s="95" t="s">
        <v>260</v>
      </c>
      <c r="E2" s="95" t="s">
        <v>261</v>
      </c>
      <c r="F2" s="95" t="s">
        <v>298</v>
      </c>
      <c r="G2" s="95" t="s">
        <v>262</v>
      </c>
    </row>
    <row r="3" spans="1:7" ht="14.25" customHeight="1" x14ac:dyDescent="0.25">
      <c r="A3" s="96" t="s">
        <v>67</v>
      </c>
      <c r="B3" s="51" t="s">
        <v>263</v>
      </c>
      <c r="C3" s="51" t="s">
        <v>230</v>
      </c>
      <c r="D3" s="97" t="s">
        <v>264</v>
      </c>
      <c r="E3" s="98" t="s">
        <v>265</v>
      </c>
      <c r="F3" s="124" t="s">
        <v>266</v>
      </c>
      <c r="G3" s="99" t="s">
        <v>72</v>
      </c>
    </row>
    <row r="4" spans="1:7" ht="30" customHeight="1" x14ac:dyDescent="0.25">
      <c r="A4" s="26">
        <v>1</v>
      </c>
      <c r="B4" s="122" t="str">
        <f>_xlfn.CONCAT('M-Cliente'!B4," ",'M-Cliente'!C4," ", 'M-Cliente'!D4," ",'M-Cliente'!E4)</f>
        <v xml:space="preserve">Juan  Gómez </v>
      </c>
      <c r="C4" s="123" t="str">
        <f>'M-Agenda'!C4</f>
        <v>Agenda de Juan García</v>
      </c>
      <c r="D4" s="126">
        <v>46265.416666666664</v>
      </c>
      <c r="E4" s="102">
        <v>46265.447916666701</v>
      </c>
      <c r="F4" s="26" t="s">
        <v>257</v>
      </c>
      <c r="G4" s="76" t="str">
        <f>_xlfn.CONCAT(B4,"-",C4,"-",TEXT(D4,"dd/mm/yyyy/hh:mm"),"-",TEXT(E4,"dd/mm/yyyy/hh:mm"))</f>
        <v>Juan  Gómez -Agenda de Juan García-31/08/2026/10:00-31/08/2026/10:45</v>
      </c>
    </row>
    <row r="5" spans="1:7" ht="30" customHeight="1" x14ac:dyDescent="0.25">
      <c r="A5" s="26">
        <v>2</v>
      </c>
      <c r="B5" s="122" t="str">
        <f>_xlfn.CONCAT('M-Cliente'!B5," ",'M-Cliente'!C5," ", 'M-Cliente'!D5," ",'M-Cliente'!E5)</f>
        <v>Jose Miguel Ramirez Perez</v>
      </c>
      <c r="C5" s="123" t="str">
        <f>'M-Agenda'!C5</f>
        <v>Agenda de Juan Ortiz</v>
      </c>
      <c r="D5" s="102">
        <v>46091.395833333299</v>
      </c>
      <c r="E5" s="102">
        <v>46091.430555555598</v>
      </c>
      <c r="F5" s="26" t="s">
        <v>267</v>
      </c>
      <c r="G5" s="76" t="str">
        <f t="shared" ref="G5:G12" si="0">_xlfn.CONCAT(B5,"-",C5,"-",TEXT(D5,"dd/mm/yyyy/hh:mm"),"-",TEXT(E5,"dd/mm/yyyy/hh:mm"))</f>
        <v>Jose Miguel Ramirez Perez-Agenda de Juan Ortiz-10/03/2026/09:30-10/03/2026/10:20</v>
      </c>
    </row>
    <row r="6" spans="1:7" ht="30" customHeight="1" x14ac:dyDescent="0.25">
      <c r="A6" s="26">
        <v>3</v>
      </c>
      <c r="B6" s="122" t="str">
        <f>_xlfn.CONCAT('M-Cliente'!B6," ",'M-Cliente'!C6," ", 'M-Cliente'!D6," ",'M-Cliente'!E6)</f>
        <v>Simon  Ochoa Ramirez</v>
      </c>
      <c r="C6" s="123" t="str">
        <f>'M-Agenda'!C6</f>
        <v>Agenda de Carlos Arbeladez</v>
      </c>
      <c r="D6" s="102">
        <v>46156.541666666701</v>
      </c>
      <c r="E6" s="102">
        <v>46156.552083333299</v>
      </c>
      <c r="F6" s="26" t="s">
        <v>297</v>
      </c>
      <c r="G6" s="76" t="str">
        <f t="shared" si="0"/>
        <v>Simon  Ochoa Ramirez-Agenda de Carlos Arbeladez-14/05/2026/13:00-14/05/2026/13:15</v>
      </c>
    </row>
    <row r="7" spans="1:7" ht="30" customHeight="1" x14ac:dyDescent="0.25">
      <c r="A7" s="26">
        <v>4</v>
      </c>
      <c r="B7" s="122" t="str">
        <f>_xlfn.CONCAT('M-Cliente'!B7," ",'M-Cliente'!C7," ", 'M-Cliente'!D7," ",'M-Cliente'!E7)</f>
        <v xml:space="preserve">Alexis  Gallego </v>
      </c>
      <c r="C7" s="123" t="str">
        <f>'M-Agenda'!C7</f>
        <v>Agenda de Andres Ramirez</v>
      </c>
      <c r="D7" s="102">
        <v>45983.541666666701</v>
      </c>
      <c r="E7" s="102">
        <v>45983.569444444503</v>
      </c>
      <c r="F7" s="26" t="s">
        <v>268</v>
      </c>
      <c r="G7" s="76" t="str">
        <f t="shared" si="0"/>
        <v>Alexis  Gallego -Agenda de Andres Ramirez-22/11/2025/13:00-22/11/2025/13:40</v>
      </c>
    </row>
    <row r="8" spans="1:7" ht="30" customHeight="1" x14ac:dyDescent="0.25">
      <c r="A8" s="26">
        <v>5</v>
      </c>
      <c r="B8" s="122" t="str">
        <f>_xlfn.CONCAT('M-Cliente'!B7," ",'M-Cliente'!C7," ", 'M-Cliente'!D7," ",'M-Cliente'!E7)</f>
        <v xml:space="preserve">Alexis  Gallego </v>
      </c>
      <c r="C8" s="123" t="str">
        <f>'M-Agenda'!C6</f>
        <v>Agenda de Carlos Arbeladez</v>
      </c>
      <c r="D8" s="102">
        <v>46240.75</v>
      </c>
      <c r="E8" s="102">
        <v>46240.760416666701</v>
      </c>
      <c r="F8" s="26" t="s">
        <v>269</v>
      </c>
      <c r="G8" s="76" t="str">
        <f t="shared" si="0"/>
        <v>Alexis  Gallego -Agenda de Carlos Arbeladez-06/08/2026/18:00-06/08/2026/18:15</v>
      </c>
    </row>
    <row r="9" spans="1:7" ht="30" customHeight="1" x14ac:dyDescent="0.25">
      <c r="A9" s="26">
        <v>6</v>
      </c>
      <c r="B9" s="122" t="str">
        <f>_xlfn.CONCAT('M-Cliente'!B4," ",'M-Cliente'!C4," ", 'M-Cliente'!D4," ",'M-Cliente'!E4)</f>
        <v xml:space="preserve">Juan  Gómez </v>
      </c>
      <c r="C9" s="123" t="str">
        <f>'M-Agenda'!C5</f>
        <v>Agenda de Juan Ortiz</v>
      </c>
      <c r="D9" s="102">
        <v>46266.583333333299</v>
      </c>
      <c r="E9" s="102">
        <v>46266.590277777803</v>
      </c>
      <c r="F9" s="26" t="s">
        <v>257</v>
      </c>
      <c r="G9" s="76" t="str">
        <f t="shared" si="0"/>
        <v>Juan  Gómez -Agenda de Juan Ortiz-01/09/2026/14:00-01/09/2026/14:10</v>
      </c>
    </row>
    <row r="10" spans="1:7" ht="30" customHeight="1" x14ac:dyDescent="0.25">
      <c r="A10" s="26">
        <v>7</v>
      </c>
      <c r="B10" s="122" t="str">
        <f>_xlfn.CONCAT('M-Cliente'!B8," ",'M-Cliente'!C8," ", 'M-Cliente'!D8," ",'M-Cliente'!E8)</f>
        <v>Kevin Andrés Muñoz Salazar</v>
      </c>
      <c r="C10" s="123" t="str">
        <f>'M-Agenda'!C4</f>
        <v>Agenda de Juan García</v>
      </c>
      <c r="D10" s="102">
        <v>46174.416666666701</v>
      </c>
      <c r="E10" s="102">
        <v>46174.447916666701</v>
      </c>
      <c r="F10" s="26" t="s">
        <v>268</v>
      </c>
      <c r="G10" s="76" t="str">
        <f t="shared" si="0"/>
        <v>Kevin Andrés Muñoz Salazar-Agenda de Juan García-01/06/2026/10:00-01/06/2026/10:45</v>
      </c>
    </row>
    <row r="11" spans="1:7" ht="30" customHeight="1" x14ac:dyDescent="0.25">
      <c r="A11" s="26">
        <v>8</v>
      </c>
      <c r="B11" s="122" t="str">
        <f>_xlfn.CONCAT('M-Cliente'!B8," ",'M-Cliente'!C8," ", 'M-Cliente'!D8," ",'M-Cliente'!E8)</f>
        <v>Kevin Andrés Muñoz Salazar</v>
      </c>
      <c r="C11" s="123" t="str">
        <f>'M-Agenda'!C5</f>
        <v>Agenda de Juan Ortiz</v>
      </c>
      <c r="D11" s="102">
        <v>46189.375</v>
      </c>
      <c r="E11" s="102">
        <v>46189.381944444503</v>
      </c>
      <c r="F11" s="26" t="s">
        <v>268</v>
      </c>
      <c r="G11" s="76" t="str">
        <f t="shared" si="0"/>
        <v>Kevin Andrés Muñoz Salazar-Agenda de Juan Ortiz-16/06/2026/09:00-16/06/2026/09:10</v>
      </c>
    </row>
    <row r="12" spans="1:7" ht="30" customHeight="1" x14ac:dyDescent="0.25">
      <c r="A12" s="26">
        <v>9</v>
      </c>
      <c r="B12" s="122" t="str">
        <f>_xlfn.CONCAT('M-Cliente'!B8," ",'M-Cliente'!C8," ", 'M-Cliente'!D8," ",'M-Cliente'!E8)</f>
        <v>Kevin Andrés Muñoz Salazar</v>
      </c>
      <c r="C12" s="123" t="str">
        <f>'M-Agenda'!C6</f>
        <v>Agenda de Carlos Arbeladez</v>
      </c>
      <c r="D12" s="102">
        <v>46205.625</v>
      </c>
      <c r="E12" s="102">
        <v>46205.635416666701</v>
      </c>
      <c r="F12" s="26" t="s">
        <v>268</v>
      </c>
      <c r="G12" s="76" t="str">
        <f t="shared" si="0"/>
        <v>Kevin Andrés Muñoz Salazar-Agenda de Carlos Arbeladez-02/07/2026/15:00-02/07/2026/15:15</v>
      </c>
    </row>
    <row r="14" spans="1:7" ht="30" customHeight="1" x14ac:dyDescent="0.25">
      <c r="B14" s="35"/>
    </row>
    <row r="15" spans="1:7" ht="45" customHeight="1" x14ac:dyDescent="0.25">
      <c r="B15" s="35"/>
    </row>
    <row r="16" spans="1:7" ht="30" customHeight="1" x14ac:dyDescent="0.25">
      <c r="B16" s="35"/>
    </row>
    <row r="17" spans="1:2" ht="30" customHeight="1" x14ac:dyDescent="0.25">
      <c r="B17" s="35"/>
    </row>
    <row r="18" spans="1:2" ht="30" customHeight="1" x14ac:dyDescent="0.25">
      <c r="A18" s="34"/>
      <c r="B18" s="35" t="s">
        <v>80</v>
      </c>
    </row>
    <row r="19" spans="1:2" ht="30" customHeight="1" x14ac:dyDescent="0.25">
      <c r="A19" s="36"/>
      <c r="B19" s="35" t="s">
        <v>81</v>
      </c>
    </row>
    <row r="20" spans="1:2" ht="30" customHeight="1" x14ac:dyDescent="0.25">
      <c r="A20" s="57"/>
      <c r="B20" s="35" t="s">
        <v>172</v>
      </c>
    </row>
    <row r="21" spans="1:2" ht="30" customHeight="1" x14ac:dyDescent="0.25">
      <c r="A21" s="125"/>
      <c r="B21" s="35" t="s">
        <v>82</v>
      </c>
    </row>
    <row r="22" spans="1:2" ht="30" customHeight="1" x14ac:dyDescent="0.25">
      <c r="A22" s="93"/>
      <c r="B22" s="35" t="s">
        <v>254</v>
      </c>
    </row>
    <row r="23" spans="1:2" ht="30" customHeight="1" x14ac:dyDescent="0.25">
      <c r="A23" s="46"/>
      <c r="B23" s="35" t="s">
        <v>84</v>
      </c>
    </row>
    <row r="24" spans="1:2" ht="30" customHeight="1" x14ac:dyDescent="0.25">
      <c r="A24" s="47"/>
      <c r="B24" s="35" t="s">
        <v>86</v>
      </c>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 ref="B3" location="'M-Cliente'!A1" display="cliente" xr:uid="{00000000-0004-0000-1900-000002000000}"/>
    <hyperlink ref="C3" location="'M-Agenda'!A1" display="agenda" xr:uid="{00000000-0004-0000-1900-000003000000}"/>
    <hyperlink ref="B4" location="'C-Cliente'!A4" display="'C-Cliente'!A4" xr:uid="{00000000-0004-0000-1900-000004000000}"/>
    <hyperlink ref="C4" location="'M-Agenda'!A4" display="'M-Agenda'!A4" xr:uid="{00000000-0004-0000-1900-000005000000}"/>
    <hyperlink ref="B5" location="'M-Cliente'!A5" display="'M-Cliente'!A5" xr:uid="{00000000-0004-0000-1900-000006000000}"/>
    <hyperlink ref="C5" location="'M-Agenda'!A5" display="'M-Agenda'!A5" xr:uid="{00000000-0004-0000-1900-000007000000}"/>
    <hyperlink ref="B6" location="'M-Cliente'!A6" display="'M-Cliente'!A6" xr:uid="{00000000-0004-0000-1900-000008000000}"/>
    <hyperlink ref="C6" location="'M-Agenda'!A6" display="'M-Agenda'!A6" xr:uid="{00000000-0004-0000-1900-000009000000}"/>
    <hyperlink ref="B7" location="'M-Cliente'!A7" display="'M-Cliente'!A7" xr:uid="{00000000-0004-0000-1900-00000A000000}"/>
    <hyperlink ref="C7" location="'M-Agenda'!A7" display="'M-Agenda'!A7" xr:uid="{00000000-0004-0000-1900-00000B000000}"/>
    <hyperlink ref="B8" location="'M-Cliente'!A7" display="'M-Cliente'!A7" xr:uid="{00000000-0004-0000-1900-00000C000000}"/>
    <hyperlink ref="C8" location="'M-Agenda'!A6" display="'M-Agenda'!A6" xr:uid="{00000000-0004-0000-1900-00000D000000}"/>
    <hyperlink ref="B9" location="'M-Cliente'!A4" display="'M-Cliente'!A4" xr:uid="{208DE6BC-81E8-4CE8-A707-FBC4CF545B73}"/>
    <hyperlink ref="B10" location="'M-Cliente'!A8" display="'M-Cliente'!A8" xr:uid="{1DB983D7-63C4-4120-BEFB-C9702F886DD5}"/>
    <hyperlink ref="B11" location="'M-Cliente'!A8" display="'M-Cliente'!A8" xr:uid="{045C6DB5-1933-4AB5-8A3A-09C3CFC1A6B4}"/>
    <hyperlink ref="B12" location="'M-Cliente'!A8" display="'M-Cliente'!A8" xr:uid="{A5BFBF19-D88A-423A-80AA-D4F418E708D6}"/>
    <hyperlink ref="C9" location="'M-Agenda'!A5" display="'M-Agenda'!A5" xr:uid="{DC279902-AD9B-43C1-BB7B-BB8729A6B7DC}"/>
    <hyperlink ref="C10" location="'M-Agenda'!A4" display="'M-Agenda'!A4" xr:uid="{AE751C97-CA65-4D83-B642-12E6401E31D2}"/>
    <hyperlink ref="C11" location="'M-Agenda'!A5" display="'M-Agenda'!A5" xr:uid="{B76D83E5-889B-4643-A34F-B6FC005F7B96}"/>
    <hyperlink ref="C12" location="'M-Agenda'!A6" display="'M-Agenda'!A6" xr:uid="{8FE1A991-C58A-4015-B0A8-BBA9393C0836}"/>
  </hyperlink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10"/>
  <sheetViews>
    <sheetView zoomScaleNormal="100" workbookViewId="0"/>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'M-CitaServicio'!A3</f>
        <v>id</v>
      </c>
      <c r="B3" s="15" t="str">
        <f>'M-CitaServicio'!A2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28.5" customHeight="1" x14ac:dyDescent="0.25">
      <c r="A4" s="14" t="str">
        <f>'M-CitaServicio'!B3</f>
        <v>cita</v>
      </c>
      <c r="B4" s="15" t="str">
        <f>'M-CitaServicio'!B2</f>
        <v>Hace referencia a la cita puntual en la que se pidió este servicio</v>
      </c>
      <c r="C4" s="14" t="s">
        <v>51</v>
      </c>
      <c r="D4" s="14" t="s">
        <v>52</v>
      </c>
      <c r="E4" s="14" t="s">
        <v>49</v>
      </c>
      <c r="F4" s="14"/>
      <c r="G4" s="14"/>
      <c r="H4" s="14"/>
      <c r="I4" s="14"/>
      <c r="J4" s="14"/>
      <c r="K4" s="14"/>
      <c r="L4" s="14"/>
      <c r="M4" s="15" t="s">
        <v>155</v>
      </c>
      <c r="N4" s="14" t="s">
        <v>51</v>
      </c>
      <c r="O4" s="14" t="s">
        <v>51</v>
      </c>
      <c r="P4" s="14"/>
      <c r="Q4" s="14" t="s">
        <v>51</v>
      </c>
      <c r="R4" s="14" t="s">
        <v>51</v>
      </c>
      <c r="S4" s="14" t="s">
        <v>51</v>
      </c>
      <c r="T4" s="14"/>
      <c r="U4" s="14" t="s">
        <v>51</v>
      </c>
    </row>
    <row r="5" spans="1:21" ht="28.5" customHeight="1" x14ac:dyDescent="0.25">
      <c r="A5" s="14" t="str">
        <f>'M-CitaServicio'!C3</f>
        <v>servicio</v>
      </c>
      <c r="B5" s="15" t="str">
        <f>'M-CitaServicio'!C2</f>
        <v>Hace referencia a cual servicio del catalogo fue el que se pidió en esa cita</v>
      </c>
      <c r="C5" s="14" t="s">
        <v>51</v>
      </c>
      <c r="D5" s="14" t="s">
        <v>52</v>
      </c>
      <c r="E5" s="14" t="s">
        <v>49</v>
      </c>
      <c r="F5" s="14"/>
      <c r="G5" s="14"/>
      <c r="H5" s="14"/>
      <c r="I5" s="14"/>
      <c r="J5" s="14"/>
      <c r="K5" s="14"/>
      <c r="L5" s="14"/>
      <c r="M5" s="15" t="s">
        <v>155</v>
      </c>
      <c r="N5" s="14" t="s">
        <v>51</v>
      </c>
      <c r="O5" s="14" t="s">
        <v>51</v>
      </c>
      <c r="P5" s="14"/>
      <c r="Q5" s="14" t="s">
        <v>51</v>
      </c>
      <c r="R5" s="14" t="s">
        <v>51</v>
      </c>
      <c r="S5" s="14" t="s">
        <v>51</v>
      </c>
      <c r="T5" s="14"/>
      <c r="U5" s="14" t="s">
        <v>51</v>
      </c>
    </row>
    <row r="6" spans="1:21" ht="100.5" customHeight="1" x14ac:dyDescent="0.25">
      <c r="A6" s="14" t="str">
        <f>'M-CitaServicio'!D3</f>
        <v>precioAlMomento</v>
      </c>
      <c r="B6" s="15" t="str">
        <f>'M-CitaServicio'!D2</f>
        <v>Representa cuanto valía el servicio en el momento exacto en que se agendó la cita, se guarda aparte del precio del catalogo por si el precio de ese servicio cambia después (por si el dueño cambio de precio), las citas ya registradas no se vean afectadas</v>
      </c>
      <c r="C6" s="14" t="s">
        <v>51</v>
      </c>
      <c r="D6" s="14" t="s">
        <v>53</v>
      </c>
      <c r="E6" s="14" t="s">
        <v>49</v>
      </c>
      <c r="F6" s="14"/>
      <c r="G6" s="14"/>
      <c r="H6" s="14"/>
      <c r="I6" s="14"/>
      <c r="J6" s="14">
        <v>1</v>
      </c>
      <c r="K6" s="14"/>
      <c r="L6" s="14" t="s">
        <v>174</v>
      </c>
      <c r="M6" s="15" t="s">
        <v>270</v>
      </c>
      <c r="N6" s="14" t="s">
        <v>51</v>
      </c>
      <c r="O6" s="14" t="s">
        <v>51</v>
      </c>
      <c r="P6" s="14"/>
      <c r="Q6" s="14" t="s">
        <v>51</v>
      </c>
      <c r="R6" s="14" t="s">
        <v>51</v>
      </c>
      <c r="S6" s="14" t="s">
        <v>51</v>
      </c>
      <c r="T6" s="14"/>
      <c r="U6" s="14" t="s">
        <v>49</v>
      </c>
    </row>
    <row r="7" spans="1:21" ht="14.25" customHeight="1" x14ac:dyDescent="0.25">
      <c r="A7" s="5"/>
      <c r="B7" s="5"/>
      <c r="C7" s="5"/>
      <c r="D7" s="5"/>
      <c r="E7" s="5"/>
      <c r="F7" s="5"/>
      <c r="G7" s="5"/>
      <c r="H7" s="5"/>
      <c r="I7" s="5"/>
      <c r="J7" s="5"/>
      <c r="K7" s="5"/>
      <c r="L7" s="5"/>
      <c r="M7" s="5"/>
      <c r="N7" s="5"/>
      <c r="O7" s="5"/>
      <c r="P7" s="5"/>
      <c r="Q7" s="5"/>
      <c r="R7" s="5"/>
      <c r="S7" s="5"/>
      <c r="T7" s="5"/>
      <c r="U7" s="5"/>
    </row>
    <row r="8" spans="1:21" ht="14.25" customHeight="1" x14ac:dyDescent="0.25">
      <c r="A8" s="17" t="s">
        <v>62</v>
      </c>
      <c r="B8" s="17" t="s">
        <v>63</v>
      </c>
      <c r="C8" s="17" t="s">
        <v>64</v>
      </c>
      <c r="D8" s="50"/>
      <c r="E8" s="50"/>
      <c r="F8" s="50"/>
      <c r="G8" s="50"/>
      <c r="H8" s="50"/>
      <c r="I8" s="50"/>
      <c r="J8" s="50"/>
      <c r="K8" s="50"/>
      <c r="L8" s="50"/>
      <c r="M8" s="50"/>
      <c r="N8" s="50"/>
      <c r="O8" s="50"/>
      <c r="P8" s="50"/>
      <c r="Q8" s="50"/>
      <c r="R8" s="50"/>
      <c r="S8" s="50"/>
      <c r="T8" s="50"/>
      <c r="U8" s="50"/>
    </row>
    <row r="9" spans="1:21" ht="14.25" customHeight="1" x14ac:dyDescent="0.25">
      <c r="A9" s="130" t="str">
        <f>'M-CitaServicio'!E3</f>
        <v>Combinación única</v>
      </c>
      <c r="B9" s="131" t="str">
        <f>'M-CitaServicio'!E2</f>
        <v>Combinación única que indica que un mismo servicio no puede repetirse dos veces dentro de la misma cita</v>
      </c>
      <c r="C9" s="39" t="str">
        <f>A4</f>
        <v>cita</v>
      </c>
      <c r="D9" s="5"/>
      <c r="E9" s="5"/>
      <c r="F9" s="5"/>
      <c r="G9" s="5"/>
      <c r="H9" s="5"/>
      <c r="I9" s="5"/>
      <c r="J9" s="5"/>
      <c r="K9" s="5"/>
      <c r="L9" s="5"/>
      <c r="M9" s="5"/>
      <c r="N9" s="5"/>
      <c r="O9" s="5"/>
      <c r="P9" s="5"/>
      <c r="Q9" s="5"/>
      <c r="R9" s="5"/>
      <c r="S9" s="5"/>
      <c r="T9" s="5"/>
      <c r="U9" s="5"/>
    </row>
    <row r="10" spans="1:21" ht="14.25" customHeight="1" x14ac:dyDescent="0.25">
      <c r="A10" s="130"/>
      <c r="B10" s="130"/>
      <c r="C10" s="39" t="str">
        <f>A5</f>
        <v>servicio</v>
      </c>
      <c r="D10" s="5"/>
      <c r="E10" s="5"/>
      <c r="F10" s="5"/>
      <c r="G10" s="5"/>
      <c r="H10" s="5"/>
      <c r="I10" s="5"/>
      <c r="J10" s="5"/>
      <c r="K10" s="5"/>
      <c r="L10" s="5"/>
      <c r="M10" s="5"/>
      <c r="N10" s="5"/>
      <c r="O10" s="5"/>
      <c r="P10" s="5"/>
      <c r="Q10" s="5"/>
      <c r="R10" s="5"/>
      <c r="S10" s="5"/>
      <c r="T10" s="5"/>
      <c r="U10" s="5"/>
    </row>
  </sheetData>
  <mergeCells count="2">
    <mergeCell ref="A9:A10"/>
    <mergeCell ref="B9:B10"/>
  </mergeCells>
  <hyperlinks>
    <hyperlink ref="A1" location="'Modelo de Dominio'!A1" display="&lt;&lt;&lt;&lt; Ir al modulo de dominio" xr:uid="{00000000-0004-0000-1A00-000000000000}"/>
    <hyperlink ref="B1" location="'Objetos de Dominio'!A1" display="&lt;&lt;&lt;&lt; Ir a objetos de dominio" xr:uid="{00000000-0004-0000-1A00-000001000000}"/>
  </hyperlink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3"/>
  <sheetViews>
    <sheetView zoomScale="130" zoomScaleNormal="130" workbookViewId="0"/>
  </sheetViews>
  <sheetFormatPr baseColWidth="10" defaultColWidth="10.7109375" defaultRowHeight="15" x14ac:dyDescent="0.25"/>
  <cols>
    <col min="1" max="1" width="27" customWidth="1"/>
    <col min="2" max="2" width="49.7109375" customWidth="1"/>
    <col min="3" max="3" width="17.42578125" customWidth="1"/>
    <col min="4" max="4" width="46.7109375" customWidth="1"/>
    <col min="5" max="5" width="66.7109375" customWidth="1"/>
  </cols>
  <sheetData>
    <row r="1" spans="1:5" ht="14.25" customHeight="1" x14ac:dyDescent="0.25">
      <c r="A1" s="94" t="s">
        <v>1</v>
      </c>
      <c r="B1" s="94" t="s">
        <v>27</v>
      </c>
    </row>
    <row r="2" spans="1:5" ht="41.25" customHeight="1" x14ac:dyDescent="0.25">
      <c r="A2" s="95" t="s">
        <v>65</v>
      </c>
      <c r="B2" s="95" t="s">
        <v>271</v>
      </c>
      <c r="C2" s="95" t="s">
        <v>272</v>
      </c>
      <c r="D2" s="95" t="s">
        <v>273</v>
      </c>
      <c r="E2" s="95" t="s">
        <v>274</v>
      </c>
    </row>
    <row r="3" spans="1:5" ht="14.25" customHeight="1" x14ac:dyDescent="0.25">
      <c r="A3" s="103" t="s">
        <v>67</v>
      </c>
      <c r="B3" s="51" t="s">
        <v>275</v>
      </c>
      <c r="C3" s="51" t="s">
        <v>211</v>
      </c>
      <c r="D3" s="104" t="s">
        <v>276</v>
      </c>
      <c r="E3" s="99" t="s">
        <v>72</v>
      </c>
    </row>
    <row r="4" spans="1:5" ht="30" customHeight="1" x14ac:dyDescent="0.25">
      <c r="A4" s="26">
        <v>1</v>
      </c>
      <c r="B4" s="101" t="str">
        <f>'M-Cita'!G4</f>
        <v>Juan  Gómez -Agenda de Juan García-31/08/2026/10:00-31/08/2026/10:45</v>
      </c>
      <c r="C4" s="100" t="str">
        <f>'M-Servicio'!G4</f>
        <v>Motilada</v>
      </c>
      <c r="D4" s="26">
        <v>22000</v>
      </c>
      <c r="E4" s="76" t="str">
        <f t="shared" ref="E4:E13" si="0">_xlfn.CONCAT(B4,"-",C4)</f>
        <v>Juan  Gómez -Agenda de Juan García-31/08/2026/10:00-31/08/2026/10:45-Motilada</v>
      </c>
    </row>
    <row r="5" spans="1:5" ht="30" customHeight="1" x14ac:dyDescent="0.25">
      <c r="A5" s="26">
        <v>2</v>
      </c>
      <c r="B5" s="101" t="str">
        <f>'M-Cita'!G5</f>
        <v>Jose Miguel Ramirez Perez-Agenda de Juan Ortiz-10/03/2026/09:30-10/03/2026/10:20</v>
      </c>
      <c r="C5" s="100" t="str">
        <f>'M-Servicio'!G5</f>
        <v>Corte de barba</v>
      </c>
      <c r="D5" s="26">
        <v>12000</v>
      </c>
      <c r="E5" s="76" t="str">
        <f t="shared" si="0"/>
        <v>Jose Miguel Ramirez Perez-Agenda de Juan Ortiz-10/03/2026/09:30-10/03/2026/10:20-Corte de barba</v>
      </c>
    </row>
    <row r="6" spans="1:5" ht="30" customHeight="1" x14ac:dyDescent="0.25">
      <c r="A6" s="26">
        <v>3</v>
      </c>
      <c r="B6" s="101" t="str">
        <f>'M-Cita'!G5</f>
        <v>Jose Miguel Ramirez Perez-Agenda de Juan Ortiz-10/03/2026/09:30-10/03/2026/10:20</v>
      </c>
      <c r="C6" s="100" t="str">
        <f>'M-Servicio'!G4</f>
        <v>Motilada</v>
      </c>
      <c r="D6" s="26">
        <v>22000</v>
      </c>
      <c r="E6" s="76" t="str">
        <f t="shared" si="0"/>
        <v>Jose Miguel Ramirez Perez-Agenda de Juan Ortiz-10/03/2026/09:30-10/03/2026/10:20-Motilada</v>
      </c>
    </row>
    <row r="7" spans="1:5" ht="30" customHeight="1" x14ac:dyDescent="0.25">
      <c r="A7" s="26">
        <v>4</v>
      </c>
      <c r="B7" s="101" t="str">
        <f>'M-Cita'!G6</f>
        <v>Simon  Ochoa Ramirez-Agenda de Carlos Arbeladez-14/05/2026/13:00-14/05/2026/13:15</v>
      </c>
      <c r="C7" s="100" t="str">
        <f>'M-Servicio'!G6</f>
        <v>Perfilada de barba</v>
      </c>
      <c r="D7" s="26">
        <v>15000</v>
      </c>
      <c r="E7" s="76" t="str">
        <f t="shared" si="0"/>
        <v>Simon  Ochoa Ramirez-Agenda de Carlos Arbeladez-14/05/2026/13:00-14/05/2026/13:15-Perfilada de barba</v>
      </c>
    </row>
    <row r="8" spans="1:5" ht="45" customHeight="1" x14ac:dyDescent="0.25">
      <c r="A8" s="26">
        <v>5</v>
      </c>
      <c r="B8" s="101" t="str">
        <f>'M-Cita'!G7</f>
        <v>Alexis  Gallego -Agenda de Andres Ramirez-22/11/2025/13:00-22/11/2025/13:40</v>
      </c>
      <c r="C8" s="101" t="str">
        <f>'M-Servicio'!G7</f>
        <v>Arreglo completo de barba con toalla caliente</v>
      </c>
      <c r="D8" s="26">
        <v>35000</v>
      </c>
      <c r="E8" s="76" t="str">
        <f t="shared" si="0"/>
        <v>Alexis  Gallego -Agenda de Andres Ramirez-22/11/2025/13:00-22/11/2025/13:40-Arreglo completo de barba con toalla caliente</v>
      </c>
    </row>
    <row r="9" spans="1:5" ht="30" customHeight="1" x14ac:dyDescent="0.25">
      <c r="A9" s="26">
        <v>6</v>
      </c>
      <c r="B9" s="101" t="str">
        <f>'M-Cita'!G8</f>
        <v>Alexis  Gallego -Agenda de Carlos Arbeladez-06/08/2026/18:00-06/08/2026/18:15</v>
      </c>
      <c r="C9" s="100" t="str">
        <f>'M-Servicio'!G5</f>
        <v>Corte de barba</v>
      </c>
      <c r="D9" s="26">
        <v>12000</v>
      </c>
      <c r="E9" s="76" t="str">
        <f t="shared" si="0"/>
        <v>Alexis  Gallego -Agenda de Carlos Arbeladez-06/08/2026/18:00-06/08/2026/18:15-Corte de barba</v>
      </c>
    </row>
    <row r="10" spans="1:5" ht="30" customHeight="1" x14ac:dyDescent="0.25">
      <c r="A10" s="26">
        <v>7</v>
      </c>
      <c r="B10" s="101" t="str">
        <f>'M-Cita'!G9</f>
        <v>Juan  Gómez -Agenda de Juan Ortiz-01/09/2026/14:00-01/09/2026/14:10</v>
      </c>
      <c r="C10" s="100" t="str">
        <f>'M-Servicio'!G5</f>
        <v>Corte de barba</v>
      </c>
      <c r="D10" s="26">
        <v>12000</v>
      </c>
      <c r="E10" s="76" t="str">
        <f t="shared" si="0"/>
        <v>Juan  Gómez -Agenda de Juan Ortiz-01/09/2026/14:00-01/09/2026/14:10-Corte de barba</v>
      </c>
    </row>
    <row r="11" spans="1:5" ht="30" customHeight="1" x14ac:dyDescent="0.25">
      <c r="A11" s="26">
        <v>8</v>
      </c>
      <c r="B11" s="101" t="str">
        <f>'M-Cita'!G10</f>
        <v>Kevin Andrés Muñoz Salazar-Agenda de Juan García-01/06/2026/10:00-01/06/2026/10:45</v>
      </c>
      <c r="C11" s="100" t="str">
        <f>'M-Servicio'!G4</f>
        <v>Motilada</v>
      </c>
      <c r="D11" s="26">
        <v>22000</v>
      </c>
      <c r="E11" s="76" t="str">
        <f t="shared" si="0"/>
        <v>Kevin Andrés Muñoz Salazar-Agenda de Juan García-01/06/2026/10:00-01/06/2026/10:45-Motilada</v>
      </c>
    </row>
    <row r="12" spans="1:5" ht="30" customHeight="1" x14ac:dyDescent="0.25">
      <c r="A12" s="26">
        <v>9</v>
      </c>
      <c r="B12" s="101" t="str">
        <f>'M-Cita'!G11</f>
        <v>Kevin Andrés Muñoz Salazar-Agenda de Juan Ortiz-16/06/2026/09:00-16/06/2026/09:10</v>
      </c>
      <c r="C12" s="100" t="str">
        <f>'M-Servicio'!G5</f>
        <v>Corte de barba</v>
      </c>
      <c r="D12" s="26">
        <v>12000</v>
      </c>
      <c r="E12" s="76" t="str">
        <f t="shared" si="0"/>
        <v>Kevin Andrés Muñoz Salazar-Agenda de Juan Ortiz-16/06/2026/09:00-16/06/2026/09:10-Corte de barba</v>
      </c>
    </row>
    <row r="13" spans="1:5" ht="30" customHeight="1" x14ac:dyDescent="0.25">
      <c r="A13" s="26">
        <v>10</v>
      </c>
      <c r="B13" s="101" t="str">
        <f>'M-Cita'!G12</f>
        <v>Kevin Andrés Muñoz Salazar-Agenda de Carlos Arbeladez-02/07/2026/15:00-02/07/2026/15:15</v>
      </c>
      <c r="C13" s="100" t="str">
        <f>'M-Servicio'!G6</f>
        <v>Perfilada de barba</v>
      </c>
      <c r="D13" s="26">
        <v>15000</v>
      </c>
      <c r="E13" s="76" t="str">
        <f t="shared" si="0"/>
        <v>Kevin Andrés Muñoz Salazar-Agenda de Carlos Arbeladez-02/07/2026/15:00-02/07/2026/15:15-Perfilada de barba</v>
      </c>
    </row>
    <row r="19" spans="1:2" ht="14.25" customHeight="1" x14ac:dyDescent="0.25">
      <c r="A19" s="105"/>
      <c r="B19" t="s">
        <v>80</v>
      </c>
    </row>
    <row r="20" spans="1:2" ht="30" customHeight="1" x14ac:dyDescent="0.25">
      <c r="A20" s="106"/>
      <c r="B20" s="35" t="s">
        <v>81</v>
      </c>
    </row>
    <row r="21" spans="1:2" ht="30" customHeight="1" x14ac:dyDescent="0.25">
      <c r="A21" s="107"/>
      <c r="B21" s="35" t="s">
        <v>203</v>
      </c>
    </row>
    <row r="22" spans="1:2" ht="14.25" customHeight="1" x14ac:dyDescent="0.25">
      <c r="A22" s="108"/>
      <c r="B22" t="s">
        <v>84</v>
      </c>
    </row>
    <row r="23" spans="1:2" ht="14.25" customHeight="1" x14ac:dyDescent="0.25">
      <c r="A23" s="109"/>
      <c r="B23" t="s">
        <v>86</v>
      </c>
    </row>
  </sheetData>
  <hyperlinks>
    <hyperlink ref="A1" location="'Modelo de Dominio'!A1" display="&lt;&lt;&lt;&lt; Ir al modulo de dominio" xr:uid="{00000000-0004-0000-1B00-000000000000}"/>
    <hyperlink ref="B1" location="'Objetos de Dominio'!A1" display="&lt;&lt;&lt;&lt; Ir a objetos de dominio" xr:uid="{00000000-0004-0000-1B00-000001000000}"/>
    <hyperlink ref="B3" location="'M-Cita'!A1" display="cita" xr:uid="{00000000-0004-0000-1B00-000002000000}"/>
    <hyperlink ref="C3" location="'M-Servicio'!A1" display="servicio" xr:uid="{00000000-0004-0000-1B00-000003000000}"/>
    <hyperlink ref="B4" location="Cita_D!A4" display="#Cita_D.A4" xr:uid="{00000000-0004-0000-1B00-000004000000}"/>
    <hyperlink ref="C4" location="Servicio_D!A4" display="#Servicio_D.A4" xr:uid="{00000000-0004-0000-1B00-000005000000}"/>
    <hyperlink ref="B5" location="Cita_D!A4" display="#Cita_D.A4" xr:uid="{00000000-0004-0000-1B00-000006000000}"/>
    <hyperlink ref="C5" location="Servicio_D!A5" display="#Servicio_D.A5" xr:uid="{00000000-0004-0000-1B00-000007000000}"/>
    <hyperlink ref="B6" location="Cita_D!A5" display="#Cita_D.A5" xr:uid="{00000000-0004-0000-1B00-000008000000}"/>
    <hyperlink ref="C6" location="Servicio_D!A4" display="#Servicio_D.A4" xr:uid="{00000000-0004-0000-1B00-000009000000}"/>
    <hyperlink ref="B7" location="Cita_D!A6" display="#Cita_D.A6" xr:uid="{00000000-0004-0000-1B00-00000A000000}"/>
    <hyperlink ref="C7" location="Servicio_D!A6" display="#Servicio_D.A6" xr:uid="{00000000-0004-0000-1B00-00000B000000}"/>
    <hyperlink ref="B8" location="Cita_D!A7" display="#Cita_D.A7" xr:uid="{00000000-0004-0000-1B00-00000C000000}"/>
    <hyperlink ref="C8" location="Servicio_D!A7" display="#Servicio_D.A7" xr:uid="{00000000-0004-0000-1B00-00000D000000}"/>
    <hyperlink ref="B9" location="Cita_D!A8" display="#Cita_D.A8" xr:uid="{00000000-0004-0000-1B00-00000E000000}"/>
    <hyperlink ref="C9" location="Servicio_D!A5" display="#Servicio_D.A5" xr:uid="{00000000-0004-0000-1B00-00000F000000}"/>
  </hyperlink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11"/>
  <sheetViews>
    <sheetView zoomScaleNormal="100" workbookViewId="0"/>
  </sheetViews>
  <sheetFormatPr baseColWidth="10" defaultColWidth="10.7109375" defaultRowHeight="15" x14ac:dyDescent="0.25"/>
  <cols>
    <col min="1" max="1" width="27" customWidth="1"/>
    <col min="2" max="2" width="34" customWidth="1"/>
    <col min="3" max="3" width="33.28515625" customWidth="1"/>
    <col min="4" max="4" width="26.7109375" customWidth="1"/>
    <col min="6" max="6" width="25.42578125" customWidth="1"/>
    <col min="7" max="7" width="25.7109375" customWidth="1"/>
    <col min="8" max="8" width="18.7109375" customWidth="1"/>
    <col min="9" max="9" width="20.7109375" customWidth="1"/>
    <col min="10" max="10" width="21.85546875" customWidth="1"/>
    <col min="11" max="11" width="20.28515625" customWidth="1"/>
    <col min="12" max="12" width="17.7109375" customWidth="1"/>
    <col min="13" max="13" width="26.7109375" customWidth="1"/>
    <col min="14" max="14" width="14.28515625" customWidth="1"/>
    <col min="15" max="15" width="29.7109375" customWidth="1"/>
    <col min="16" max="16" width="27" customWidth="1"/>
    <col min="17" max="17" width="41.42578125" customWidth="1"/>
    <col min="18" max="18" width="38.85546875" customWidth="1"/>
    <col min="19" max="19" width="22.85546875" customWidth="1"/>
    <col min="20" max="20" width="25.85546875" customWidth="1"/>
    <col min="21" max="21" width="14" customWidth="1"/>
  </cols>
  <sheetData>
    <row r="1" spans="1:21" ht="14.25" customHeight="1" x14ac:dyDescent="0.25">
      <c r="A1" s="6" t="s">
        <v>1</v>
      </c>
      <c r="B1" s="6" t="s">
        <v>27</v>
      </c>
    </row>
    <row r="2" spans="1:21" ht="14.25" customHeight="1" x14ac:dyDescent="0.25">
      <c r="A2" s="13" t="s">
        <v>28</v>
      </c>
      <c r="B2" s="13" t="s">
        <v>29</v>
      </c>
      <c r="C2" s="13" t="s">
        <v>30</v>
      </c>
      <c r="D2" s="13" t="s">
        <v>31</v>
      </c>
      <c r="E2" s="13" t="s">
        <v>32</v>
      </c>
      <c r="F2" s="13" t="s">
        <v>33</v>
      </c>
      <c r="G2" s="13" t="s">
        <v>34</v>
      </c>
      <c r="H2" s="13" t="s">
        <v>35</v>
      </c>
      <c r="I2" s="13" t="s">
        <v>36</v>
      </c>
      <c r="J2" s="13" t="s">
        <v>37</v>
      </c>
      <c r="K2" s="13" t="s">
        <v>38</v>
      </c>
      <c r="L2" s="13" t="s">
        <v>39</v>
      </c>
      <c r="M2" s="13" t="s">
        <v>40</v>
      </c>
      <c r="N2" s="13" t="s">
        <v>41</v>
      </c>
      <c r="O2" s="13" t="s">
        <v>42</v>
      </c>
      <c r="P2" s="13" t="s">
        <v>43</v>
      </c>
      <c r="Q2" s="13" t="s">
        <v>44</v>
      </c>
      <c r="R2" s="13" t="s">
        <v>45</v>
      </c>
      <c r="S2" s="13" t="s">
        <v>46</v>
      </c>
      <c r="T2" s="13" t="s">
        <v>47</v>
      </c>
      <c r="U2" s="13" t="s">
        <v>48</v>
      </c>
    </row>
    <row r="3" spans="1:21" ht="42.75" customHeight="1" x14ac:dyDescent="0.25">
      <c r="A3" s="14" t="str">
        <f>'M-Multa'!A3</f>
        <v>id</v>
      </c>
      <c r="B3" s="15" t="str">
        <f>'M-Multa'!A2</f>
        <v>Representa un identificador que hará unico cada objeto de dominio de este tipo, no se puede repetir</v>
      </c>
      <c r="C3" s="14" t="s">
        <v>49</v>
      </c>
      <c r="D3" s="14" t="s">
        <v>50</v>
      </c>
      <c r="E3" s="14" t="s">
        <v>49</v>
      </c>
      <c r="F3" s="14"/>
      <c r="G3" s="14"/>
      <c r="H3" s="14"/>
      <c r="I3" s="14"/>
      <c r="J3" s="14"/>
      <c r="K3" s="14"/>
      <c r="L3" s="14"/>
      <c r="M3" s="15"/>
      <c r="N3" s="14" t="s">
        <v>51</v>
      </c>
      <c r="O3" s="14" t="s">
        <v>51</v>
      </c>
      <c r="P3" s="14"/>
      <c r="Q3" s="14" t="s">
        <v>51</v>
      </c>
      <c r="R3" s="14" t="s">
        <v>51</v>
      </c>
      <c r="S3" s="14" t="s">
        <v>51</v>
      </c>
      <c r="T3" s="14"/>
      <c r="U3" s="14" t="s">
        <v>49</v>
      </c>
    </row>
    <row r="4" spans="1:21" ht="86.25" customHeight="1" x14ac:dyDescent="0.25">
      <c r="A4" s="14" t="str">
        <f>'M-Multa'!B3</f>
        <v>cliente</v>
      </c>
      <c r="B4" s="15" t="str">
        <f>'M-Multa'!B2</f>
        <v>Hace referencia a que cliente se le esta cobrando la multa, es el dato que se usa para sumar cuántas multas sin pagar tiene una persona y decidir si debe ser vetada, dependiendo de como se definio en regla</v>
      </c>
      <c r="C4" s="14" t="s">
        <v>51</v>
      </c>
      <c r="D4" s="14" t="s">
        <v>52</v>
      </c>
      <c r="E4" s="14" t="s">
        <v>49</v>
      </c>
      <c r="F4" s="14"/>
      <c r="G4" s="14"/>
      <c r="H4" s="14"/>
      <c r="I4" s="14"/>
      <c r="J4" s="14"/>
      <c r="K4" s="14"/>
      <c r="L4" s="14"/>
      <c r="M4" s="15" t="s">
        <v>155</v>
      </c>
      <c r="N4" s="14" t="s">
        <v>51</v>
      </c>
      <c r="O4" s="14" t="s">
        <v>51</v>
      </c>
      <c r="P4" s="14"/>
      <c r="Q4" s="14" t="s">
        <v>51</v>
      </c>
      <c r="R4" s="14" t="s">
        <v>51</v>
      </c>
      <c r="S4" s="14" t="s">
        <v>51</v>
      </c>
      <c r="T4" s="14"/>
      <c r="U4" s="14" t="s">
        <v>51</v>
      </c>
    </row>
    <row r="5" spans="1:21" ht="72" customHeight="1" x14ac:dyDescent="0.25">
      <c r="A5" s="14" t="str">
        <f>'M-Multa'!C3</f>
        <v>cita</v>
      </c>
      <c r="B5" s="15" t="str">
        <f>'M-Multa'!C2</f>
        <v>Hace referencia a la cita puntual que el cliente incumplió (llegando tarde fuera de la tolerancia o no presentándose), de esa cita es de donde sale el valor de monto si fue el caso de no presentase</v>
      </c>
      <c r="C5" s="14" t="s">
        <v>51</v>
      </c>
      <c r="D5" s="14" t="s">
        <v>52</v>
      </c>
      <c r="E5" s="14" t="s">
        <v>49</v>
      </c>
      <c r="F5" s="14"/>
      <c r="G5" s="14"/>
      <c r="H5" s="14"/>
      <c r="I5" s="14"/>
      <c r="J5" s="14"/>
      <c r="K5" s="14"/>
      <c r="L5" s="14"/>
      <c r="M5" s="15" t="s">
        <v>155</v>
      </c>
      <c r="N5" s="14" t="s">
        <v>51</v>
      </c>
      <c r="O5" s="14" t="s">
        <v>51</v>
      </c>
      <c r="P5" s="14"/>
      <c r="Q5" s="14" t="s">
        <v>51</v>
      </c>
      <c r="R5" s="14" t="s">
        <v>51</v>
      </c>
      <c r="S5" s="14" t="s">
        <v>51</v>
      </c>
      <c r="T5" s="14"/>
      <c r="U5" s="14" t="s">
        <v>51</v>
      </c>
    </row>
    <row r="6" spans="1:21" ht="86.25" customHeight="1" x14ac:dyDescent="0.25">
      <c r="A6" s="14" t="str">
        <f>'M-Multa'!D3</f>
        <v>monto</v>
      </c>
      <c r="B6" s="15" t="str">
        <f>'M-Multa'!D2</f>
        <v>Representa cuanto dinero en pesos colombianos debe pagar el cliente la multa. Es un dato calculado si es por retraso el monto es el que dice en regla y si es por incumplida el monto es del o los servicios que pidió</v>
      </c>
      <c r="C6" s="14" t="s">
        <v>51</v>
      </c>
      <c r="D6" s="14" t="s">
        <v>53</v>
      </c>
      <c r="E6" s="14" t="s">
        <v>49</v>
      </c>
      <c r="F6" s="14"/>
      <c r="G6" s="14"/>
      <c r="H6" s="14"/>
      <c r="I6" s="14"/>
      <c r="J6" s="14">
        <v>1</v>
      </c>
      <c r="K6" s="14"/>
      <c r="L6" s="14" t="s">
        <v>174</v>
      </c>
      <c r="M6" s="15" t="s">
        <v>277</v>
      </c>
      <c r="N6" s="14" t="s">
        <v>49</v>
      </c>
      <c r="O6" s="14" t="s">
        <v>51</v>
      </c>
      <c r="P6" s="14"/>
      <c r="Q6" s="14" t="s">
        <v>51</v>
      </c>
      <c r="R6" s="14" t="s">
        <v>51</v>
      </c>
      <c r="S6" s="14" t="s">
        <v>51</v>
      </c>
      <c r="T6" s="14"/>
      <c r="U6" s="14" t="s">
        <v>51</v>
      </c>
    </row>
    <row r="7" spans="1:21" ht="57" customHeight="1" x14ac:dyDescent="0.25">
      <c r="A7" s="14" t="str">
        <f>'M-Multa'!E3</f>
        <v>tipo</v>
      </c>
      <c r="B7" s="15" t="str">
        <f>'M-Multa'!E2</f>
        <v>Representa el tipo de multa con el que se va sancionar, si es retraso o incumplida. Este es un dato obtenido del estado de cita</v>
      </c>
      <c r="C7" s="14" t="s">
        <v>51</v>
      </c>
      <c r="D7" s="14" t="s">
        <v>52</v>
      </c>
      <c r="E7" s="14" t="s">
        <v>49</v>
      </c>
      <c r="F7" s="14">
        <v>8</v>
      </c>
      <c r="G7" s="14">
        <v>10</v>
      </c>
      <c r="H7" s="14"/>
      <c r="I7" s="14"/>
      <c r="J7" s="14"/>
      <c r="K7" s="14"/>
      <c r="L7" s="14"/>
      <c r="M7" s="15" t="s">
        <v>278</v>
      </c>
      <c r="N7" s="14" t="s">
        <v>49</v>
      </c>
      <c r="O7" s="14" t="s">
        <v>51</v>
      </c>
      <c r="P7" s="14"/>
      <c r="Q7" s="14" t="s">
        <v>51</v>
      </c>
      <c r="R7" s="14" t="s">
        <v>51</v>
      </c>
      <c r="S7" s="14" t="s">
        <v>51</v>
      </c>
      <c r="T7" s="14"/>
      <c r="U7" s="14" t="s">
        <v>51</v>
      </c>
    </row>
    <row r="8" spans="1:21" ht="57" customHeight="1" x14ac:dyDescent="0.25">
      <c r="A8" s="14" t="str">
        <f>'M-Multa'!F3</f>
        <v>pagada</v>
      </c>
      <c r="B8" s="15" t="str">
        <f>'M-Multa'!F2</f>
        <v>Representa si el cliente ya pagó o no esta multa, es el dato que se revisa para decidir si un cliente llega al número de multas sin pagar que activa el veto</v>
      </c>
      <c r="C8" s="14" t="s">
        <v>51</v>
      </c>
      <c r="D8" s="14" t="s">
        <v>59</v>
      </c>
      <c r="E8" s="14" t="s">
        <v>49</v>
      </c>
      <c r="F8" s="14"/>
      <c r="G8" s="14"/>
      <c r="H8" s="14"/>
      <c r="I8" s="14"/>
      <c r="J8" s="14"/>
      <c r="K8" s="14"/>
      <c r="L8" s="14"/>
      <c r="M8" s="15"/>
      <c r="N8" s="14" t="s">
        <v>51</v>
      </c>
      <c r="O8" s="14" t="s">
        <v>51</v>
      </c>
      <c r="P8" s="14"/>
      <c r="Q8" s="14" t="s">
        <v>51</v>
      </c>
      <c r="R8" s="14" t="s">
        <v>51</v>
      </c>
      <c r="S8" s="14" t="s">
        <v>51</v>
      </c>
      <c r="T8" s="14" t="s">
        <v>78</v>
      </c>
      <c r="U8" s="14" t="s">
        <v>51</v>
      </c>
    </row>
    <row r="9" spans="1:21" ht="14.25" customHeight="1" x14ac:dyDescent="0.25">
      <c r="A9" s="5"/>
      <c r="B9" s="5"/>
      <c r="C9" s="5"/>
      <c r="D9" s="5"/>
      <c r="E9" s="5"/>
      <c r="F9" s="5"/>
      <c r="G9" s="5"/>
      <c r="H9" s="5"/>
      <c r="I9" s="5"/>
      <c r="J9" s="5"/>
      <c r="K9" s="5"/>
      <c r="L9" s="5"/>
      <c r="M9" s="5"/>
      <c r="N9" s="5"/>
      <c r="O9" s="5"/>
      <c r="P9" s="5"/>
      <c r="Q9" s="5"/>
      <c r="R9" s="5"/>
      <c r="S9" s="5"/>
      <c r="T9" s="5"/>
      <c r="U9" s="5"/>
    </row>
    <row r="10" spans="1:21" ht="14.25" customHeight="1" x14ac:dyDescent="0.25">
      <c r="A10" s="17" t="s">
        <v>62</v>
      </c>
      <c r="B10" s="17" t="s">
        <v>63</v>
      </c>
      <c r="C10" s="17" t="s">
        <v>64</v>
      </c>
      <c r="D10" s="50"/>
      <c r="E10" s="50"/>
      <c r="F10" s="50"/>
      <c r="G10" s="50"/>
      <c r="H10" s="50"/>
      <c r="I10" s="50"/>
      <c r="J10" s="50"/>
      <c r="K10" s="50"/>
      <c r="L10" s="50"/>
      <c r="M10" s="50"/>
      <c r="N10" s="50"/>
      <c r="O10" s="50"/>
      <c r="P10" s="50"/>
      <c r="Q10" s="50"/>
      <c r="R10" s="50"/>
      <c r="S10" s="50"/>
      <c r="T10" s="50"/>
      <c r="U10" s="50"/>
    </row>
    <row r="11" spans="1:21" ht="42.75" customHeight="1" x14ac:dyDescent="0.25">
      <c r="A11" s="3" t="str">
        <f>'M-Multa'!G3</f>
        <v>Combinación única</v>
      </c>
      <c r="B11" s="2" t="str">
        <f>'M-Multa'!G2</f>
        <v>Combinación única que indica que una misma cita no puede generar más de una multa</v>
      </c>
      <c r="C11" s="39" t="str">
        <f>A5</f>
        <v>cita</v>
      </c>
      <c r="D11" s="5"/>
      <c r="E11" s="5"/>
      <c r="F11" s="5"/>
      <c r="G11" s="5"/>
      <c r="H11" s="5"/>
      <c r="I11" s="5"/>
      <c r="J11" s="5"/>
      <c r="K11" s="5"/>
      <c r="L11" s="5"/>
      <c r="M11" s="5"/>
      <c r="N11" s="5"/>
      <c r="O11" s="5"/>
      <c r="P11" s="5"/>
      <c r="Q11" s="5"/>
      <c r="R11" s="5"/>
      <c r="S11" s="5"/>
      <c r="T11" s="5"/>
      <c r="U11" s="5"/>
    </row>
  </sheetData>
  <hyperlinks>
    <hyperlink ref="A1" location="'Modelo de Dominio'!A1" display="&lt;&lt;&lt;&lt; Ir al modulo de dominio" xr:uid="{00000000-0004-0000-1C00-000000000000}"/>
    <hyperlink ref="B1" location="'Objetos de Dominio'!A1" display="&lt;&lt;&lt;&lt; Ir a objetos de dominio" xr:uid="{00000000-0004-0000-1C00-000001000000}"/>
  </hyperlinks>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19"/>
  <sheetViews>
    <sheetView topLeftCell="C1" zoomScale="130" zoomScaleNormal="130" workbookViewId="0">
      <selection activeCell="E5" sqref="E5"/>
    </sheetView>
  </sheetViews>
  <sheetFormatPr baseColWidth="10" defaultColWidth="10.7109375" defaultRowHeight="15" x14ac:dyDescent="0.25"/>
  <cols>
    <col min="1" max="1" width="27" customWidth="1"/>
    <col min="2" max="2" width="36.85546875" customWidth="1"/>
    <col min="3" max="3" width="50.42578125" customWidth="1"/>
    <col min="4" max="4" width="34.7109375" customWidth="1"/>
    <col min="5" max="5" width="29.140625" customWidth="1"/>
    <col min="6" max="6" width="31.28515625" customWidth="1"/>
    <col min="7" max="7" width="49.28515625" customWidth="1"/>
  </cols>
  <sheetData>
    <row r="1" spans="1:7" ht="14.25" customHeight="1" x14ac:dyDescent="0.25">
      <c r="A1" s="94" t="s">
        <v>1</v>
      </c>
      <c r="B1" s="94" t="s">
        <v>27</v>
      </c>
    </row>
    <row r="2" spans="1:7" ht="45.75" customHeight="1" x14ac:dyDescent="0.25">
      <c r="A2" s="95" t="s">
        <v>65</v>
      </c>
      <c r="B2" s="95" t="s">
        <v>279</v>
      </c>
      <c r="C2" s="95" t="s">
        <v>280</v>
      </c>
      <c r="D2" s="95" t="s">
        <v>281</v>
      </c>
      <c r="E2" s="95" t="s">
        <v>282</v>
      </c>
      <c r="F2" s="95" t="s">
        <v>283</v>
      </c>
      <c r="G2" s="95" t="s">
        <v>284</v>
      </c>
    </row>
    <row r="3" spans="1:7" ht="14.25" customHeight="1" x14ac:dyDescent="0.25">
      <c r="A3" s="96" t="s">
        <v>67</v>
      </c>
      <c r="B3" s="51" t="s">
        <v>263</v>
      </c>
      <c r="C3" s="51" t="s">
        <v>275</v>
      </c>
      <c r="D3" s="98" t="s">
        <v>285</v>
      </c>
      <c r="E3" s="110" t="s">
        <v>286</v>
      </c>
      <c r="F3" s="111" t="s">
        <v>287</v>
      </c>
      <c r="G3" s="112" t="s">
        <v>72</v>
      </c>
    </row>
    <row r="4" spans="1:7" ht="30" customHeight="1" x14ac:dyDescent="0.25">
      <c r="A4" s="26">
        <v>1</v>
      </c>
      <c r="B4" s="101" t="str">
        <f>'M-Cliente'!J6</f>
        <v>Simon--Ochoa-Ramirez-+57-3119884321</v>
      </c>
      <c r="C4" s="101" t="str">
        <f>'M-Cita'!G6</f>
        <v>Simon  Ochoa Ramirez-Agenda de Carlos Arbeladez-14/05/2026/13:00-14/05/2026/13:15</v>
      </c>
      <c r="D4" s="26">
        <f>'M-Regla'!D4</f>
        <v>10000</v>
      </c>
      <c r="E4" s="26" t="s">
        <v>297</v>
      </c>
      <c r="F4" s="26" t="s">
        <v>61</v>
      </c>
      <c r="G4" s="76" t="str">
        <f>C4</f>
        <v>Simon  Ochoa Ramirez-Agenda de Carlos Arbeladez-14/05/2026/13:00-14/05/2026/13:15</v>
      </c>
    </row>
    <row r="5" spans="1:7" ht="30" customHeight="1" x14ac:dyDescent="0.25">
      <c r="A5" s="26">
        <v>2</v>
      </c>
      <c r="B5" s="101" t="str">
        <f>'M-Cliente'!J7</f>
        <v>Alexis--Gallego--+58-4127359182</v>
      </c>
      <c r="C5" s="101" t="str">
        <f>'M-Cita'!G7</f>
        <v>Alexis  Gallego -Agenda de Andres Ramirez-22/11/2025/13:00-22/11/2025/13:40</v>
      </c>
      <c r="D5" s="26">
        <f>'M-CitaServicio'!D8</f>
        <v>35000</v>
      </c>
      <c r="E5" s="26" t="s">
        <v>268</v>
      </c>
      <c r="F5" s="26" t="s">
        <v>78</v>
      </c>
      <c r="G5" s="76" t="str">
        <f>C5</f>
        <v>Alexis  Gallego -Agenda de Andres Ramirez-22/11/2025/13:00-22/11/2025/13:40</v>
      </c>
    </row>
    <row r="6" spans="1:7" ht="30" customHeight="1" x14ac:dyDescent="0.25">
      <c r="A6" s="26">
        <v>3</v>
      </c>
      <c r="B6" s="101" t="str">
        <f>'M-Cliente'!J8</f>
        <v>Kevin-Andrés-Muñoz-Salazar-+57-3005544332</v>
      </c>
      <c r="C6" s="101" t="str">
        <f>'M-Cita'!G10</f>
        <v>Kevin Andrés Muñoz Salazar-Agenda de Juan García-01/06/2026/10:00-01/06/2026/10:45</v>
      </c>
      <c r="D6" s="26">
        <f>'M-CitaServicio'!D11</f>
        <v>22000</v>
      </c>
      <c r="E6" s="26" t="s">
        <v>268</v>
      </c>
      <c r="F6" s="26" t="s">
        <v>78</v>
      </c>
      <c r="G6" s="76" t="str">
        <f>C6</f>
        <v>Kevin Andrés Muñoz Salazar-Agenda de Juan García-01/06/2026/10:00-01/06/2026/10:45</v>
      </c>
    </row>
    <row r="7" spans="1:7" ht="30" customHeight="1" x14ac:dyDescent="0.25">
      <c r="A7" s="26">
        <v>4</v>
      </c>
      <c r="B7" s="101" t="str">
        <f>'M-Cliente'!J8</f>
        <v>Kevin-Andrés-Muñoz-Salazar-+57-3005544332</v>
      </c>
      <c r="C7" s="101" t="str">
        <f>'M-Cita'!G11</f>
        <v>Kevin Andrés Muñoz Salazar-Agenda de Juan Ortiz-16/06/2026/09:00-16/06/2026/09:10</v>
      </c>
      <c r="D7" s="26">
        <f>'M-CitaServicio'!D12</f>
        <v>12000</v>
      </c>
      <c r="E7" s="26" t="s">
        <v>268</v>
      </c>
      <c r="F7" s="26" t="s">
        <v>78</v>
      </c>
      <c r="G7" s="76" t="str">
        <f>C7</f>
        <v>Kevin Andrés Muñoz Salazar-Agenda de Juan Ortiz-16/06/2026/09:00-16/06/2026/09:10</v>
      </c>
    </row>
    <row r="8" spans="1:7" ht="30" customHeight="1" x14ac:dyDescent="0.25">
      <c r="A8" s="26">
        <v>5</v>
      </c>
      <c r="B8" s="101" t="str">
        <f>'M-Cliente'!J8</f>
        <v>Kevin-Andrés-Muñoz-Salazar-+57-3005544332</v>
      </c>
      <c r="C8" s="101" t="str">
        <f>'M-Cita'!G12</f>
        <v>Kevin Andrés Muñoz Salazar-Agenda de Carlos Arbeladez-02/07/2026/15:00-02/07/2026/15:15</v>
      </c>
      <c r="D8" s="26">
        <f>'M-CitaServicio'!D13</f>
        <v>15000</v>
      </c>
      <c r="E8" s="26" t="s">
        <v>268</v>
      </c>
      <c r="F8" s="26" t="s">
        <v>78</v>
      </c>
      <c r="G8" s="76" t="str">
        <f>C8</f>
        <v>Kevin Andrés Muñoz Salazar-Agenda de Carlos Arbeladez-02/07/2026/15:00-02/07/2026/15:15</v>
      </c>
    </row>
    <row r="14" spans="1:7" ht="30" customHeight="1" x14ac:dyDescent="0.25">
      <c r="A14" s="105"/>
      <c r="B14" s="35" t="s">
        <v>80</v>
      </c>
    </row>
    <row r="15" spans="1:7" ht="30" customHeight="1" x14ac:dyDescent="0.25">
      <c r="A15" s="113"/>
      <c r="B15" s="35" t="s">
        <v>81</v>
      </c>
    </row>
    <row r="16" spans="1:7" ht="30" customHeight="1" x14ac:dyDescent="0.25">
      <c r="A16" s="107"/>
      <c r="B16" s="35" t="s">
        <v>203</v>
      </c>
    </row>
    <row r="17" spans="1:2" ht="30" customHeight="1" x14ac:dyDescent="0.25">
      <c r="A17" s="114"/>
      <c r="B17" s="35" t="s">
        <v>84</v>
      </c>
    </row>
    <row r="18" spans="1:2" ht="14.25" customHeight="1" x14ac:dyDescent="0.25">
      <c r="A18" s="115"/>
      <c r="B18" t="s">
        <v>85</v>
      </c>
    </row>
    <row r="19" spans="1:2" ht="14.25" customHeight="1" x14ac:dyDescent="0.25">
      <c r="A19" s="116"/>
      <c r="B19" t="s">
        <v>86</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 ref="B3" location="'M-Cliente'!A1" display="cliente" xr:uid="{00000000-0004-0000-1D00-000002000000}"/>
    <hyperlink ref="C3" location="'M-Cita'!A1" display="cita" xr:uid="{00000000-0004-0000-1D00-000003000000}"/>
    <hyperlink ref="B4" location="Cliente_D!A6" display="#Cliente_D.A6" xr:uid="{00000000-0004-0000-1D00-000004000000}"/>
    <hyperlink ref="C4" location="Cita_D!A6" display="#Cita_D.A6" xr:uid="{00000000-0004-0000-1D00-000005000000}"/>
    <hyperlink ref="B5" location="Cliente_D!A7" display="#Cliente_D.A7" xr:uid="{00000000-0004-0000-1D00-000006000000}"/>
    <hyperlink ref="C5" location="Cita_D!A7" display="#Cita_D.A7" xr:uid="{00000000-0004-0000-1D00-000007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28</vt:i4>
      </vt:variant>
    </vt:vector>
  </HeadingPairs>
  <TitlesOfParts>
    <vt:vector size="28" baseType="lpstr">
      <vt:lpstr>Modelo de Dominio</vt:lpstr>
      <vt:lpstr>Objetos de Dominio</vt:lpstr>
      <vt:lpstr>C-Agenda</vt:lpstr>
      <vt:lpstr>M-Agenda</vt:lpstr>
      <vt:lpstr>C-Dueño</vt:lpstr>
      <vt:lpstr>M-Dueño</vt:lpstr>
      <vt:lpstr>C-Barbero</vt:lpstr>
      <vt:lpstr>M-Barbero</vt:lpstr>
      <vt:lpstr>C-Cliente</vt:lpstr>
      <vt:lpstr>M-Cliente</vt:lpstr>
      <vt:lpstr>C-HorarioBarberia</vt:lpstr>
      <vt:lpstr>M-HorarioBarberia</vt:lpstr>
      <vt:lpstr>C-Regla</vt:lpstr>
      <vt:lpstr>M-Regla</vt:lpstr>
      <vt:lpstr>C-Servicio</vt:lpstr>
      <vt:lpstr>M-Servicio</vt:lpstr>
      <vt:lpstr>C-BarberoServicio</vt:lpstr>
      <vt:lpstr>M-BarberoServicio</vt:lpstr>
      <vt:lpstr>C-HorarioBarbero</vt:lpstr>
      <vt:lpstr>M-HorarioBarbero</vt:lpstr>
      <vt:lpstr>C-Bloqueo</vt:lpstr>
      <vt:lpstr>M-Bloqueo</vt:lpstr>
      <vt:lpstr>C-Cita</vt:lpstr>
      <vt:lpstr>M-Cita</vt:lpstr>
      <vt:lpstr>C-CitaServicio</vt:lpstr>
      <vt:lpstr>M-CitaServicio</vt:lpstr>
      <vt:lpstr>C-Multa</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Edilio Gomez</cp:lastModifiedBy>
  <cp:revision>0</cp:revision>
  <dcterms:created xsi:type="dcterms:W3CDTF">2015-06-05T18:19:34Z</dcterms:created>
  <dcterms:modified xsi:type="dcterms:W3CDTF">2026-08-27T22:21:01Z</dcterms:modified>
  <dc:language>en-US</dc:language>
</cp:coreProperties>
</file>