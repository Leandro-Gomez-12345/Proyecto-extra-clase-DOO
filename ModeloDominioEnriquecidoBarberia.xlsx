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and\Desktop\Proyecto agendamiento citas\"/>
    </mc:Choice>
  </mc:AlternateContent>
  <xr:revisionPtr revIDLastSave="0" documentId="13_ncr:1_{7341237D-3CCD-45D7-87F3-0402FB5C99BD}" xr6:coauthVersionLast="47" xr6:coauthVersionMax="47" xr10:uidLastSave="{00000000-0000-0000-0000-000000000000}"/>
  <bookViews>
    <workbookView xWindow="-108" yWindow="-108" windowWidth="23256" windowHeight="12456" tabRatio="500" xr2:uid="{00000000-000D-0000-FFFF-FFFF00000000}"/>
  </bookViews>
  <sheets>
    <sheet name="Modelo de Dominio" sheetId="1" r:id="rId1"/>
    <sheet name="Objetos de Dominio" sheetId="2" r:id="rId2"/>
    <sheet name="C-DiaSemana" sheetId="3" r:id="rId3"/>
    <sheet name="P-DiaSemana" sheetId="4" r:id="rId4"/>
    <sheet name="E-DiaSemana" sheetId="5" r:id="rId5"/>
    <sheet name="M-DiaSemana" sheetId="6" r:id="rId6"/>
    <sheet name="C-Estado" sheetId="7" r:id="rId7"/>
    <sheet name="P-Estado" sheetId="8" r:id="rId8"/>
    <sheet name="E-Estado" sheetId="9" r:id="rId9"/>
    <sheet name="M-Estado" sheetId="10" r:id="rId10"/>
    <sheet name="C-Servicio" sheetId="11" r:id="rId11"/>
    <sheet name="P-Servicio" sheetId="12" r:id="rId12"/>
    <sheet name="E-Servicio" sheetId="13" r:id="rId13"/>
    <sheet name="M-Servicio" sheetId="14" r:id="rId14"/>
    <sheet name="C-PrefijoCelular" sheetId="15" r:id="rId15"/>
    <sheet name="P-PrefijoCelular" sheetId="16" r:id="rId16"/>
    <sheet name="E-PrefijoCelular" sheetId="17" r:id="rId17"/>
    <sheet name="M-PrefijoCelular" sheetId="18" r:id="rId18"/>
    <sheet name="C-TipoMulta" sheetId="19" r:id="rId19"/>
    <sheet name="P-TipoMulta" sheetId="20" r:id="rId20"/>
    <sheet name="E-TipoMulta" sheetId="21" r:id="rId21"/>
    <sheet name="M-TipoMulta" sheetId="22" r:id="rId22"/>
    <sheet name="C-Barbero" sheetId="23" r:id="rId23"/>
    <sheet name="P-Barbero" sheetId="24" r:id="rId24"/>
    <sheet name="E-Barbero" sheetId="25" r:id="rId25"/>
    <sheet name="M-Barbero" sheetId="26" r:id="rId26"/>
    <sheet name="C-Cliente" sheetId="27" r:id="rId27"/>
    <sheet name="P-Cliente" sheetId="28" r:id="rId28"/>
    <sheet name="E-Cliente" sheetId="29" r:id="rId29"/>
    <sheet name="M-Cliente" sheetId="30" r:id="rId30"/>
    <sheet name="C-HorarioBarberia" sheetId="31" r:id="rId31"/>
    <sheet name="P-HorarioBarberia" sheetId="32" r:id="rId32"/>
    <sheet name="E-HorarioBarberia" sheetId="33" r:id="rId33"/>
    <sheet name="M-HorarioBarberia" sheetId="34" r:id="rId34"/>
    <sheet name="C-Bloqueo" sheetId="35" r:id="rId35"/>
    <sheet name="P-Bloqueo" sheetId="36" r:id="rId36"/>
    <sheet name="E-Bloqueo" sheetId="37" r:id="rId37"/>
    <sheet name="M-Bloqueo" sheetId="38" r:id="rId38"/>
    <sheet name="C-BarberoServicio" sheetId="39" r:id="rId39"/>
    <sheet name="P-BarberoServicio" sheetId="40" r:id="rId40"/>
    <sheet name="E-BarberoServicio" sheetId="41" r:id="rId41"/>
    <sheet name="M-BarberoServicio" sheetId="42" r:id="rId42"/>
    <sheet name="C-HorarioBarbero" sheetId="43" r:id="rId43"/>
    <sheet name="P-HorarioBarbero" sheetId="44" r:id="rId44"/>
    <sheet name="E-HorarioBarbero" sheetId="45" r:id="rId45"/>
    <sheet name="M-HorarioBarbero" sheetId="46" r:id="rId46"/>
    <sheet name="C-Agenda" sheetId="47" r:id="rId47"/>
    <sheet name="P-Agenda" sheetId="48" r:id="rId48"/>
    <sheet name="E-Agenda" sheetId="49" r:id="rId49"/>
    <sheet name="M-Agenda" sheetId="50" r:id="rId50"/>
    <sheet name="C-Cita" sheetId="51" r:id="rId51"/>
    <sheet name="P-Cita" sheetId="52" r:id="rId52"/>
    <sheet name="E-Cita" sheetId="53" r:id="rId53"/>
    <sheet name="M-Cita" sheetId="54" r:id="rId54"/>
    <sheet name="C-CitaServicio" sheetId="55" r:id="rId55"/>
    <sheet name="P-CitaServicio" sheetId="56" r:id="rId56"/>
    <sheet name="E-CitaServicio" sheetId="57" r:id="rId57"/>
    <sheet name="M-CitaServicio" sheetId="58" r:id="rId58"/>
    <sheet name="C-Multa" sheetId="59" r:id="rId59"/>
    <sheet name="P-Multa" sheetId="60" r:id="rId60"/>
    <sheet name="E-Multa" sheetId="61" r:id="rId61"/>
    <sheet name="M-Multa" sheetId="62" r:id="rId6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31" l="1"/>
  <c r="C15" i="31"/>
  <c r="H5" i="34"/>
  <c r="H6" i="34"/>
  <c r="H7" i="34"/>
  <c r="H8" i="34"/>
  <c r="H9" i="34"/>
  <c r="H10" i="34"/>
  <c r="H4" i="34"/>
  <c r="C18" i="43"/>
  <c r="C17" i="43"/>
  <c r="G38" i="53"/>
  <c r="G37" i="53"/>
  <c r="G36" i="53"/>
  <c r="G35" i="53"/>
  <c r="G34" i="53"/>
  <c r="G33" i="53"/>
  <c r="G32" i="53"/>
  <c r="G30" i="53"/>
  <c r="G29" i="53"/>
  <c r="G28" i="53"/>
  <c r="G27" i="53"/>
  <c r="G26" i="53"/>
  <c r="G25" i="53"/>
  <c r="G24" i="53"/>
  <c r="G23" i="53"/>
  <c r="G22" i="53"/>
  <c r="G21" i="53"/>
  <c r="G20" i="53"/>
  <c r="G19" i="53"/>
  <c r="G18" i="53"/>
  <c r="G17" i="53"/>
  <c r="G15" i="53"/>
  <c r="G14" i="53"/>
  <c r="G13" i="53"/>
  <c r="G12" i="53"/>
  <c r="G11" i="53"/>
  <c r="G10" i="53"/>
  <c r="G9" i="53"/>
  <c r="G8" i="53"/>
  <c r="G7" i="53"/>
  <c r="H15" i="53"/>
  <c r="H17" i="53"/>
  <c r="H18" i="53"/>
  <c r="H19" i="53"/>
  <c r="H20" i="53"/>
  <c r="H22" i="53"/>
  <c r="H25" i="53"/>
  <c r="H24" i="53"/>
  <c r="H28" i="53"/>
  <c r="H27" i="53"/>
  <c r="H30" i="53"/>
  <c r="H34" i="53"/>
  <c r="H33" i="53"/>
  <c r="H37" i="53"/>
  <c r="H36" i="53"/>
  <c r="AI2" i="51"/>
  <c r="AG2" i="51"/>
  <c r="AE2" i="51"/>
  <c r="AC2" i="51"/>
  <c r="AA2" i="51"/>
  <c r="Y2" i="51"/>
  <c r="P37" i="51"/>
  <c r="O37" i="51"/>
  <c r="P42" i="51"/>
  <c r="O42" i="51"/>
  <c r="P45" i="51"/>
  <c r="O45" i="51"/>
  <c r="P49" i="51"/>
  <c r="O49" i="51"/>
  <c r="P48" i="51"/>
  <c r="O48" i="51"/>
  <c r="P53" i="51"/>
  <c r="O53" i="51"/>
  <c r="P52" i="51"/>
  <c r="O52" i="51"/>
  <c r="P56" i="51"/>
  <c r="O56" i="51"/>
  <c r="P60" i="51"/>
  <c r="O60" i="51"/>
  <c r="P59" i="51"/>
  <c r="O59" i="51"/>
  <c r="H11" i="45"/>
  <c r="G11" i="45"/>
  <c r="H14" i="45"/>
  <c r="G14" i="45"/>
  <c r="H13" i="45"/>
  <c r="G13" i="45"/>
  <c r="H9" i="45"/>
  <c r="G9" i="45"/>
  <c r="Y2" i="43"/>
  <c r="X2" i="43"/>
  <c r="W2" i="43"/>
  <c r="P26" i="43"/>
  <c r="O26" i="43"/>
  <c r="P28" i="43"/>
  <c r="O28" i="43"/>
  <c r="P27" i="43"/>
  <c r="O27" i="43"/>
  <c r="P24" i="43"/>
  <c r="O24" i="43"/>
  <c r="H8" i="45"/>
  <c r="H7" i="45"/>
  <c r="AB2" i="39"/>
  <c r="P28" i="39"/>
  <c r="O28" i="39"/>
  <c r="P26" i="39"/>
  <c r="O26" i="39"/>
  <c r="C8" i="62" l="1"/>
  <c r="C7" i="62"/>
  <c r="C6" i="62"/>
  <c r="C5" i="62"/>
  <c r="E4" i="62"/>
  <c r="D4" i="62"/>
  <c r="C4" i="62"/>
  <c r="H10" i="61"/>
  <c r="G10" i="61"/>
  <c r="D10" i="61"/>
  <c r="D9" i="61"/>
  <c r="H8" i="61"/>
  <c r="G8" i="61"/>
  <c r="H7" i="61"/>
  <c r="G7" i="61"/>
  <c r="D7" i="61"/>
  <c r="B3" i="61"/>
  <c r="B2" i="61"/>
  <c r="B3" i="60"/>
  <c r="B2" i="60"/>
  <c r="P20" i="59"/>
  <c r="O20" i="59"/>
  <c r="P19" i="59"/>
  <c r="O19" i="59"/>
  <c r="P17" i="59"/>
  <c r="O17" i="59"/>
  <c r="P16" i="59"/>
  <c r="O16" i="59"/>
  <c r="C12" i="59"/>
  <c r="B12" i="59"/>
  <c r="A12" i="59"/>
  <c r="B9" i="59"/>
  <c r="A9" i="59"/>
  <c r="B8" i="59"/>
  <c r="A8" i="59"/>
  <c r="B7" i="59"/>
  <c r="A7" i="59"/>
  <c r="B6" i="59"/>
  <c r="A6" i="59"/>
  <c r="B5" i="59"/>
  <c r="A5" i="59"/>
  <c r="B4" i="59"/>
  <c r="A4" i="59"/>
  <c r="B3" i="59"/>
  <c r="A3" i="59"/>
  <c r="X2" i="59"/>
  <c r="W2" i="59"/>
  <c r="V2" i="59"/>
  <c r="G14" i="58"/>
  <c r="F14" i="58"/>
  <c r="E14" i="58"/>
  <c r="D14" i="58"/>
  <c r="G13" i="58"/>
  <c r="F13" i="58"/>
  <c r="E13" i="58"/>
  <c r="D13" i="58"/>
  <c r="G12" i="58"/>
  <c r="F12" i="58"/>
  <c r="E12" i="58"/>
  <c r="D12" i="58"/>
  <c r="G11" i="58"/>
  <c r="F11" i="58"/>
  <c r="E11" i="58"/>
  <c r="D11" i="58"/>
  <c r="G10" i="58"/>
  <c r="F10" i="58"/>
  <c r="E10" i="58"/>
  <c r="D10" i="58"/>
  <c r="G9" i="58"/>
  <c r="F9" i="58"/>
  <c r="E9" i="58"/>
  <c r="D9" i="58"/>
  <c r="G8" i="58"/>
  <c r="F8" i="58"/>
  <c r="E8" i="58"/>
  <c r="D8" i="58"/>
  <c r="G7" i="58"/>
  <c r="F7" i="58"/>
  <c r="E7" i="58"/>
  <c r="D7" i="58"/>
  <c r="G6" i="58"/>
  <c r="F6" i="58"/>
  <c r="E6" i="58"/>
  <c r="D6" i="58"/>
  <c r="G5" i="58"/>
  <c r="F5" i="58"/>
  <c r="E5" i="58"/>
  <c r="D5" i="58"/>
  <c r="G4" i="58"/>
  <c r="F4" i="58"/>
  <c r="E4" i="58"/>
  <c r="D4" i="58"/>
  <c r="D10" i="57"/>
  <c r="D9" i="57"/>
  <c r="D8" i="57"/>
  <c r="D7" i="57"/>
  <c r="B3" i="57"/>
  <c r="B2" i="57"/>
  <c r="B3" i="56"/>
  <c r="B2" i="56"/>
  <c r="C13" i="55"/>
  <c r="C12" i="55"/>
  <c r="B12" i="55"/>
  <c r="A12" i="55"/>
  <c r="B9" i="55"/>
  <c r="A9" i="55"/>
  <c r="B8" i="55"/>
  <c r="A8" i="55"/>
  <c r="B7" i="55"/>
  <c r="A7" i="55"/>
  <c r="B6" i="55"/>
  <c r="A6" i="55"/>
  <c r="B5" i="55"/>
  <c r="A5" i="55"/>
  <c r="B4" i="55"/>
  <c r="A4" i="55"/>
  <c r="B3" i="55"/>
  <c r="A3" i="55"/>
  <c r="W2" i="55"/>
  <c r="V2" i="55"/>
  <c r="N13" i="54"/>
  <c r="M13" i="54"/>
  <c r="D13" i="54"/>
  <c r="B13" i="54"/>
  <c r="N12" i="54"/>
  <c r="M12" i="54"/>
  <c r="D12" i="54"/>
  <c r="B12" i="54"/>
  <c r="N11" i="54"/>
  <c r="M11" i="54"/>
  <c r="D11" i="54"/>
  <c r="B11" i="54"/>
  <c r="N10" i="54"/>
  <c r="M10" i="54"/>
  <c r="D10" i="54"/>
  <c r="B10" i="54"/>
  <c r="N9" i="54"/>
  <c r="M9" i="54"/>
  <c r="D9" i="54"/>
  <c r="B9" i="54"/>
  <c r="N8" i="54"/>
  <c r="M8" i="54"/>
  <c r="D8" i="54"/>
  <c r="B8" i="54"/>
  <c r="N7" i="54"/>
  <c r="M7" i="54"/>
  <c r="D7" i="54"/>
  <c r="B7" i="54"/>
  <c r="N6" i="54"/>
  <c r="M6" i="54"/>
  <c r="D6" i="54"/>
  <c r="B6" i="54"/>
  <c r="N5" i="54"/>
  <c r="M5" i="54"/>
  <c r="D5" i="54"/>
  <c r="B5" i="54"/>
  <c r="N4" i="54"/>
  <c r="M4" i="54"/>
  <c r="D4" i="54"/>
  <c r="B4" i="54"/>
  <c r="H38" i="53"/>
  <c r="H35" i="53"/>
  <c r="H32" i="53"/>
  <c r="H29" i="53"/>
  <c r="H26" i="53"/>
  <c r="H23" i="53"/>
  <c r="H21" i="53"/>
  <c r="H14" i="53"/>
  <c r="H13" i="53"/>
  <c r="H12" i="53"/>
  <c r="H11" i="53"/>
  <c r="H10" i="53"/>
  <c r="H9" i="53"/>
  <c r="H8" i="53"/>
  <c r="H7" i="53"/>
  <c r="B3" i="53"/>
  <c r="B2" i="53"/>
  <c r="D20" i="53" s="1"/>
  <c r="B3" i="52"/>
  <c r="B2" i="52"/>
  <c r="P61" i="51"/>
  <c r="O61" i="51"/>
  <c r="P58" i="51"/>
  <c r="O58" i="51"/>
  <c r="P57" i="51"/>
  <c r="O57" i="51"/>
  <c r="P55" i="51"/>
  <c r="O55" i="51"/>
  <c r="P54" i="51"/>
  <c r="O54" i="51"/>
  <c r="P51" i="51"/>
  <c r="O51" i="51"/>
  <c r="P50" i="51"/>
  <c r="O50" i="51"/>
  <c r="P47" i="51"/>
  <c r="O47" i="51"/>
  <c r="P46" i="51"/>
  <c r="O46" i="51"/>
  <c r="P44" i="51"/>
  <c r="O44" i="51"/>
  <c r="P43" i="51"/>
  <c r="O43" i="51"/>
  <c r="P41" i="51"/>
  <c r="O41" i="51"/>
  <c r="P40" i="51"/>
  <c r="O40" i="51"/>
  <c r="P39" i="51"/>
  <c r="O39" i="51"/>
  <c r="P38" i="51"/>
  <c r="O38" i="51"/>
  <c r="P36" i="51"/>
  <c r="O36" i="51"/>
  <c r="P35" i="51"/>
  <c r="O35" i="51"/>
  <c r="P34" i="51"/>
  <c r="O34" i="51"/>
  <c r="P33" i="51"/>
  <c r="O33" i="51"/>
  <c r="P32" i="51"/>
  <c r="O32" i="51"/>
  <c r="P31" i="51"/>
  <c r="O31" i="51"/>
  <c r="P30" i="51"/>
  <c r="O30" i="51"/>
  <c r="P29" i="51"/>
  <c r="O29" i="51"/>
  <c r="P28" i="51"/>
  <c r="O28" i="51"/>
  <c r="C24" i="51"/>
  <c r="B23" i="51"/>
  <c r="A23" i="51"/>
  <c r="B20" i="51"/>
  <c r="A20" i="51"/>
  <c r="B19" i="51"/>
  <c r="A19" i="51"/>
  <c r="B18" i="51"/>
  <c r="A18" i="51"/>
  <c r="B17" i="51"/>
  <c r="A17" i="51"/>
  <c r="B16" i="51"/>
  <c r="A16" i="51"/>
  <c r="B15" i="51"/>
  <c r="A15" i="51"/>
  <c r="B14" i="51"/>
  <c r="A14" i="51"/>
  <c r="B13" i="51"/>
  <c r="A13" i="51"/>
  <c r="B12" i="51"/>
  <c r="A12" i="51"/>
  <c r="B11" i="51"/>
  <c r="A11" i="51"/>
  <c r="B10" i="51"/>
  <c r="A10" i="51"/>
  <c r="B9" i="51"/>
  <c r="A9" i="51"/>
  <c r="B8" i="51"/>
  <c r="A8" i="51"/>
  <c r="B7" i="51"/>
  <c r="A7" i="51"/>
  <c r="B6" i="51"/>
  <c r="A6" i="51"/>
  <c r="B5" i="51"/>
  <c r="A5" i="51"/>
  <c r="C23" i="51" s="1"/>
  <c r="B4" i="51"/>
  <c r="A4" i="51"/>
  <c r="B3" i="51"/>
  <c r="A3" i="51"/>
  <c r="W2" i="51"/>
  <c r="V2" i="51"/>
  <c r="D13" i="49"/>
  <c r="D12" i="49"/>
  <c r="D11" i="49"/>
  <c r="H9" i="49"/>
  <c r="G9" i="49"/>
  <c r="D9" i="49"/>
  <c r="H8" i="49"/>
  <c r="G8" i="49"/>
  <c r="H7" i="49"/>
  <c r="G7" i="49"/>
  <c r="D7" i="49"/>
  <c r="B3" i="49"/>
  <c r="B2" i="49"/>
  <c r="B3" i="48"/>
  <c r="B2" i="48"/>
  <c r="P15" i="47"/>
  <c r="O15" i="47"/>
  <c r="P14" i="47"/>
  <c r="O14" i="47"/>
  <c r="P13" i="47"/>
  <c r="O13" i="47"/>
  <c r="C9" i="47"/>
  <c r="C8" i="47"/>
  <c r="B8" i="47"/>
  <c r="A8" i="47"/>
  <c r="B5" i="47"/>
  <c r="A5" i="47"/>
  <c r="B4" i="47"/>
  <c r="A4" i="47"/>
  <c r="B3" i="47"/>
  <c r="A3" i="47"/>
  <c r="X2" i="47"/>
  <c r="W2" i="47"/>
  <c r="V2" i="47"/>
  <c r="C8" i="46"/>
  <c r="B8" i="46"/>
  <c r="I8" i="46" s="1"/>
  <c r="B7" i="50" s="1"/>
  <c r="D7" i="50" s="1"/>
  <c r="C9" i="54" s="1"/>
  <c r="S9" i="54" s="1"/>
  <c r="I7" i="46"/>
  <c r="B8" i="50" s="1"/>
  <c r="D8" i="50" s="1"/>
  <c r="C7" i="54" s="1"/>
  <c r="S7" i="54" s="1"/>
  <c r="C7" i="46"/>
  <c r="B7" i="46"/>
  <c r="C6" i="46"/>
  <c r="B6" i="46"/>
  <c r="I6" i="46" s="1"/>
  <c r="I5" i="46"/>
  <c r="B11" i="50" s="1"/>
  <c r="D11" i="50" s="1"/>
  <c r="C11" i="54" s="1"/>
  <c r="S11" i="54" s="1"/>
  <c r="C5" i="46"/>
  <c r="B5" i="46"/>
  <c r="C4" i="46"/>
  <c r="B4" i="46"/>
  <c r="I4" i="46" s="1"/>
  <c r="G8" i="45"/>
  <c r="G7" i="45"/>
  <c r="B3" i="45"/>
  <c r="B2" i="45"/>
  <c r="D15" i="45" s="1"/>
  <c r="B3" i="44"/>
  <c r="B2" i="44"/>
  <c r="P23" i="43"/>
  <c r="O23" i="43"/>
  <c r="P22" i="43"/>
  <c r="O22" i="43"/>
  <c r="B13" i="43"/>
  <c r="A13" i="43"/>
  <c r="B10" i="43"/>
  <c r="A10" i="43"/>
  <c r="B9" i="43"/>
  <c r="A9" i="43"/>
  <c r="B8" i="43"/>
  <c r="A8" i="43"/>
  <c r="B7" i="43"/>
  <c r="A7" i="43"/>
  <c r="C16" i="43" s="1"/>
  <c r="B6" i="43"/>
  <c r="A6" i="43"/>
  <c r="C15" i="43" s="1"/>
  <c r="B5" i="43"/>
  <c r="A5" i="43"/>
  <c r="C14" i="43" s="1"/>
  <c r="B4" i="43"/>
  <c r="A4" i="43"/>
  <c r="C13" i="43" s="1"/>
  <c r="B3" i="43"/>
  <c r="A3" i="43"/>
  <c r="V2" i="43"/>
  <c r="C12" i="42"/>
  <c r="B12" i="42"/>
  <c r="C11" i="42"/>
  <c r="B11" i="42"/>
  <c r="H11" i="42" s="1"/>
  <c r="C10" i="42"/>
  <c r="H10" i="42" s="1"/>
  <c r="B10" i="42"/>
  <c r="C9" i="42"/>
  <c r="B9" i="42"/>
  <c r="C8" i="42"/>
  <c r="B8" i="42"/>
  <c r="C7" i="42"/>
  <c r="B7" i="42"/>
  <c r="H7" i="42" s="1"/>
  <c r="C7" i="58" s="1"/>
  <c r="C6" i="42"/>
  <c r="B6" i="42"/>
  <c r="C5" i="42"/>
  <c r="B5" i="42"/>
  <c r="C4" i="42"/>
  <c r="B4" i="42"/>
  <c r="G15" i="41"/>
  <c r="D15" i="41"/>
  <c r="G14" i="41"/>
  <c r="D14" i="41"/>
  <c r="D13" i="41"/>
  <c r="D12" i="41"/>
  <c r="G11" i="41"/>
  <c r="G10" i="41"/>
  <c r="D10" i="41"/>
  <c r="G9" i="41"/>
  <c r="G8" i="41"/>
  <c r="G7" i="41"/>
  <c r="D7" i="41"/>
  <c r="B3" i="41"/>
  <c r="B2" i="41"/>
  <c r="B3" i="40"/>
  <c r="B2" i="40"/>
  <c r="P27" i="39"/>
  <c r="O27" i="39"/>
  <c r="P25" i="39"/>
  <c r="O25" i="39"/>
  <c r="P22" i="39"/>
  <c r="O22" i="39"/>
  <c r="P21" i="39"/>
  <c r="O21" i="39"/>
  <c r="P20" i="39"/>
  <c r="O20" i="39"/>
  <c r="P19" i="39"/>
  <c r="O19" i="39"/>
  <c r="P18" i="39"/>
  <c r="O18" i="39"/>
  <c r="P17" i="39"/>
  <c r="O17" i="39"/>
  <c r="B12" i="39"/>
  <c r="A12" i="39"/>
  <c r="B9" i="39"/>
  <c r="A9" i="39"/>
  <c r="B8" i="39"/>
  <c r="A8" i="39"/>
  <c r="B7" i="39"/>
  <c r="A7" i="39"/>
  <c r="B6" i="39"/>
  <c r="A6" i="39"/>
  <c r="B5" i="39"/>
  <c r="A5" i="39"/>
  <c r="B4" i="39"/>
  <c r="A4" i="39"/>
  <c r="B3" i="39"/>
  <c r="A3" i="39"/>
  <c r="AA2" i="39"/>
  <c r="Z2" i="39"/>
  <c r="Y2" i="39"/>
  <c r="W2" i="39"/>
  <c r="V2" i="39"/>
  <c r="B8" i="38"/>
  <c r="E8" i="38" s="1"/>
  <c r="E7" i="38"/>
  <c r="B7" i="38"/>
  <c r="B6" i="38"/>
  <c r="E6" i="38" s="1"/>
  <c r="E5" i="38"/>
  <c r="B5" i="38"/>
  <c r="E4" i="38"/>
  <c r="B4" i="38"/>
  <c r="H17" i="37"/>
  <c r="G17" i="37"/>
  <c r="H15" i="37"/>
  <c r="G15" i="37"/>
  <c r="D15" i="37"/>
  <c r="D14" i="37"/>
  <c r="D13" i="37"/>
  <c r="D12" i="37"/>
  <c r="H11" i="37"/>
  <c r="G11" i="37"/>
  <c r="D11" i="37"/>
  <c r="H10" i="37"/>
  <c r="G10" i="37"/>
  <c r="H9" i="37"/>
  <c r="G9" i="37"/>
  <c r="H8" i="37"/>
  <c r="G8" i="37"/>
  <c r="H7" i="37"/>
  <c r="G7" i="37"/>
  <c r="D7" i="37"/>
  <c r="B3" i="37"/>
  <c r="B2" i="37"/>
  <c r="B3" i="36"/>
  <c r="B2" i="36"/>
  <c r="P25" i="35"/>
  <c r="O25" i="35"/>
  <c r="P24" i="35"/>
  <c r="O24" i="35"/>
  <c r="P23" i="35"/>
  <c r="O23" i="35"/>
  <c r="P20" i="35"/>
  <c r="O20" i="35"/>
  <c r="P19" i="35"/>
  <c r="O19" i="35"/>
  <c r="P18" i="35"/>
  <c r="O18" i="35"/>
  <c r="P17" i="35"/>
  <c r="O17" i="35"/>
  <c r="P16" i="35"/>
  <c r="O16" i="35"/>
  <c r="P15" i="35"/>
  <c r="O15" i="35"/>
  <c r="C11" i="35"/>
  <c r="C10" i="35"/>
  <c r="C9" i="35"/>
  <c r="B9" i="35"/>
  <c r="A9" i="35"/>
  <c r="B6" i="35"/>
  <c r="A6" i="35"/>
  <c r="B5" i="35"/>
  <c r="A5" i="35"/>
  <c r="B4" i="35"/>
  <c r="A4" i="35"/>
  <c r="B3" i="35"/>
  <c r="A3" i="35"/>
  <c r="Z2" i="35"/>
  <c r="Y2" i="35"/>
  <c r="X2" i="35"/>
  <c r="W2" i="35"/>
  <c r="V2" i="35"/>
  <c r="B10" i="34"/>
  <c r="B9" i="34"/>
  <c r="B8" i="34"/>
  <c r="B7" i="34"/>
  <c r="B6" i="34"/>
  <c r="B5" i="34"/>
  <c r="B4" i="34"/>
  <c r="H16" i="33"/>
  <c r="G16" i="33"/>
  <c r="D13" i="33"/>
  <c r="D12" i="33"/>
  <c r="D11" i="33"/>
  <c r="D10" i="33"/>
  <c r="H9" i="33"/>
  <c r="G9" i="33"/>
  <c r="H8" i="33"/>
  <c r="G8" i="33"/>
  <c r="H7" i="33"/>
  <c r="G7" i="33"/>
  <c r="D7" i="33"/>
  <c r="B3" i="33"/>
  <c r="B2" i="33"/>
  <c r="B3" i="32"/>
  <c r="B2" i="32"/>
  <c r="P28" i="31"/>
  <c r="O28" i="31"/>
  <c r="P27" i="31"/>
  <c r="O27" i="31"/>
  <c r="P26" i="31"/>
  <c r="O26" i="31"/>
  <c r="P23" i="31"/>
  <c r="O23" i="31"/>
  <c r="P22" i="31"/>
  <c r="O22" i="31"/>
  <c r="P21" i="31"/>
  <c r="O21" i="31"/>
  <c r="C14" i="31"/>
  <c r="C13" i="31"/>
  <c r="C12" i="31"/>
  <c r="A12" i="31"/>
  <c r="B9" i="31"/>
  <c r="A9" i="31"/>
  <c r="B8" i="31"/>
  <c r="A8" i="31"/>
  <c r="B7" i="31"/>
  <c r="A7" i="31"/>
  <c r="B6" i="31"/>
  <c r="A6" i="31"/>
  <c r="B5" i="31"/>
  <c r="A5" i="31"/>
  <c r="B4" i="31"/>
  <c r="A4" i="31"/>
  <c r="B3" i="31"/>
  <c r="A3" i="31"/>
  <c r="X2" i="31"/>
  <c r="W2" i="31"/>
  <c r="V2" i="31"/>
  <c r="J8" i="30"/>
  <c r="F8" i="30"/>
  <c r="J7" i="30"/>
  <c r="F7" i="30"/>
  <c r="J6" i="30"/>
  <c r="F6" i="30"/>
  <c r="J5" i="30"/>
  <c r="F5" i="30"/>
  <c r="J4" i="30"/>
  <c r="F4" i="30"/>
  <c r="D12" i="29"/>
  <c r="D11" i="29"/>
  <c r="D10" i="29"/>
  <c r="H9" i="29"/>
  <c r="G9" i="29"/>
  <c r="D9" i="29"/>
  <c r="H8" i="29"/>
  <c r="G8" i="29"/>
  <c r="H7" i="29"/>
  <c r="G7" i="29"/>
  <c r="D7" i="29"/>
  <c r="B3" i="29"/>
  <c r="B2" i="29"/>
  <c r="B3" i="28"/>
  <c r="B2" i="28"/>
  <c r="P28" i="27"/>
  <c r="O28" i="27"/>
  <c r="P27" i="27"/>
  <c r="O27" i="27"/>
  <c r="P26" i="27"/>
  <c r="O26" i="27"/>
  <c r="P24" i="27"/>
  <c r="O24" i="27"/>
  <c r="P23" i="27"/>
  <c r="O23" i="27"/>
  <c r="P22" i="27"/>
  <c r="O22" i="27"/>
  <c r="P21" i="27"/>
  <c r="O21" i="27"/>
  <c r="C17" i="27"/>
  <c r="C14" i="27"/>
  <c r="B14" i="27"/>
  <c r="A14" i="27"/>
  <c r="B11" i="27"/>
  <c r="A11" i="27"/>
  <c r="B10" i="27"/>
  <c r="A10" i="27"/>
  <c r="B9" i="27"/>
  <c r="A9" i="27"/>
  <c r="B8" i="27"/>
  <c r="A8" i="27"/>
  <c r="B7" i="27"/>
  <c r="A7" i="27"/>
  <c r="B6" i="27"/>
  <c r="A6" i="27"/>
  <c r="B5" i="27"/>
  <c r="A5" i="27"/>
  <c r="B4" i="27"/>
  <c r="A4" i="27"/>
  <c r="B3" i="27"/>
  <c r="A3" i="27"/>
  <c r="AA2" i="27"/>
  <c r="Z2" i="27"/>
  <c r="Y2" i="27"/>
  <c r="W2" i="27"/>
  <c r="V2" i="27"/>
  <c r="L8" i="26"/>
  <c r="F8" i="26"/>
  <c r="L7" i="26"/>
  <c r="F7" i="26"/>
  <c r="L6" i="26"/>
  <c r="F6" i="26"/>
  <c r="L5" i="26"/>
  <c r="F5" i="26"/>
  <c r="L4" i="26"/>
  <c r="F4" i="26"/>
  <c r="D15" i="25"/>
  <c r="D14" i="25"/>
  <c r="G13" i="25"/>
  <c r="D13" i="25"/>
  <c r="D12" i="25"/>
  <c r="D11" i="25"/>
  <c r="G10" i="25"/>
  <c r="D10" i="25"/>
  <c r="G9" i="25"/>
  <c r="D9" i="25"/>
  <c r="G8" i="25"/>
  <c r="G7" i="25"/>
  <c r="D7" i="25"/>
  <c r="B3" i="25"/>
  <c r="B2" i="25"/>
  <c r="B3" i="24"/>
  <c r="B2" i="24"/>
  <c r="P33" i="23"/>
  <c r="O33" i="23"/>
  <c r="P32" i="23"/>
  <c r="O32" i="23"/>
  <c r="P31" i="23"/>
  <c r="O31" i="23"/>
  <c r="P30" i="23"/>
  <c r="O30" i="23"/>
  <c r="P29" i="23"/>
  <c r="O29" i="23"/>
  <c r="P28" i="23"/>
  <c r="O28" i="23"/>
  <c r="P27" i="23"/>
  <c r="O27" i="23"/>
  <c r="P25" i="23"/>
  <c r="O25" i="23"/>
  <c r="P24" i="23"/>
  <c r="O24" i="23"/>
  <c r="P23" i="23"/>
  <c r="O23" i="23"/>
  <c r="P22" i="23"/>
  <c r="O22" i="23"/>
  <c r="P21" i="23"/>
  <c r="O21" i="23"/>
  <c r="C17" i="23"/>
  <c r="B16" i="23"/>
  <c r="A16" i="23"/>
  <c r="B13" i="23"/>
  <c r="A13" i="23"/>
  <c r="B12" i="23"/>
  <c r="A12" i="23"/>
  <c r="B11" i="23"/>
  <c r="A11" i="23"/>
  <c r="B10" i="23"/>
  <c r="A10" i="23"/>
  <c r="B9" i="23"/>
  <c r="A9" i="23"/>
  <c r="B8" i="23"/>
  <c r="A8" i="23"/>
  <c r="C16" i="23" s="1"/>
  <c r="B7" i="23"/>
  <c r="A7" i="23"/>
  <c r="B6" i="23"/>
  <c r="A6" i="23"/>
  <c r="B5" i="23"/>
  <c r="A5" i="23"/>
  <c r="B4" i="23"/>
  <c r="A4" i="23"/>
  <c r="B3" i="23"/>
  <c r="A3" i="23"/>
  <c r="AE2" i="23"/>
  <c r="AD2" i="23"/>
  <c r="AB2" i="23"/>
  <c r="AA2" i="23"/>
  <c r="Y2" i="23"/>
  <c r="W2" i="23"/>
  <c r="V2" i="23"/>
  <c r="D5" i="22"/>
  <c r="D4" i="22"/>
  <c r="D9" i="21"/>
  <c r="D8" i="21"/>
  <c r="D7" i="21"/>
  <c r="B3" i="21"/>
  <c r="B2" i="21"/>
  <c r="B3" i="20"/>
  <c r="B2" i="20"/>
  <c r="B8" i="19"/>
  <c r="A8" i="19"/>
  <c r="B5" i="19"/>
  <c r="A5" i="19"/>
  <c r="B4" i="19"/>
  <c r="A4" i="19"/>
  <c r="B3" i="19"/>
  <c r="A3" i="19"/>
  <c r="V2" i="19"/>
  <c r="C7" i="18"/>
  <c r="C6" i="18"/>
  <c r="C5" i="18"/>
  <c r="C4" i="18"/>
  <c r="D14" i="17"/>
  <c r="D13" i="17"/>
  <c r="D12" i="17"/>
  <c r="H11" i="17"/>
  <c r="G11" i="17"/>
  <c r="D11" i="17"/>
  <c r="H10" i="17"/>
  <c r="G10" i="17"/>
  <c r="H9" i="17"/>
  <c r="G9" i="17"/>
  <c r="D9" i="17"/>
  <c r="H8" i="17"/>
  <c r="G8" i="17"/>
  <c r="H7" i="17"/>
  <c r="G7" i="17"/>
  <c r="D7" i="17"/>
  <c r="B3" i="17"/>
  <c r="B2" i="17"/>
  <c r="B3" i="16"/>
  <c r="B2" i="16"/>
  <c r="P17" i="15"/>
  <c r="O17" i="15"/>
  <c r="P16" i="15"/>
  <c r="O16" i="15"/>
  <c r="P15" i="15"/>
  <c r="O15" i="15"/>
  <c r="P14" i="15"/>
  <c r="O14" i="15"/>
  <c r="P13" i="15"/>
  <c r="O13" i="15"/>
  <c r="P12" i="15"/>
  <c r="O12" i="15"/>
  <c r="P11" i="15"/>
  <c r="O11" i="15"/>
  <c r="B7" i="15"/>
  <c r="A7" i="15"/>
  <c r="B4" i="15"/>
  <c r="A4" i="15"/>
  <c r="B3" i="15"/>
  <c r="A3" i="15"/>
  <c r="Z2" i="15"/>
  <c r="Y2" i="15"/>
  <c r="W2" i="15"/>
  <c r="V2" i="15"/>
  <c r="F7" i="14"/>
  <c r="F6" i="14"/>
  <c r="F5" i="14"/>
  <c r="F4" i="14"/>
  <c r="G14" i="13"/>
  <c r="D14" i="13"/>
  <c r="D13" i="13"/>
  <c r="D12" i="13"/>
  <c r="D11" i="13"/>
  <c r="G10" i="13"/>
  <c r="G9" i="13"/>
  <c r="D9" i="13"/>
  <c r="G8" i="13"/>
  <c r="G7" i="13"/>
  <c r="D7" i="13"/>
  <c r="B3" i="13"/>
  <c r="B2" i="13"/>
  <c r="B3" i="12"/>
  <c r="B2" i="12"/>
  <c r="P21" i="11"/>
  <c r="O21" i="11"/>
  <c r="P20" i="11"/>
  <c r="O20" i="11"/>
  <c r="P18" i="11"/>
  <c r="O18" i="11"/>
  <c r="P17" i="11"/>
  <c r="O17" i="11"/>
  <c r="P16" i="11"/>
  <c r="O16" i="11"/>
  <c r="P15" i="11"/>
  <c r="O15" i="11"/>
  <c r="P14" i="11"/>
  <c r="O14" i="11"/>
  <c r="B10" i="11"/>
  <c r="A10" i="11"/>
  <c r="B7" i="11"/>
  <c r="A7" i="11"/>
  <c r="B6" i="11"/>
  <c r="A6" i="11"/>
  <c r="B5" i="11"/>
  <c r="A5" i="11"/>
  <c r="B4" i="11"/>
  <c r="A4" i="11"/>
  <c r="C10" i="11" s="1"/>
  <c r="B3" i="11"/>
  <c r="A3" i="11"/>
  <c r="Z2" i="11"/>
  <c r="Y2" i="11"/>
  <c r="W2" i="11"/>
  <c r="V2" i="11"/>
  <c r="D11" i="10"/>
  <c r="D10" i="10"/>
  <c r="D9" i="10"/>
  <c r="D8" i="10"/>
  <c r="D7" i="10"/>
  <c r="D6" i="10"/>
  <c r="D5" i="10"/>
  <c r="D4" i="10"/>
  <c r="D13" i="9"/>
  <c r="D12" i="9"/>
  <c r="D11" i="9"/>
  <c r="H10" i="9"/>
  <c r="G10" i="9"/>
  <c r="D10" i="9"/>
  <c r="D9" i="9"/>
  <c r="D8" i="9"/>
  <c r="D7" i="9"/>
  <c r="B3" i="9"/>
  <c r="B2" i="9"/>
  <c r="B3" i="8"/>
  <c r="B2" i="8"/>
  <c r="P15" i="7"/>
  <c r="O15" i="7"/>
  <c r="P14" i="7"/>
  <c r="O14" i="7"/>
  <c r="P13" i="7"/>
  <c r="O13" i="7"/>
  <c r="B8" i="7"/>
  <c r="A8" i="7"/>
  <c r="B5" i="7"/>
  <c r="A5" i="7"/>
  <c r="B4" i="7"/>
  <c r="A4" i="7"/>
  <c r="B3" i="7"/>
  <c r="A3" i="7"/>
  <c r="Y2" i="7"/>
  <c r="W2" i="7"/>
  <c r="V2" i="7"/>
  <c r="C11" i="6"/>
  <c r="C10" i="6"/>
  <c r="C9" i="6"/>
  <c r="C8" i="6"/>
  <c r="C7" i="6"/>
  <c r="C6" i="6"/>
  <c r="C5" i="6"/>
  <c r="C4" i="6"/>
  <c r="D8" i="5"/>
  <c r="D7" i="5"/>
  <c r="B3" i="5"/>
  <c r="B2" i="5"/>
  <c r="B3" i="4"/>
  <c r="B2" i="4"/>
  <c r="B7" i="3"/>
  <c r="A7" i="3"/>
  <c r="B4" i="3"/>
  <c r="A4" i="3"/>
  <c r="B3" i="3"/>
  <c r="A3" i="3"/>
  <c r="V2" i="3"/>
  <c r="B7" i="62" l="1"/>
  <c r="H7" i="62" s="1"/>
  <c r="B11" i="58"/>
  <c r="B9" i="58"/>
  <c r="B5" i="62"/>
  <c r="H5" i="62" s="1"/>
  <c r="B7" i="58"/>
  <c r="H7" i="58" s="1"/>
  <c r="B10" i="50"/>
  <c r="D10" i="50" s="1"/>
  <c r="C10" i="54" s="1"/>
  <c r="S10" i="54" s="1"/>
  <c r="B4" i="50"/>
  <c r="D4" i="50" s="1"/>
  <c r="C4" i="54" s="1"/>
  <c r="S4" i="54" s="1"/>
  <c r="B9" i="50"/>
  <c r="D9" i="50" s="1"/>
  <c r="C8" i="54" s="1"/>
  <c r="S8" i="54" s="1"/>
  <c r="B6" i="50"/>
  <c r="D6" i="50" s="1"/>
  <c r="B12" i="50"/>
  <c r="D12" i="50" s="1"/>
  <c r="C12" i="54" s="1"/>
  <c r="S12" i="54" s="1"/>
  <c r="H4" i="42"/>
  <c r="H9" i="42"/>
  <c r="H5" i="42"/>
  <c r="C5" i="58" s="1"/>
  <c r="B5" i="50"/>
  <c r="D5" i="50" s="1"/>
  <c r="C5" i="54" s="1"/>
  <c r="S5" i="54" s="1"/>
  <c r="H6" i="42"/>
  <c r="C6" i="58" s="1"/>
  <c r="H12" i="42"/>
  <c r="H8" i="42"/>
  <c r="C4" i="58"/>
  <c r="C10" i="58"/>
  <c r="C8" i="58"/>
  <c r="C14" i="58"/>
  <c r="C9" i="58"/>
  <c r="D24" i="53"/>
  <c r="D22" i="53"/>
  <c r="D30" i="53"/>
  <c r="D27" i="53"/>
  <c r="D33" i="53"/>
  <c r="D36" i="53"/>
  <c r="D15" i="53"/>
  <c r="D7" i="53"/>
  <c r="D7" i="45"/>
  <c r="D10" i="45"/>
  <c r="D11" i="45"/>
  <c r="B8" i="62" l="1"/>
  <c r="H8" i="62" s="1"/>
  <c r="B12" i="58"/>
  <c r="C13" i="58"/>
  <c r="C6" i="54"/>
  <c r="S6" i="54" s="1"/>
  <c r="C13" i="54"/>
  <c r="S13" i="54" s="1"/>
  <c r="B5" i="58"/>
  <c r="C12" i="58"/>
  <c r="H12" i="58" s="1"/>
  <c r="B4" i="58"/>
  <c r="H4" i="58" s="1"/>
  <c r="B8" i="58"/>
  <c r="H8" i="58" s="1"/>
  <c r="B10" i="58"/>
  <c r="B6" i="62"/>
  <c r="H6" i="62" s="1"/>
  <c r="H10" i="58"/>
  <c r="C11" i="58"/>
  <c r="H11" i="58" s="1"/>
  <c r="H9" i="58"/>
  <c r="B14" i="58" l="1"/>
  <c r="H14" i="58" s="1"/>
  <c r="B13" i="58"/>
  <c r="B4" i="62"/>
  <c r="H4" i="62" s="1"/>
  <c r="B6" i="58"/>
  <c r="R10" i="54" s="1"/>
  <c r="D6" i="62" s="1"/>
  <c r="H13" i="58"/>
  <c r="L12" i="54"/>
  <c r="H5" i="58"/>
  <c r="R8" i="54"/>
  <c r="R11" i="54"/>
  <c r="D7" i="62" s="1"/>
  <c r="L10" i="54"/>
  <c r="L5" i="54"/>
  <c r="L8" i="54" l="1"/>
  <c r="L4" i="54"/>
  <c r="K5" i="54"/>
  <c r="K4" i="54"/>
  <c r="F4" i="54" s="1"/>
  <c r="R6" i="54"/>
  <c r="K9" i="54"/>
  <c r="R4" i="54"/>
  <c r="K8" i="54"/>
  <c r="F8" i="54" s="1"/>
  <c r="R7" i="54"/>
  <c r="D5" i="62" s="1"/>
  <c r="L7" i="54"/>
  <c r="K7" i="54"/>
  <c r="F7" i="54" s="1"/>
  <c r="E5" i="62" s="1"/>
  <c r="K11" i="54"/>
  <c r="F5" i="54"/>
  <c r="H6" i="58"/>
  <c r="K10" i="54"/>
  <c r="F10" i="54" s="1"/>
  <c r="E6" i="62" s="1"/>
  <c r="K13" i="54"/>
  <c r="L13" i="54"/>
  <c r="K6" i="54"/>
  <c r="R13" i="54"/>
  <c r="L9" i="54"/>
  <c r="F9" i="54" s="1"/>
  <c r="L6" i="54"/>
  <c r="K12" i="54"/>
  <c r="F12" i="54" s="1"/>
  <c r="E8" i="62" s="1"/>
  <c r="R9" i="54"/>
  <c r="L11" i="54"/>
  <c r="R12" i="54"/>
  <c r="D8" i="62" s="1"/>
  <c r="R5" i="54"/>
  <c r="F11" i="54" l="1"/>
  <c r="E7" i="62" s="1"/>
  <c r="F13" i="54"/>
  <c r="F6" i="54"/>
</calcChain>
</file>

<file path=xl/sharedStrings.xml><?xml version="1.0" encoding="utf-8"?>
<sst xmlns="http://schemas.openxmlformats.org/spreadsheetml/2006/main" count="5498" uniqueCount="1101">
  <si>
    <t>Ir a objetos de dominio &gt;&gt;&gt;&gt;</t>
  </si>
  <si>
    <t>&lt;&lt;&lt;&lt; Ir al modulo de dominio</t>
  </si>
  <si>
    <t>Nombre</t>
  </si>
  <si>
    <t>Descripcion</t>
  </si>
  <si>
    <t>Linea de vida</t>
  </si>
  <si>
    <t>Muestreo</t>
  </si>
  <si>
    <t>Caracterización</t>
  </si>
  <si>
    <t>Event Storming</t>
  </si>
  <si>
    <t>Politicas</t>
  </si>
  <si>
    <t>DiaSemana</t>
  </si>
  <si>
    <t>Representa cada uno de los días de la semana, incluyendo festivo, que se usa como catálogo para definir los horarios de la barbería y de cada barbero.</t>
  </si>
  <si>
    <t>Ir al muestreo</t>
  </si>
  <si>
    <t>Ir a la caracterización</t>
  </si>
  <si>
    <t>Ir al Event Storming</t>
  </si>
  <si>
    <t>Ir a las políticas</t>
  </si>
  <si>
    <t>Estado</t>
  </si>
  <si>
    <t>Representa en qué situación puntual se encuentra una cita: agendada, finalizada, cancelada por alguna de las partes, con tardanza del cliente o del barbero, o con inasistencia del cliente.</t>
  </si>
  <si>
    <t>Servicio</t>
  </si>
  <si>
    <t>Representa cada tipo de corte o arreglo que ofrece la barbería, definido por el dueño, para que luego cada barbero decida cuáles sabe hacer.</t>
  </si>
  <si>
    <t>PrefijoCelular</t>
  </si>
  <si>
    <t>Representa el catálogo de prefijos telefónicos de país que el dueño habilita, y que son los únicos que barberos y clientes pueden usar en su número de celular.</t>
  </si>
  <si>
    <t>TipoMulta</t>
  </si>
  <si>
    <t>Representa los tipos de multa que puede recibir un cliente: por tardanza o por inasistencia.</t>
  </si>
  <si>
    <t>Barbero</t>
  </si>
  <si>
    <t>Representa a un trabajador de la barbería que atiende clientes según los servicios que sabe realizar, organiza su propio horario y tiene su agenda personal para atender todas las citas que valla teniendo.</t>
  </si>
  <si>
    <t>Cliente</t>
  </si>
  <si>
    <t xml:space="preserve">Representa a la persona que solicita citas en la barbería. </t>
  </si>
  <si>
    <t>HorarioBarberia</t>
  </si>
  <si>
    <t>Representa, día por día, a qué hora abre y cierra el negocio; es el límite dentro del cual debe caber el horario de cualquier barbero.</t>
  </si>
  <si>
    <t>Bloqueo</t>
  </si>
  <si>
    <t>Representa los momentos en que el barbero no esta disponible para atender sus citas, el barbero establece la hora y la fecha en que empieza y termina ese estado de no disponible.</t>
  </si>
  <si>
    <t>BarberoServicio</t>
  </si>
  <si>
    <t>Representa qué servicios sabe hacer cada barbero, cuánto se demora en realizarlos y cuánto tiempo extra usa de colchón, ya que no todos los barberos ofrecen los mismos servicios que están en la barbería.</t>
  </si>
  <si>
    <t>HorarioBarbero</t>
  </si>
  <si>
    <t>Representa el día de la semana en que trabaja un barbero, junto con la hora en la que empieza y termina su jornada de trabajo.</t>
  </si>
  <si>
    <t>Agenda</t>
  </si>
  <si>
    <t>Representa una fecha puntual en donde el barbero ve todas las citas que debe de atender ese día.</t>
  </si>
  <si>
    <t>Cita</t>
  </si>
  <si>
    <t>Representa la reserva de un cliente con un barbero para un fecha y hora puntual, con los servicios pedidos, su estado, y lo que realmente ocurrió (llegada, atención, tardanzas).</t>
  </si>
  <si>
    <t>CitaServicio</t>
  </si>
  <si>
    <t>Representa cada servicio incluido dentro de una cita puntual, guardando el precio y la duración que tenía ese servicio para ese barbero en el momento exacto en que se agendó, para que cambios futuros en el catálogo no alteren citas ya registradas.</t>
  </si>
  <si>
    <t>Multa</t>
  </si>
  <si>
    <t>Representa la sanción económica que se le impone a un cliente por incumplir una cita, ya sea por llegar tarde fuera de tolerancia o por no presentarse, calculada a partir de la cita específica que la originó.</t>
  </si>
  <si>
    <t>&lt;&lt;&lt;&lt; Ir a objetos de dominio</t>
  </si>
  <si>
    <t>Nombre atributo</t>
  </si>
  <si>
    <t>Descripción atributo</t>
  </si>
  <si>
    <t>Identificador del objeto de dominio</t>
  </si>
  <si>
    <t>Tipo de dato</t>
  </si>
  <si>
    <t>Obligatorio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</si>
  <si>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</si>
  <si>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</si>
  <si>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</si>
  <si>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</si>
  <si>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</si>
  <si>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</si>
  <si>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</si>
  <si>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</si>
  <si>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</si>
  <si>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</si>
  <si>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</si>
  <si>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</si>
  <si>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</si>
  <si>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</si>
  <si>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</si>
  <si>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</si>
  <si>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</si>
  <si>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</si>
  <si>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No aplica</t>
  </si>
  <si>
    <t>No</t>
  </si>
  <si>
    <t>UUID vacio</t>
  </si>
  <si>
    <t>No mostrar</t>
  </si>
  <si>
    <t>Alfanumérico</t>
  </si>
  <si>
    <t>Solo pueden ser los dias de la semana como Lunes, Martes, Miércoles, Jueves, Viernes, Sábado, Domingo y Festivo</t>
  </si>
  <si>
    <t>Vacio</t>
  </si>
  <si>
    <t>Mostrar</t>
  </si>
  <si>
    <t>Nombre combinación única</t>
  </si>
  <si>
    <t>Descripción</t>
  </si>
  <si>
    <t>Atributos involucrados</t>
  </si>
  <si>
    <t>nombre</t>
  </si>
  <si>
    <t>Responsabilidad</t>
  </si>
  <si>
    <t>Entradas</t>
  </si>
  <si>
    <t>Salida</t>
  </si>
  <si>
    <t>Políticas (Reglas de Negocio)</t>
  </si>
  <si>
    <t>Excepción</t>
  </si>
  <si>
    <t>Parámetro</t>
  </si>
  <si>
    <t>Tipo de Dato</t>
  </si>
  <si>
    <t>Política</t>
  </si>
  <si>
    <t>Detalle</t>
  </si>
  <si>
    <t>¿Qué hago?</t>
  </si>
  <si>
    <t>VerDiasDeLaSemana</t>
  </si>
  <si>
    <t>Permite consultar el catálogo de días de la semana, incluyendo festivo, para definir los horarios</t>
  </si>
  <si>
    <t>Lista&lt;DiaSemana&gt;</t>
  </si>
  <si>
    <t>Contiene todos los días de la semana</t>
  </si>
  <si>
    <t>&lt;&lt; Ir al modelo de dominio</t>
  </si>
  <si>
    <t>&lt;&lt; Ir al listado de objetos de dominio</t>
  </si>
  <si>
    <t>&lt;&lt; Ir a la caracterización del objeto de dominio</t>
  </si>
  <si>
    <t>Ir al muestreo de datos del objeto de dominio &gt;&gt;</t>
  </si>
  <si>
    <t>Ir al event storming del objeto de dominio &gt;&gt;</t>
  </si>
  <si>
    <t>Objeto de Dominio:</t>
  </si>
  <si>
    <t>Descripción:</t>
  </si>
  <si>
    <t>Numero politica</t>
  </si>
  <si>
    <t>Descripcion politica</t>
  </si>
  <si>
    <t>Objeto responsable</t>
  </si>
  <si>
    <t>Regla responsable</t>
  </si>
  <si>
    <t>No aplica: es un catálogo de solo lectura, sin comandos que impliquen políticas de negocio propias</t>
  </si>
  <si>
    <t>Actor</t>
  </si>
  <si>
    <t>Action/Command</t>
  </si>
  <si>
    <t>Entity/Aggregate/Object domain</t>
  </si>
  <si>
    <t>Read Model</t>
  </si>
  <si>
    <t>Business Rule/Policy</t>
  </si>
  <si>
    <t>External System</t>
  </si>
  <si>
    <t>Domain Event</t>
  </si>
  <si>
    <t>Hotspot/questions/Risk</t>
  </si>
  <si>
    <t>Acción</t>
  </si>
  <si>
    <t>Objeto de dominio</t>
  </si>
  <si>
    <t>Información externa</t>
  </si>
  <si>
    <t>Políticas</t>
  </si>
  <si>
    <t>Sistema Externo</t>
  </si>
  <si>
    <t>Evento</t>
  </si>
  <si>
    <t>Aspectos por solucionar</t>
  </si>
  <si>
    <t>Información</t>
  </si>
  <si>
    <t>Número</t>
  </si>
  <si>
    <t>Dueño</t>
  </si>
  <si>
    <t>Ver los días de las semanas</t>
  </si>
  <si>
    <t>Permite consultar el catálogo de días de la semana, incluyendo festivo, disponibles para definir horarios</t>
  </si>
  <si>
    <t>Días de la semana consultados</t>
  </si>
  <si>
    <t>Representa un identificador que hará unico cada objeto de dominio de este tipo, no se puede repetir</t>
  </si>
  <si>
    <t>Representa como se llama el dia de la semana, para los horarios</t>
  </si>
  <si>
    <t>Combinacion única que indica que no puede existir más un dia de la semana con el mismo nombre</t>
  </si>
  <si>
    <t>id</t>
  </si>
  <si>
    <t xml:space="preserve">Combinación única </t>
  </si>
  <si>
    <t>Lunes</t>
  </si>
  <si>
    <t>Martes</t>
  </si>
  <si>
    <t>Miércoles</t>
  </si>
  <si>
    <t>Jueves</t>
  </si>
  <si>
    <t>Viernes</t>
  </si>
  <si>
    <t>Sábado</t>
  </si>
  <si>
    <t>Domingo</t>
  </si>
  <si>
    <t>Festivo</t>
  </si>
  <si>
    <t>Corresponde a la descripcion de los atributos</t>
  </si>
  <si>
    <t>Corresponde al identificador unico del objeto de dominio</t>
  </si>
  <si>
    <t>Corresponde a los datos que ingresa el usuario</t>
  </si>
  <si>
    <t>Corresponde a la combinacion única</t>
  </si>
  <si>
    <t>'C-Estado'!A13</t>
  </si>
  <si>
    <t>Requerido</t>
  </si>
  <si>
    <t>No modificable</t>
  </si>
  <si>
    <t>Solo se aceptan caracteres de letras de la 'a' a la 'z' y espacios en blanco</t>
  </si>
  <si>
    <t>No requerido</t>
  </si>
  <si>
    <t>Solo se aceptan caracteres de letras de la 'a' a la 'z', caracteres con tilde y espacios en blanco</t>
  </si>
  <si>
    <t>Modificable</t>
  </si>
  <si>
    <t>consultarTodosLosEstados</t>
  </si>
  <si>
    <t>Permite consultar los estados posibles que puede tener una cita</t>
  </si>
  <si>
    <t>Lista&lt;Estado&gt;</t>
  </si>
  <si>
    <t>Contiene todos los estados que cumplen con el filtro enviado</t>
  </si>
  <si>
    <t>editarDescripcion</t>
  </si>
  <si>
    <t>Permite ajustar el texto descriptivo de un estado ya creado, sin cambiar su significado en el flujo de la cita</t>
  </si>
  <si>
    <t>UUID</t>
  </si>
  <si>
    <t>Corresponde al identificador del estado que se va a editar</t>
  </si>
  <si>
    <t>La descripcion del estado se editó</t>
  </si>
  <si>
    <t>Informar con un mensaje que no existe un estado con el identificador enviado y por lo tanto no es posible modificar la descripción</t>
  </si>
  <si>
    <t>Detener ejecución de la operación</t>
  </si>
  <si>
    <t>datos{descripcion}</t>
  </si>
  <si>
    <t>Contiene la nueva descripción del estado</t>
  </si>
  <si>
    <t>Generar una excepción indicándole al usuario cuáles datos de la descripción del estado no cumplen con las reglas definidas</t>
  </si>
  <si>
    <t>Detener operación</t>
  </si>
  <si>
    <t>consultarDescripcion</t>
  </si>
  <si>
    <t>Permite consultar la descripcion de un estado en especifico</t>
  </si>
  <si>
    <t>datos{nombre}</t>
  </si>
  <si>
    <t>Contiene el nombre del estado</t>
  </si>
  <si>
    <t>Contiene la información del estado consultado por su identificador</t>
  </si>
  <si>
    <t>Informar con un mensaje que no existe un Estado con el identificador enviado y por lo tanto no es posible modificar la descripción</t>
  </si>
  <si>
    <t>P-EST-0001</t>
  </si>
  <si>
    <t>Asegurar que los datos requeridos (descripción) sean válidos en tipo de dato, longitud, formato y rango</t>
  </si>
  <si>
    <t>P-EST-0002</t>
  </si>
  <si>
    <t>Asegurar que exista el estado con el id enviado</t>
  </si>
  <si>
    <t>Ver estados de las citas</t>
  </si>
  <si>
    <t>Estados consultados</t>
  </si>
  <si>
    <t>Editar descripción del estado</t>
  </si>
  <si>
    <t>Descripción de estado actualizada</t>
  </si>
  <si>
    <t>Ver descripcion de un estado</t>
  </si>
  <si>
    <t>Descripción del estado consultada</t>
  </si>
  <si>
    <t>Representa como se llama el estado en el que se encuentra una cita puntual</t>
  </si>
  <si>
    <t>Representa el significado de que representa cada estado para la cita</t>
  </si>
  <si>
    <t>descripcion</t>
  </si>
  <si>
    <t>Agendada</t>
  </si>
  <si>
    <t>La cita quedó registrada en la agenda del barbero y está a la espera de la fecha y hora acordadas.</t>
  </si>
  <si>
    <t>Finalizada</t>
  </si>
  <si>
    <t>El barbero atendió al cliente y el servicio contratado se prestó por completo, sin tener ninguna sanción.</t>
  </si>
  <si>
    <t>Cancelada por el cliente</t>
  </si>
  <si>
    <t>El cliente decidió no asistir y anuló la cita antes de la fecha y hora programada.</t>
  </si>
  <si>
    <t>Cancelada por el barbero</t>
  </si>
  <si>
    <t>El barbero anuló la cita antes de la fecha y hora programada, por ejemplo por una eventualidad.</t>
  </si>
  <si>
    <t>El cliente se demoro</t>
  </si>
  <si>
    <t>El cliente llegó después de la hora acordada superando el tiempoEspera definido en la cita, lo que genera una multa de tipo Tardanza.</t>
  </si>
  <si>
    <t>El barbero se demoro</t>
  </si>
  <si>
    <t>El barbero se demoró más de lo previsto en una cita anterior y empezó a atender al cliente superando el tiempoEspera definido en la cita, lo que le da un descuento al cliente.</t>
  </si>
  <si>
    <t>Inasistencia del cliente</t>
  </si>
  <si>
    <t>El cliente nunca llegó a la cita: se alcanzó la hora estimada de finalización sin registrar su llegada, lo que genera una multa por el valor total de los servicios pedidos.</t>
  </si>
  <si>
    <t>Cancelación</t>
  </si>
  <si>
    <t>La cita se anuló automáticamente porque la barbería cambió sus políticas de horario: al desactivarse el horario de la barbería se desactivaron los horarios de barbero y las agendas que dependían de él, y las citas que quedaron por fuera se cancelaron.</t>
  </si>
  <si>
    <t>Solo se aceptan caracteres de letras de la 'a' a la 'z' y caracteres con tilde</t>
  </si>
  <si>
    <t>Entero</t>
  </si>
  <si>
    <t>Lógico</t>
  </si>
  <si>
    <t>ofrecerServicioNuevo</t>
  </si>
  <si>
    <t>Comando que permite registrar un nuevo tipo de servicio que la barbería pondrá a disposición de los barberos</t>
  </si>
  <si>
    <t>datos{nombre, descripcion, precio}</t>
  </si>
  <si>
    <t>Contiene la información requerida para registrar un nuevo servicio de la barbería</t>
  </si>
  <si>
    <t>Contiene la información del servicio registrado</t>
  </si>
  <si>
    <t>Generar una excepción indicándole al usuario cuáles datos del servicio no cumplen con las reglas definidas</t>
  </si>
  <si>
    <t>Generar una excepción indicándole al usuario que ya existe un servicio registrado con ese mismo nombre en la barbería</t>
  </si>
  <si>
    <t>editarServicio</t>
  </si>
  <si>
    <t>Permite modificar todos los atibutos de un servicio, que son el nombre, la descripción y el precio</t>
  </si>
  <si>
    <t>Corresponde al identificador del servicio que se va a editar</t>
  </si>
  <si>
    <t>Contiene la información del servicio con sus datos actualizados</t>
  </si>
  <si>
    <t>Informar con un mensaje que no existe un servicio con el identificador enviado y por lo tanto no es posible modificar el servicio</t>
  </si>
  <si>
    <t>Contiene los datos con los que se va a modificar el servicio</t>
  </si>
  <si>
    <t>consultarServiciosDisponibles</t>
  </si>
  <si>
    <t>Permite consultar el catálogo de servicios que ofrece la barbería</t>
  </si>
  <si>
    <t>Lista&lt;Servicio&gt;</t>
  </si>
  <si>
    <t>Contiene todos los servicios disponibles en la barberia</t>
  </si>
  <si>
    <t>retirarServicio</t>
  </si>
  <si>
    <t>Permite dar de baja un servicio para que deje de ofrecerse a nuevos clientes</t>
  </si>
  <si>
    <t>Corresponde al identificador del servicio que se va a retirar</t>
  </si>
  <si>
    <t>No retorna ningún valor. En caso de error genera una excepción.</t>
  </si>
  <si>
    <t>Generar una excepción indicándole al usuario que el servicio no se puede retirar porque todavía lo ofrece al menos un barbero vigente</t>
  </si>
  <si>
    <t>Informar con un mensaje que no existe un servicio con el identificador enviado y por lo tanto no es posible desactivar el servicio</t>
  </si>
  <si>
    <t>P-SER-0001</t>
  </si>
  <si>
    <t>Asegurar que los datos requeridos del servicio (nombre, descripción, precio) sean válidos en tipo de dato, longitud, obligatoriedad, formato y rango</t>
  </si>
  <si>
    <t>P-SER-0002</t>
  </si>
  <si>
    <t>Asegurar que no exista otro servicio registrado con el mismo nombre en la barbería</t>
  </si>
  <si>
    <t>P-SER-0003</t>
  </si>
  <si>
    <t>Asegurar que el servicio a retirar no esté siendo ofrecido actualmente por ningún barbero vigente</t>
  </si>
  <si>
    <t>P-SER-0004</t>
  </si>
  <si>
    <t>Asegurar que exista el servicio con el id enviado</t>
  </si>
  <si>
    <t>Ofrecer un servicio nuevo a la barbería</t>
  </si>
  <si>
    <t>aquí</t>
  </si>
  <si>
    <t>Servicio ofrecido</t>
  </si>
  <si>
    <t>Editar un servicio</t>
  </si>
  <si>
    <t>Nombre, descripción, precio del servicio actualizados</t>
  </si>
  <si>
    <t>Ver servicios disponibles de la barbería</t>
  </si>
  <si>
    <t>Servicios consultados</t>
  </si>
  <si>
    <t>Retirar un servicio de la barbería</t>
  </si>
  <si>
    <t>Servicio retirado</t>
  </si>
  <si>
    <t>Representa el nombre del servicio que va estar en la barberia, para que el barbero elija los servicios que el sabe hacer</t>
  </si>
  <si>
    <t>Representa una descripcion de que va a hacer cada servicio en la barberia, para que el barbero sepa que hace el servicio</t>
  </si>
  <si>
    <t>Representa cuanto va a valer el servicio en pesos colombianos</t>
  </si>
  <si>
    <t>Representa si el servicio sigue o no disponible en la barberia</t>
  </si>
  <si>
    <t>Combinacion única que indica que no puede existir más de un servicio con el mismo nombre</t>
  </si>
  <si>
    <t>precio</t>
  </si>
  <si>
    <t>disponible</t>
  </si>
  <si>
    <t xml:space="preserve">Combinacion única </t>
  </si>
  <si>
    <t>Motilada</t>
  </si>
  <si>
    <t>Corte de cabello completo con máquina y tijera, incluye lavado y secado</t>
  </si>
  <si>
    <t>si</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</si>
  <si>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</si>
  <si>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</si>
  <si>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</si>
  <si>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</si>
  <si>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</si>
  <si>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</si>
  <si>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Simbolo + seguido de un número. Por ejemplo +57. Tambien el anterior puede ser seguido de un - y un numero. Por ejemplo +1-809</t>
  </si>
  <si>
    <t>Solo se aceptan caracteres numericos del 0 al 9 y el carácter '+' y '-'</t>
  </si>
  <si>
    <t>+0</t>
  </si>
  <si>
    <t>prefijo</t>
  </si>
  <si>
    <t>registrarPrefijoCelular</t>
  </si>
  <si>
    <t>Comando que permite al dueño habilitar el prefijo de un país cuyos números va a atender la barbería</t>
  </si>
  <si>
    <t>datos{prefijo}</t>
  </si>
  <si>
    <t>Contiene la información requerida para habilitar un nuevo prefijo de país</t>
  </si>
  <si>
    <t>Contiene la información del prefijo de celular registrado</t>
  </si>
  <si>
    <t>Generar una excepción indicándole al usuario que el prejo de celualr que envio no es válido</t>
  </si>
  <si>
    <t>Generar una excepción indicándole al usuario que ya existe un prefijo de celular registrado con ese mismo valor</t>
  </si>
  <si>
    <t>modificarPrefijoCelular</t>
  </si>
  <si>
    <t>Permite al dueño corregir el valor de un prefijo que ya había habilitado</t>
  </si>
  <si>
    <t>Corresponde al identificador del prefijo que se va a modificar</t>
  </si>
  <si>
    <t>Contiene la información del prefijo de celular modificado</t>
  </si>
  <si>
    <t>Informar con un mensaje que no existe un prefijo de celular con el identificador enviado y por lo tanto no es posible modificar el prefijo</t>
  </si>
  <si>
    <t>Contiene el valor con el que se va a modificar el prefijo</t>
  </si>
  <si>
    <t>Generar una excepción indicándole al usuario cuáles datos del prefijo no cumplen con las reglas definidas</t>
  </si>
  <si>
    <t>retirarPrefijoCelular</t>
  </si>
  <si>
    <t>Permite al dueño quitar un prefijo para que la barbería deje de atender números de ese país</t>
  </si>
  <si>
    <t>Corresponde al identificador del prefijo que se va a retirar</t>
  </si>
  <si>
    <t>Generar una excepción indicándole al usuario que el prefijo no se puede retirar porque todavía lo usa algún barbero o algún cliente</t>
  </si>
  <si>
    <t>Informar con un mensaje que no existe un prefijo de celular con el identificador enviado y por lo tanto no es posible dar de baja el prefijo</t>
  </si>
  <si>
    <t>consultarPrefijosCelular</t>
  </si>
  <si>
    <t>Permite al dueño consultar el catálogo de prefijos telefónicos de país que tiene habilitados</t>
  </si>
  <si>
    <t>Lista&lt;PrefijoCelular&gt;</t>
  </si>
  <si>
    <t>Contiene todos los prefijos de celular registrados</t>
  </si>
  <si>
    <t>P-PRE-0001</t>
  </si>
  <si>
    <t>Asegurar que los datos requeridos (prefijo) sean válidos en tipo de dato, longitud, obligatoriedad, formato y regla especial</t>
  </si>
  <si>
    <t>P-PRE-0002</t>
  </si>
  <si>
    <t>Asegurar que no exista otro prefijo de celular registrado con el mismo valor</t>
  </si>
  <si>
    <t>P-PRE-0003</t>
  </si>
  <si>
    <t>Asegurar que el prefijo que se va a retirar no esté siendo usado por ningún barbero ni por ningún cliente</t>
  </si>
  <si>
    <t>P-PRE-0004</t>
  </si>
  <si>
    <t>Asegurar que exista el prefijo de celular con el id enviado</t>
  </si>
  <si>
    <t>Registrar un prefijo de celular</t>
  </si>
  <si>
    <t>Prefijo de celular registrado</t>
  </si>
  <si>
    <t>Modificar un prefijo de celular registrado</t>
  </si>
  <si>
    <t>Prefijo de celular modificado</t>
  </si>
  <si>
    <t>Retirar un prefijo de celular</t>
  </si>
  <si>
    <t>Prefijo de celular retirado</t>
  </si>
  <si>
    <t>Ver prefijos de celular</t>
  </si>
  <si>
    <t>Prefijos de celular consultados</t>
  </si>
  <si>
    <t>Permite consultar el catálogo de prefijos telefónicos de país disponibles</t>
  </si>
  <si>
    <t>Representa el prefijo telefónico del país que el dueño habilita para que la barbería pueda atender números de ese país</t>
  </si>
  <si>
    <t>Combinacion única que indica que no puede existir más un mismo prefijo</t>
  </si>
  <si>
    <t>+57</t>
  </si>
  <si>
    <t>+91</t>
  </si>
  <si>
    <t>+593</t>
  </si>
  <si>
    <t>+58</t>
  </si>
  <si>
    <t>consultarTodosLosTiposMulta</t>
  </si>
  <si>
    <t>Permite consultar los tipos de multa que puede recibir un cliente</t>
  </si>
  <si>
    <t>Lista&lt;TipoMulta&gt;</t>
  </si>
  <si>
    <t>Contiene todos los tipos de multa que hay</t>
  </si>
  <si>
    <t>Ver tipos de multa</t>
  </si>
  <si>
    <t>Tipos de multa consultados</t>
  </si>
  <si>
    <t>Representa el nombre del tipo de multa</t>
  </si>
  <si>
    <t>Representa que hace cada tipo de multa</t>
  </si>
  <si>
    <t xml:space="preserve">Combinación única indica que no puede existir más de un tipo de multa con el mismo nombre </t>
  </si>
  <si>
    <t>Combinación única</t>
  </si>
  <si>
    <t>Tardanza</t>
  </si>
  <si>
    <t>El cliente llegó a la cita después de la hora acordada, superando los minutos de tiempoEspera definidos en la cita.</t>
  </si>
  <si>
    <t>Inasistencia</t>
  </si>
  <si>
    <t>El cliente no se presentó a la cita agendada: se llegó a la hora estimada de finalización sin que hubiera registrado su llegada.</t>
  </si>
  <si>
    <t xml:space="preserve">Solo se aceptan caracteres de letras de la 'a' a la 'z', caracteres con tilde y numeros del 0 al 9 </t>
  </si>
  <si>
    <t>vacío</t>
  </si>
  <si>
    <t>Solo se aceptan caracteres de letras de la 'a' a la 'z', caracteres con tilde y numeros del 0 al 9</t>
  </si>
  <si>
    <t>Aplican las reglas del objeto referenciado</t>
  </si>
  <si>
    <t>Solo se aceptan caracteres de numeros del '0' al '9'</t>
  </si>
  <si>
    <t>0</t>
  </si>
  <si>
    <t>El barbero debe de poner un si en este atributo</t>
  </si>
  <si>
    <t>Horas</t>
  </si>
  <si>
    <t>Minutos</t>
  </si>
  <si>
    <t>registrarBarbero</t>
  </si>
  <si>
    <t>Comando que permite el ingreso de un nuevo barbero a trabajar en la barbería</t>
  </si>
  <si>
    <t>datos{primerNombre, segundoNombre, primerApellido, segundoApellido, prefijoCelular, celular, elNumeroCelularEsCorrecto}</t>
  </si>
  <si>
    <t>Contiene la información requerida para registrar un nuevo barbero en la barbería</t>
  </si>
  <si>
    <t>Contiene la información del barbero registrado</t>
  </si>
  <si>
    <t>Generar una excepción indicándole al barbero que los datos ingresados no son válidos</t>
  </si>
  <si>
    <t>Generar una excepción indicándole al usuario que ya existe otro barbero registrado con ese prefijo y número de celular</t>
  </si>
  <si>
    <t>Generar una excepción indicándole al barbero que ponga si en elNumeroCelularEsCorrecto</t>
  </si>
  <si>
    <t>editarContactoBarbero</t>
  </si>
  <si>
    <t>Permite al barbero actualizar su número de celular y su prefijo</t>
  </si>
  <si>
    <t>Corresponde al identificador del barbero que va a editar su contacto</t>
  </si>
  <si>
    <t>Contiene la información del barbero con su contacto actualizado</t>
  </si>
  <si>
    <t>Informar con un mensaje que no existe un barbero con el identificador enviado y por lo tanto no es posible editar el contacto del barbero</t>
  </si>
  <si>
    <t>datos{prefijoCelular, celular}</t>
  </si>
  <si>
    <t>Contiene el nuevo prefijo y número de celular del barbero</t>
  </si>
  <si>
    <t>Generar una excepción indicándole al usuario cuáles datos de contacto del barbero no cumplen con las reglas definidas</t>
  </si>
  <si>
    <t>editarTiemposAnticipacionBarbero</t>
  </si>
  <si>
    <t>Permite al barbero ajustar cuánta anticipación mínima exige para que le agenden una cita</t>
  </si>
  <si>
    <t>Corresponde al identificador del barbero que va a editar sus tiempos</t>
  </si>
  <si>
    <t>Contiene la información del barbero con sus tiempos de anticipación actualizados</t>
  </si>
  <si>
    <t>Informar con un mensaje que no existe un barbero con el identificador enviado y por lo tanto no es posible editar los tiempos de anticipacion del barbero</t>
  </si>
  <si>
    <t>datos{anticipacionEnHorasParaAgendarCita, anticipacionEnMinutosParaAgendarCita}</t>
  </si>
  <si>
    <t>Contiene los nuevos tiempos de anticipación que exige el barbero</t>
  </si>
  <si>
    <t>Generar una excepción indicándole al usuario cuáles tiempos de anticipación no cumplen con las reglas definidas</t>
  </si>
  <si>
    <t>consultarDatosBarbero</t>
  </si>
  <si>
    <t>Permite a un cliente ver los datos públicos de un barbero, como sus nombres, apellidos y su contacto</t>
  </si>
  <si>
    <t>Corresponde al identificador del barbero que se va a consultar</t>
  </si>
  <si>
    <t>Contiene la información del barbero consultado por su identificador</t>
  </si>
  <si>
    <t>Informar con un mensaje que no existe un barbero con el identificador enviado y por lo tanto no es posible consultar los datos</t>
  </si>
  <si>
    <t>desactivarBarbero</t>
  </si>
  <si>
    <t>Permite desactivar a un barbero para que ya no pueda recibir nuevas citas</t>
  </si>
  <si>
    <t>Corresponde al identificador del barbero que va a dejar de trabajar</t>
  </si>
  <si>
    <t>Generar una excepción indicándole al usuario que el barbero no puede dejar de trabajar porque todavía tiene citas futuras pendientes</t>
  </si>
  <si>
    <t>Informar con un mensaje que no existe un barbero con el identificador enviado y por lo tanto no es posible desactivar el barbero</t>
  </si>
  <si>
    <t>consultarTiemposAnticipacionBarbero</t>
  </si>
  <si>
    <t>Permite al barbero ver su tiempo de anticipacion en horas y minutos para sus citas</t>
  </si>
  <si>
    <t>Contiene los tiempos de anticipación que exige el barbero consultado</t>
  </si>
  <si>
    <t>Informar con un mensaje que no existe un barbero con el identificador enviado y por lo tanto no es posible cosultar los tiempos de anticipación del barbero</t>
  </si>
  <si>
    <t>reactivarBarbero</t>
  </si>
  <si>
    <t>Permite activar a un barbero para que ya pueda volver a recibir citas de sus clientes</t>
  </si>
  <si>
    <t>Informar con un mensaje que no existe un barbero con el identificador enviado y por lo tanto no es posible reactivar el barbero</t>
  </si>
  <si>
    <t>P-BAR-0001</t>
  </si>
  <si>
    <t>Asegurar que los datos requeridos del barbero (nombre, apellido, prefijo de celular, celular, tiempos de anticipación) sean válidos en tipo de dato, longitud, obligatoriedad, formato y rango</t>
  </si>
  <si>
    <t>P-BAR-0002</t>
  </si>
  <si>
    <t>Asegurar que el número de celular y prefijo de celular no esté siendo utilizado por otro barbero</t>
  </si>
  <si>
    <t>P-BAR-0003</t>
  </si>
  <si>
    <t>Asegurar que el barbero no tenga citas futuras pendientes antes de dejar de trabajar en la barbería</t>
  </si>
  <si>
    <t>P-BAR-0004</t>
  </si>
  <si>
    <t>Asegurar que los datos requeridos del barbero para editar su contacto (prefijo de celular, celular) sean válidos en tipo de dato, longitud, obligatoriedad, formato y rango</t>
  </si>
  <si>
    <t>P-BAR-0005</t>
  </si>
  <si>
    <t>Asegurar que los datos requeridos del barbero editar sus tiempos de anticipación (prefijo de celular, celular) sean válidos en tipo de dato, longitud, obligatoriedad, formato y rango</t>
  </si>
  <si>
    <t>P-BAR-0006</t>
  </si>
  <si>
    <t>Asegurar que el barbero halla puesto un si en el atributo elNumeroCelularEsCorrecto</t>
  </si>
  <si>
    <t>P-BAR-0007</t>
  </si>
  <si>
    <t>Asegurar que exista el barbero con el id enviado</t>
  </si>
  <si>
    <t>Registrar barbero a la barbería</t>
  </si>
  <si>
    <t>Barbero registrado</t>
  </si>
  <si>
    <t>Editar contacto</t>
  </si>
  <si>
    <t>Contacto de barbero actualizado</t>
  </si>
  <si>
    <t>Editar tiempos de anticipación de citas</t>
  </si>
  <si>
    <t>Tiempos de anticipación de barbero actualizados</t>
  </si>
  <si>
    <t>Ver datos de un barbero</t>
  </si>
  <si>
    <t>Permite a un cliente ver los datos públicos de un barbero, como sus nombres,  apellidos y su contacto</t>
  </si>
  <si>
    <t>Datos de barbero visto</t>
  </si>
  <si>
    <t>Permite a un barbero ver los datos públicos de otro barbero, como sus nombres,  apellidos y su contacto</t>
  </si>
  <si>
    <t>Dejar de trabajar en la barbería</t>
  </si>
  <si>
    <t>Permite desactivar a un barbero para que ya no pueda recibir nuevas citas, sin borrar su historial</t>
  </si>
  <si>
    <t>Barbero desactivado</t>
  </si>
  <si>
    <t>Ver tiempos de anticipacion para las citas</t>
  </si>
  <si>
    <t>Tiempos de anticipación de barbero vistos</t>
  </si>
  <si>
    <t>Volver a trabajar en la barbería</t>
  </si>
  <si>
    <t>Barbero activado</t>
  </si>
  <si>
    <t>Representa el primer nombre del barbero que trabaja en barbería</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</si>
  <si>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</si>
  <si>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</si>
  <si>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</si>
  <si>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</si>
  <si>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</si>
  <si>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Representa si el numero que ingreso el cliente es correcto o no</t>
  </si>
  <si>
    <t>Representa si el barbero sigue o no trabajando en la barberia</t>
  </si>
  <si>
    <t>Representa la parte en horas del tiempo mínimo de anticipación con el que un cliente debe pedirle una cita a este barbero. Junto con anticipacionEnMinutosParaAgendarCita forma el tiempo total de anticipación que exige el barbero</t>
  </si>
  <si>
    <t>Representa la parte en minutos del tiempo mínimo de anticipación con el que un cliente debe pedirle una cita a este barbero. Junto con anticipacionEnHorasParaAgendarCita forma el tiempo total de anticipación que exige el barbero</t>
  </si>
  <si>
    <t>Combinacion única que indica que no puede existir más de un barbero con el mismo prefijo de celular y número de celular</t>
  </si>
  <si>
    <t>primerNombre</t>
  </si>
  <si>
    <t>segundoNombre</t>
  </si>
  <si>
    <t>primerApellido</t>
  </si>
  <si>
    <t>segundoApellido</t>
  </si>
  <si>
    <t>celular</t>
  </si>
  <si>
    <t>elNumeroCelularEsCorrecto</t>
  </si>
  <si>
    <t>vigente</t>
  </si>
  <si>
    <t>anticipacionEnHorasParaAgendarCita</t>
  </si>
  <si>
    <t>anticipacionEnMinutosParaAgendarCita</t>
  </si>
  <si>
    <t>Combinación única  1</t>
  </si>
  <si>
    <t>Juan</t>
  </si>
  <si>
    <t>Fernando</t>
  </si>
  <si>
    <t>García</t>
  </si>
  <si>
    <t>Lopez</t>
  </si>
  <si>
    <t>David</t>
  </si>
  <si>
    <t>Ortiz</t>
  </si>
  <si>
    <t>Sanchez</t>
  </si>
  <si>
    <t>Carlos</t>
  </si>
  <si>
    <t>Arbeladez</t>
  </si>
  <si>
    <t>Andres</t>
  </si>
  <si>
    <t>Ramirez</t>
  </si>
  <si>
    <t>Patiño</t>
  </si>
  <si>
    <t>no</t>
  </si>
  <si>
    <t>Zambrano</t>
  </si>
  <si>
    <t>Perez</t>
  </si>
  <si>
    <t>Corresponde a las referencias de otros objetos de dominio</t>
  </si>
  <si>
    <t>Corresponde a los datos auto generados por el sistema</t>
  </si>
  <si>
    <t>Se calcula a partir de multasSinPagar: basta con una multa sin pagar para que el cliente quede vetado y no pueda agendar; deja de estarlo en el momento en que la paga</t>
  </si>
  <si>
    <t>registrarCliente</t>
  </si>
  <si>
    <t>Comando que permite el registro de un nuevo cliente en la barbería</t>
  </si>
  <si>
    <t>datos{primerNombre, segundoNombre, primerApellido, segundoApellido, prefijoCelular, celular}</t>
  </si>
  <si>
    <t>Contiene la información requerida para registrar un nuevo cliente en la barbería</t>
  </si>
  <si>
    <t>Contiene la información del cliente registrado</t>
  </si>
  <si>
    <t>Generar una excepción indicándole al usuario cuáles datos del cliente no cumplen con las reglas definidas</t>
  </si>
  <si>
    <t>Generar una excepción indicándole al usuario que ya existe otro cliente registrado con ese prefijo y número de celular</t>
  </si>
  <si>
    <t>editarContactoCliente</t>
  </si>
  <si>
    <t>Permite al cliente actualizar su número de celular y su prefijo</t>
  </si>
  <si>
    <t>Corresponde al identificador del cliente que va a editar su contacto</t>
  </si>
  <si>
    <t>Contiene la información del cliente con su contacto actualizado</t>
  </si>
  <si>
    <t>Informar con un mensaje que no existe un cliente con el identificador enviado y por lo tanto no es posible editar el contacto del cliente</t>
  </si>
  <si>
    <t>Contiene el nuevo prefijo y número de celular del cliente</t>
  </si>
  <si>
    <t>Generar una excepción indicándole al usuario cuáles datos de contacto del cliente no cumplen con las reglas definidas</t>
  </si>
  <si>
    <t>consultarDatosCliente</t>
  </si>
  <si>
    <t>Permite a un barbero ver los datos de un cliente que le va a pedir una cita</t>
  </si>
  <si>
    <t>Corresponde al identificador del cliente que se va a consultar</t>
  </si>
  <si>
    <t>Contiene la información del cliente consultado por su identificador</t>
  </si>
  <si>
    <t>Informar con un mensaje que no existe un cliente con el identificador enviado y por lo tanto no es posible llevar a cabo la operación</t>
  </si>
  <si>
    <t>consultarEstadoVetoCliente</t>
  </si>
  <si>
    <t>Permite al cliente ver si tiene alguna multa sin pagar que le impida agendar nuevas citas</t>
  </si>
  <si>
    <t>Indica si el cliente está vetado o no para agendar nuevas citas</t>
  </si>
  <si>
    <t>consultarCantidadMultasSinPagar</t>
  </si>
  <si>
    <t>Permite al cliente ver cuántas multas sin pagar tiene</t>
  </si>
  <si>
    <t>Contiene la cantidad de multas sin pagar que tiene el cliente</t>
  </si>
  <si>
    <t>P-CLI-0001</t>
  </si>
  <si>
    <t>Asegurar que los datos requeridos del cliente (nombres, apellidos, prefijo de celular, celular) sean válidos en tipo de dato, longitud, obligatoriedad, formato y rango</t>
  </si>
  <si>
    <t>P-CLI-0002</t>
  </si>
  <si>
    <t>Asegurar que el número de celular y prefijo de celular no esté siendo utilizado por otro cliente</t>
  </si>
  <si>
    <t>P-CLI-0003</t>
  </si>
  <si>
    <t>Asegurar que los datos requeridos del cliente para editar su contacto (prefijo de celular y celular) sean válidos en tipo de dato, longitud, obligatoriedad, formato y rango</t>
  </si>
  <si>
    <t>P-CLI-0004</t>
  </si>
  <si>
    <t>Asegurar que el cliente no tenga ninguna multa sin pagar antes de permitirle agendar una cita nueva; mientras la tenga permanece vetado</t>
  </si>
  <si>
    <t>P-CLI-0005</t>
  </si>
  <si>
    <t>Asegurar que exista el cliente con el id enviado</t>
  </si>
  <si>
    <t>Registrar cliente a la barbería</t>
  </si>
  <si>
    <t>Permite asignar el prefijo de país del número de celular del cliente.</t>
  </si>
  <si>
    <t>Cliente registrado</t>
  </si>
  <si>
    <t>Permite actualizar el prefijo de país del número de celular.</t>
  </si>
  <si>
    <t>Contacto de cliente actualizado</t>
  </si>
  <si>
    <t>Ver datos de un cliente</t>
  </si>
  <si>
    <t>Permite mostrar el número de celular completo con su prefijo.</t>
  </si>
  <si>
    <t>Datos del cliente vistos</t>
  </si>
  <si>
    <t>Ver estado de vetado</t>
  </si>
  <si>
    <t>Permite conocer si el cliente tiene multas sin pagar.</t>
  </si>
  <si>
    <t>Estado de veto del cliente visto</t>
  </si>
  <si>
    <t>Ver cantidad de multas sin pagar</t>
  </si>
  <si>
    <t>Permite contar las multas del cliente que siguen sin pagar.</t>
  </si>
  <si>
    <t>Multas sin pagar del cliente vistas</t>
  </si>
  <si>
    <t>Sistema</t>
  </si>
  <si>
    <t>Dar veto a un cliente</t>
  </si>
  <si>
    <t>Permite al sistema vetar a un cliente</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</si>
  <si>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</si>
  <si>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</si>
  <si>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</si>
  <si>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</si>
  <si>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cual es el prefijo del numero de celular del cliente</t>
  </si>
  <si>
    <t>Representa el numero de celular del cliente, es el dato que el barbero necesita en caso de que tenga que contactarse con el</t>
  </si>
  <si>
    <t>Representa si el cliente esta en estado de veto o no, cuando el cliente esta vetado el sistema no va a permitir agendar citas con este cliente con ningun barbero</t>
  </si>
  <si>
    <t>Combinacion única que indica que no puede existir más de un cliente con el mismo prefijo de celular y número de celular</t>
  </si>
  <si>
    <t>prefijoCelular</t>
  </si>
  <si>
    <t>estaVetado</t>
  </si>
  <si>
    <t>Gómez</t>
  </si>
  <si>
    <t>Jose</t>
  </si>
  <si>
    <t>Miguel</t>
  </si>
  <si>
    <t>Simon</t>
  </si>
  <si>
    <t>Ochoa</t>
  </si>
  <si>
    <t>Alexis</t>
  </si>
  <si>
    <t>Gallego</t>
  </si>
  <si>
    <t>Kevin</t>
  </si>
  <si>
    <t>Andrés</t>
  </si>
  <si>
    <t>Muñoz</t>
  </si>
  <si>
    <t>Salazar</t>
  </si>
  <si>
    <t>Corresponde a los datos calculados por el sistema</t>
  </si>
  <si>
    <t>Hora</t>
  </si>
  <si>
    <t>00:00</t>
  </si>
  <si>
    <t>Debe ser mayor a horaApertura</t>
  </si>
  <si>
    <t>Fecha</t>
  </si>
  <si>
    <t>1/01/1000</t>
  </si>
  <si>
    <t>Una vez que vigente se ponga como no, no se puede volver a cambiar</t>
  </si>
  <si>
    <t>Combinación única que indica que, entre los horarios vigentes, no puede existir más de un horario de la barbería para el mismo día de la semana con la misma hora de apertura y la misma hora de cierre</t>
  </si>
  <si>
    <t>definirHorarioBarberia</t>
  </si>
  <si>
    <t>Comando que permite registrar la hora de apertura y cierre de la barbería para un día de la semana</t>
  </si>
  <si>
    <t>datos{diaDeLaSemana, horaApertura, horaCierre}</t>
  </si>
  <si>
    <t>Contiene la información requerida para registrar el horario de la barbería para un día</t>
  </si>
  <si>
    <t>Contiene la información del horario de la barbería registrado</t>
  </si>
  <si>
    <t>Generar una excepción indicándole al dueño que los datos no cumplen con las reglas definidas</t>
  </si>
  <si>
    <t>Generar una excepción indicándole al dueño que ya existe un horario vigente para ese día que se cruza con las horas indicadas</t>
  </si>
  <si>
    <t>Generar una excepción indicandole al dueño que la hora de cierre debe de ser mayor a la hora de apertura</t>
  </si>
  <si>
    <t>consultarHorariosBarberia</t>
  </si>
  <si>
    <t>Permite al dueño consultar los horarios de apertura y cierre definidos para cada día de la semana</t>
  </si>
  <si>
    <t>Lista&lt;HorarioBarberia&gt;</t>
  </si>
  <si>
    <t>Contiene todos los horarios de la barbería vigentes</t>
  </si>
  <si>
    <t>desactivarHorarioBarberia</t>
  </si>
  <si>
    <t>Permite desactivar el horario en el que la barberia ya no abrira</t>
  </si>
  <si>
    <t>Corresponde al identificador del horario de la barbería que se va a desactivar</t>
  </si>
  <si>
    <t>P-HBA-0003</t>
  </si>
  <si>
    <t>Asegurar que queden desactivados todos los horarios de barbero que dependen del horario de la barbería que se está desactivando</t>
  </si>
  <si>
    <t>Si alguno de los horarios de barbero no pudo ser desactivado, revertir toda la operación e informar el error</t>
  </si>
  <si>
    <t>Si alguna de las citas futuras no pudo ser cancelada, revertir toda la operación e informar el error</t>
  </si>
  <si>
    <t>Informar con un mensaje que no existe un horario de la barbería con el identificador enviado y por lo tanto no es posible llevar a cabo la operación</t>
  </si>
  <si>
    <t>Informar con un mensaje que ese horario de la barbería ya se encuentra desactivado y por lo tanto no puede volver a desactivarse</t>
  </si>
  <si>
    <t>P-HBA-0001</t>
  </si>
  <si>
    <t>Asegurar que los datos requeridos (día de la semana, hora de apertura, hora de cierre) sean válidos en tipo de dato, obligatoriedad, formato y rango</t>
  </si>
  <si>
    <t>P-HBA-0002</t>
  </si>
  <si>
    <t>Asegurar que no exista otro horario vigente definido para el mismo día de la semana, que se cruze con las horas de apertura y cierre</t>
  </si>
  <si>
    <t>P-HBA-0004</t>
  </si>
  <si>
    <t>Asegurar que queden canceladas, en el estado Cancelación por cambio de políticas de la barbería, todas las citas futuras asociadas a las agendas de los horarios de barbero desactivados. Se consideran futuras las citas cuya agenda tenga una fecha posterior a la fecha actual</t>
  </si>
  <si>
    <t>P-HBA-0005</t>
  </si>
  <si>
    <t>Asegurar que exista el horario de la barbería con el id enviado</t>
  </si>
  <si>
    <t>P-HBA-0006</t>
  </si>
  <si>
    <t>Asegurar que la hora de cierre sea mayor a la hora de apertura</t>
  </si>
  <si>
    <t>P-HBA-0007</t>
  </si>
  <si>
    <t>Asegurar que el horario de la barbería que se va a desactivar se encuentre vigente</t>
  </si>
  <si>
    <t>Definir un horario de la barbería</t>
  </si>
  <si>
    <t>Horario de barbería definido</t>
  </si>
  <si>
    <t>Ver horarios de la barbería</t>
  </si>
  <si>
    <t>Horarios de barbería consultados</t>
  </si>
  <si>
    <t>Permite al barbero consultar los horarios de apertura y cierre definidos para cada día de la semana</t>
  </si>
  <si>
    <t>Permite al cliente consultar los horarios de apertura y cierre definidos para cada día de la semana</t>
  </si>
  <si>
    <t>Desactivar horario de barbería</t>
  </si>
  <si>
    <t>Permite identificar los horarios de barbero que dependen de ese día para desactivarlos.</t>
  </si>
  <si>
    <t>Horario de barbería desactivado</t>
  </si>
  <si>
    <t>Permite identificar las citas futuras que quedaron en las agendas de los horarios de barbero desactivados. La agenda no se modifica: solo se recorre para llegar a las citas.</t>
  </si>
  <si>
    <t>Permite identificar las citas futuras que se deben cancelar.</t>
  </si>
  <si>
    <t>Permite dejar esas citas en el estado Cancelación.</t>
  </si>
  <si>
    <t>Representa el día de la semana en el que la barberia abre</t>
  </si>
  <si>
    <t>Representa la hora a la que abre la barbería</t>
  </si>
  <si>
    <t>Representa la hora a la que cierra la barbería</t>
  </si>
  <si>
    <t>Representa la fecha en el que el dueño definio el horario de la barberia. Es un dato calculado que toma la fecha del sistema en ese momento</t>
  </si>
  <si>
    <t>Representa la fecha en la que este horario dejó de estar vigente, dueño. Es un dato calculado que toma la fecha del sistema en ese momento</t>
  </si>
  <si>
    <t>Representa si este horario lo sigue o no vigente en la barberia. Una vez que el dueño desactive el horario de la barberia, no se puede volver a cambiar</t>
  </si>
  <si>
    <t>diaDeLaSemana</t>
  </si>
  <si>
    <t>horaApertura</t>
  </si>
  <si>
    <t>horaCierre</t>
  </si>
  <si>
    <t>fechaCreacion</t>
  </si>
  <si>
    <t>fechaDesactivacion</t>
  </si>
  <si>
    <t>Fecha hora</t>
  </si>
  <si>
    <t>01/01/1000 00:00</t>
  </si>
  <si>
    <t>Debe ser posterior a fechaHoraInicio</t>
  </si>
  <si>
    <t>definirBloqueo</t>
  </si>
  <si>
    <t>Comando que permite a un barbero asignar un espacio de no disponibilidad para atender sus citas</t>
  </si>
  <si>
    <t>datos{barbero, fechaHoraInicio, fechaHoraFinal}</t>
  </si>
  <si>
    <t>Contiene la información requerida para registrar un nuevo bloqueo del barbero</t>
  </si>
  <si>
    <t>Contiene la información del bloqueo registrado</t>
  </si>
  <si>
    <t>Generar una excepción indicándole al barbero que los datos no cumplen los datos requeridos</t>
  </si>
  <si>
    <t>Generar una excepción indicándole al barbero que ese rango no se puede bloquear porque ya tiene citas agendadas</t>
  </si>
  <si>
    <t>Generar una excepción indicándole al barbero que el rango se solapa con otro bloqueo suyo</t>
  </si>
  <si>
    <t>Generar una excepción indicandole al barbero que la fecha y hora de fin debe de ser mayor a la fecha y hora de inicio</t>
  </si>
  <si>
    <t>eliminarBloqueo</t>
  </si>
  <si>
    <t>Permite a un barbero liberar un espacio de su agenda que había bloqueado previamente</t>
  </si>
  <si>
    <t>Corresponde al identificador del bloqueo que se va a eliminar</t>
  </si>
  <si>
    <t>Informar con un mensaje que no existe un bloqueo con el identificador enviado y por lo tanto no es posible llevar a cabo la operación</t>
  </si>
  <si>
    <t>Generar una excepción indicándole al usuario que el bloqueo no le pertenece</t>
  </si>
  <si>
    <t>consultarBloqueosPorFecha</t>
  </si>
  <si>
    <t>Permite a un barbero ver los espacios que tiene bloqueados en una fecha dada</t>
  </si>
  <si>
    <t>filtro{barbero, fecha}</t>
  </si>
  <si>
    <t>Contiene el barbero y la fecha por los cuales se van a consultar los bloqueos</t>
  </si>
  <si>
    <t>Lista&lt;Bloqueo&gt;</t>
  </si>
  <si>
    <t>Contiene todos los bloqueos del barbero en esa fecha</t>
  </si>
  <si>
    <t>consultarBloqueoPorFechaHora</t>
  </si>
  <si>
    <t>Permite al sistema ver si hay o no un bloqueo en una fecha y hora, en el que empieza el bloqueo, para que el determine luego si el cliente puede agenda una cita en ese momento</t>
  </si>
  <si>
    <t>filtro{barbero, fechaHoraInicio}</t>
  </si>
  <si>
    <t>Contiene el barbero y la fecha y hora por las cuales se va a consultar el bloqueo</t>
  </si>
  <si>
    <t>Contiene el bloqueo que cubre esa fecha y hora, si existe</t>
  </si>
  <si>
    <t>editarBloqueo</t>
  </si>
  <si>
    <t>Permite al barbero poder editar la fecha y hora en que inicia o termina</t>
  </si>
  <si>
    <t>Corresponde al identificador del bloqueo que se va a editar</t>
  </si>
  <si>
    <t>Contiene la información del bloqueo con su rango actualizado</t>
  </si>
  <si>
    <t>datos{fechaHoraInicio, fechaHoraFinal}</t>
  </si>
  <si>
    <t>Contiene el nuevo rango con el que se va a modificar el bloqueo</t>
  </si>
  <si>
    <t>Generar una excepción indicándole al usuario cuáles datos del bloqueo que se va a editar no cumplen con las reglas definidas</t>
  </si>
  <si>
    <t>Generar una excepción indicándole al usuario que ese rango no se puede bloquear porque ya tiene citas agendadas</t>
  </si>
  <si>
    <t>P-BLO-0001</t>
  </si>
  <si>
    <t>Asegurar que los datos requeridos (fecha y hora de inicio, fecha y hora de fin) sean válidos en tipo de dato, obligatoriedad, formato y rango</t>
  </si>
  <si>
    <t>P-BLO-0002</t>
  </si>
  <si>
    <t>P-BLO-0003</t>
  </si>
  <si>
    <t>Asegurar que los datos requeridos para editar el bloqueo (fecha y hora de inicio, fecha y hora de fin) sean válidos en tipo de dato, obligatoriedad, formato y rango, y que la fecha y hora de fin sea mayor a la de inicio</t>
  </si>
  <si>
    <t>P-BLO-0004</t>
  </si>
  <si>
    <t>Asegurar que el bloqueo que se va a editar o eliminar le pertenezca al mismo barbero que hace la solicitud</t>
  </si>
  <si>
    <t>P-BLO-0005</t>
  </si>
  <si>
    <t>Asegurar que el bloqueo no se cruze con otro bloqueo suyo</t>
  </si>
  <si>
    <t>P-BLO-0006</t>
  </si>
  <si>
    <t>Asegurar que exista el bloqueo con el id enviado</t>
  </si>
  <si>
    <t>P-BLO-0007</t>
  </si>
  <si>
    <t>Asegurar que la fecha y hora de fin sea mayor a la fecha y hora de inicio</t>
  </si>
  <si>
    <t>Definir un bloque de no disponible</t>
  </si>
  <si>
    <t>Comando que permite a un barbero asiganar un espacio de no disponibilidad para atender sus citas</t>
  </si>
  <si>
    <t>Permite llegar de las agendas al barbero dueño de cada cita, ya que la cita no referencia al barbero directamente.</t>
  </si>
  <si>
    <t>Bloqueo registrado</t>
  </si>
  <si>
    <t>Permite conocer la fecha de cada cita, ya que la cita solo almacena horas. Es lo que hace comparable el rango del bloqueo contra las citas existentes.</t>
  </si>
  <si>
    <t>Permite verificar que no haya citas ya agendadas dentro del rango que se va a bloquear.</t>
  </si>
  <si>
    <t>Permite descartar las citas canceladas, que no deben impedir el bloqueo.</t>
  </si>
  <si>
    <t>Eliminar un bloqueo</t>
  </si>
  <si>
    <t>Bloqueo cancelado</t>
  </si>
  <si>
    <t>Ver bloqueos en una fecha</t>
  </si>
  <si>
    <t>Bloqueos vistos</t>
  </si>
  <si>
    <t>Ver bloqueo en una fecha y hora de inicio</t>
  </si>
  <si>
    <t>Bloqueo visto</t>
  </si>
  <si>
    <t>Editar un bloqueo</t>
  </si>
  <si>
    <t>Bloqueo editado</t>
  </si>
  <si>
    <t>Permite verificar que el nuevo rango no choque con citas ya agendadas.</t>
  </si>
  <si>
    <t>Referencia a qué barbero le pertence este bloqueo</t>
  </si>
  <si>
    <t>Representa la fecha y hora en el que el barbero empieza a no estar disponible para atender las citas</t>
  </si>
  <si>
    <t>Representa la fecha y hora en el que el barbero empieza estar disponible nuevamente para atender las citas</t>
  </si>
  <si>
    <t>Combinación única que indica que un mismo barbero no puede tener dos bloqueos con la misma fecha y hora de inicio y la misma fecha y hora final</t>
  </si>
  <si>
    <t>barbero</t>
  </si>
  <si>
    <t>fechaHoraInicio</t>
  </si>
  <si>
    <t>fechaHoraFinal</t>
  </si>
  <si>
    <t>servicio</t>
  </si>
  <si>
    <t>habilitarServicioBarbero</t>
  </si>
  <si>
    <t>Comando que permite a un barbero indicar que sabe realizar un servicio del catálogo, con su duración y colchón</t>
  </si>
  <si>
    <t>datos{barbero, servicio, duracionEnHoras, duracionEnMinutos, tiempoExtra}</t>
  </si>
  <si>
    <t>Contiene la información requerida para habilitarle un servicio a un barbero</t>
  </si>
  <si>
    <t>Contiene la información del servicio habilitado para el barbero</t>
  </si>
  <si>
    <t>ajustarTiemposServicioBarbero</t>
  </si>
  <si>
    <t>Permite modificar la duración y el tiempo extra que un barbero usa para un servicio ya habilitado</t>
  </si>
  <si>
    <t>Corresponde al identificador del servicio del barbero que se va a ajustar</t>
  </si>
  <si>
    <t>Contiene la información del servicio del barbero con sus tiempos actualizados</t>
  </si>
  <si>
    <t>Informar con un mensaje que no existe un servicio habilitado del barbero con el identificador enviado y por lo tanto no es posible llevar a cabo la operación</t>
  </si>
  <si>
    <t>datos{duracionEnHoras, duracionEnMinutos, tiempoExtra}</t>
  </si>
  <si>
    <t>Contiene los nuevos tiempos con los que se va a modificar el servicio</t>
  </si>
  <si>
    <t>consultarServiciosElegidos</t>
  </si>
  <si>
    <t>Permite a un barbero consultar los servicios que tiene habilitados</t>
  </si>
  <si>
    <t>filtro{barbero}</t>
  </si>
  <si>
    <t>Contiene el barbero por el cual se van a consultar sus servicios habilitados</t>
  </si>
  <si>
    <t>Lista&lt;BarberoServicio&gt;</t>
  </si>
  <si>
    <t>Contiene todos los servicios que el barbero tiene habilitados</t>
  </si>
  <si>
    <t>consultarServiciosDeBarbero</t>
  </si>
  <si>
    <t>Permite a un cliente consultar qué servicios ofrece un barbero en particular</t>
  </si>
  <si>
    <t>Contiene el barbero por el cual se van a consultar los servicios que ofrece</t>
  </si>
  <si>
    <t>Contiene todos los servicios vigentes que ofrece ese barbero</t>
  </si>
  <si>
    <t>Permite a un barbero desactivar un servicio que ya no quiere seguir ofreciendo</t>
  </si>
  <si>
    <t>Corresponde al identificador del servicio del barbero que se va a desactivar</t>
  </si>
  <si>
    <t>P-BSE-0001</t>
  </si>
  <si>
    <t>Asegurar que los datos requeridos (duración en horas, duración en minutos, tiempo extra) sean válidos en tipo de dato, obligatoriedad y rango</t>
  </si>
  <si>
    <t>P-BSE-0002</t>
  </si>
  <si>
    <t>P-BSE-0003</t>
  </si>
  <si>
    <t>Servicio habilitado para barbero</t>
  </si>
  <si>
    <t>Ajustar los tiempos de un servicio del barbero</t>
  </si>
  <si>
    <t>Tiempos de servicio de barbero actualizados</t>
  </si>
  <si>
    <t>Ver servicios elegidos</t>
  </si>
  <si>
    <t>Servicios de barbero consultados</t>
  </si>
  <si>
    <t>Ver servicios de un barbero</t>
  </si>
  <si>
    <t>Dejar de prestar el servicio para el catálogo</t>
  </si>
  <si>
    <t>Servicio de barbero desactivado</t>
  </si>
  <si>
    <t>Representa el nombre y apellidos del barbero</t>
  </si>
  <si>
    <t xml:space="preserve">Representa el nombre del servicio de la barberia </t>
  </si>
  <si>
    <t>Representa la cantidad de horas que un barbero tarda en realizar un servicio, esta duracion el barbero debe de ser consiente de cuanto se demora en realizarlo</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</si>
  <si>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</si>
  <si>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</si>
  <si>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</si>
  <si>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Combinación única que indica que un mismo barbero no puede aparecer dos veces ofreciendo el mismo servicio</t>
  </si>
  <si>
    <t>duracionEnHoras</t>
  </si>
  <si>
    <t>duracionEnMinutos</t>
  </si>
  <si>
    <t>tiempoExtra</t>
  </si>
  <si>
    <t>Debe estar dentro del rango de horarioDeLaBarberia</t>
  </si>
  <si>
    <t>Debe ser mayor a horaInicio y estar dentro del rango de horarioDeLaBarberia</t>
  </si>
  <si>
    <t>Toma la fecha del sistema en el momento en que el barbero crea este horario</t>
  </si>
  <si>
    <t>01/01/1000</t>
  </si>
  <si>
    <t>Toma la fecha del sistema en el momento en que el barbero desactiva este horario. Su valor por defecto es 01/01/1000 mientras siga vigente</t>
  </si>
  <si>
    <t>Una vez se cambia a No, no puede volver a cambiar a Si</t>
  </si>
  <si>
    <t>definirHorarioDeTrabajo</t>
  </si>
  <si>
    <t>Comando que permite a un barbero registrar el día de la semana y las horas en que trabaja</t>
  </si>
  <si>
    <t>datos{barbero, horarioDeLaBarberia, horaInicio, horaFinal}</t>
  </si>
  <si>
    <t>Contiene la información requerida para registrar el horario de trabajo del barbero</t>
  </si>
  <si>
    <t>Contiene la información del horario de trabajo registrado</t>
  </si>
  <si>
    <t>Generar una excepción indicándole al usuario que el horario de trabajo queda por fuera del horario de apertura y cierre de la barbería para ese día</t>
  </si>
  <si>
    <t>consultarHorariosDefinidos</t>
  </si>
  <si>
    <t>Permite a un barbero consultar los horarios de trabajo que ha definido</t>
  </si>
  <si>
    <t>Contiene el barbero por el cual se van a consultar sus horarios de trabajo</t>
  </si>
  <si>
    <t>Lista&lt;HorarioBarbero&gt;</t>
  </si>
  <si>
    <t>Contiene todos los horarios de trabajo que el barbero tiene definidos</t>
  </si>
  <si>
    <t>desactivarHorarioDeTrabajo</t>
  </si>
  <si>
    <t>Corresponde al identificador del horario de trabajo que se va a desactivar</t>
  </si>
  <si>
    <t>Informar con un mensaje que no existe un horario de trabajo con el identificador enviado y por lo tanto no es posible llevar a cabo la operación</t>
  </si>
  <si>
    <t>Continuar operación</t>
  </si>
  <si>
    <t>consultarHorariosDeTrabajoDeBarbero</t>
  </si>
  <si>
    <t>Permite a un cliente consultar en qué días y horas trabaja un barbero</t>
  </si>
  <si>
    <t>Contiene todos los horarios de trabajo vigentes de ese barbero</t>
  </si>
  <si>
    <t>P-HBO-0001</t>
  </si>
  <si>
    <t>P-HBO-0002</t>
  </si>
  <si>
    <t>Asegurar que el horario de trabajo esté dentro del horario de apertura y cierre de la barbería para ese día</t>
  </si>
  <si>
    <t>P-HBO-0004</t>
  </si>
  <si>
    <t>P-HBO-0005</t>
  </si>
  <si>
    <t>P-HBO-0006</t>
  </si>
  <si>
    <t>Asegurar que exista el horario de trabajo del barbero con el id enviado</t>
  </si>
  <si>
    <t>Definir mi horario de trabajo</t>
  </si>
  <si>
    <t>Horario de barbero definido</t>
  </si>
  <si>
    <t>Ver mis horarios definidos</t>
  </si>
  <si>
    <t>Horarios de barbero consultados</t>
  </si>
  <si>
    <t>Desactivar horario de trabajo</t>
  </si>
  <si>
    <t>Horario de barbero desactivado</t>
  </si>
  <si>
    <t>Ver horarios de trabajo de un barbero</t>
  </si>
  <si>
    <t>Referencia a que barbero va a ser dueño de este horario</t>
  </si>
  <si>
    <t>Hace referencia a la agenda del barbero en la que queda guardado este horario de trabajo</t>
  </si>
  <si>
    <t>Representa la hora en la que el barbero empieza a estar disponible ese dia</t>
  </si>
  <si>
    <t>Representa la hora en la que el barbero deja de estar disponible ese día.</t>
  </si>
  <si>
    <t>Representa la fecha en el que el barbero creo su horario. Es un dato calculado que toma la fecha de hoy cuando el barbero la crea</t>
  </si>
  <si>
    <t>Representa la fecha en la que este horario dejó de estar vigente, ya sea porque el barbero lo retiró o porque se desactivó el horario de la barbería del que depende. Es un dato calculado que toma la fecha del sistema en ese momento.</t>
  </si>
  <si>
    <t>Representa si este horario lo sigue o no usando el barbero. Una vez que el barbero cambie este estado a no vigente, no se puede volver a cambiar</t>
  </si>
  <si>
    <t>horarioDeLaBarberia</t>
  </si>
  <si>
    <t>horaInicio</t>
  </si>
  <si>
    <t>horaFinal</t>
  </si>
  <si>
    <t>consultarCitasPorBarberoYRango</t>
  </si>
  <si>
    <t>Comando que crea la agenda del día para un barbero y pueda saber que citas debe de atender</t>
  </si>
  <si>
    <t>datos{horarioDelBarbero, fecha}</t>
  </si>
  <si>
    <t>Contiene la información requerida para abrirle la agenda del día a un barbero</t>
  </si>
  <si>
    <t>Contiene la información de la agenda abierta</t>
  </si>
  <si>
    <t>Generar una excepción indicándole al usuario que ya existe una agenda para ese horario de barbero y esa misma fecha</t>
  </si>
  <si>
    <t>Generar una excepción indicándole al usuario que no se le puede abrir agenda porque el barbero no está vigente</t>
  </si>
  <si>
    <t>consultarDisponibilidadBarbero</t>
  </si>
  <si>
    <t>Permite a un cliente ver qué espacios le quedan libres a un barbero en una fecha, descontando sus citas ya agendadas y sus bloqueos</t>
  </si>
  <si>
    <t>Contiene el barbero y la fecha por los cuales se va a consultar la disponibilidad</t>
  </si>
  <si>
    <t>Lista&lt;Hora&gt;</t>
  </si>
  <si>
    <t>Contiene los espacios libres del barbero en esa fecha, descontando sus citas y sus bloqueos</t>
  </si>
  <si>
    <t>Si no se pueden descontar las citas o los bloqueos, informar que la disponibilidad no se pudo calcular</t>
  </si>
  <si>
    <t>consultarCitasDeAgenda</t>
  </si>
  <si>
    <t>Permite consultar todas las citas agrupadas en la agenda de un barbero para una fecha puntual</t>
  </si>
  <si>
    <t>Contiene el barbero y la fecha por los cuales se van a consultar las citas</t>
  </si>
  <si>
    <t>Lista&lt;Cita&gt;</t>
  </si>
  <si>
    <t>Contiene todas las citas agrupadas en la agenda del barbero para esa fecha</t>
  </si>
  <si>
    <t>Permite consultar las citas no canceladas de un barbero dentro de un rango de fecha y hora, recorriendo todas las agendas comprendidas en ese rango</t>
  </si>
  <si>
    <t>filtro{barbero, fechaHoraInicio, fechaHoraFinal}</t>
  </si>
  <si>
    <t>Contiene el barbero y el rango de fecha y hora por los cuales se van a consultar las citas</t>
  </si>
  <si>
    <t>Contiene todas las citas no canceladas del barbero comprendidas en ese rango de fecha y hora</t>
  </si>
  <si>
    <t>P-AGE-0001</t>
  </si>
  <si>
    <t>Asegurar que no exista ya una agenda para ese mismo horario de barbero y esa misma fecha</t>
  </si>
  <si>
    <t>P-AGE-0002</t>
  </si>
  <si>
    <t>Asegurar que el barbero esté vigente antes de abrirle una nueva agenda</t>
  </si>
  <si>
    <t>P-AGE-0003</t>
  </si>
  <si>
    <t>Al consultar la disponibilidad de una agenda, descontar de la jornada del barbero las horas que ya tienen una cita y las que están cubiertas por un bloqueo</t>
  </si>
  <si>
    <t>Permite verificar que el barbero esté vigente antes de abrirle la agenda.</t>
  </si>
  <si>
    <t>Permite conocer la jornada de trabajo del barbero para esa fecha.</t>
  </si>
  <si>
    <t>Consultar la disponibilidad de un barbero para una fecha</t>
  </si>
  <si>
    <t>Permite conocer las horas de esa fecha que ya están ocupadas por una cita.</t>
  </si>
  <si>
    <t>Disponibilidad de barbero consultada</t>
  </si>
  <si>
    <t>Permite conocer las horas de esa fecha en las que el barbero no está disponible.</t>
  </si>
  <si>
    <t>Consultar las citas de un barbero para una fecha</t>
  </si>
  <si>
    <t>Citas de agenda consultadas</t>
  </si>
  <si>
    <t>Consultar las citas de un barbero en un rango de fecha y hora</t>
  </si>
  <si>
    <t>Permite conocer las horas de las citas de cada agenda comprendida en el rango.</t>
  </si>
  <si>
    <t>Citas de barbero por rango consultadas</t>
  </si>
  <si>
    <t>Permite descartar las citas canceladas.</t>
  </si>
  <si>
    <t>Hace referencia al horario de trabajo del barbero (día de la semana, hora de inicio y hora final) al que pertenece esta agenda</t>
  </si>
  <si>
    <t>Representa la fecha específica en el que la agenda va a guardar las citas de ese barbero</t>
  </si>
  <si>
    <t>Combinación única que indica que un mismo horario de barbero no puede tener más de una agenda para el mismo día</t>
  </si>
  <si>
    <t>horarioDelBarbero</t>
  </si>
  <si>
    <t>fecha</t>
  </si>
  <si>
    <t>Se muestra el nombre completo del cliente, no una combinación única, únicamente para lectura humana en el muestreo</t>
  </si>
  <si>
    <t>Debe de estar dentro del horario de trabajo del barbero</t>
  </si>
  <si>
    <t xml:space="preserve">horaInicio + duracion (en minutos) y debe de estar dentro del horario de trabajo del barbero </t>
  </si>
  <si>
    <t>Resulta de dividir entre 60 la suma de duracionServicio + tiempoExtra de todos los CitaServicio de esta cita (parte en horas)</t>
  </si>
  <si>
    <t>Resto en minutos de dividir entre 60 la suma de duracionServicio + tiempoExtra de todos los CitaServicio de esta cita (parte en minutos)</t>
  </si>
  <si>
    <t>Si horaLlegadaCliente es 00:00 (no ha llegado), 0. Si no, MAX(0, horaLlegadaCliente - horaInicio) en minutos</t>
  </si>
  <si>
    <t>Si horaInicioAtencion es 00:00 (no ha empezado), 0. Si no, MAX(0, horaInicioAtencion - MAX(horaLlegadaCliente, horaInicio)) en minutos</t>
  </si>
  <si>
    <t>Lo define el barbero y queda congelado en la cita; solo se descuenta del precioTotal cuando la cita queda en el estado "El barbero se demoro"</t>
  </si>
  <si>
    <t>Lo define el barbero al momento de agendar la cita y queda congelado en ella; es el valor que se le cobra al cliente si su tardanza supera el tiempoEspera de esta misma cita</t>
  </si>
  <si>
    <t>Es el mismo margen para las dos partes: si el cliente lo supera se le genera una Multa de tipo Tardanza por el valor de multa, y si el barbero lo supera se le aplica al cliente el porcentajeDescuento sobre el precioTotal</t>
  </si>
  <si>
    <t>Suma del precioServicio de todos los CitaServicio de esta cita. Si el estado de la cita es "El barbero se demoro" se le resta el porcentajeDescuento; en cualquier otro estado se cobra la suma completa</t>
  </si>
  <si>
    <t>pedirCita</t>
  </si>
  <si>
    <t>Comando que permite a un cliente solicitar una cita con un barbero, en una fecha y hora puntual, con uno o más servicios</t>
  </si>
  <si>
    <t>datos{cliente, agenda, horaInicio, servicios}</t>
  </si>
  <si>
    <t>Contiene la información requerida para agendar una nueva cita con un barbero</t>
  </si>
  <si>
    <t>Contiene la información de la cita agendada</t>
  </si>
  <si>
    <t>Si los valores de multa, tiempoEspera y porcentajeDescuento no se pueden congelar, no registrar la cita</t>
  </si>
  <si>
    <t>reprogramarCita</t>
  </si>
  <si>
    <t>Permite a un cliente cambiar la fecha, hora o barbero de una cita que aún no ha ocurrido</t>
  </si>
  <si>
    <t>Corresponde al identificador de la cita que se va a reprogramar</t>
  </si>
  <si>
    <t>Contiene la información de la cita reprogramada</t>
  </si>
  <si>
    <t>Informar con un mensaje que no existe una cita con el identificador enviado y por lo tanto no es posible llevar a cabo la operación</t>
  </si>
  <si>
    <t>datos{agenda, horaInicio}</t>
  </si>
  <si>
    <t>Contiene la nueva agenda y hora con las que se va a reprogramar la cita</t>
  </si>
  <si>
    <t>cancelarCitaPorCliente</t>
  </si>
  <si>
    <t>Permite a un cliente cancelar una cita antes de que ocurra, siempre que falten 2 horas o más para su horaInicio</t>
  </si>
  <si>
    <t>Corresponde al identificador de la cita que el cliente va a cancelar</t>
  </si>
  <si>
    <t>Contiene la cita en el estado Cancelada por el cliente</t>
  </si>
  <si>
    <t>Generar una excepción indicándole al cliente que ya no puede cancelar la cita porque faltan menos de 2 horas para su horaInicio</t>
  </si>
  <si>
    <t>cancelarCitaPorBarbero</t>
  </si>
  <si>
    <t>Permite a un barbero cancelar una cita antes de que ocurra</t>
  </si>
  <si>
    <t>Corresponde al identificador de la cita que el barbero va a cancelar</t>
  </si>
  <si>
    <t>Contiene la cita en el estado Cancelada por el barbero</t>
  </si>
  <si>
    <t>Generar una excepción indicándole al barbero que ya no puede cancelar la cita porque faltan menos de 2 horas para su horaInicio</t>
  </si>
  <si>
    <t>registrarLlegadaCliente</t>
  </si>
  <si>
    <t>Permite al barbero marcar la hora real en que el cliente llegó a su cita</t>
  </si>
  <si>
    <t>Corresponde al identificador de la cita a la que llegó el cliente</t>
  </si>
  <si>
    <t>Contiene la cita con la hora de llegada del cliente registrada</t>
  </si>
  <si>
    <t>horaLlegadaCliente</t>
  </si>
  <si>
    <t>Contiene la hora real en la que el cliente llegó a la barbería</t>
  </si>
  <si>
    <t>Si la multa por tardanza no se puede generar, registrar el error y dejar la tardanza sin multa</t>
  </si>
  <si>
    <t>iniciarAtencionCliente</t>
  </si>
  <si>
    <t>Permite al barbero marcar el inicio real de la atención de la cita</t>
  </si>
  <si>
    <t>Corresponde al identificador de la cita que se va a iniciar</t>
  </si>
  <si>
    <t>Contiene la cita con la hora de inicio de la atención registrada</t>
  </si>
  <si>
    <t>horaInicioAtencion</t>
  </si>
  <si>
    <t>Contiene la hora real en la que el barbero empezó a atender</t>
  </si>
  <si>
    <t>Si el descuento no se puede aplicar, dejar el precioTotal sin descuento y registrar el error</t>
  </si>
  <si>
    <t>finalizarAtencionCliente</t>
  </si>
  <si>
    <t>Permite al barbero marcar el fin real de la atención y cerrar la cita</t>
  </si>
  <si>
    <t>Corresponde al identificador de la cita que se va a cerrar</t>
  </si>
  <si>
    <t>Contiene la cita finalizada con su duración y su precioTotal calculados</t>
  </si>
  <si>
    <t>horaFinAtencion</t>
  </si>
  <si>
    <t>Contiene la hora real en la que el barbero terminó de atender</t>
  </si>
  <si>
    <t>Si los tiempos y el precioTotal no se pueden calcular, no cerrar la cita e informar el error</t>
  </si>
  <si>
    <t>registrarInasistenciaCliente</t>
  </si>
  <si>
    <t>Permite al barbero indicar que el cliente nunca llegó a la cita</t>
  </si>
  <si>
    <t>Corresponde al identificador de la cita a la que el cliente no asistió</t>
  </si>
  <si>
    <t>Contiene la cita en el estado Inasistencia del cliente</t>
  </si>
  <si>
    <t>Si la multa no se puede generar, registrar el error y dejar la inasistencia pendiente de multa</t>
  </si>
  <si>
    <t>P-CIT-0001</t>
  </si>
  <si>
    <t>Asegurar que los datos requeridos (hora de inicio, servicios solicitados) sean válidos en tipo de dato, obligatoriedad, formato y rango</t>
  </si>
  <si>
    <t>P-CIT-0002</t>
  </si>
  <si>
    <t>Asegurar que el cliente no esté vetado antes de permitirle agendar</t>
  </si>
  <si>
    <t>P-CIT-0003</t>
  </si>
  <si>
    <t>Asegurar que la agenda tenga disponibilidad y que la hora solicitada quepa dentro del horario del barbero sin solaparse con otra cita o bloqueo</t>
  </si>
  <si>
    <t>P-CIT-0004</t>
  </si>
  <si>
    <t>Asegurar que cada servicio solicitado esté habilitado para ese barbero</t>
  </si>
  <si>
    <t>P-CIT-0005</t>
  </si>
  <si>
    <t>Asegurar que la cita se solicite con al menos la anticipación mínima definida por el barbero</t>
  </si>
  <si>
    <t>P-CIT-0006</t>
  </si>
  <si>
    <t>Congelar en la cita el valor de multa, el tiempoEspera y el porcentajeDescuento en el momento de agendarla, para que un cambio posterior no altere citas ya registradas</t>
  </si>
  <si>
    <t>P-CIT-0007</t>
  </si>
  <si>
    <t>Al finalizar la atención, calcular minutosTardanzaCliente, minutosDemoraBarbero, duración y precioTotal a partir de los tiempos realmente registrados</t>
  </si>
  <si>
    <t>P-CIT-0008</t>
  </si>
  <si>
    <t>Generar una Multa por el valor total de los servicios pedidos</t>
  </si>
  <si>
    <t>P-CIT-0009</t>
  </si>
  <si>
    <t>Si minutosDemoraBarbero supera el tiempoEspera de la cita, aplicar el porcentajeDescuento de esa misma cita sobre su precioTotal</t>
  </si>
  <si>
    <t>P-CIT-0010</t>
  </si>
  <si>
    <t>Si minutosTardanzaCliente supera el tiempoEspera de la cita, generar una Multa de tipo Tardanza por el valor de multa de esa misma cita</t>
  </si>
  <si>
    <t>P-CIT-0011</t>
  </si>
  <si>
    <t>Rechazar la cancelación cuando falten menos de 2 horas para la horaInicio de la cita: en ese caso el sistema no le permite al cliente cancelarla y la cita se mantiene</t>
  </si>
  <si>
    <t>P-CIT-0012</t>
  </si>
  <si>
    <t>Asegurar que el barbero cancele la cita con al menos 2 horas de anticipación frente a su horaInicio</t>
  </si>
  <si>
    <t>P-CIT-0013</t>
  </si>
  <si>
    <t>Asegurar que todos los servicios pedidos en la cita correspondan a un mismo barbero, porque una cita la atiende un único barbero de principio a fin</t>
  </si>
  <si>
    <t>P-CIT-0014</t>
  </si>
  <si>
    <t>Asegurar que la hora solicitada no caiga dentro de ningún bloqueo del barbero, ni que la cita se extienda sobre uno</t>
  </si>
  <si>
    <t>P-CIT-0015</t>
  </si>
  <si>
    <t>Asegurar que exista la cita con el id enviado</t>
  </si>
  <si>
    <t>Pedir cita</t>
  </si>
  <si>
    <t>Permite identificar quién solicita la cita y verificar que no esté vetado.</t>
  </si>
  <si>
    <t>Cita agendada</t>
  </si>
  <si>
    <t>Permite conocer la disponibilidad del barbero en la fecha solicitada.</t>
  </si>
  <si>
    <t>Permite conocer los rangos de tiempo en los que el barbero no está disponible.</t>
  </si>
  <si>
    <t>Permite verificar que la hora solicitada esté dentro de la jornada del barbero.</t>
  </si>
  <si>
    <t>Permite seleccionar los servicios de ese barbero y conocer su duración.</t>
  </si>
  <si>
    <t>Permite conocer la anticipación mínima que el barbero exige para agendar.</t>
  </si>
  <si>
    <t>Permite asignar el estado inicial de la cita.</t>
  </si>
  <si>
    <t>Reprogramar la cita</t>
  </si>
  <si>
    <t>Permite conocer la disponibilidad del barbero en la nueva fecha.</t>
  </si>
  <si>
    <t>Cita reprogramada</t>
  </si>
  <si>
    <t>Permite verificar que la nueva hora no caiga en un bloqueo del barbero.</t>
  </si>
  <si>
    <t>Permite verificar que la nueva hora respete su anticipación mínima.</t>
  </si>
  <si>
    <t>Cancelar la cita por decisión del cliente</t>
  </si>
  <si>
    <t>Cita cancelada por el cliente</t>
  </si>
  <si>
    <t>Cancelar la cita por decisión del barbero</t>
  </si>
  <si>
    <t>Cita cancelada por el barbero</t>
  </si>
  <si>
    <t>Registrar llegada del cliente</t>
  </si>
  <si>
    <t>Llegada de cliente registrada</t>
  </si>
  <si>
    <t>Iniciar la atención del cliente</t>
  </si>
  <si>
    <t>Atención de cliente iniciada</t>
  </si>
  <si>
    <t>Finalizar la atención del cliente</t>
  </si>
  <si>
    <t>Permite conocer los servicios prestados para calcular la duración y el precioTotal.</t>
  </si>
  <si>
    <t>Atención de cliente finalizada</t>
  </si>
  <si>
    <t>Registrar la inasistencia del cliente</t>
  </si>
  <si>
    <t>Permite generar la multa por inasistencia con el precioTotal de la cita.</t>
  </si>
  <si>
    <t>Inasistencia de cliente registrada</t>
  </si>
  <si>
    <t>Permite al sistema indicar que el cliente nunca llegó a la cita</t>
  </si>
  <si>
    <t>Representa a cuál cliente le pertenece esta cita</t>
  </si>
  <si>
    <t>Referencia en cual agenda va a estar esta cita</t>
  </si>
  <si>
    <t>Representa en qué estado se encuentra esta cita puntual: agendada, finalizada, cancelada, con tardanza del cliente o del barbero, o inasistencia</t>
  </si>
  <si>
    <t>Representa la hora en la que se va a realizar la cita al cliente</t>
  </si>
  <si>
    <t>Representa la hora en la que se espera que termine la cita, sumando horaInicio más la duración total de los servicios pedidos. Es un dato calculado</t>
  </si>
  <si>
    <t>Representa la hora real en la que el cliente llegó a la barbería para esta cita. Su valor por defecto es 00:00 y es permitido: significa que el cliente aún no ha llegado</t>
  </si>
  <si>
    <t>Representa la hora real en la que el barbero quedó listo y disponible para empezar a atender esta cita. Su valor por defecto es 00:00 y es permitido: significa que el barbero aún no se ha preparado</t>
  </si>
  <si>
    <t>Representa la hora real en la que el barbero empezó a atender al cliente. Su valor por defecto es 00:00 y es permitido: significa que la atención aún no ha comenzado</t>
  </si>
  <si>
    <t>Representa la hora real en la que el barbero terminó de atender al cliente. Su valor por defecto es 00:00 y es permitido: significa que la atención aún no ha terminado</t>
  </si>
  <si>
    <t>Representa la cantidad total de horas que va a durar la cita, sumando la duración de cada servicio pedido más el tiempo extra de cada uno. Es un dato calculado</t>
  </si>
  <si>
    <t>Representa la cantidad total de minutos que va a durar la cita, sumando la duración de cada servicio pedido más el tiempo extra de cada uno. Es un dato calculado</t>
  </si>
  <si>
    <t>Representa cuántos minutos después de horaInicio llegó el cliente. Si llegó a tiempo o aún no ha llegado su valor es 0. Es un dato calculado</t>
  </si>
  <si>
    <t>Representa cuántos minutos después de la llegada del cliente empezó el barbero a atenderlo. Si no hubo demora su valor es 0. Es un dato calculado</t>
  </si>
  <si>
    <t>Representa el descuento que el barbero le concede al cliente por haberse demorado en atenderlo; solo se descuenta del precioTotal cuando la cita queda en el estado "El barbero se demoro"</t>
  </si>
  <si>
    <t>Representa el precio de sancion, en caso de que el cliente se demore</t>
  </si>
  <si>
    <t>Representa la cantidad de minutos en el que el barbero puede esperar a un cliente, después de este tiempo de espera se le hace una sanción por retraso. Si el barbero se pasa de este tiempo se le da el descuento al cliente</t>
  </si>
  <si>
    <t>Representa cuánto debe pagar el cliente por los servicios de esta cita: la suma del precioServicio de todos sus CitaServicio, al que solo se le aplica el porcentajeDescuento cuando la cita quedó en el estado "El barbero se demoro"</t>
  </si>
  <si>
    <t>Combinación única que indica que una misma agenda no puede tener dos citas que empiecen a la misma hora</t>
  </si>
  <si>
    <t>cliente</t>
  </si>
  <si>
    <t>agenda</t>
  </si>
  <si>
    <t>estado</t>
  </si>
  <si>
    <t>horaFinEstimada</t>
  </si>
  <si>
    <t>horaDelBarberoPreparado</t>
  </si>
  <si>
    <t>duracionHoras</t>
  </si>
  <si>
    <t>duracionMinutos</t>
  </si>
  <si>
    <t>minutosTardanzaCliente</t>
  </si>
  <si>
    <t>minutosDemoraBarbero</t>
  </si>
  <si>
    <t>porcentajeDescuento</t>
  </si>
  <si>
    <t>multa</t>
  </si>
  <si>
    <t>tiempoEspera</t>
  </si>
  <si>
    <t>precioTotal</t>
  </si>
  <si>
    <t>Copia de Servicio.precio en el momento de agendar la cita</t>
  </si>
  <si>
    <t>Copia de BarberoServicio.duracionEnHoras en el momento de agendar la cita</t>
  </si>
  <si>
    <t>Copia de BarberoServicio.duracionServicio en el momento de agendar la cita</t>
  </si>
  <si>
    <t>Copia de BarberoServicio.tiempoExtra en el momento de agendar la cita</t>
  </si>
  <si>
    <t>consultarServiciosDeCita</t>
  </si>
  <si>
    <t>Permite ver qué servicios fueron pedidos dentro de una cita puntual</t>
  </si>
  <si>
    <t>filtro{cita}</t>
  </si>
  <si>
    <t>Contiene la cita por la cual se van a consultar sus servicios</t>
  </si>
  <si>
    <t>Lista&lt;CitaServicio&gt;</t>
  </si>
  <si>
    <t>Contiene todos los servicios que fueron pedidos dentro de esa cita</t>
  </si>
  <si>
    <t>consultarPrecioDeCadaServicio</t>
  </si>
  <si>
    <t>Permite consultar el precio que quedó congelado para cada servicio de una cita en el momento en que se agendó</t>
  </si>
  <si>
    <t>Contiene la cita por la cual se van a consultar los precios de sus servicios</t>
  </si>
  <si>
    <t>Contiene el precio que quedó congelado para cada servicio de esa cita</t>
  </si>
  <si>
    <t>Consultar los servicios de una cita</t>
  </si>
  <si>
    <t>Servicios de cita consultados</t>
  </si>
  <si>
    <t>Ver precio de cada servicio</t>
  </si>
  <si>
    <t>Precio de servicio de cita consultado</t>
  </si>
  <si>
    <t>Hace referencia a la cita a la que pertenece este servicio pedido</t>
  </si>
  <si>
    <t>Hace referencia a qué servicio, de qué barbero específico, se pidió en esta cita. No se referencia el Servicio directamente porque un barbero podría no ofrecerlo</t>
  </si>
  <si>
    <t>Representa el precio que tenía el servicio en el momento en que se agendó esta cita. Es un dato auto generado: copia de Servicio.precio, para que cambios futuros en el precio del catálogo no alteren una cita ya registrada</t>
  </si>
  <si>
    <t>Representa la duración en horas que tenía el servicio para ese barbero en el momento en que se agendó esta cita. Es un dato auto generado: copia de BarberoServicio.duracionServicio</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</si>
  <si>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</si>
  <si>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</si>
  <si>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Combinación única que indica que un mismo servicio no se puede pedir dos veces en la misma cita, es decir que CitaServicio no puede tener la misma cita y el barberoServicio</t>
  </si>
  <si>
    <t>cita</t>
  </si>
  <si>
    <t>barberoServicio</t>
  </si>
  <si>
    <t>precioServicio</t>
  </si>
  <si>
    <t>duracionEnHorasElServicio</t>
  </si>
  <si>
    <t>duracionEnMinutosElServicio</t>
  </si>
  <si>
    <t>Si tipo=Tardanza copia Cita.multa; si tipo=Inasistencia copia Cita.precioTotal, y queda congelado</t>
  </si>
  <si>
    <t>Si tipo=Tardanza copia Cita.horaLlegadaCliente; si tipo=Inasistencia copia Cita.horaFinEstimada</t>
  </si>
  <si>
    <t>Fecha y Hora</t>
  </si>
  <si>
    <t>imponerMultaCliente</t>
  </si>
  <si>
    <t>Genera automáticamente una multa a un cliente cuando se registra una inasistencia o una tardanza fuera de tolerancia</t>
  </si>
  <si>
    <t>datos{cita, tipo}</t>
  </si>
  <si>
    <t>Contiene la cita incumplida y el tipo de multa que se le va a imponer al cliente</t>
  </si>
  <si>
    <t>Contiene la información de la multa impuesta</t>
  </si>
  <si>
    <t>Si el tipo de multa y el monto no se pueden congelar, no registrar la multa e informar el error</t>
  </si>
  <si>
    <t>Si el veto del cliente no se puede actualizar, registrar el error sin revertir la multa</t>
  </si>
  <si>
    <t>consultarMultasDeCliente</t>
  </si>
  <si>
    <t>Permite a un cliente consultar el historial de multas que se le han impuesto</t>
  </si>
  <si>
    <t>filtro{cliente}</t>
  </si>
  <si>
    <t>Contiene el cliente por el cual se van a consultar sus multas</t>
  </si>
  <si>
    <t>Lista&lt;Multa&gt;</t>
  </si>
  <si>
    <t>Contiene todas las multas que se le han impuesto al cliente</t>
  </si>
  <si>
    <t>registrarPagoMulta</t>
  </si>
  <si>
    <t>Permite al barbero marcar que un cliente ya pagó una multa pendiente</t>
  </si>
  <si>
    <t>Corresponde al identificador de la multa que se va a marcar como pagada</t>
  </si>
  <si>
    <t>Contiene la multa con su pago registrado</t>
  </si>
  <si>
    <t>Informar con un mensaje que no existe una multa con el identificador enviado y por lo tanto no es posible llevar a cabo la operación</t>
  </si>
  <si>
    <t>fechaHoraPago</t>
  </si>
  <si>
    <t>Contiene la fecha y hora en la que el cliente pagó la multa</t>
  </si>
  <si>
    <t>Generar una excepción indicándole al usuario que esa multa ya está pagada</t>
  </si>
  <si>
    <t>P-MUL-0001</t>
  </si>
  <si>
    <t>Congelar el motivo (tipo de multa) y el monto en el momento de generarse: si es por tardanza se copia Cita.multa y si es por inasistencia se copia Cita.precioTotal, sin recalcular después</t>
  </si>
  <si>
    <t>P-MUL-0002</t>
  </si>
  <si>
    <t>Asegurar que la multa no esté ya pagada antes de registrar un nuevo pago</t>
  </si>
  <si>
    <t>P-MUL-0003</t>
  </si>
  <si>
    <t>Al generarse una multa dejar vetado al cliente, y quitarle el veto en el momento en que registre el pago de esa multa</t>
  </si>
  <si>
    <t>P-MUL-0004</t>
  </si>
  <si>
    <t>Asegurar que exista la multa con el id enviado</t>
  </si>
  <si>
    <t>Imponer una multa al cliente</t>
  </si>
  <si>
    <t>Permite conocer la cita incumplida de donde salen el tipo y el monto de la multa.</t>
  </si>
  <si>
    <t>Multa impuesta</t>
  </si>
  <si>
    <t>Permite dejar vetado al cliente al que se le impone la multa.</t>
  </si>
  <si>
    <t>Ver todas mis multas</t>
  </si>
  <si>
    <t>Permite mostrar de qué tipo es cada multa del cliente.</t>
  </si>
  <si>
    <t>Multas consultadas</t>
  </si>
  <si>
    <t>Registrar el pago de una multa</t>
  </si>
  <si>
    <t>Permite quitarle el veto al cliente cuando ya no le quedan multas sin pagar.</t>
  </si>
  <si>
    <t>Multa pagada</t>
  </si>
  <si>
    <t>Hace referencia a la cita puntual que el cliente incumplió (llegando tarde fuera de la tolerancia o no presentándose), de esa cita es de donde sale el valor de monto si fue el caso de no presentase</t>
  </si>
  <si>
    <t>Hace referencia al tipo de multa -tardanza o inasistencia- según lo que haya ocurrido con la cita</t>
  </si>
  <si>
    <t>Representa cuánto dinero en pesos colombianos debe pagar el cliente por esta multa. Es un dato auto generado: si el tipo es Tardanza copia el valor de multa de la Cita incumplida; si el tipo es Inasistencia copia el precioTotal de la Cita incumplida</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</si>
  <si>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</si>
  <si>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Representa la fecha y hora en la que el cliente pagó esta multa. Su valor por defecto es 01/01/1000 00:00 y es permitido: significa que la multa sigue sin pagar</t>
  </si>
  <si>
    <t>Representa si el cliente ya pagó o no esta multa, es el dato que se revisa para decidir si un cliente queda vetado: mientras tenga una multa sin pagar no puede agendar</t>
  </si>
  <si>
    <t>Combinación única que indica que una misma cita no puede generar más de una multa</t>
  </si>
  <si>
    <t>tipo</t>
  </si>
  <si>
    <t>monto</t>
  </si>
  <si>
    <t>horaGeneracion</t>
  </si>
  <si>
    <t>pagada</t>
  </si>
  <si>
    <t>1/01/1000 00:00</t>
  </si>
  <si>
    <t>Rechazar el bloqueo si ya existen citas agendadas dentro de ese mismo rango elegido</t>
  </si>
  <si>
    <t>Permite al barbero ver si hay o no un bloqueo en una fecha y hora, en el que empieza el bloqueo, para que mire si el puso o no un bloqueo</t>
  </si>
  <si>
    <t>Permite al sistema ver si hay o no un bloqueo en una fecha y hora, en el que empieza el bloqueo, para que el determine luego si el cliente puede agendar una cita en ese momento</t>
  </si>
  <si>
    <t>P-BSE-0004</t>
  </si>
  <si>
    <t>Asegurar que la suma del tiempo en horas y minutos de la realizacion del servicio por el barbero sea mayor a cero</t>
  </si>
  <si>
    <t>desactivarServicioBarbero</t>
  </si>
  <si>
    <t>reactivarServicioBarbero</t>
  </si>
  <si>
    <t>Definir un servicio para el barbero</t>
  </si>
  <si>
    <t>Asegurar que el barbero no tenga ya definido ese mismo servicio</t>
  </si>
  <si>
    <t>Asegurar que exista el servicio definido del barbero con el id enviado</t>
  </si>
  <si>
    <t>Permite a un barbero activar un servicio que ya se habia desactivado</t>
  </si>
  <si>
    <t>Generar una excepción indicándole al barbero que los datos no cumplen las reglas definidas</t>
  </si>
  <si>
    <t>Generar una excepción indicándole el barbero ya tiene habilitado ese mismo servicio</t>
  </si>
  <si>
    <t>Generar una excepción indicándole al barbero que los no se puede realizar un servicio en tiempo cero, es decir que debe de poner un timpio mayor a cer, ya que en la hora o en el minuto</t>
  </si>
  <si>
    <t>P-BSE-0005</t>
  </si>
  <si>
    <t>P-BSE-0006</t>
  </si>
  <si>
    <t>Asegurar que el estado de BarberoServicio este vigente</t>
  </si>
  <si>
    <t>Asegurar que el estado del BarberoServicio no este vigente</t>
  </si>
  <si>
    <t>Servicio de barbero reactivado</t>
  </si>
  <si>
    <t>Volver prestar el servicio para el catálogo</t>
  </si>
  <si>
    <t>Informar al barbero que el servicio que quiere desactivar, ya se encuentra desactivado</t>
  </si>
  <si>
    <t>Informar al barbero que el servicio que quiere reactivar, ya se encuentra activado</t>
  </si>
  <si>
    <t>Permite a un barbero consultar los servicios que esten vigentes</t>
  </si>
  <si>
    <t>P-HBO-0007</t>
  </si>
  <si>
    <t>Asegurar que la hora de fin sea mayor a la hora de inicio</t>
  </si>
  <si>
    <t>Asegurar que los datos requeridos (día de la semana, hora de inicio, hora de fin) sean válidos en tipo de dato, obligatoriedad, formato y rango</t>
  </si>
  <si>
    <t>Asegurar que el horario de trabajo que se va a desactivar se encuentre vigente</t>
  </si>
  <si>
    <t>Generar una excepción indicándole al barbero que la hora de fin debe ser mayor a la hora de inicio</t>
  </si>
  <si>
    <t>Permite a un barbero desactivar un horario para dejar de trabajar ese día de la semana, cancelando las citas futuras que dependían de él</t>
  </si>
  <si>
    <t>Informar con un mensaje que ese horario de trabajo ya se encuentra desactivado y por lo tanto no puede volver a desactivarse</t>
  </si>
  <si>
    <t>Permite identificar las citas futuras que quedaron en las agendas generadas a partir de ese horario. La agenda no se modifica: solo se recorre para llegar a las citas.</t>
  </si>
  <si>
    <t>Los bloqueos no se liberan en cascada: un bloqueo sobre una jornada que ya no existe no afecta la disponibilidad del barbero, y un bloqueo puede abarcar días en los que el barbero sigue trabajando.</t>
  </si>
  <si>
    <t>Asegurar que queden canceladas, en el estado Cancelación, todas las citas futuras asociadas a las agendas generadas a partir de ese horario de trabajo. Se consideran futuras las citas cuya agenda tenga una fecha posterior a la fecha actual</t>
  </si>
  <si>
    <t>Crear la agenda de un barbero para una fecha</t>
  </si>
  <si>
    <t>Agenda creada</t>
  </si>
  <si>
    <t>crearAgendaBarbero</t>
  </si>
  <si>
    <t>Generar una excepción indicándole al cliente cuáles datos de la cita no cumplen con las reglas definidas</t>
  </si>
  <si>
    <t>Generar una excepción indicándole al cliente que no puede agendar porque el cliente está vetado</t>
  </si>
  <si>
    <t>Generar una excepción indicándole al cliente que el barbero no tiene disponibilidad en la hora solicitada</t>
  </si>
  <si>
    <t>Generar una excepción indicándole al cliente que la hora solicitada cae dentro de un bloqueo del barbero</t>
  </si>
  <si>
    <t>Generar una excepción indicándole al cliente que alguno de los servicios pedidos no está habilitado para ese barbero</t>
  </si>
  <si>
    <t>Generar una excepción indicándole al cliente que los servicios pedidos pertenecen a más de un barbero</t>
  </si>
  <si>
    <t>Generar una excepción indicándole al cliente que la cita no cumple con la anticipación mínima que exige el barbero</t>
  </si>
  <si>
    <t>P-CIT-0016</t>
  </si>
  <si>
    <t>Asegurar que la cita se encuentre en estado Agendada</t>
  </si>
  <si>
    <t>P-CIT-0017</t>
  </si>
  <si>
    <t>Asegurar que la llegada del cliente esté registrada y que la cita se encuentre en estado Agendada o El cliente se demoro</t>
  </si>
  <si>
    <t>P-CIT-0018</t>
  </si>
  <si>
    <t>Asegurar que la atención de la cita haya sido iniciada y que la cita no se encuentre en un estado final (Finalizada, Cancelada por el cliente, Cancelada por el barbero, Inasistencia del cliente o Cancelación)</t>
  </si>
  <si>
    <t>P-CIT-0019</t>
  </si>
  <si>
    <t>Asegurar que la llegada del cliente no haya sido registrada previamente</t>
  </si>
  <si>
    <t>P-CIT-0020</t>
  </si>
  <si>
    <t>Asegurar que la atención de la cita no haya sido iniciada previamente</t>
  </si>
  <si>
    <t>Generar una excepción indicándole al barbero que no se puede registrar la inasistencia porque la cita no se encuentra en estado Agendada</t>
  </si>
  <si>
    <t>Generar una excepción indicándole al barbero que no se puede registrar la inasistencia porque la llegada del cliente ya fue registrada</t>
  </si>
  <si>
    <t>Generar una excepción indicándole al barbero que no se puede finalizar la atención porque no ha sido iniciada o la cita ya se encuentra en un estado final</t>
  </si>
  <si>
    <t>Generar una excepción indicándole al barbero que no se puede iniciar la atención porque la llegada del cliente no está registrada o la cita no se encuentra en estado Agendada o El cliente se demoro</t>
  </si>
  <si>
    <t>Generar una excepción indicándole al barbero que la atención de la cita ya fue iniciada</t>
  </si>
  <si>
    <t>Generar una excepción indicándole al barbero que no se puede registrar la llegada porque la cita no se encuentra en estado Agendada</t>
  </si>
  <si>
    <t>Generar una excepción indicándole al barbero que la llegada del cliente ya fue registrada</t>
  </si>
  <si>
    <t>Generar una excepción indicándole al barbero que la cita no se puede cancelar porque no se encuentra en estado Agendada</t>
  </si>
  <si>
    <t>Generar una excepción indicándole al cliente que la cita no se puede cancelar porque no se encuentra en estado Agendada</t>
  </si>
  <si>
    <t>Generar una excepción indicándole al cliente que la cita no se puede reprogramar porque no se encuentra en estado Agendada</t>
  </si>
  <si>
    <t>Permite verificar que la cita se encuentre en estado Agendada y cambiarla a Inasistencia del cliente.</t>
  </si>
  <si>
    <t>Permite verificar que la cita no se encuentre en un estado final y dejarla en estado Finalizada.</t>
  </si>
  <si>
    <t>Permite verificar que la cita se encuentre en estado Agendada o El cliente se demoro, y cambiarla a El barbero se demoro cuando la demora supera el tiempo de espera.</t>
  </si>
  <si>
    <t>Permite verificar que la cita se encuentre en estado Agendada y cambiarla a El cliente se demoro cuando la tardanza supera el tiempo de espera.</t>
  </si>
  <si>
    <t>Permite verificar que la cita se encuentre en estado Agendada y cambiarla a Cancelada por el barbero.</t>
  </si>
  <si>
    <t>Permite verificar que la cita se encuentre en estado Agendada y cambiarla a Cancelada por el cliente cuando la cancelación es aceptada.</t>
  </si>
  <si>
    <t>Permite verificar que la cita se encuentre en estado Agendada antes de reprogramarla.</t>
  </si>
  <si>
    <t>Agendado</t>
  </si>
  <si>
    <t>Cliente vetado</t>
  </si>
  <si>
    <t>Combinación única que indica que un mismo barbero no puede tener dos horarios con el mismo día de la barbería, la misma hora de inicio, la misma hora final, misma fecha de creacion y de desactivacion</t>
  </si>
  <si>
    <t>Combinación única que indica que, entre los horarios vigentes, no puede existir más de un horario de la barbería para el mismo día de la semana con la misma hora de apertura, la misma hora de cierre, fecha de creacion y fecha de desactivacion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</si>
</sst>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mm\ AM/PM"/>
    <numFmt numFmtId="165" formatCode="_-&quot;$ &quot;* #,##0_-;&quot;-$ &quot;* #,##0_-;_-&quot;$ &quot;* \-??_-;_-@_-"/>
    <numFmt numFmtId="166" formatCode="&quot;$ &quot;#,##0"/>
    <numFmt numFmtId="167" formatCode="m/d/yyyy"/>
    <numFmt numFmtId="168" formatCode="m/d/yyyy\ h:mm"/>
    <numFmt numFmtId="169" formatCode="dd/mm/yyyy"/>
    <numFmt numFmtId="170" formatCode="_(\$* #,##0.00_);_(\$* \(#,##0.00\);_(\$* \-??_);_(@_)"/>
    <numFmt numFmtId="171" formatCode="hh:mm"/>
  </numFmts>
  <fonts count="38" x14ac:knownFonts="1">
    <font>
      <sz val="11"/>
      <color theme="1"/>
      <name val="Calibri"/>
      <family val="2"/>
      <charset val="1"/>
    </font>
    <font>
      <u/>
      <sz val="11"/>
      <color theme="10"/>
      <name val="Calibri"/>
      <family val="2"/>
      <charset val="1"/>
    </font>
    <font>
      <b/>
      <sz val="11"/>
      <color theme="1"/>
      <name val="Calibri"/>
      <family val="2"/>
      <charset val="1"/>
    </font>
    <font>
      <b/>
      <sz val="11"/>
      <name val="Calibri"/>
      <family val="2"/>
      <charset val="1"/>
    </font>
    <font>
      <u/>
      <sz val="11"/>
      <color rgb="FF0563C1"/>
      <name val="Calibri"/>
      <family val="2"/>
      <charset val="1"/>
    </font>
    <font>
      <b/>
      <sz val="11"/>
      <color theme="1"/>
      <name val="Aptos Narrow"/>
      <family val="2"/>
      <charset val="1"/>
    </font>
    <font>
      <u/>
      <sz val="11"/>
      <color rgb="FF0070C0"/>
      <name val="Calibri"/>
      <family val="2"/>
      <charset val="1"/>
    </font>
    <font>
      <sz val="11"/>
      <color theme="1"/>
      <name val="Aptos Narrow"/>
      <family val="2"/>
      <charset val="1"/>
    </font>
    <font>
      <b/>
      <sz val="11"/>
      <color rgb="FF000000"/>
      <name val="Aptos Narrow"/>
      <family val="2"/>
      <charset val="1"/>
    </font>
    <font>
      <u/>
      <sz val="11"/>
      <color rgb="FF467886"/>
      <name val="Aptos Narrow"/>
      <family val="2"/>
      <charset val="1"/>
    </font>
    <font>
      <sz val="10"/>
      <color theme="1"/>
      <name val="Calibri"/>
      <family val="2"/>
      <charset val="1"/>
    </font>
    <font>
      <u/>
      <sz val="10"/>
      <color rgb="FF0563C1"/>
      <name val="Aptos Narrow"/>
      <family val="2"/>
      <charset val="1"/>
    </font>
    <font>
      <u/>
      <sz val="10"/>
      <color theme="10"/>
      <name val="Calibri"/>
      <family val="2"/>
      <charset val="1"/>
    </font>
    <font>
      <b/>
      <sz val="10"/>
      <color theme="1"/>
      <name val="Calibri"/>
      <family val="2"/>
      <charset val="1"/>
    </font>
    <font>
      <sz val="11"/>
      <color theme="1"/>
      <name val="Calibri"/>
      <family val="2"/>
    </font>
    <font>
      <sz val="11"/>
      <name val="Calibri"/>
      <family val="2"/>
    </font>
    <font>
      <b/>
      <sz val="10"/>
      <name val="Aptos Narrow"/>
      <family val="2"/>
      <charset val="1"/>
    </font>
    <font>
      <sz val="10"/>
      <name val="Aptos Narrow"/>
      <family val="2"/>
      <charset val="1"/>
    </font>
    <font>
      <sz val="7"/>
      <name val="Calibri"/>
      <family val="2"/>
      <charset val="1"/>
    </font>
    <font>
      <sz val="7"/>
      <color rgb="FF000000"/>
      <name val="Calibri"/>
      <family val="2"/>
      <charset val="1"/>
    </font>
    <font>
      <b/>
      <sz val="11"/>
      <color rgb="FF000000"/>
      <name val="Calibri"/>
      <family val="2"/>
      <charset val="1"/>
    </font>
    <font>
      <sz val="11"/>
      <name val="Calibri"/>
      <family val="2"/>
      <charset val="1"/>
    </font>
    <font>
      <u/>
      <sz val="10"/>
      <color rgb="FF0563C1"/>
      <name val="Calibri"/>
      <family val="2"/>
      <charset val="1"/>
    </font>
    <font>
      <b/>
      <sz val="10"/>
      <color theme="1"/>
      <name val="Aptos Narrow"/>
      <family val="2"/>
      <charset val="1"/>
    </font>
    <font>
      <sz val="10"/>
      <color theme="1"/>
      <name val="Aptos Narrow"/>
      <family val="2"/>
      <charset val="1"/>
    </font>
    <font>
      <b/>
      <sz val="11"/>
      <name val="Cambria"/>
      <family val="1"/>
      <charset val="1"/>
    </font>
    <font>
      <sz val="7"/>
      <color theme="1"/>
      <name val="Calibri"/>
      <family val="2"/>
      <charset val="1"/>
    </font>
    <font>
      <u/>
      <sz val="10"/>
      <color rgb="FF0070C0"/>
      <name val="Calibri"/>
      <family val="2"/>
      <charset val="1"/>
    </font>
    <font>
      <b/>
      <sz val="10"/>
      <color theme="1"/>
      <name val="Aptos Narrow"/>
      <family val="2"/>
    </font>
    <font>
      <sz val="10"/>
      <color theme="1"/>
      <name val="Aptos Narrow"/>
      <family val="2"/>
    </font>
    <font>
      <b/>
      <sz val="10"/>
      <name val="Aptos Narrow"/>
      <family val="2"/>
    </font>
    <font>
      <sz val="10"/>
      <name val="Aptos Narrow"/>
      <family val="2"/>
    </font>
    <font>
      <u/>
      <sz val="10"/>
      <color rgb="FF0563C1"/>
      <name val="Aptos Narrow"/>
      <family val="2"/>
    </font>
    <font>
      <u/>
      <sz val="10"/>
      <color theme="10"/>
      <name val="Aptos Narrow"/>
      <family val="2"/>
    </font>
    <font>
      <sz val="10"/>
      <name val="Arial"/>
      <family val="2"/>
      <charset val="1"/>
    </font>
    <font>
      <b/>
      <u/>
      <sz val="11"/>
      <color rgb="FF467886"/>
      <name val="Calibri"/>
      <family val="2"/>
      <charset val="1"/>
    </font>
    <font>
      <sz val="8"/>
      <name val="Calibri"/>
      <family val="2"/>
      <charset val="1"/>
    </font>
    <font>
      <sz val="11"/>
      <color rgb="FF0563C1"/>
      <name val="Calibri"/>
      <family val="2"/>
      <charset val="1"/>
    </font>
  </fonts>
  <fills count="31">
    <fill>
      <patternFill patternType="none"/>
    </fill>
    <fill>
      <patternFill patternType="gray125"/>
    </fill>
    <fill>
      <patternFill patternType="solid">
        <fgColor theme="0"/>
        <bgColor rgb="FFFCFCAA"/>
      </patternFill>
    </fill>
    <fill>
      <patternFill patternType="solid">
        <fgColor rgb="FFD9D9D9"/>
        <bgColor rgb="FFDBDBDB"/>
      </patternFill>
    </fill>
    <fill>
      <patternFill patternType="solid">
        <fgColor theme="9" tint="0.59959715567491678"/>
        <bgColor rgb="FFC5E0B3"/>
      </patternFill>
    </fill>
    <fill>
      <patternFill patternType="solid">
        <fgColor rgb="FFC0E6F5"/>
        <bgColor rgb="FFCAEDFB"/>
      </patternFill>
    </fill>
    <fill>
      <patternFill patternType="solid">
        <fgColor rgb="FFF2CEEF"/>
        <bgColor rgb="FFFDD3FA"/>
      </patternFill>
    </fill>
    <fill>
      <patternFill patternType="solid">
        <fgColor rgb="FFCAEDFB"/>
        <bgColor rgb="FFC0E6F5"/>
      </patternFill>
    </fill>
    <fill>
      <patternFill patternType="solid">
        <fgColor theme="9" tint="0.39918210394604325"/>
        <bgColor rgb="FFC5E0B3"/>
      </patternFill>
    </fill>
    <fill>
      <patternFill patternType="solid">
        <fgColor theme="9" tint="0.59959715567491678"/>
        <bgColor rgb="FFC5E0B4"/>
      </patternFill>
    </fill>
    <fill>
      <patternFill patternType="solid">
        <fgColor theme="0" tint="-0.249977111117893"/>
        <bgColor rgb="FFD0CECE"/>
      </patternFill>
    </fill>
    <fill>
      <patternFill patternType="solid">
        <fgColor rgb="FFFCFCAA"/>
        <bgColor rgb="FFFFE699"/>
      </patternFill>
    </fill>
    <fill>
      <patternFill patternType="solid">
        <fgColor rgb="FFF381DB"/>
        <bgColor rgb="FFFA90B1"/>
      </patternFill>
    </fill>
    <fill>
      <patternFill patternType="solid">
        <fgColor rgb="FFFFFF00"/>
        <bgColor rgb="FFFFD966"/>
      </patternFill>
    </fill>
    <fill>
      <patternFill patternType="solid">
        <fgColor rgb="FF92D050"/>
        <bgColor rgb="FFA9D18E"/>
      </patternFill>
    </fill>
    <fill>
      <patternFill patternType="solid">
        <fgColor rgb="FFCC99FF"/>
        <bgColor rgb="FFCEABF1"/>
      </patternFill>
    </fill>
    <fill>
      <patternFill patternType="solid">
        <fgColor rgb="FFFDD3FA"/>
        <bgColor rgb="FFF2CEEF"/>
      </patternFill>
    </fill>
    <fill>
      <patternFill patternType="solid">
        <fgColor rgb="FFFFC000"/>
        <bgColor rgb="FFFFD966"/>
      </patternFill>
    </fill>
    <fill>
      <patternFill patternType="solid">
        <fgColor rgb="FFFA90B1"/>
        <bgColor rgb="FFF381DB"/>
      </patternFill>
    </fill>
    <fill>
      <patternFill patternType="solid">
        <fgColor rgb="FFD0CECE"/>
        <bgColor rgb="FFD9D9D9"/>
      </patternFill>
    </fill>
    <fill>
      <patternFill patternType="solid">
        <fgColor rgb="FF70AD47"/>
        <bgColor rgb="FF92D050"/>
      </patternFill>
    </fill>
    <fill>
      <patternFill patternType="solid">
        <fgColor rgb="FFFFD966"/>
        <bgColor rgb="FFFFE699"/>
      </patternFill>
    </fill>
    <fill>
      <patternFill patternType="solid">
        <fgColor theme="8" tint="0.59968871120334488"/>
        <bgColor rgb="FFBFBFBF"/>
      </patternFill>
    </fill>
    <fill>
      <patternFill patternType="solid">
        <fgColor theme="7" tint="0.59968871120334488"/>
        <bgColor rgb="FFFCFCAA"/>
      </patternFill>
    </fill>
    <fill>
      <patternFill patternType="solid">
        <fgColor theme="6" tint="0.59959715567491678"/>
        <bgColor rgb="FFD9D9D9"/>
      </patternFill>
    </fill>
    <fill>
      <patternFill patternType="solid">
        <fgColor rgb="FFF7C7AC"/>
        <bgColor rgb="FFF2CEEF"/>
      </patternFill>
    </fill>
    <fill>
      <patternFill patternType="solid">
        <fgColor rgb="FFCEABF1"/>
        <bgColor rgb="FFCC99FF"/>
      </patternFill>
    </fill>
    <fill>
      <patternFill patternType="solid">
        <fgColor rgb="FFF1ABE9"/>
        <bgColor rgb="FFCEABF1"/>
      </patternFill>
    </fill>
    <fill>
      <patternFill patternType="solid">
        <fgColor rgb="FFB4C6E7"/>
        <bgColor indexed="64"/>
      </patternFill>
    </fill>
    <fill>
      <patternFill patternType="solid">
        <fgColor rgb="FFFFE699"/>
        <bgColor indexed="64"/>
      </patternFill>
    </fill>
    <fill>
      <patternFill patternType="solid">
        <fgColor theme="9" tint="0.59999389629810485"/>
        <bgColor rgb="FFFCFCAA"/>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s>
  <cellStyleXfs count="3">
    <xf numFmtId="0" fontId="0" fillId="0" borderId="0"/>
    <xf numFmtId="170" fontId="34" fillId="0" borderId="0"/>
    <xf numFmtId="0" fontId="1" fillId="0" borderId="0"/>
  </cellStyleXfs>
  <cellXfs count="566">
    <xf numFmtId="0" fontId="0" fillId="0" borderId="0" xfId="0"/>
    <xf numFmtId="0" fontId="31" fillId="0" borderId="1" xfId="0" applyFont="1" applyBorder="1" applyAlignment="1">
      <alignment horizontal="left" vertical="center" wrapText="1"/>
    </xf>
    <xf numFmtId="0" fontId="31" fillId="0" borderId="1" xfId="0" applyFont="1" applyBorder="1" applyAlignment="1">
      <alignment horizontal="center" vertical="center" wrapText="1"/>
    </xf>
    <xf numFmtId="0" fontId="30" fillId="17" borderId="1"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11" fillId="0" borderId="0" xfId="0" applyFont="1"/>
    <xf numFmtId="0" fontId="1" fillId="0" borderId="0" xfId="0" applyFont="1"/>
    <xf numFmtId="0" fontId="0" fillId="2" borderId="0" xfId="0" applyFill="1"/>
    <xf numFmtId="0" fontId="2" fillId="0" borderId="1" xfId="0" applyFont="1" applyBorder="1" applyAlignment="1">
      <alignment vertical="center"/>
    </xf>
    <xf numFmtId="0" fontId="3" fillId="0" borderId="1" xfId="0" applyFont="1" applyBorder="1"/>
    <xf numFmtId="0" fontId="0" fillId="0" borderId="1" xfId="0" applyBorder="1"/>
    <xf numFmtId="0" fontId="0" fillId="0" borderId="1" xfId="0" applyBorder="1" applyAlignment="1">
      <alignment vertical="center" wrapText="1"/>
    </xf>
    <xf numFmtId="0" fontId="4" fillId="0" borderId="1" xfId="0" applyFont="1" applyBorder="1"/>
    <xf numFmtId="0" fontId="0" fillId="0" borderId="1" xfId="0" applyBorder="1" applyAlignment="1">
      <alignment wrapText="1"/>
    </xf>
    <xf numFmtId="0" fontId="1" fillId="0" borderId="1" xfId="0" applyFont="1" applyBorder="1"/>
    <xf numFmtId="0" fontId="5" fillId="3" borderId="1" xfId="0" applyFont="1" applyFill="1" applyBorder="1" applyAlignment="1">
      <alignment vertical="center"/>
    </xf>
    <xf numFmtId="0" fontId="5" fillId="3" borderId="1" xfId="0" applyFont="1" applyFill="1" applyBorder="1" applyAlignment="1">
      <alignment vertical="center" wrapText="1"/>
    </xf>
    <xf numFmtId="0" fontId="6" fillId="4" borderId="2" xfId="0" applyFont="1" applyFill="1" applyBorder="1" applyAlignment="1">
      <alignment horizontal="left" vertical="center"/>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0" fillId="4" borderId="2" xfId="0" applyFill="1" applyBorder="1" applyAlignment="1">
      <alignment horizontal="left" vertical="center"/>
    </xf>
    <xf numFmtId="0" fontId="8" fillId="5" borderId="1" xfId="0" applyFont="1" applyFill="1" applyBorder="1" applyAlignment="1">
      <alignment horizontal="center" vertical="center"/>
    </xf>
    <xf numFmtId="0" fontId="7" fillId="6" borderId="1" xfId="0" applyFont="1" applyFill="1" applyBorder="1" applyAlignment="1">
      <alignment horizontal="left" vertical="center"/>
    </xf>
    <xf numFmtId="0" fontId="7" fillId="6" borderId="1" xfId="0" applyFont="1" applyFill="1" applyBorder="1" applyAlignment="1">
      <alignment horizontal="left" vertical="center" wrapText="1"/>
    </xf>
    <xf numFmtId="0" fontId="9" fillId="6" borderId="1" xfId="0" applyFont="1" applyFill="1" applyBorder="1" applyAlignment="1">
      <alignment vertical="center"/>
    </xf>
    <xf numFmtId="0" fontId="8" fillId="7" borderId="1" xfId="0" applyFont="1" applyFill="1" applyBorder="1" applyAlignment="1">
      <alignment horizontal="center" vertical="center"/>
    </xf>
    <xf numFmtId="0" fontId="8" fillId="7" borderId="2" xfId="0" applyFont="1" applyFill="1" applyBorder="1" applyAlignment="1">
      <alignment horizontal="center" vertical="center"/>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10" fillId="4" borderId="1" xfId="0" applyFont="1" applyFill="1" applyBorder="1" applyAlignment="1">
      <alignment horizontal="left" vertical="center" wrapText="1"/>
    </xf>
    <xf numFmtId="0" fontId="1" fillId="4" borderId="1" xfId="2" applyFill="1" applyBorder="1" applyAlignment="1">
      <alignment horizontal="left" vertical="center"/>
    </xf>
    <xf numFmtId="0" fontId="12" fillId="0" borderId="0" xfId="0" applyFont="1"/>
    <xf numFmtId="0" fontId="13" fillId="8" borderId="3" xfId="0" applyFont="1" applyFill="1" applyBorder="1" applyAlignment="1">
      <alignment vertical="center"/>
    </xf>
    <xf numFmtId="0" fontId="13" fillId="8" borderId="5" xfId="0" applyFont="1" applyFill="1" applyBorder="1" applyAlignment="1">
      <alignment vertical="center"/>
    </xf>
    <xf numFmtId="0" fontId="14" fillId="0" borderId="1" xfId="0" applyFont="1" applyBorder="1"/>
    <xf numFmtId="0" fontId="15" fillId="0" borderId="1" xfId="0" applyFont="1" applyBorder="1" applyAlignment="1">
      <alignment vertical="center" wrapText="1"/>
    </xf>
    <xf numFmtId="0" fontId="13" fillId="0" borderId="0" xfId="0" applyFont="1" applyAlignment="1">
      <alignment vertical="center"/>
    </xf>
    <xf numFmtId="0" fontId="10" fillId="0" borderId="0" xfId="0" applyFont="1" applyAlignment="1">
      <alignment horizontal="left" vertical="center" wrapText="1"/>
    </xf>
    <xf numFmtId="0" fontId="13" fillId="0" borderId="0" xfId="0" applyFont="1" applyAlignment="1">
      <alignment horizontal="center" vertical="center" wrapText="1"/>
    </xf>
    <xf numFmtId="0" fontId="16" fillId="11"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16" fillId="17" borderId="1" xfId="0" applyFont="1" applyFill="1" applyBorder="1" applyAlignment="1">
      <alignment horizontal="center" vertical="center" wrapText="1"/>
    </xf>
    <xf numFmtId="0" fontId="13" fillId="18" borderId="1" xfId="0" applyFont="1" applyFill="1" applyBorder="1" applyAlignment="1">
      <alignment horizontal="center" vertical="center" wrapText="1"/>
    </xf>
    <xf numFmtId="0" fontId="16" fillId="15" borderId="1" xfId="0" applyFont="1" applyFill="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xf numFmtId="0" fontId="18" fillId="19" borderId="1" xfId="0" applyFont="1" applyFill="1" applyBorder="1" applyAlignment="1">
      <alignment horizontal="center" wrapText="1"/>
    </xf>
    <xf numFmtId="0" fontId="19" fillId="19" borderId="1" xfId="0" applyFont="1" applyFill="1" applyBorder="1" applyAlignment="1">
      <alignment horizontal="center" wrapText="1"/>
    </xf>
    <xf numFmtId="0" fontId="20" fillId="20" borderId="1" xfId="0" applyFont="1" applyFill="1" applyBorder="1" applyAlignment="1">
      <alignment horizontal="center"/>
    </xf>
    <xf numFmtId="0" fontId="20" fillId="2" borderId="1" xfId="0" applyFont="1" applyFill="1" applyBorder="1" applyAlignment="1">
      <alignment horizontal="center"/>
    </xf>
    <xf numFmtId="0" fontId="20" fillId="21"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19" borderId="1" xfId="0" applyFill="1" applyBorder="1"/>
    <xf numFmtId="0" fontId="0" fillId="0" borderId="0" xfId="0" applyAlignment="1">
      <alignment wrapText="1"/>
    </xf>
    <xf numFmtId="0" fontId="0" fillId="20" borderId="1" xfId="0" applyFill="1" applyBorder="1"/>
    <xf numFmtId="0" fontId="0" fillId="2" borderId="1" xfId="0" applyFill="1" applyBorder="1"/>
    <xf numFmtId="0" fontId="0" fillId="21" borderId="1" xfId="0" applyFill="1" applyBorder="1"/>
    <xf numFmtId="0" fontId="6" fillId="4" borderId="1" xfId="0" applyFont="1" applyFill="1" applyBorder="1" applyAlignment="1">
      <alignment horizontal="left" vertical="center"/>
    </xf>
    <xf numFmtId="0" fontId="6" fillId="22" borderId="1" xfId="0" applyFont="1" applyFill="1" applyBorder="1" applyAlignment="1">
      <alignment horizontal="left" vertical="center"/>
    </xf>
    <xf numFmtId="0" fontId="6" fillId="23" borderId="1" xfId="0" applyFont="1" applyFill="1" applyBorder="1" applyAlignment="1">
      <alignment horizontal="left" vertical="center"/>
    </xf>
    <xf numFmtId="0" fontId="0" fillId="22" borderId="1" xfId="0" applyFill="1" applyBorder="1" applyAlignment="1">
      <alignment horizontal="left" vertical="center"/>
    </xf>
    <xf numFmtId="0" fontId="0" fillId="23" borderId="1" xfId="0" applyFill="1" applyBorder="1" applyAlignment="1">
      <alignment horizontal="left" vertical="center"/>
    </xf>
    <xf numFmtId="0" fontId="21" fillId="4" borderId="1" xfId="2" applyFont="1" applyFill="1" applyBorder="1" applyAlignment="1">
      <alignment horizontal="left" vertical="center"/>
    </xf>
    <xf numFmtId="0" fontId="0" fillId="22" borderId="1" xfId="0" applyFill="1" applyBorder="1" applyAlignment="1">
      <alignment horizontal="left" vertical="center" wrapText="1"/>
    </xf>
    <xf numFmtId="0" fontId="10" fillId="22" borderId="1" xfId="0" applyFont="1" applyFill="1" applyBorder="1" applyAlignment="1">
      <alignment horizontal="left" vertical="center" wrapText="1"/>
    </xf>
    <xf numFmtId="0" fontId="0" fillId="22" borderId="1" xfId="0" applyFill="1" applyBorder="1" applyAlignment="1">
      <alignment vertical="center" wrapText="1"/>
    </xf>
    <xf numFmtId="0" fontId="0" fillId="22" borderId="1" xfId="0" applyFill="1" applyBorder="1" applyAlignment="1">
      <alignment vertical="center"/>
    </xf>
    <xf numFmtId="0" fontId="0" fillId="23" borderId="1" xfId="0" applyFill="1" applyBorder="1" applyAlignment="1">
      <alignment horizontal="left" vertical="center" wrapText="1"/>
    </xf>
    <xf numFmtId="0" fontId="10" fillId="23" borderId="1" xfId="0" applyFont="1" applyFill="1" applyBorder="1" applyAlignment="1">
      <alignment horizontal="left" vertical="center" wrapText="1"/>
    </xf>
    <xf numFmtId="0" fontId="21" fillId="23" borderId="1" xfId="2" applyFont="1" applyFill="1" applyBorder="1" applyAlignment="1">
      <alignment horizontal="left" vertical="center"/>
    </xf>
    <xf numFmtId="0" fontId="22" fillId="0" borderId="0" xfId="0" applyFont="1"/>
    <xf numFmtId="0" fontId="23" fillId="8" borderId="3" xfId="0" applyFont="1" applyFill="1" applyBorder="1" applyAlignment="1">
      <alignment vertical="center"/>
    </xf>
    <xf numFmtId="0" fontId="23" fillId="8" borderId="5" xfId="0" applyFont="1" applyFill="1" applyBorder="1" applyAlignment="1">
      <alignment vertical="center"/>
    </xf>
    <xf numFmtId="0" fontId="23" fillId="16" borderId="1" xfId="0" applyFont="1" applyFill="1" applyBorder="1" applyAlignment="1">
      <alignment horizontal="center" vertical="center" wrapText="1"/>
    </xf>
    <xf numFmtId="0" fontId="23" fillId="18"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24" fillId="0" borderId="0" xfId="0" applyFont="1" applyAlignment="1">
      <alignment vertical="center" wrapText="1"/>
    </xf>
    <xf numFmtId="0" fontId="4" fillId="0" borderId="0" xfId="0" applyFont="1"/>
    <xf numFmtId="164"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8" fillId="3"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22" borderId="1" xfId="0" applyFont="1" applyFill="1" applyBorder="1" applyAlignment="1">
      <alignment horizontal="center" vertical="center" wrapText="1"/>
    </xf>
    <xf numFmtId="0" fontId="6" fillId="23" borderId="1" xfId="0" applyFont="1" applyFill="1" applyBorder="1" applyAlignment="1">
      <alignment horizontal="center" vertical="center" wrapText="1"/>
    </xf>
    <xf numFmtId="0" fontId="21" fillId="4" borderId="1" xfId="0" applyFont="1" applyFill="1" applyBorder="1" applyAlignment="1">
      <alignment horizontal="left" vertical="center"/>
    </xf>
    <xf numFmtId="0" fontId="21" fillId="22" borderId="1" xfId="0" applyFont="1" applyFill="1" applyBorder="1" applyAlignment="1">
      <alignment horizontal="left" vertical="center"/>
    </xf>
    <xf numFmtId="0" fontId="21" fillId="23" borderId="1" xfId="0" applyFont="1" applyFill="1" applyBorder="1" applyAlignment="1">
      <alignment horizontal="left" vertical="center"/>
    </xf>
    <xf numFmtId="165" fontId="7" fillId="3" borderId="1" xfId="0" applyNumberFormat="1" applyFont="1" applyFill="1" applyBorder="1" applyAlignment="1">
      <alignment vertical="center"/>
    </xf>
    <xf numFmtId="0" fontId="8" fillId="2" borderId="0" xfId="0" applyFont="1" applyFill="1" applyAlignment="1">
      <alignment horizontal="center" vertical="center"/>
    </xf>
    <xf numFmtId="0" fontId="25" fillId="0" borderId="0" xfId="0" applyFont="1" applyAlignment="1">
      <alignment vertical="top" wrapText="1"/>
    </xf>
    <xf numFmtId="0" fontId="0" fillId="22" borderId="1" xfId="0" applyFill="1" applyBorder="1" applyAlignment="1">
      <alignment horizontal="center" vertical="center"/>
    </xf>
    <xf numFmtId="0" fontId="10" fillId="22" borderId="1" xfId="0" applyFont="1" applyFill="1" applyBorder="1" applyAlignment="1">
      <alignment horizontal="center" vertical="center" wrapText="1"/>
    </xf>
    <xf numFmtId="0" fontId="0" fillId="22" borderId="2" xfId="0" applyFill="1" applyBorder="1" applyAlignment="1">
      <alignment vertical="center"/>
    </xf>
    <xf numFmtId="0" fontId="0" fillId="22" borderId="2" xfId="0" applyFill="1" applyBorder="1" applyAlignment="1">
      <alignment horizontal="left" vertical="center"/>
    </xf>
    <xf numFmtId="0" fontId="1" fillId="23" borderId="1" xfId="2" applyFill="1" applyBorder="1" applyAlignment="1">
      <alignment horizontal="center" vertical="center"/>
    </xf>
    <xf numFmtId="0" fontId="0" fillId="23" borderId="2" xfId="0" applyFill="1" applyBorder="1" applyAlignment="1">
      <alignment horizontal="left" vertical="center"/>
    </xf>
    <xf numFmtId="0" fontId="21" fillId="4" borderId="1" xfId="2" applyFont="1" applyFill="1" applyBorder="1" applyAlignment="1">
      <alignment horizontal="left" vertical="center" wrapText="1"/>
    </xf>
    <xf numFmtId="0" fontId="4" fillId="0" borderId="1" xfId="0" applyFont="1" applyBorder="1" applyAlignment="1">
      <alignment horizontal="center" vertical="center" wrapText="1"/>
    </xf>
    <xf numFmtId="0" fontId="1" fillId="0" borderId="0" xfId="0" applyFont="1" applyAlignment="1">
      <alignment horizontal="center" vertical="top"/>
    </xf>
    <xf numFmtId="0" fontId="0" fillId="0" borderId="0" xfId="0" applyAlignment="1">
      <alignment horizontal="center" vertical="top"/>
    </xf>
    <xf numFmtId="0" fontId="26" fillId="19" borderId="1" xfId="0" applyFont="1" applyFill="1" applyBorder="1" applyAlignment="1">
      <alignment horizontal="center" wrapText="1"/>
    </xf>
    <xf numFmtId="0" fontId="20" fillId="20" borderId="1" xfId="0" applyFont="1" applyFill="1" applyBorder="1" applyAlignment="1">
      <alignment horizontal="center" vertical="top"/>
    </xf>
    <xf numFmtId="0" fontId="20" fillId="2" borderId="1" xfId="0" applyFont="1"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166" fontId="0" fillId="0" borderId="1" xfId="0" applyNumberFormat="1" applyBorder="1" applyAlignment="1">
      <alignment horizontal="center" vertical="top"/>
    </xf>
    <xf numFmtId="0" fontId="17" fillId="0" borderId="1" xfId="0" applyFont="1" applyBorder="1" applyAlignment="1">
      <alignment wrapText="1"/>
    </xf>
    <xf numFmtId="0" fontId="6" fillId="23" borderId="1" xfId="0" applyFont="1" applyFill="1" applyBorder="1" applyAlignment="1">
      <alignment horizontal="center" vertical="center"/>
    </xf>
    <xf numFmtId="0" fontId="10" fillId="4" borderId="1" xfId="0" applyFont="1" applyFill="1" applyBorder="1" applyAlignment="1">
      <alignment horizontal="left" vertical="center"/>
    </xf>
    <xf numFmtId="0" fontId="1" fillId="3" borderId="1" xfId="0" applyFont="1" applyFill="1" applyBorder="1" applyAlignment="1">
      <alignment vertical="center"/>
    </xf>
    <xf numFmtId="0" fontId="0" fillId="24" borderId="1" xfId="0" applyFill="1" applyBorder="1"/>
    <xf numFmtId="0" fontId="7" fillId="3" borderId="1" xfId="0" applyFont="1" applyFill="1" applyBorder="1" applyAlignment="1">
      <alignment horizontal="left" vertical="center"/>
    </xf>
    <xf numFmtId="0" fontId="7"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10" fillId="4" borderId="2" xfId="0" applyFont="1" applyFill="1" applyBorder="1" applyAlignment="1">
      <alignment horizontal="left" vertical="center"/>
    </xf>
    <xf numFmtId="0" fontId="10" fillId="22" borderId="1" xfId="0" applyFont="1" applyFill="1" applyBorder="1" applyAlignment="1">
      <alignment horizontal="left" vertical="center"/>
    </xf>
    <xf numFmtId="0" fontId="10" fillId="22" borderId="2" xfId="0" applyFont="1" applyFill="1" applyBorder="1" applyAlignment="1">
      <alignment horizontal="left" vertical="center"/>
    </xf>
    <xf numFmtId="0" fontId="10" fillId="22" borderId="1" xfId="0" applyFont="1" applyFill="1" applyBorder="1" applyAlignment="1">
      <alignment horizontal="center" vertical="center"/>
    </xf>
    <xf numFmtId="0" fontId="10" fillId="23" borderId="1" xfId="0" applyFont="1" applyFill="1" applyBorder="1" applyAlignment="1">
      <alignment horizontal="left" vertical="center"/>
    </xf>
    <xf numFmtId="0" fontId="10" fillId="23" borderId="2" xfId="0" applyFont="1" applyFill="1" applyBorder="1" applyAlignment="1">
      <alignment horizontal="left" vertical="center"/>
    </xf>
    <xf numFmtId="0" fontId="12" fillId="4" borderId="1" xfId="2" applyFont="1" applyFill="1" applyBorder="1" applyAlignment="1">
      <alignment horizontal="left" vertical="center"/>
    </xf>
    <xf numFmtId="0" fontId="27" fillId="23" borderId="1" xfId="0" applyFont="1" applyFill="1" applyBorder="1" applyAlignment="1">
      <alignment horizontal="left" vertical="center"/>
    </xf>
    <xf numFmtId="0" fontId="0" fillId="0" borderId="0" xfId="0" applyAlignment="1">
      <alignment horizontal="left" vertical="center"/>
    </xf>
    <xf numFmtId="0" fontId="1" fillId="0" borderId="1" xfId="0" applyFont="1" applyBorder="1" applyAlignment="1">
      <alignment horizontal="center" vertical="center" wrapText="1"/>
    </xf>
    <xf numFmtId="0" fontId="20" fillId="25" borderId="1" xfId="0" applyFont="1" applyFill="1" applyBorder="1" applyAlignment="1">
      <alignment horizontal="center"/>
    </xf>
    <xf numFmtId="0" fontId="20" fillId="26" borderId="1" xfId="0" applyFont="1" applyFill="1" applyBorder="1" applyAlignment="1">
      <alignment horizontal="center"/>
    </xf>
    <xf numFmtId="0" fontId="4" fillId="0" borderId="1" xfId="0" applyFont="1" applyBorder="1" applyAlignment="1">
      <alignment horizontal="center"/>
    </xf>
    <xf numFmtId="0" fontId="0" fillId="25" borderId="1" xfId="0" applyFill="1" applyBorder="1"/>
    <xf numFmtId="0" fontId="0" fillId="26" borderId="1" xfId="0" applyFill="1" applyBorder="1"/>
    <xf numFmtId="0" fontId="9" fillId="6" borderId="1" xfId="0" applyFont="1" applyFill="1" applyBorder="1" applyAlignment="1">
      <alignment horizontal="center" vertical="center"/>
    </xf>
    <xf numFmtId="0" fontId="10" fillId="22" borderId="7" xfId="0" applyFont="1" applyFill="1" applyBorder="1" applyAlignment="1">
      <alignment horizontal="center" vertical="center"/>
    </xf>
    <xf numFmtId="0" fontId="10" fillId="22" borderId="7" xfId="0" applyFont="1" applyFill="1" applyBorder="1" applyAlignment="1">
      <alignment horizontal="center" vertical="center" wrapText="1"/>
    </xf>
    <xf numFmtId="0" fontId="12" fillId="23" borderId="1" xfId="2" applyFont="1" applyFill="1" applyBorder="1" applyAlignment="1">
      <alignment horizontal="left" vertical="center"/>
    </xf>
    <xf numFmtId="0" fontId="12" fillId="22" borderId="1" xfId="2" applyFont="1" applyFill="1" applyBorder="1"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1" fillId="0" borderId="0" xfId="2" applyAlignment="1">
      <alignment horizontal="left" vertical="center"/>
    </xf>
    <xf numFmtId="0" fontId="19" fillId="19" borderId="1" xfId="0" applyFont="1" applyFill="1" applyBorder="1" applyAlignment="1">
      <alignment wrapText="1"/>
    </xf>
    <xf numFmtId="0" fontId="20" fillId="25" borderId="0" xfId="0" applyFont="1" applyFill="1" applyAlignment="1">
      <alignment horizontal="center"/>
    </xf>
    <xf numFmtId="0" fontId="20" fillId="27" borderId="1" xfId="0" applyFont="1" applyFill="1" applyBorder="1" applyAlignment="1">
      <alignment horizontal="center"/>
    </xf>
    <xf numFmtId="0" fontId="0" fillId="27" borderId="1" xfId="0" applyFill="1" applyBorder="1"/>
    <xf numFmtId="0" fontId="0" fillId="24" borderId="1" xfId="0" applyFill="1" applyBorder="1" applyAlignment="1">
      <alignment vertical="center"/>
    </xf>
    <xf numFmtId="0" fontId="28" fillId="8" borderId="3" xfId="0" applyFont="1" applyFill="1" applyBorder="1" applyAlignment="1">
      <alignment vertical="center"/>
    </xf>
    <xf numFmtId="0" fontId="28" fillId="8" borderId="5" xfId="0" applyFont="1" applyFill="1" applyBorder="1" applyAlignment="1">
      <alignment vertical="center"/>
    </xf>
    <xf numFmtId="0" fontId="28" fillId="16" borderId="1" xfId="0" applyFont="1" applyFill="1" applyBorder="1" applyAlignment="1">
      <alignment horizontal="center" vertical="center" wrapText="1"/>
    </xf>
    <xf numFmtId="0" fontId="28" fillId="18" borderId="1" xfId="0" applyFont="1" applyFill="1" applyBorder="1" applyAlignment="1">
      <alignment horizontal="center" vertical="center" wrapText="1"/>
    </xf>
    <xf numFmtId="0" fontId="30" fillId="15" borderId="1" xfId="0" applyFont="1" applyFill="1" applyBorder="1" applyAlignment="1">
      <alignment vertical="center" wrapText="1"/>
    </xf>
    <xf numFmtId="0" fontId="32" fillId="0" borderId="1" xfId="0" applyFont="1" applyBorder="1" applyAlignment="1">
      <alignment horizontal="center" vertical="center" wrapText="1"/>
    </xf>
    <xf numFmtId="0" fontId="29" fillId="0" borderId="1" xfId="0" applyFont="1" applyBorder="1" applyAlignment="1">
      <alignment wrapText="1"/>
    </xf>
    <xf numFmtId="0" fontId="29" fillId="0" borderId="8" xfId="0" applyFont="1" applyBorder="1"/>
    <xf numFmtId="0" fontId="31" fillId="0" borderId="1" xfId="0" applyFont="1" applyBorder="1" applyAlignment="1">
      <alignment vertical="center"/>
    </xf>
    <xf numFmtId="0" fontId="31" fillId="0" borderId="1" xfId="0" applyFont="1" applyBorder="1" applyAlignment="1">
      <alignment vertical="center" wrapText="1"/>
    </xf>
    <xf numFmtId="0" fontId="20" fillId="2" borderId="1" xfId="0" applyFont="1" applyFill="1" applyBorder="1" applyAlignment="1">
      <alignment horizontal="center" wrapText="1"/>
    </xf>
    <xf numFmtId="164" fontId="4" fillId="0" borderId="1" xfId="0" applyNumberFormat="1" applyFont="1" applyBorder="1" applyAlignment="1">
      <alignment horizontal="center"/>
    </xf>
    <xf numFmtId="20" fontId="0" fillId="0" borderId="1" xfId="0" applyNumberFormat="1" applyBorder="1" applyAlignment="1">
      <alignment horizontal="center"/>
    </xf>
    <xf numFmtId="167" fontId="0" fillId="0" borderId="1" xfId="0" applyNumberFormat="1" applyBorder="1" applyAlignment="1">
      <alignment horizontal="center"/>
    </xf>
    <xf numFmtId="20" fontId="0" fillId="0" borderId="1" xfId="0" applyNumberFormat="1" applyBorder="1" applyAlignment="1">
      <alignment horizontal="center" vertical="top"/>
    </xf>
    <xf numFmtId="0" fontId="3" fillId="2" borderId="1" xfId="0" applyFont="1" applyFill="1" applyBorder="1" applyAlignment="1">
      <alignment horizontal="center"/>
    </xf>
    <xf numFmtId="0" fontId="3" fillId="21" borderId="1" xfId="0" applyFont="1" applyFill="1" applyBorder="1" applyAlignment="1">
      <alignment horizontal="center"/>
    </xf>
    <xf numFmtId="0" fontId="3" fillId="24" borderId="1" xfId="0" applyFont="1" applyFill="1" applyBorder="1" applyAlignment="1">
      <alignment vertical="top" wrapText="1"/>
    </xf>
    <xf numFmtId="0" fontId="0" fillId="24" borderId="1" xfId="0" applyFill="1" applyBorder="1" applyAlignment="1">
      <alignment wrapText="1"/>
    </xf>
    <xf numFmtId="0" fontId="1" fillId="24" borderId="1" xfId="0" applyFont="1" applyFill="1" applyBorder="1"/>
    <xf numFmtId="0" fontId="5" fillId="5" borderId="1" xfId="0" applyFont="1" applyFill="1" applyBorder="1" applyAlignment="1">
      <alignment horizontal="center"/>
    </xf>
    <xf numFmtId="0" fontId="7" fillId="6" borderId="1" xfId="0" applyFont="1" applyFill="1" applyBorder="1" applyAlignment="1">
      <alignment horizontal="left"/>
    </xf>
    <xf numFmtId="0" fontId="31" fillId="0" borderId="1" xfId="0" applyFont="1" applyBorder="1" applyAlignment="1">
      <alignment wrapText="1"/>
    </xf>
    <xf numFmtId="0" fontId="4" fillId="0" borderId="1" xfId="0" applyFont="1" applyBorder="1" applyAlignment="1">
      <alignment wrapText="1"/>
    </xf>
    <xf numFmtId="168" fontId="0" fillId="0" borderId="1" xfId="0" applyNumberFormat="1" applyBorder="1" applyAlignment="1">
      <alignment horizontal="center"/>
    </xf>
    <xf numFmtId="168" fontId="0" fillId="0" borderId="0" xfId="0" applyNumberFormat="1"/>
    <xf numFmtId="0" fontId="21" fillId="4" borderId="1" xfId="0" applyFont="1" applyFill="1" applyBorder="1" applyAlignment="1">
      <alignment horizontal="center" vertical="center" wrapText="1"/>
    </xf>
    <xf numFmtId="0" fontId="21" fillId="22" borderId="1" xfId="0" applyFont="1" applyFill="1" applyBorder="1" applyAlignment="1">
      <alignment horizontal="center" vertical="center" wrapText="1"/>
    </xf>
    <xf numFmtId="0" fontId="21" fillId="24" borderId="1" xfId="0" applyFont="1" applyFill="1" applyBorder="1"/>
    <xf numFmtId="0" fontId="0" fillId="24" borderId="1" xfId="0" applyFill="1" applyBorder="1" applyAlignment="1">
      <alignment horizontal="left"/>
    </xf>
    <xf numFmtId="0" fontId="1" fillId="23" borderId="1" xfId="2" applyFill="1" applyBorder="1" applyAlignment="1">
      <alignment horizontal="left" vertical="center"/>
    </xf>
    <xf numFmtId="0" fontId="1" fillId="22" borderId="1" xfId="2" applyFill="1" applyBorder="1" applyAlignment="1">
      <alignment horizontal="left" vertical="center"/>
    </xf>
    <xf numFmtId="0" fontId="32" fillId="0" borderId="1" xfId="0" applyFont="1" applyBorder="1"/>
    <xf numFmtId="0" fontId="31" fillId="0" borderId="1" xfId="0" applyFont="1" applyBorder="1"/>
    <xf numFmtId="0" fontId="18" fillId="19" borderId="1" xfId="0" applyFont="1" applyFill="1" applyBorder="1" applyAlignment="1">
      <alignment horizontal="center"/>
    </xf>
    <xf numFmtId="0" fontId="21" fillId="0" borderId="1" xfId="0" applyFont="1" applyBorder="1" applyAlignment="1">
      <alignment horizontal="center"/>
    </xf>
    <xf numFmtId="0" fontId="21" fillId="24" borderId="1" xfId="0" applyFont="1" applyFill="1" applyBorder="1" applyAlignment="1">
      <alignment wrapText="1"/>
    </xf>
    <xf numFmtId="20" fontId="0" fillId="0" borderId="6" xfId="0" applyNumberFormat="1" applyBorder="1" applyAlignment="1">
      <alignment horizontal="center"/>
    </xf>
    <xf numFmtId="167" fontId="0" fillId="0" borderId="0" xfId="0" applyNumberFormat="1" applyAlignment="1">
      <alignment horizontal="center"/>
    </xf>
    <xf numFmtId="0" fontId="29" fillId="0" borderId="1" xfId="0" applyFont="1" applyBorder="1"/>
    <xf numFmtId="0" fontId="33" fillId="0" borderId="1" xfId="2" applyFont="1" applyBorder="1" applyAlignment="1">
      <alignment horizontal="center" vertical="center" wrapText="1"/>
    </xf>
    <xf numFmtId="169" fontId="21" fillId="0" borderId="1" xfId="0" applyNumberFormat="1" applyFont="1" applyBorder="1" applyAlignment="1">
      <alignment horizontal="center"/>
    </xf>
    <xf numFmtId="0" fontId="7" fillId="3" borderId="1" xfId="0" applyFont="1" applyFill="1" applyBorder="1" applyAlignment="1">
      <alignment wrapText="1"/>
    </xf>
    <xf numFmtId="165" fontId="34" fillId="3" borderId="1" xfId="1" applyNumberFormat="1" applyFill="1" applyBorder="1"/>
    <xf numFmtId="165" fontId="34" fillId="3" borderId="1" xfId="0" applyNumberFormat="1" applyFont="1" applyFill="1" applyBorder="1"/>
    <xf numFmtId="0" fontId="8" fillId="5" borderId="1" xfId="0" applyFont="1" applyFill="1" applyBorder="1" applyAlignment="1">
      <alignment vertical="center"/>
    </xf>
    <xf numFmtId="0" fontId="29" fillId="0" borderId="1" xfId="0" applyFont="1" applyBorder="1" applyAlignment="1">
      <alignment horizontal="left" wrapText="1"/>
    </xf>
    <xf numFmtId="0" fontId="29" fillId="0" borderId="1" xfId="0" applyFont="1" applyBorder="1" applyAlignment="1">
      <alignment horizontal="left" vertical="center" wrapText="1"/>
    </xf>
    <xf numFmtId="0" fontId="17" fillId="0" borderId="0" xfId="0" applyFont="1" applyAlignment="1">
      <alignment vertical="center" wrapText="1"/>
    </xf>
    <xf numFmtId="0" fontId="20" fillId="27" borderId="7" xfId="0" applyFont="1" applyFill="1" applyBorder="1" applyAlignment="1">
      <alignment horizontal="center"/>
    </xf>
    <xf numFmtId="0" fontId="4" fillId="0" borderId="1" xfId="0" applyFont="1" applyBorder="1" applyAlignment="1">
      <alignment horizontal="center" wrapText="1"/>
    </xf>
    <xf numFmtId="171" fontId="0" fillId="0" borderId="1" xfId="0" applyNumberFormat="1" applyBorder="1" applyAlignment="1">
      <alignment horizontal="center"/>
    </xf>
    <xf numFmtId="0" fontId="4" fillId="0" borderId="10" xfId="0" applyFont="1" applyBorder="1" applyAlignment="1">
      <alignment horizontal="center"/>
    </xf>
    <xf numFmtId="1" fontId="0" fillId="0" borderId="6" xfId="0" applyNumberFormat="1" applyBorder="1" applyAlignment="1">
      <alignment horizontal="center"/>
    </xf>
    <xf numFmtId="1" fontId="0" fillId="0" borderId="1" xfId="0" applyNumberFormat="1" applyBorder="1" applyAlignment="1">
      <alignment horizontal="center"/>
    </xf>
    <xf numFmtId="3" fontId="4" fillId="0" borderId="1" xfId="0" applyNumberFormat="1" applyFont="1" applyBorder="1" applyAlignment="1">
      <alignment horizontal="center"/>
    </xf>
    <xf numFmtId="0" fontId="1" fillId="24" borderId="1" xfId="0" applyFont="1" applyFill="1" applyBorder="1" applyAlignment="1">
      <alignment wrapText="1"/>
    </xf>
    <xf numFmtId="0" fontId="21" fillId="24" borderId="1" xfId="0" applyFont="1" applyFill="1" applyBorder="1" applyAlignment="1">
      <alignment horizontal="left" wrapText="1"/>
    </xf>
    <xf numFmtId="164" fontId="4" fillId="0" borderId="1" xfId="0" applyNumberFormat="1" applyFont="1" applyBorder="1" applyAlignment="1">
      <alignment horizontal="center" wrapText="1"/>
    </xf>
    <xf numFmtId="165" fontId="21" fillId="24" borderId="1" xfId="0" applyNumberFormat="1" applyFont="1" applyFill="1" applyBorder="1" applyAlignment="1">
      <alignment wrapText="1"/>
    </xf>
    <xf numFmtId="0" fontId="31" fillId="0" borderId="0" xfId="0" applyFont="1" applyAlignment="1">
      <alignment wrapText="1"/>
    </xf>
    <xf numFmtId="168" fontId="0" fillId="0" borderId="0" xfId="0" applyNumberFormat="1" applyAlignment="1">
      <alignment horizontal="center"/>
    </xf>
    <xf numFmtId="0" fontId="35" fillId="25" borderId="1" xfId="0" applyFont="1" applyFill="1" applyBorder="1" applyAlignment="1">
      <alignment horizontal="center"/>
    </xf>
    <xf numFmtId="0" fontId="20" fillId="0" borderId="0" xfId="0" applyFont="1" applyAlignment="1">
      <alignment horizontal="center"/>
    </xf>
    <xf numFmtId="0" fontId="10" fillId="22" borderId="2" xfId="0" applyFont="1" applyFill="1" applyBorder="1" applyAlignment="1">
      <alignment horizontal="center" vertical="center"/>
    </xf>
    <xf numFmtId="169" fontId="0" fillId="0" borderId="7" xfId="0" applyNumberFormat="1" applyBorder="1" applyAlignment="1">
      <alignment horizontal="center"/>
    </xf>
    <xf numFmtId="169" fontId="0" fillId="0" borderId="1" xfId="0" applyNumberFormat="1" applyBorder="1" applyAlignment="1">
      <alignment horizontal="center"/>
    </xf>
    <xf numFmtId="0" fontId="3" fillId="26" borderId="1" xfId="0" applyFont="1" applyFill="1" applyBorder="1" applyAlignment="1">
      <alignment horizontal="center"/>
    </xf>
    <xf numFmtId="0" fontId="32" fillId="0" borderId="0" xfId="2" applyFont="1" applyAlignment="1">
      <alignment horizontal="center" wrapText="1"/>
    </xf>
    <xf numFmtId="0" fontId="32" fillId="0" borderId="1" xfId="2" applyFont="1" applyBorder="1" applyAlignment="1">
      <alignment horizontal="center" wrapText="1"/>
    </xf>
    <xf numFmtId="0" fontId="6" fillId="28" borderId="1" xfId="2" applyFont="1" applyFill="1" applyBorder="1" applyAlignment="1">
      <alignment horizontal="center" vertical="center"/>
    </xf>
    <xf numFmtId="0" fontId="6" fillId="29" borderId="1" xfId="2" applyFont="1" applyFill="1" applyBorder="1" applyAlignment="1">
      <alignment horizontal="center" vertical="center"/>
    </xf>
    <xf numFmtId="0" fontId="0" fillId="30" borderId="1" xfId="0" applyFill="1" applyBorder="1" applyAlignment="1">
      <alignment horizontal="left" vertical="center" wrapText="1"/>
    </xf>
    <xf numFmtId="0" fontId="0" fillId="30" borderId="1" xfId="0" applyFill="1" applyBorder="1" applyAlignment="1">
      <alignment horizontal="left" vertical="center"/>
    </xf>
    <xf numFmtId="0" fontId="10" fillId="30" borderId="1" xfId="0" applyFont="1" applyFill="1" applyBorder="1" applyAlignment="1">
      <alignment horizontal="left" vertical="center" wrapText="1"/>
    </xf>
    <xf numFmtId="0" fontId="1" fillId="30" borderId="1" xfId="2" applyFill="1" applyBorder="1" applyAlignment="1">
      <alignment horizontal="left" vertical="center"/>
    </xf>
    <xf numFmtId="0" fontId="0" fillId="30" borderId="2" xfId="0" applyFill="1" applyBorder="1" applyAlignment="1">
      <alignment horizontal="left" vertical="center"/>
    </xf>
    <xf numFmtId="0" fontId="6" fillId="30" borderId="1" xfId="0" applyFont="1" applyFill="1" applyBorder="1" applyAlignment="1">
      <alignment horizontal="center" vertical="center" wrapText="1"/>
    </xf>
    <xf numFmtId="0" fontId="21" fillId="30" borderId="1" xfId="0" applyFont="1" applyFill="1" applyBorder="1" applyAlignment="1">
      <alignment horizontal="left" vertical="center"/>
    </xf>
    <xf numFmtId="3" fontId="21" fillId="0" borderId="1" xfId="0" applyNumberFormat="1" applyFont="1" applyBorder="1" applyAlignment="1">
      <alignment horizontal="center"/>
    </xf>
    <xf numFmtId="3" fontId="37" fillId="0" borderId="1" xfId="0" applyNumberFormat="1" applyFont="1" applyBorder="1" applyAlignment="1">
      <alignment horizontal="center"/>
    </xf>
    <xf numFmtId="171" fontId="37" fillId="0" borderId="1" xfId="0" applyNumberFormat="1" applyFont="1" applyBorder="1" applyAlignment="1">
      <alignment horizontal="center"/>
    </xf>
    <xf numFmtId="0" fontId="33" fillId="0" borderId="1" xfId="2" quotePrefix="1" applyFont="1" applyBorder="1"/>
    <xf numFmtId="0" fontId="0" fillId="0" borderId="11" xfId="0" applyBorder="1"/>
    <xf numFmtId="0" fontId="0" fillId="0" borderId="8" xfId="0" applyBorder="1"/>
    <xf numFmtId="0" fontId="31" fillId="0" borderId="7" xfId="0" applyFont="1" applyBorder="1" applyAlignment="1">
      <alignment vertical="center" wrapText="1"/>
    </xf>
    <xf numFmtId="0" fontId="31" fillId="0" borderId="11" xfId="0" applyFont="1" applyBorder="1" applyAlignment="1">
      <alignment vertical="center" wrapText="1"/>
    </xf>
    <xf numFmtId="0" fontId="31" fillId="0" borderId="8" xfId="0" applyFont="1" applyBorder="1" applyAlignment="1">
      <alignment vertical="center" wrapText="1"/>
    </xf>
    <xf numFmtId="0" fontId="29" fillId="0" borderId="1" xfId="0" applyFont="1" applyBorder="1" applyAlignment="1">
      <alignment vertical="center"/>
    </xf>
    <xf numFmtId="0" fontId="8" fillId="7" borderId="4" xfId="0" applyFont="1" applyFill="1" applyBorder="1" applyAlignment="1">
      <alignment horizontal="center" vertical="center"/>
    </xf>
    <xf numFmtId="0" fontId="8" fillId="7" borderId="1" xfId="0" applyFont="1" applyFill="1" applyBorder="1" applyAlignment="1">
      <alignment horizontal="center" vertical="center"/>
    </xf>
    <xf numFmtId="0" fontId="1" fillId="4" borderId="1" xfId="2" applyFill="1" applyBorder="1"/>
    <xf numFmtId="0" fontId="0" fillId="4" borderId="1" xfId="0" applyFill="1" applyBorder="1" applyAlignment="1">
      <alignment horizontal="left" vertical="center" wrapText="1"/>
    </xf>
    <xf numFmtId="0" fontId="8" fillId="7" borderId="3" xfId="0" applyFont="1" applyFill="1" applyBorder="1" applyAlignment="1">
      <alignment horizontal="center" vertical="center"/>
    </xf>
    <xf numFmtId="0" fontId="10" fillId="9" borderId="4" xfId="0" applyFont="1" applyFill="1" applyBorder="1" applyAlignment="1">
      <alignment horizontal="center" vertical="center"/>
    </xf>
    <xf numFmtId="0" fontId="10" fillId="9" borderId="1" xfId="0" applyFont="1" applyFill="1" applyBorder="1" applyAlignment="1">
      <alignment horizontal="center" vertical="center" wrapText="1"/>
    </xf>
    <xf numFmtId="0" fontId="13" fillId="10" borderId="5" xfId="0" applyFont="1" applyFill="1" applyBorder="1" applyAlignment="1">
      <alignment horizontal="center" vertical="center"/>
    </xf>
    <xf numFmtId="0" fontId="13" fillId="10"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1" fillId="0" borderId="0" xfId="0" applyFont="1"/>
    <xf numFmtId="0" fontId="10" fillId="9" borderId="4" xfId="0" applyFont="1" applyFill="1" applyBorder="1" applyAlignment="1">
      <alignment horizontal="left" vertical="center"/>
    </xf>
    <xf numFmtId="0" fontId="16"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0" fillId="9" borderId="1" xfId="0" applyFont="1" applyFill="1" applyBorder="1" applyAlignment="1">
      <alignment horizontal="left" vertical="center" wrapText="1"/>
    </xf>
    <xf numFmtId="0" fontId="16" fillId="15" borderId="1" xfId="0" applyFont="1" applyFill="1" applyBorder="1" applyAlignment="1">
      <alignment horizontal="center" vertical="center" wrapText="1"/>
    </xf>
    <xf numFmtId="0" fontId="13" fillId="16" borderId="1" xfId="0" applyFont="1" applyFill="1" applyBorder="1" applyAlignment="1">
      <alignment horizontal="center" vertical="center"/>
    </xf>
    <xf numFmtId="0" fontId="16" fillId="17" borderId="1" xfId="0" applyFont="1" applyFill="1" applyBorder="1" applyAlignment="1">
      <alignment horizontal="center" vertical="center" wrapText="1"/>
    </xf>
    <xf numFmtId="0" fontId="13" fillId="18"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6" fillId="22" borderId="1" xfId="0" applyFont="1" applyFill="1" applyBorder="1" applyAlignment="1">
      <alignment horizontal="left" vertical="center" wrapText="1"/>
    </xf>
    <xf numFmtId="0" fontId="0" fillId="22" borderId="1" xfId="0" applyFill="1" applyBorder="1" applyAlignment="1">
      <alignment horizontal="left" vertical="center" wrapText="1"/>
    </xf>
    <xf numFmtId="0" fontId="21" fillId="22" borderId="1" xfId="2" applyFont="1" applyFill="1" applyBorder="1" applyAlignment="1">
      <alignment horizontal="left" vertical="center"/>
    </xf>
    <xf numFmtId="0" fontId="6" fillId="23" borderId="1" xfId="0" applyFont="1" applyFill="1" applyBorder="1" applyAlignment="1">
      <alignment horizontal="left" vertical="center" wrapText="1"/>
    </xf>
    <xf numFmtId="0" fontId="0" fillId="23" borderId="1" xfId="0" applyFill="1" applyBorder="1" applyAlignment="1">
      <alignment horizontal="left" vertical="center" wrapText="1"/>
    </xf>
    <xf numFmtId="0" fontId="24" fillId="9" borderId="4" xfId="0" applyFont="1" applyFill="1" applyBorder="1" applyAlignment="1">
      <alignment horizontal="left" vertical="center"/>
    </xf>
    <xf numFmtId="0" fontId="24" fillId="9" borderId="1" xfId="0" applyFont="1" applyFill="1" applyBorder="1" applyAlignment="1">
      <alignment horizontal="left" vertical="center" wrapText="1"/>
    </xf>
    <xf numFmtId="0" fontId="23" fillId="12" borderId="1" xfId="0" applyFont="1" applyFill="1" applyBorder="1" applyAlignment="1">
      <alignment horizontal="center" vertical="center" wrapText="1"/>
    </xf>
    <xf numFmtId="0" fontId="23" fillId="16" borderId="1" xfId="0" applyFont="1" applyFill="1" applyBorder="1" applyAlignment="1">
      <alignment horizontal="center" vertical="center"/>
    </xf>
    <xf numFmtId="0" fontId="23" fillId="18" borderId="1" xfId="0" applyFont="1" applyFill="1" applyBorder="1" applyAlignment="1">
      <alignment horizontal="center" vertical="center"/>
    </xf>
    <xf numFmtId="0" fontId="6" fillId="22" borderId="1" xfId="0" applyFont="1" applyFill="1" applyBorder="1" applyAlignment="1">
      <alignment horizontal="center" vertical="center" wrapText="1"/>
    </xf>
    <xf numFmtId="0" fontId="6" fillId="4" borderId="1" xfId="2" applyFont="1" applyFill="1" applyBorder="1" applyAlignment="1">
      <alignment horizontal="center" vertical="center"/>
    </xf>
    <xf numFmtId="0" fontId="0" fillId="4" borderId="1" xfId="0" applyFill="1" applyBorder="1" applyAlignment="1">
      <alignment horizontal="center" vertical="center" wrapText="1"/>
    </xf>
    <xf numFmtId="0" fontId="6" fillId="22" borderId="6" xfId="0" applyFont="1" applyFill="1" applyBorder="1" applyAlignment="1">
      <alignment horizontal="center" vertical="center"/>
    </xf>
    <xf numFmtId="0" fontId="0" fillId="22" borderId="1" xfId="0" applyFill="1" applyBorder="1" applyAlignment="1">
      <alignment horizontal="center" vertical="center" wrapText="1"/>
    </xf>
    <xf numFmtId="0" fontId="1" fillId="22" borderId="1" xfId="2" applyFill="1" applyBorder="1" applyAlignment="1">
      <alignment horizontal="center" vertical="center"/>
    </xf>
    <xf numFmtId="0" fontId="0" fillId="22" borderId="1" xfId="0" applyFill="1" applyBorder="1" applyAlignment="1">
      <alignment horizontal="center" vertical="center"/>
    </xf>
    <xf numFmtId="0" fontId="10" fillId="22" borderId="1" xfId="0" applyFont="1" applyFill="1" applyBorder="1" applyAlignment="1">
      <alignment horizontal="center" vertical="center" wrapText="1"/>
    </xf>
    <xf numFmtId="0" fontId="6" fillId="4" borderId="5" xfId="0" applyFont="1" applyFill="1" applyBorder="1" applyAlignment="1">
      <alignment horizontal="center" vertical="center"/>
    </xf>
    <xf numFmtId="0" fontId="0" fillId="4" borderId="1" xfId="0" applyFill="1" applyBorder="1" applyAlignment="1">
      <alignment horizontal="center" vertical="center"/>
    </xf>
    <xf numFmtId="0" fontId="10" fillId="4" borderId="1" xfId="0" applyFont="1" applyFill="1" applyBorder="1" applyAlignment="1">
      <alignment horizontal="center" vertical="center" wrapText="1"/>
    </xf>
    <xf numFmtId="0" fontId="6" fillId="23" borderId="5" xfId="0" applyFont="1" applyFill="1" applyBorder="1" applyAlignment="1">
      <alignment horizontal="center" vertical="center"/>
    </xf>
    <xf numFmtId="0" fontId="0" fillId="23" borderId="1" xfId="0" applyFill="1" applyBorder="1" applyAlignment="1">
      <alignment horizontal="center" vertical="center" wrapText="1"/>
    </xf>
    <xf numFmtId="0" fontId="6" fillId="4" borderId="6" xfId="0" applyFont="1" applyFill="1" applyBorder="1" applyAlignment="1">
      <alignment horizontal="center" vertical="center"/>
    </xf>
    <xf numFmtId="0" fontId="21" fillId="4" borderId="1" xfId="2" applyFont="1" applyFill="1" applyBorder="1" applyAlignment="1">
      <alignment horizontal="center" vertical="center"/>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1" fillId="4" borderId="1" xfId="2" applyFill="1" applyBorder="1" applyAlignment="1">
      <alignment horizontal="center" vertical="center"/>
    </xf>
    <xf numFmtId="0" fontId="0" fillId="23" borderId="1" xfId="0" applyFill="1" applyBorder="1" applyAlignment="1">
      <alignment horizontal="center" vertical="center"/>
    </xf>
    <xf numFmtId="0" fontId="6" fillId="23" borderId="6" xfId="0" applyFont="1" applyFill="1" applyBorder="1" applyAlignment="1">
      <alignment horizontal="center" vertical="center"/>
    </xf>
    <xf numFmtId="0" fontId="10" fillId="23" borderId="1" xfId="0" applyFont="1" applyFill="1" applyBorder="1" applyAlignment="1">
      <alignment horizontal="center" vertical="center" wrapText="1"/>
    </xf>
    <xf numFmtId="0" fontId="14" fillId="0" borderId="1" xfId="0" applyFont="1" applyBorder="1" applyAlignment="1">
      <alignment horizontal="center" wrapText="1"/>
    </xf>
    <xf numFmtId="0" fontId="6" fillId="4" borderId="5" xfId="0" applyFont="1" applyFill="1" applyBorder="1" applyAlignment="1">
      <alignment vertical="center"/>
    </xf>
    <xf numFmtId="0" fontId="6" fillId="23" borderId="1" xfId="0" applyFont="1" applyFill="1" applyBorder="1" applyAlignment="1">
      <alignment horizontal="center" vertical="center" wrapText="1"/>
    </xf>
    <xf numFmtId="0" fontId="27" fillId="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27" fillId="4" borderId="6" xfId="0" applyFont="1" applyFill="1" applyBorder="1" applyAlignment="1">
      <alignment horizontal="center" vertical="center"/>
    </xf>
    <xf numFmtId="0" fontId="10" fillId="4" borderId="1" xfId="0" applyFont="1" applyFill="1" applyBorder="1" applyAlignment="1">
      <alignment horizontal="center" vertical="center"/>
    </xf>
    <xf numFmtId="0" fontId="12" fillId="4" borderId="1" xfId="2" applyFont="1" applyFill="1" applyBorder="1" applyAlignment="1">
      <alignment horizontal="center" vertical="center"/>
    </xf>
    <xf numFmtId="0" fontId="10" fillId="22" borderId="1" xfId="0" applyFont="1" applyFill="1" applyBorder="1" applyAlignment="1">
      <alignment horizontal="center" vertical="center"/>
    </xf>
    <xf numFmtId="0" fontId="10" fillId="22" borderId="2" xfId="0" applyFont="1" applyFill="1" applyBorder="1" applyAlignment="1">
      <alignment horizontal="left" vertical="center"/>
    </xf>
    <xf numFmtId="0" fontId="27" fillId="23" borderId="5" xfId="0" applyFont="1" applyFill="1" applyBorder="1" applyAlignment="1">
      <alignment horizontal="center" vertical="center"/>
    </xf>
    <xf numFmtId="0" fontId="12" fillId="23" borderId="1" xfId="2" applyFont="1" applyFill="1" applyBorder="1" applyAlignment="1">
      <alignment horizontal="center" vertical="center"/>
    </xf>
    <xf numFmtId="0" fontId="27" fillId="22" borderId="6" xfId="0" applyFont="1" applyFill="1" applyBorder="1" applyAlignment="1">
      <alignment horizontal="center" vertical="center"/>
    </xf>
    <xf numFmtId="0" fontId="12" fillId="22" borderId="1" xfId="2" applyFont="1" applyFill="1" applyBorder="1" applyAlignment="1">
      <alignment horizontal="center" vertical="center"/>
    </xf>
    <xf numFmtId="0" fontId="27" fillId="4" borderId="5" xfId="0" applyFont="1" applyFill="1" applyBorder="1" applyAlignment="1">
      <alignment horizontal="center" vertical="center"/>
    </xf>
    <xf numFmtId="0" fontId="10" fillId="4" borderId="1" xfId="0" applyFont="1" applyFill="1" applyBorder="1" applyAlignment="1">
      <alignment horizontal="left" vertical="center" wrapText="1"/>
    </xf>
    <xf numFmtId="0" fontId="27" fillId="22" borderId="1" xfId="0" applyFont="1" applyFill="1" applyBorder="1" applyAlignment="1">
      <alignment horizontal="center" vertical="center"/>
    </xf>
    <xf numFmtId="0" fontId="27" fillId="23" borderId="1" xfId="0" applyFont="1" applyFill="1" applyBorder="1" applyAlignment="1">
      <alignment horizontal="center" vertical="center"/>
    </xf>
    <xf numFmtId="0" fontId="10" fillId="23" borderId="1" xfId="0" applyFont="1" applyFill="1" applyBorder="1" applyAlignment="1">
      <alignment horizontal="center" vertical="center"/>
    </xf>
    <xf numFmtId="0" fontId="27" fillId="4"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27" fillId="23" borderId="1" xfId="0" applyFont="1" applyFill="1" applyBorder="1" applyAlignment="1">
      <alignment vertical="center"/>
    </xf>
    <xf numFmtId="0" fontId="10" fillId="23" borderId="1" xfId="0" applyFont="1" applyFill="1" applyBorder="1" applyAlignment="1">
      <alignment horizontal="left" vertical="center" wrapText="1"/>
    </xf>
    <xf numFmtId="0" fontId="27" fillId="4" borderId="1" xfId="0" applyFont="1" applyFill="1" applyBorder="1" applyAlignment="1">
      <alignment vertical="center"/>
    </xf>
    <xf numFmtId="0" fontId="27" fillId="22" borderId="1" xfId="0" applyFont="1" applyFill="1" applyBorder="1" applyAlignment="1">
      <alignment vertical="center"/>
    </xf>
    <xf numFmtId="0" fontId="10" fillId="22" borderId="1" xfId="0" applyFont="1" applyFill="1" applyBorder="1" applyAlignment="1">
      <alignment horizontal="left" vertical="center" wrapText="1"/>
    </xf>
    <xf numFmtId="0" fontId="27" fillId="22" borderId="5" xfId="0" applyFont="1" applyFill="1" applyBorder="1" applyAlignment="1">
      <alignment horizontal="center" vertical="center"/>
    </xf>
    <xf numFmtId="0" fontId="29" fillId="9" borderId="4" xfId="0" applyFont="1" applyFill="1" applyBorder="1" applyAlignment="1">
      <alignment horizontal="left" vertical="center"/>
    </xf>
    <xf numFmtId="0" fontId="29" fillId="9" borderId="1" xfId="0" applyFont="1" applyFill="1" applyBorder="1" applyAlignment="1">
      <alignment horizontal="left" vertical="center" wrapText="1"/>
    </xf>
    <xf numFmtId="0" fontId="28" fillId="12" borderId="1"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30" fillId="15"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28" fillId="16" borderId="1" xfId="0" applyFont="1" applyFill="1" applyBorder="1" applyAlignment="1">
      <alignment horizontal="center" vertical="center"/>
    </xf>
    <xf numFmtId="0" fontId="30" fillId="17" borderId="1" xfId="0" applyFont="1" applyFill="1" applyBorder="1" applyAlignment="1">
      <alignment horizontal="center" vertical="center" wrapText="1"/>
    </xf>
    <xf numFmtId="0" fontId="28" fillId="18" borderId="1" xfId="0" applyFont="1" applyFill="1" applyBorder="1" applyAlignment="1">
      <alignment horizontal="center" vertical="center"/>
    </xf>
    <xf numFmtId="0" fontId="31" fillId="0" borderId="1" xfId="0" applyFont="1" applyBorder="1" applyAlignment="1">
      <alignment horizontal="center" vertical="center" wrapText="1"/>
    </xf>
    <xf numFmtId="0" fontId="31" fillId="0" borderId="1" xfId="0" applyFont="1" applyBorder="1" applyAlignment="1">
      <alignment horizontal="left" vertical="center" wrapText="1"/>
    </xf>
    <xf numFmtId="0" fontId="32" fillId="0" borderId="7" xfId="0" applyFont="1" applyBorder="1" applyAlignment="1">
      <alignment horizontal="center" vertical="center" wrapText="1"/>
    </xf>
    <xf numFmtId="0" fontId="32" fillId="0" borderId="8"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11" xfId="0" applyFont="1" applyBorder="1" applyAlignment="1">
      <alignment horizontal="center" vertical="center" wrapText="1"/>
    </xf>
    <xf numFmtId="0" fontId="31" fillId="0" borderId="8" xfId="0" applyFont="1" applyBorder="1" applyAlignment="1">
      <alignment horizontal="center" vertical="center" wrapText="1"/>
    </xf>
    <xf numFmtId="0" fontId="17" fillId="0" borderId="11" xfId="0" applyFont="1" applyBorder="1" applyAlignment="1">
      <alignment horizontal="center" vertical="center" wrapText="1"/>
    </xf>
    <xf numFmtId="0" fontId="7" fillId="6" borderId="1" xfId="0" applyFont="1" applyFill="1" applyBorder="1" applyAlignment="1">
      <alignment horizontal="center" wrapText="1"/>
    </xf>
    <xf numFmtId="0" fontId="10" fillId="22" borderId="7" xfId="0" applyFont="1" applyFill="1" applyBorder="1" applyAlignment="1">
      <alignment horizontal="center" vertical="center"/>
    </xf>
    <xf numFmtId="0" fontId="10" fillId="22" borderId="8" xfId="0" applyFont="1" applyFill="1" applyBorder="1" applyAlignment="1">
      <alignment horizontal="center" vertical="center"/>
    </xf>
    <xf numFmtId="0" fontId="10" fillId="22" borderId="7" xfId="0" applyFont="1" applyFill="1" applyBorder="1" applyAlignment="1">
      <alignment horizontal="center" vertical="center" wrapText="1"/>
    </xf>
    <xf numFmtId="0" fontId="10" fillId="22" borderId="8" xfId="0" applyFont="1" applyFill="1" applyBorder="1" applyAlignment="1">
      <alignment horizontal="center" vertical="center" wrapText="1"/>
    </xf>
    <xf numFmtId="0" fontId="10" fillId="22" borderId="12" xfId="0" applyFont="1" applyFill="1" applyBorder="1" applyAlignment="1">
      <alignment horizontal="center" vertical="center" wrapText="1"/>
    </xf>
    <xf numFmtId="0" fontId="10" fillId="22" borderId="16" xfId="0" applyFont="1" applyFill="1" applyBorder="1" applyAlignment="1">
      <alignment horizontal="center" vertical="center" wrapText="1"/>
    </xf>
    <xf numFmtId="0" fontId="10" fillId="22" borderId="14" xfId="0" applyFont="1" applyFill="1" applyBorder="1" applyAlignment="1">
      <alignment horizontal="center" vertical="center" wrapText="1"/>
    </xf>
    <xf numFmtId="0" fontId="10" fillId="22" borderId="13" xfId="0" applyFont="1" applyFill="1" applyBorder="1" applyAlignment="1">
      <alignment horizontal="center" vertical="center" wrapText="1"/>
    </xf>
    <xf numFmtId="0" fontId="10" fillId="22" borderId="17" xfId="0" applyFont="1" applyFill="1" applyBorder="1" applyAlignment="1">
      <alignment horizontal="center" vertical="center" wrapText="1"/>
    </xf>
    <xf numFmtId="0" fontId="10" fillId="22" borderId="15" xfId="0" applyFont="1" applyFill="1" applyBorder="1" applyAlignment="1">
      <alignment horizontal="center" vertical="center" wrapText="1"/>
    </xf>
    <xf numFmtId="0" fontId="0" fillId="0" borderId="1" xfId="0" applyBorder="1" applyAlignment="1">
      <alignment horizontal="center" wrapText="1"/>
    </xf>
    <xf numFmtId="0" fontId="32" fillId="0" borderId="1" xfId="0" applyFont="1" applyBorder="1" applyAlignment="1">
      <alignment horizontal="center" vertical="center" wrapText="1"/>
    </xf>
    <xf numFmtId="0" fontId="31" fillId="0" borderId="1" xfId="0" applyFont="1" applyBorder="1" applyAlignment="1">
      <alignment horizontal="center" wrapText="1"/>
    </xf>
    <xf numFmtId="0" fontId="31" fillId="0" borderId="7" xfId="0" applyFont="1" applyBorder="1" applyAlignment="1">
      <alignment horizontal="center" wrapText="1"/>
    </xf>
    <xf numFmtId="0" fontId="31" fillId="0" borderId="8" xfId="0" applyFont="1" applyBorder="1" applyAlignment="1">
      <alignment horizontal="center" wrapText="1"/>
    </xf>
    <xf numFmtId="0" fontId="12" fillId="4" borderId="7" xfId="2" applyFont="1" applyFill="1" applyBorder="1" applyAlignment="1">
      <alignment horizontal="center" vertical="center"/>
    </xf>
    <xf numFmtId="0" fontId="12" fillId="4" borderId="11" xfId="2" applyFont="1" applyFill="1" applyBorder="1" applyAlignment="1">
      <alignment horizontal="center" vertical="center"/>
    </xf>
    <xf numFmtId="0" fontId="12" fillId="4" borderId="8" xfId="2" applyFont="1" applyFill="1" applyBorder="1" applyAlignment="1">
      <alignment horizontal="center" vertical="center"/>
    </xf>
    <xf numFmtId="0" fontId="10" fillId="4" borderId="12"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21"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4" borderId="17"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27" fillId="22" borderId="19" xfId="0" applyFont="1" applyFill="1" applyBorder="1" applyAlignment="1">
      <alignment horizontal="center" vertical="center"/>
    </xf>
    <xf numFmtId="0" fontId="27" fillId="22" borderId="14" xfId="0" applyFont="1" applyFill="1" applyBorder="1" applyAlignment="1">
      <alignment horizontal="center" vertical="center"/>
    </xf>
    <xf numFmtId="0" fontId="27" fillId="22" borderId="20" xfId="0" applyFont="1" applyFill="1" applyBorder="1" applyAlignment="1">
      <alignment horizontal="center" vertical="center"/>
    </xf>
    <xf numFmtId="0" fontId="27" fillId="22" borderId="21" xfId="0" applyFont="1" applyFill="1" applyBorder="1" applyAlignment="1">
      <alignment horizontal="center" vertical="center"/>
    </xf>
    <xf numFmtId="0" fontId="27" fillId="22" borderId="22" xfId="0" applyFont="1" applyFill="1" applyBorder="1" applyAlignment="1">
      <alignment horizontal="center" vertical="center"/>
    </xf>
    <xf numFmtId="0" fontId="27" fillId="22" borderId="15" xfId="0" applyFont="1" applyFill="1" applyBorder="1" applyAlignment="1">
      <alignment horizontal="center" vertical="center"/>
    </xf>
    <xf numFmtId="0" fontId="10" fillId="22" borderId="23" xfId="0" applyFont="1" applyFill="1" applyBorder="1" applyAlignment="1">
      <alignment horizontal="center" vertical="center" wrapText="1"/>
    </xf>
    <xf numFmtId="0" fontId="10" fillId="22" borderId="0" xfId="0" applyFont="1" applyFill="1" applyAlignment="1">
      <alignment horizontal="center" vertical="center" wrapText="1"/>
    </xf>
    <xf numFmtId="0" fontId="10" fillId="22" borderId="21" xfId="0" applyFont="1" applyFill="1" applyBorder="1" applyAlignment="1">
      <alignment horizontal="center" vertical="center" wrapText="1"/>
    </xf>
    <xf numFmtId="0" fontId="27" fillId="4" borderId="19" xfId="0" applyFont="1" applyFill="1" applyBorder="1" applyAlignment="1">
      <alignment horizontal="center" vertical="center"/>
    </xf>
    <xf numFmtId="0" fontId="27" fillId="4" borderId="14" xfId="0" applyFont="1" applyFill="1" applyBorder="1" applyAlignment="1">
      <alignment horizontal="center" vertical="center"/>
    </xf>
    <xf numFmtId="0" fontId="27" fillId="4" borderId="20" xfId="0" applyFont="1" applyFill="1" applyBorder="1" applyAlignment="1">
      <alignment horizontal="center" vertical="center"/>
    </xf>
    <xf numFmtId="0" fontId="27" fillId="4" borderId="21" xfId="0" applyFont="1" applyFill="1" applyBorder="1" applyAlignment="1">
      <alignment horizontal="center" vertical="center"/>
    </xf>
    <xf numFmtId="0" fontId="27" fillId="4" borderId="22" xfId="0" applyFont="1" applyFill="1" applyBorder="1" applyAlignment="1">
      <alignment horizontal="center" vertical="center"/>
    </xf>
    <xf numFmtId="0" fontId="27" fillId="4" borderId="15" xfId="0" applyFont="1" applyFill="1" applyBorder="1" applyAlignment="1">
      <alignment horizontal="center" vertical="center"/>
    </xf>
    <xf numFmtId="0" fontId="10" fillId="4" borderId="7"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4" borderId="11" xfId="0" applyFont="1" applyFill="1" applyBorder="1" applyAlignment="1">
      <alignment horizontal="center" vertical="center"/>
    </xf>
    <xf numFmtId="0" fontId="10" fillId="4" borderId="8" xfId="0" applyFont="1" applyFill="1" applyBorder="1" applyAlignment="1">
      <alignment horizontal="center" vertical="center"/>
    </xf>
    <xf numFmtId="0" fontId="12" fillId="22" borderId="7" xfId="2" applyFont="1" applyFill="1" applyBorder="1" applyAlignment="1">
      <alignment horizontal="center" vertical="center"/>
    </xf>
    <xf numFmtId="0" fontId="12" fillId="22" borderId="11" xfId="2" applyFont="1" applyFill="1" applyBorder="1" applyAlignment="1">
      <alignment horizontal="center" vertical="center"/>
    </xf>
    <xf numFmtId="0" fontId="12" fillId="22" borderId="8" xfId="2"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6" xfId="0" applyFont="1" applyFill="1" applyBorder="1" applyAlignment="1">
      <alignment horizontal="center" vertical="center"/>
    </xf>
    <xf numFmtId="0" fontId="10" fillId="23" borderId="10" xfId="0" applyFont="1" applyFill="1" applyBorder="1" applyAlignment="1">
      <alignment horizontal="left" vertical="center" wrapText="1"/>
    </xf>
    <xf numFmtId="0" fontId="10" fillId="23" borderId="9" xfId="0" applyFont="1" applyFill="1" applyBorder="1" applyAlignment="1">
      <alignment horizontal="left" vertical="center" wrapText="1"/>
    </xf>
    <xf numFmtId="0" fontId="10" fillId="23" borderId="6" xfId="0" applyFont="1" applyFill="1" applyBorder="1" applyAlignment="1">
      <alignment horizontal="left" vertical="center" wrapText="1"/>
    </xf>
    <xf numFmtId="0" fontId="14" fillId="0" borderId="10" xfId="0" applyFont="1" applyBorder="1" applyAlignment="1">
      <alignment horizontal="center" wrapText="1"/>
    </xf>
    <xf numFmtId="0" fontId="14" fillId="0" borderId="6" xfId="0" applyFont="1" applyBorder="1" applyAlignment="1">
      <alignment horizontal="center" wrapText="1"/>
    </xf>
    <xf numFmtId="0" fontId="8" fillId="7" borderId="10" xfId="0" applyFont="1" applyFill="1" applyBorder="1" applyAlignment="1">
      <alignment horizontal="center" vertical="center"/>
    </xf>
    <xf numFmtId="0" fontId="8" fillId="7" borderId="9" xfId="0" applyFont="1" applyFill="1" applyBorder="1" applyAlignment="1">
      <alignment horizontal="center" vertical="center"/>
    </xf>
    <xf numFmtId="0" fontId="8" fillId="7" borderId="6" xfId="0" applyFont="1" applyFill="1" applyBorder="1" applyAlignment="1">
      <alignment horizontal="center" vertical="center"/>
    </xf>
    <xf numFmtId="0" fontId="32" fillId="0" borderId="1" xfId="2" applyFont="1" applyBorder="1" applyAlignment="1">
      <alignment horizontal="center" wrapText="1"/>
    </xf>
    <xf numFmtId="0" fontId="6" fillId="30" borderId="5" xfId="0" applyFont="1" applyFill="1" applyBorder="1" applyAlignment="1">
      <alignment horizontal="center" vertical="center"/>
    </xf>
    <xf numFmtId="0" fontId="0" fillId="30" borderId="1" xfId="0" applyFill="1" applyBorder="1" applyAlignment="1">
      <alignment horizontal="left" vertical="center" wrapText="1"/>
    </xf>
    <xf numFmtId="0" fontId="6" fillId="22" borderId="5" xfId="0" applyFont="1" applyFill="1" applyBorder="1" applyAlignment="1">
      <alignment horizontal="center" vertical="center"/>
    </xf>
    <xf numFmtId="0" fontId="33" fillId="0" borderId="7" xfId="2" applyFont="1" applyBorder="1" applyAlignment="1">
      <alignment horizontal="center" vertical="center" wrapText="1"/>
    </xf>
    <xf numFmtId="0" fontId="33" fillId="0" borderId="8" xfId="2" applyFont="1" applyBorder="1" applyAlignment="1">
      <alignment horizontal="center" vertical="center" wrapText="1"/>
    </xf>
    <xf numFmtId="0" fontId="1" fillId="0" borderId="0" xfId="2" quotePrefix="1"/>
    <xf numFmtId="0" fontId="6" fillId="4" borderId="1" xfId="0" applyFont="1" applyFill="1" applyBorder="1" applyAlignment="1">
      <alignment horizontal="center" vertical="center" wrapText="1"/>
    </xf>
    <xf numFmtId="0" fontId="6" fillId="22" borderId="19" xfId="0" applyFont="1" applyFill="1" applyBorder="1" applyAlignment="1">
      <alignment horizontal="center" vertical="center"/>
    </xf>
    <xf numFmtId="0" fontId="6" fillId="22" borderId="14" xfId="0" applyFont="1" applyFill="1" applyBorder="1" applyAlignment="1">
      <alignment horizontal="center" vertical="center"/>
    </xf>
    <xf numFmtId="0" fontId="6" fillId="22" borderId="20" xfId="0" applyFont="1" applyFill="1" applyBorder="1" applyAlignment="1">
      <alignment horizontal="center" vertical="center"/>
    </xf>
    <xf numFmtId="0" fontId="6" fillId="22" borderId="21" xfId="0" applyFont="1" applyFill="1" applyBorder="1" applyAlignment="1">
      <alignment horizontal="center" vertical="center"/>
    </xf>
    <xf numFmtId="0" fontId="6" fillId="22" borderId="22" xfId="0" applyFont="1" applyFill="1" applyBorder="1" applyAlignment="1">
      <alignment horizontal="center" vertical="center"/>
    </xf>
    <xf numFmtId="0" fontId="6" fillId="22" borderId="15" xfId="0" applyFont="1" applyFill="1" applyBorder="1" applyAlignment="1">
      <alignment horizontal="center" vertical="center"/>
    </xf>
    <xf numFmtId="0" fontId="0" fillId="22" borderId="12" xfId="0" applyFill="1" applyBorder="1" applyAlignment="1">
      <alignment horizontal="center" vertical="center" wrapText="1"/>
    </xf>
    <xf numFmtId="0" fontId="0" fillId="22" borderId="16" xfId="0" applyFill="1" applyBorder="1" applyAlignment="1">
      <alignment horizontal="center" vertical="center" wrapText="1"/>
    </xf>
    <xf numFmtId="0" fontId="0" fillId="22" borderId="14" xfId="0" applyFill="1" applyBorder="1" applyAlignment="1">
      <alignment horizontal="center" vertical="center" wrapText="1"/>
    </xf>
    <xf numFmtId="0" fontId="0" fillId="22" borderId="23" xfId="0" applyFill="1" applyBorder="1" applyAlignment="1">
      <alignment horizontal="center" vertical="center" wrapText="1"/>
    </xf>
    <xf numFmtId="0" fontId="0" fillId="22" borderId="0" xfId="0" applyFill="1" applyAlignment="1">
      <alignment horizontal="center" vertical="center" wrapText="1"/>
    </xf>
    <xf numFmtId="0" fontId="0" fillId="22" borderId="21" xfId="0" applyFill="1" applyBorder="1" applyAlignment="1">
      <alignment horizontal="center" vertical="center" wrapText="1"/>
    </xf>
    <xf numFmtId="0" fontId="0" fillId="22" borderId="13" xfId="0" applyFill="1" applyBorder="1" applyAlignment="1">
      <alignment horizontal="center" vertical="center" wrapText="1"/>
    </xf>
    <xf numFmtId="0" fontId="0" fillId="22" borderId="17" xfId="0" applyFill="1" applyBorder="1" applyAlignment="1">
      <alignment horizontal="center" vertical="center" wrapText="1"/>
    </xf>
    <xf numFmtId="0" fontId="0" fillId="22" borderId="15" xfId="0" applyFill="1" applyBorder="1" applyAlignment="1">
      <alignment horizontal="center" vertical="center" wrapText="1"/>
    </xf>
    <xf numFmtId="0" fontId="0" fillId="22" borderId="12" xfId="0" applyFill="1" applyBorder="1" applyAlignment="1">
      <alignment horizontal="left" vertical="center"/>
    </xf>
    <xf numFmtId="0" fontId="0" fillId="22" borderId="14" xfId="0" applyFill="1" applyBorder="1" applyAlignment="1">
      <alignment horizontal="left" vertical="center"/>
    </xf>
    <xf numFmtId="0" fontId="0" fillId="22" borderId="23" xfId="0" applyFill="1" applyBorder="1" applyAlignment="1">
      <alignment horizontal="left" vertical="center"/>
    </xf>
    <xf numFmtId="0" fontId="0" fillId="22" borderId="21" xfId="0" applyFill="1" applyBorder="1" applyAlignment="1">
      <alignment horizontal="left" vertical="center"/>
    </xf>
    <xf numFmtId="0" fontId="0" fillId="22" borderId="13" xfId="0" applyFill="1" applyBorder="1" applyAlignment="1">
      <alignment horizontal="left" vertical="center"/>
    </xf>
    <xf numFmtId="0" fontId="0" fillId="22" borderId="15" xfId="0" applyFill="1" applyBorder="1" applyAlignment="1">
      <alignment horizontal="left" vertical="center"/>
    </xf>
    <xf numFmtId="0" fontId="10" fillId="22" borderId="7" xfId="0" applyFont="1" applyFill="1" applyBorder="1" applyAlignment="1">
      <alignment horizontal="left" vertical="center" wrapText="1"/>
    </xf>
    <xf numFmtId="0" fontId="10" fillId="22" borderId="11" xfId="0" applyFont="1" applyFill="1" applyBorder="1" applyAlignment="1">
      <alignment horizontal="left" vertical="center" wrapText="1"/>
    </xf>
    <xf numFmtId="0" fontId="10" fillId="22" borderId="8" xfId="0" applyFont="1" applyFill="1" applyBorder="1" applyAlignment="1">
      <alignment horizontal="left" vertical="center" wrapText="1"/>
    </xf>
    <xf numFmtId="0" fontId="1" fillId="22" borderId="7" xfId="2" applyFill="1" applyBorder="1" applyAlignment="1">
      <alignment horizontal="center" vertical="center"/>
    </xf>
    <xf numFmtId="0" fontId="1" fillId="22" borderId="11" xfId="2" applyFill="1" applyBorder="1" applyAlignment="1">
      <alignment horizontal="center" vertical="center"/>
    </xf>
    <xf numFmtId="0" fontId="1" fillId="22" borderId="8" xfId="2" applyFill="1" applyBorder="1" applyAlignment="1">
      <alignment horizontal="center" vertical="center"/>
    </xf>
    <xf numFmtId="0" fontId="0" fillId="22" borderId="12" xfId="0" applyFill="1" applyBorder="1" applyAlignment="1">
      <alignment horizontal="left" vertical="center" wrapText="1"/>
    </xf>
    <xf numFmtId="0" fontId="0" fillId="22" borderId="16" xfId="0" applyFill="1" applyBorder="1" applyAlignment="1">
      <alignment horizontal="left" vertical="center" wrapText="1"/>
    </xf>
    <xf numFmtId="0" fontId="0" fillId="22" borderId="14" xfId="0" applyFill="1" applyBorder="1" applyAlignment="1">
      <alignment horizontal="left" vertical="center" wrapText="1"/>
    </xf>
    <xf numFmtId="0" fontId="0" fillId="22" borderId="23" xfId="0" applyFill="1" applyBorder="1" applyAlignment="1">
      <alignment horizontal="left" vertical="center" wrapText="1"/>
    </xf>
    <xf numFmtId="0" fontId="0" fillId="22" borderId="0" xfId="0" applyFill="1" applyAlignment="1">
      <alignment horizontal="left" vertical="center" wrapText="1"/>
    </xf>
    <xf numFmtId="0" fontId="0" fillId="22" borderId="21" xfId="0" applyFill="1" applyBorder="1" applyAlignment="1">
      <alignment horizontal="left" vertical="center" wrapText="1"/>
    </xf>
    <xf numFmtId="0" fontId="0" fillId="22" borderId="13" xfId="0" applyFill="1" applyBorder="1" applyAlignment="1">
      <alignment horizontal="left" vertical="center" wrapText="1"/>
    </xf>
    <xf numFmtId="0" fontId="0" fillId="22" borderId="17" xfId="0" applyFill="1" applyBorder="1" applyAlignment="1">
      <alignment horizontal="left" vertical="center" wrapText="1"/>
    </xf>
    <xf numFmtId="0" fontId="0" fillId="22" borderId="15" xfId="0" applyFill="1" applyBorder="1" applyAlignment="1">
      <alignment horizontal="left" vertical="center" wrapText="1"/>
    </xf>
    <xf numFmtId="0" fontId="6" fillId="4" borderId="19"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15" xfId="0" applyFont="1" applyFill="1" applyBorder="1" applyAlignment="1">
      <alignment horizontal="center" vertical="center"/>
    </xf>
    <xf numFmtId="0" fontId="0" fillId="4" borderId="12" xfId="0" applyFill="1" applyBorder="1" applyAlignment="1">
      <alignment horizontal="left" vertical="center" wrapText="1"/>
    </xf>
    <xf numFmtId="0" fontId="0" fillId="4" borderId="16" xfId="0" applyFill="1" applyBorder="1" applyAlignment="1">
      <alignment horizontal="left" vertical="center" wrapText="1"/>
    </xf>
    <xf numFmtId="0" fontId="0" fillId="4" borderId="14" xfId="0" applyFill="1" applyBorder="1" applyAlignment="1">
      <alignment horizontal="left" vertical="center" wrapText="1"/>
    </xf>
    <xf numFmtId="0" fontId="0" fillId="4" borderId="23" xfId="0" applyFill="1" applyBorder="1" applyAlignment="1">
      <alignment horizontal="left" vertical="center" wrapText="1"/>
    </xf>
    <xf numFmtId="0" fontId="0" fillId="4" borderId="0" xfId="0" applyFill="1" applyAlignment="1">
      <alignment horizontal="left" vertical="center" wrapText="1"/>
    </xf>
    <xf numFmtId="0" fontId="0" fillId="4" borderId="21" xfId="0" applyFill="1" applyBorder="1" applyAlignment="1">
      <alignment horizontal="left" vertical="center" wrapText="1"/>
    </xf>
    <xf numFmtId="0" fontId="0" fillId="4" borderId="13" xfId="0" applyFill="1" applyBorder="1" applyAlignment="1">
      <alignment horizontal="left" vertical="center" wrapText="1"/>
    </xf>
    <xf numFmtId="0" fontId="0" fillId="4" borderId="17" xfId="0" applyFill="1" applyBorder="1" applyAlignment="1">
      <alignment horizontal="left" vertical="center" wrapText="1"/>
    </xf>
    <xf numFmtId="0" fontId="0" fillId="4" borderId="15" xfId="0" applyFill="1" applyBorder="1" applyAlignment="1">
      <alignment horizontal="left" vertical="center" wrapText="1"/>
    </xf>
    <xf numFmtId="0" fontId="0" fillId="23" borderId="12" xfId="0" applyFill="1" applyBorder="1" applyAlignment="1">
      <alignment horizontal="left" vertical="center" wrapText="1"/>
    </xf>
    <xf numFmtId="0" fontId="0" fillId="23" borderId="16" xfId="0" applyFill="1" applyBorder="1" applyAlignment="1">
      <alignment horizontal="left" vertical="center" wrapText="1"/>
    </xf>
    <xf numFmtId="0" fontId="0" fillId="23" borderId="14" xfId="0" applyFill="1" applyBorder="1" applyAlignment="1">
      <alignment horizontal="left" vertical="center" wrapText="1"/>
    </xf>
    <xf numFmtId="0" fontId="0" fillId="23" borderId="23" xfId="0" applyFill="1" applyBorder="1" applyAlignment="1">
      <alignment horizontal="left" vertical="center" wrapText="1"/>
    </xf>
    <xf numFmtId="0" fontId="0" fillId="23" borderId="0" xfId="0" applyFill="1" applyAlignment="1">
      <alignment horizontal="left" vertical="center" wrapText="1"/>
    </xf>
    <xf numFmtId="0" fontId="0" fillId="23" borderId="21" xfId="0" applyFill="1" applyBorder="1" applyAlignment="1">
      <alignment horizontal="left" vertical="center" wrapText="1"/>
    </xf>
    <xf numFmtId="0" fontId="0" fillId="23" borderId="13" xfId="0" applyFill="1" applyBorder="1" applyAlignment="1">
      <alignment horizontal="left" vertical="center" wrapText="1"/>
    </xf>
    <xf numFmtId="0" fontId="0" fillId="23" borderId="17" xfId="0" applyFill="1" applyBorder="1" applyAlignment="1">
      <alignment horizontal="left" vertical="center" wrapText="1"/>
    </xf>
    <xf numFmtId="0" fontId="0" fillId="23" borderId="15" xfId="0" applyFill="1" applyBorder="1" applyAlignment="1">
      <alignment horizontal="left" vertical="center" wrapText="1"/>
    </xf>
    <xf numFmtId="0" fontId="0" fillId="4" borderId="12" xfId="0" applyFill="1" applyBorder="1" applyAlignment="1">
      <alignment horizontal="center" vertical="center"/>
    </xf>
    <xf numFmtId="0" fontId="0" fillId="4" borderId="14" xfId="0" applyFill="1" applyBorder="1" applyAlignment="1">
      <alignment horizontal="center" vertical="center"/>
    </xf>
    <xf numFmtId="0" fontId="0" fillId="4" borderId="23" xfId="0" applyFill="1" applyBorder="1" applyAlignment="1">
      <alignment horizontal="center" vertical="center"/>
    </xf>
    <xf numFmtId="0" fontId="0" fillId="4" borderId="21" xfId="0" applyFill="1" applyBorder="1" applyAlignment="1">
      <alignment horizontal="center" vertical="center"/>
    </xf>
    <xf numFmtId="0" fontId="0" fillId="4" borderId="13" xfId="0" applyFill="1" applyBorder="1" applyAlignment="1">
      <alignment horizontal="center" vertical="center"/>
    </xf>
    <xf numFmtId="0" fontId="0" fillId="4" borderId="15" xfId="0" applyFill="1" applyBorder="1" applyAlignment="1">
      <alignment horizontal="center" vertical="center"/>
    </xf>
    <xf numFmtId="0" fontId="1" fillId="4" borderId="7" xfId="2" applyFill="1" applyBorder="1" applyAlignment="1">
      <alignment horizontal="center" vertical="center"/>
    </xf>
    <xf numFmtId="0" fontId="1" fillId="4" borderId="11" xfId="2" applyFill="1" applyBorder="1" applyAlignment="1">
      <alignment horizontal="center" vertical="center"/>
    </xf>
    <xf numFmtId="0" fontId="1" fillId="4" borderId="8" xfId="2" applyFill="1" applyBorder="1" applyAlignment="1">
      <alignment horizontal="center" vertical="center"/>
    </xf>
    <xf numFmtId="0" fontId="6" fillId="23" borderId="19" xfId="0" applyFont="1" applyFill="1" applyBorder="1" applyAlignment="1">
      <alignment horizontal="center" vertical="center"/>
    </xf>
    <xf numFmtId="0" fontId="6" fillId="23" borderId="14" xfId="0" applyFont="1" applyFill="1" applyBorder="1" applyAlignment="1">
      <alignment horizontal="center" vertical="center"/>
    </xf>
    <xf numFmtId="0" fontId="6" fillId="23" borderId="20" xfId="0" applyFont="1" applyFill="1" applyBorder="1" applyAlignment="1">
      <alignment horizontal="center" vertical="center"/>
    </xf>
    <xf numFmtId="0" fontId="6" fillId="23" borderId="21" xfId="0" applyFont="1" applyFill="1" applyBorder="1" applyAlignment="1">
      <alignment horizontal="center" vertical="center"/>
    </xf>
    <xf numFmtId="0" fontId="6" fillId="23" borderId="22" xfId="0" applyFont="1" applyFill="1" applyBorder="1" applyAlignment="1">
      <alignment horizontal="center" vertical="center"/>
    </xf>
    <xf numFmtId="0" fontId="6" fillId="23" borderId="15" xfId="0" applyFont="1" applyFill="1" applyBorder="1" applyAlignment="1">
      <alignment horizontal="center" vertical="center"/>
    </xf>
    <xf numFmtId="0" fontId="0" fillId="23" borderId="12" xfId="0" applyFill="1" applyBorder="1" applyAlignment="1">
      <alignment horizontal="center" vertical="center"/>
    </xf>
    <xf numFmtId="0" fontId="0" fillId="23" borderId="14" xfId="0" applyFill="1" applyBorder="1" applyAlignment="1">
      <alignment horizontal="center" vertical="center"/>
    </xf>
    <xf numFmtId="0" fontId="0" fillId="23" borderId="23" xfId="0" applyFill="1" applyBorder="1" applyAlignment="1">
      <alignment horizontal="center" vertical="center"/>
    </xf>
    <xf numFmtId="0" fontId="0" fillId="23" borderId="21" xfId="0" applyFill="1" applyBorder="1" applyAlignment="1">
      <alignment horizontal="center" vertical="center"/>
    </xf>
    <xf numFmtId="0" fontId="0" fillId="23" borderId="13" xfId="0" applyFill="1" applyBorder="1" applyAlignment="1">
      <alignment horizontal="center" vertical="center"/>
    </xf>
    <xf numFmtId="0" fontId="0" fillId="23" borderId="15" xfId="0" applyFill="1" applyBorder="1" applyAlignment="1">
      <alignment horizontal="center" vertical="center"/>
    </xf>
    <xf numFmtId="0" fontId="0" fillId="22" borderId="12" xfId="0" applyFill="1" applyBorder="1" applyAlignment="1">
      <alignment horizontal="center" vertical="center"/>
    </xf>
    <xf numFmtId="0" fontId="0" fillId="22" borderId="14" xfId="0" applyFill="1" applyBorder="1" applyAlignment="1">
      <alignment horizontal="center" vertical="center"/>
    </xf>
    <xf numFmtId="0" fontId="0" fillId="22" borderId="23" xfId="0" applyFill="1" applyBorder="1" applyAlignment="1">
      <alignment horizontal="center" vertical="center"/>
    </xf>
    <xf numFmtId="0" fontId="0" fillId="22" borderId="21" xfId="0" applyFill="1" applyBorder="1" applyAlignment="1">
      <alignment horizontal="center" vertical="center"/>
    </xf>
    <xf numFmtId="0" fontId="0" fillId="22" borderId="13" xfId="0" applyFill="1" applyBorder="1" applyAlignment="1">
      <alignment horizontal="center" vertical="center"/>
    </xf>
    <xf numFmtId="0" fontId="0" fillId="22" borderId="15" xfId="0" applyFill="1" applyBorder="1" applyAlignment="1">
      <alignment horizontal="center" vertical="center"/>
    </xf>
    <xf numFmtId="0" fontId="10" fillId="22" borderId="11" xfId="0" applyFont="1" applyFill="1" applyBorder="1" applyAlignment="1">
      <alignment horizontal="center" vertical="center" wrapText="1"/>
    </xf>
    <xf numFmtId="0" fontId="0" fillId="4" borderId="12" xfId="0" applyFill="1" applyBorder="1" applyAlignment="1">
      <alignment horizontal="center" vertical="center" wrapText="1"/>
    </xf>
    <xf numFmtId="0" fontId="0" fillId="4" borderId="16"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23" xfId="0" applyFill="1" applyBorder="1" applyAlignment="1">
      <alignment horizontal="center" vertical="center" wrapText="1"/>
    </xf>
    <xf numFmtId="0" fontId="0" fillId="4" borderId="0" xfId="0" applyFill="1" applyAlignment="1">
      <alignment horizontal="center" vertical="center" wrapText="1"/>
    </xf>
    <xf numFmtId="0" fontId="0" fillId="4" borderId="21"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15" xfId="0" applyFill="1" applyBorder="1" applyAlignment="1">
      <alignment horizontal="center" vertical="center" wrapText="1"/>
    </xf>
    <xf numFmtId="0" fontId="0" fillId="23" borderId="12" xfId="0" applyFill="1" applyBorder="1" applyAlignment="1">
      <alignment horizontal="center" vertical="center" wrapText="1"/>
    </xf>
    <xf numFmtId="0" fontId="0" fillId="23" borderId="16" xfId="0" applyFill="1" applyBorder="1" applyAlignment="1">
      <alignment horizontal="center" vertical="center" wrapText="1"/>
    </xf>
    <xf numFmtId="0" fontId="0" fillId="23" borderId="14" xfId="0" applyFill="1" applyBorder="1" applyAlignment="1">
      <alignment horizontal="center" vertical="center" wrapText="1"/>
    </xf>
    <xf numFmtId="0" fontId="0" fillId="23" borderId="23" xfId="0" applyFill="1" applyBorder="1" applyAlignment="1">
      <alignment horizontal="center" vertical="center" wrapText="1"/>
    </xf>
    <xf numFmtId="0" fontId="0" fillId="23" borderId="0" xfId="0" applyFill="1" applyAlignment="1">
      <alignment horizontal="center" vertical="center" wrapText="1"/>
    </xf>
    <xf numFmtId="0" fontId="0" fillId="23" borderId="21" xfId="0" applyFill="1" applyBorder="1" applyAlignment="1">
      <alignment horizontal="center" vertical="center" wrapText="1"/>
    </xf>
    <xf numFmtId="0" fontId="0" fillId="23" borderId="13" xfId="0" applyFill="1" applyBorder="1" applyAlignment="1">
      <alignment horizontal="center" vertical="center" wrapText="1"/>
    </xf>
    <xf numFmtId="0" fontId="0" fillId="23" borderId="17" xfId="0" applyFill="1" applyBorder="1" applyAlignment="1">
      <alignment horizontal="center" vertical="center" wrapText="1"/>
    </xf>
    <xf numFmtId="0" fontId="0" fillId="23" borderId="15" xfId="0" applyFill="1" applyBorder="1" applyAlignment="1">
      <alignment horizontal="center" vertical="center" wrapText="1"/>
    </xf>
    <xf numFmtId="0" fontId="1" fillId="23" borderId="7" xfId="2" applyFill="1" applyBorder="1" applyAlignment="1">
      <alignment horizontal="center" vertical="center"/>
    </xf>
    <xf numFmtId="0" fontId="1" fillId="23" borderId="11" xfId="2" applyFill="1" applyBorder="1" applyAlignment="1">
      <alignment horizontal="center" vertical="center"/>
    </xf>
    <xf numFmtId="0" fontId="1" fillId="23" borderId="8" xfId="2"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10" fillId="23" borderId="7" xfId="0" applyFont="1" applyFill="1" applyBorder="1" applyAlignment="1">
      <alignment horizontal="center" vertical="center" wrapText="1"/>
    </xf>
    <xf numFmtId="0" fontId="10" fillId="23" borderId="11" xfId="0" applyFont="1" applyFill="1" applyBorder="1" applyAlignment="1">
      <alignment horizontal="center" vertical="center" wrapText="1"/>
    </xf>
    <xf numFmtId="0" fontId="10" fillId="23" borderId="8" xfId="0" applyFont="1" applyFill="1" applyBorder="1" applyAlignment="1">
      <alignment horizontal="center" vertical="center" wrapText="1"/>
    </xf>
    <xf numFmtId="0" fontId="0" fillId="22" borderId="7" xfId="0" applyFill="1" applyBorder="1" applyAlignment="1">
      <alignment horizontal="center" vertical="center" wrapText="1"/>
    </xf>
    <xf numFmtId="0" fontId="0" fillId="22" borderId="8" xfId="0" applyFill="1" applyBorder="1" applyAlignment="1">
      <alignment horizontal="center" vertical="center" wrapText="1"/>
    </xf>
    <xf numFmtId="0" fontId="0" fillId="22" borderId="7" xfId="0" applyFill="1" applyBorder="1" applyAlignment="1">
      <alignment horizontal="center" vertical="center"/>
    </xf>
    <xf numFmtId="0" fontId="0" fillId="22" borderId="8" xfId="0" applyFill="1" applyBorder="1" applyAlignment="1">
      <alignment horizontal="center" vertical="center"/>
    </xf>
    <xf numFmtId="0" fontId="0" fillId="0" borderId="10" xfId="0" applyBorder="1"/>
    <xf numFmtId="0" fontId="0" fillId="0" borderId="6" xfId="0" applyBorder="1"/>
    <xf numFmtId="0" fontId="0" fillId="0" borderId="10" xfId="0" applyBorder="1" applyAlignment="1">
      <alignment wrapText="1"/>
    </xf>
    <xf numFmtId="0" fontId="0" fillId="0" borderId="6" xfId="0" applyBorder="1" applyAlignment="1">
      <alignment wrapText="1"/>
    </xf>
    <xf numFmtId="0" fontId="0" fillId="0" borderId="7" xfId="0"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31" fillId="0" borderId="7" xfId="0" applyFont="1" applyBorder="1" applyAlignment="1">
      <alignment vertical="center" wrapText="1"/>
    </xf>
    <xf numFmtId="0" fontId="31" fillId="0" borderId="11" xfId="0" applyFont="1" applyBorder="1" applyAlignment="1">
      <alignment vertical="center" wrapText="1"/>
    </xf>
    <xf numFmtId="0" fontId="31" fillId="0" borderId="8" xfId="0" applyFont="1" applyBorder="1" applyAlignment="1">
      <alignment vertical="center" wrapText="1"/>
    </xf>
    <xf numFmtId="0" fontId="31" fillId="0" borderId="1" xfId="0" applyFont="1" applyBorder="1" applyAlignment="1">
      <alignment vertical="center" wrapText="1"/>
    </xf>
    <xf numFmtId="0" fontId="33" fillId="0" borderId="7" xfId="2" quotePrefix="1" applyFont="1" applyBorder="1" applyAlignment="1">
      <alignment horizontal="center"/>
    </xf>
    <xf numFmtId="0" fontId="33" fillId="0" borderId="8" xfId="2" quotePrefix="1" applyFont="1" applyBorder="1" applyAlignment="1">
      <alignment horizontal="center"/>
    </xf>
    <xf numFmtId="0" fontId="29" fillId="0" borderId="7" xfId="0" applyFont="1" applyBorder="1" applyAlignment="1">
      <alignment horizontal="center" wrapText="1"/>
    </xf>
    <xf numFmtId="0" fontId="29" fillId="0" borderId="8" xfId="0" applyFont="1" applyBorder="1" applyAlignment="1">
      <alignment horizontal="center" wrapText="1"/>
    </xf>
    <xf numFmtId="0" fontId="29" fillId="0" borderId="7" xfId="0" applyFont="1" applyBorder="1" applyAlignment="1">
      <alignment vertical="center"/>
    </xf>
    <xf numFmtId="0" fontId="29" fillId="0" borderId="8" xfId="0" applyFont="1" applyBorder="1" applyAlignment="1">
      <alignment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0" fillId="0" borderId="7" xfId="0" applyBorder="1"/>
    <xf numFmtId="0" fontId="0" fillId="0" borderId="11" xfId="0" applyBorder="1"/>
    <xf numFmtId="0" fontId="0" fillId="0" borderId="8" xfId="0" applyBorder="1"/>
    <xf numFmtId="0" fontId="31" fillId="0" borderId="7" xfId="0" applyFont="1" applyBorder="1" applyAlignment="1">
      <alignment horizontal="left" vertical="center" wrapText="1"/>
    </xf>
    <xf numFmtId="0" fontId="31" fillId="0" borderId="11" xfId="0" applyFont="1" applyBorder="1" applyAlignment="1">
      <alignment horizontal="left" vertical="center" wrapText="1"/>
    </xf>
    <xf numFmtId="0" fontId="31" fillId="0" borderId="8" xfId="0" applyFont="1" applyBorder="1" applyAlignment="1">
      <alignment horizontal="left" vertical="center" wrapText="1"/>
    </xf>
    <xf numFmtId="0" fontId="29" fillId="0" borderId="7" xfId="0" applyFont="1" applyBorder="1"/>
    <xf numFmtId="0" fontId="29" fillId="0" borderId="8" xfId="0" applyFont="1" applyBorder="1"/>
    <xf numFmtId="0" fontId="29" fillId="0" borderId="7" xfId="0" applyFont="1" applyBorder="1" applyAlignment="1">
      <alignment wrapText="1"/>
    </xf>
    <xf numFmtId="0" fontId="29" fillId="0" borderId="8" xfId="0" applyFont="1" applyBorder="1" applyAlignment="1">
      <alignment wrapText="1"/>
    </xf>
    <xf numFmtId="0" fontId="6" fillId="22" borderId="5" xfId="0" applyFont="1" applyFill="1" applyBorder="1" applyAlignment="1">
      <alignment vertical="center"/>
    </xf>
    <xf numFmtId="0" fontId="21" fillId="23" borderId="1" xfId="0" applyFont="1" applyFill="1" applyBorder="1" applyAlignment="1">
      <alignment horizontal="center" vertical="center" wrapText="1"/>
    </xf>
    <xf numFmtId="0" fontId="10" fillId="23" borderId="5" xfId="0" applyFont="1" applyFill="1" applyBorder="1" applyAlignment="1">
      <alignment horizontal="left" vertical="center"/>
    </xf>
    <xf numFmtId="0" fontId="10" fillId="22" borderId="5" xfId="0" applyFont="1" applyFill="1" applyBorder="1" applyAlignment="1">
      <alignment vertical="center"/>
    </xf>
    <xf numFmtId="0" fontId="10" fillId="4" borderId="5" xfId="0" applyFont="1" applyFill="1" applyBorder="1" applyAlignment="1">
      <alignment horizontal="center" vertical="center"/>
    </xf>
  </cellXfs>
  <cellStyles count="3">
    <cellStyle name="Hipervínculo" xfId="2" builtinId="8"/>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DBDBDB"/>
      <rgbColor rgb="FF800080"/>
      <rgbColor rgb="FF0070C0"/>
      <rgbColor rgb="FFBFBFBF"/>
      <rgbColor rgb="FFA9D18E"/>
      <rgbColor rgb="FFCEABF1"/>
      <rgbColor rgb="FF993366"/>
      <rgbColor rgb="FFFFE699"/>
      <rgbColor rgb="FFCAEDFB"/>
      <rgbColor rgb="FF660066"/>
      <rgbColor rgb="FFF381DB"/>
      <rgbColor rgb="FF0563C1"/>
      <rgbColor rgb="FFB4C7E7"/>
      <rgbColor rgb="FF000080"/>
      <rgbColor rgb="FFFF00FF"/>
      <rgbColor rgb="FFFFD966"/>
      <rgbColor rgb="FF00FFFF"/>
      <rgbColor rgb="FF800080"/>
      <rgbColor rgb="FF800000"/>
      <rgbColor rgb="FF008080"/>
      <rgbColor rgb="FF0000FF"/>
      <rgbColor rgb="FF00CCFF"/>
      <rgbColor rgb="FFC0E6F5"/>
      <rgbColor rgb="FFC5E0B4"/>
      <rgbColor rgb="FFFCFCAA"/>
      <rgbColor rgb="FFD0CECE"/>
      <rgbColor rgb="FFFA90B1"/>
      <rgbColor rgb="FFCC99FF"/>
      <rgbColor rgb="FFF7C7AC"/>
      <rgbColor rgb="FFFDD3FA"/>
      <rgbColor rgb="FFC5E0B3"/>
      <rgbColor rgb="FF92D050"/>
      <rgbColor rgb="FFFFC000"/>
      <rgbColor rgb="FFF1ABE9"/>
      <rgbColor rgb="FFF2CEEF"/>
      <rgbColor rgb="FF467886"/>
      <rgbColor rgb="FF70AD47"/>
      <rgbColor rgb="FF003366"/>
      <rgbColor rgb="FFD9D9D9"/>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1</xdr:row>
      <xdr:rowOff>15239</xdr:rowOff>
    </xdr:from>
    <xdr:to>
      <xdr:col>16</xdr:col>
      <xdr:colOff>76200</xdr:colOff>
      <xdr:row>28</xdr:row>
      <xdr:rowOff>9678</xdr:rowOff>
    </xdr:to>
    <xdr:pic>
      <xdr:nvPicPr>
        <xdr:cNvPr id="3" name="Imagen 2">
          <a:extLst>
            <a:ext uri="{FF2B5EF4-FFF2-40B4-BE49-F238E27FC236}">
              <a16:creationId xmlns:a16="http://schemas.microsoft.com/office/drawing/2014/main" id="{1E5C33D2-C08F-2478-5727-0DE43385B6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190499"/>
          <a:ext cx="11231880" cy="4726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5F1646A-5549-4D02-A08C-004FA259346F}">
  <we:reference id="wa200009404" version="1.0.0.8" store="es-ES" storeType="OMEX"/>
  <we:alternateReferences>
    <we:reference id="WA200009404" version="1.0.0.8" store="WA200009404" storeType="OMEX"/>
  </we:alternateReferences>
  <we:properties>
    <we:property name="claude.fileId" value="&quot;53546005-1fcb-4b48-8934-6ece1f3204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tabSelected="1" zoomScaleNormal="100" workbookViewId="0"/>
  </sheetViews>
  <sheetFormatPr baseColWidth="10" defaultColWidth="9.109375" defaultRowHeight="14.4" x14ac:dyDescent="0.3"/>
  <cols>
    <col min="1" max="1" width="26.109375" customWidth="1"/>
  </cols>
  <sheetData>
    <row r="1" spans="1:30" ht="14.25" customHeight="1" x14ac:dyDescent="0.3">
      <c r="A1" s="8" t="s">
        <v>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14.25" customHeight="1" x14ac:dyDescent="0.3">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4.25" customHeight="1"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row>
    <row r="4" spans="1:30" ht="14.25" customHeight="1"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spans="1:30" ht="14.25" customHeight="1"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row>
    <row r="6" spans="1:30" ht="14.25" customHeight="1"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row>
    <row r="7" spans="1:30" ht="14.25" customHeight="1"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spans="1:30" ht="14.25" customHeight="1"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row>
    <row r="9" spans="1:30" ht="14.25" customHeight="1"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row>
    <row r="10" spans="1:30" ht="14.25" customHeight="1"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spans="1:30" ht="14.25" customHeight="1"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row>
    <row r="12" spans="1:30" ht="14.25" customHeight="1"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spans="1:30" ht="14.25" customHeight="1"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row>
    <row r="14" spans="1:30" ht="14.25" customHeight="1"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row>
    <row r="15" spans="1:30" ht="14.25" customHeight="1"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ht="14.25" customHeight="1"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row>
    <row r="17" spans="1:30" ht="14.25" customHeight="1"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ht="14.25" customHeight="1"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row>
    <row r="19" spans="1:30" ht="14.25" customHeight="1"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row>
    <row r="20" spans="1:30" ht="14.25" customHeight="1"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row>
    <row r="21" spans="1:30" ht="14.25" customHeight="1"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row>
    <row r="22" spans="1:30" ht="14.25" customHeight="1"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row>
    <row r="23" spans="1:30" ht="14.25" customHeight="1"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row>
    <row r="24" spans="1:30" ht="14.25" customHeight="1"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row>
    <row r="25" spans="1:30" ht="14.25" customHeight="1"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row>
    <row r="26" spans="1:30" ht="14.25" customHeight="1"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row>
    <row r="27" spans="1:30" ht="14.25" customHeight="1"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row>
    <row r="28" spans="1:30" ht="14.25" customHeight="1"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row>
    <row r="29" spans="1:30" ht="14.25" customHeight="1"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row>
    <row r="30" spans="1:30" ht="14.25" customHeight="1"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4.25" customHeight="1"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spans="1:30" ht="14.25" customHeight="1"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row>
    <row r="33" spans="1:30" ht="14.25" customHeight="1"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spans="1:30" ht="14.25" customHeight="1"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row>
    <row r="35" spans="1:30" ht="14.25" customHeight="1"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4.25" customHeight="1"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row>
    <row r="37" spans="1:30" ht="14.25" customHeight="1"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spans="1:30" ht="14.25" customHeight="1"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spans="1:30" ht="14.25" customHeight="1"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spans="1:30" ht="14.25" customHeight="1"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spans="1:30" ht="14.25" customHeight="1"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30" ht="14.25" customHeight="1"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ht="14.25" customHeight="1"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ht="14.2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30" ht="14.25" customHeight="1"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4.25" customHeight="1"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row r="47" spans="1:30" ht="14.25" customHeight="1"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spans="1:30" ht="14.25" customHeight="1"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spans="1:30" ht="14.25" customHeight="1"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4.25" customHeight="1"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row>
  </sheetData>
  <hyperlinks>
    <hyperlink ref="A1" location="'Objetos de 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zoomScaleNormal="100" workbookViewId="0"/>
  </sheetViews>
  <sheetFormatPr baseColWidth="10" defaultColWidth="10.6640625" defaultRowHeight="14.4" x14ac:dyDescent="0.3"/>
  <cols>
    <col min="1" max="1" width="27" customWidth="1"/>
    <col min="2" max="2" width="48.33203125" customWidth="1"/>
    <col min="3" max="3" width="12.5546875" customWidth="1"/>
    <col min="4" max="4" width="13.33203125" customWidth="1"/>
    <col min="5" max="5" width="19.44140625" customWidth="1"/>
    <col min="6" max="6" width="18.33203125" customWidth="1"/>
    <col min="7" max="7" width="14.33203125" customWidth="1"/>
  </cols>
  <sheetData>
    <row r="1" spans="1:7" ht="14.25" customHeight="1" x14ac:dyDescent="0.3">
      <c r="A1" s="8" t="s">
        <v>1</v>
      </c>
    </row>
    <row r="2" spans="1:7" ht="14.25" customHeight="1" x14ac:dyDescent="0.3">
      <c r="A2" s="10" t="s">
        <v>2</v>
      </c>
      <c r="B2" s="10" t="s">
        <v>3</v>
      </c>
      <c r="C2" s="10" t="s">
        <v>4</v>
      </c>
      <c r="D2" s="10" t="s">
        <v>5</v>
      </c>
      <c r="E2" s="10" t="s">
        <v>6</v>
      </c>
      <c r="F2" s="10" t="s">
        <v>7</v>
      </c>
      <c r="G2" s="11" t="s">
        <v>8</v>
      </c>
    </row>
    <row r="3" spans="1:7" ht="45" customHeight="1" x14ac:dyDescent="0.3">
      <c r="A3" s="12" t="s">
        <v>9</v>
      </c>
      <c r="B3" s="13" t="s">
        <v>10</v>
      </c>
      <c r="C3" s="12">
        <v>1</v>
      </c>
      <c r="D3" s="14" t="s">
        <v>11</v>
      </c>
      <c r="E3" s="14" t="s">
        <v>12</v>
      </c>
      <c r="F3" s="14" t="s">
        <v>13</v>
      </c>
      <c r="G3" s="14" t="s">
        <v>14</v>
      </c>
    </row>
    <row r="4" spans="1:7" ht="60" customHeight="1" x14ac:dyDescent="0.3">
      <c r="A4" s="12" t="s">
        <v>15</v>
      </c>
      <c r="B4" s="15" t="s">
        <v>16</v>
      </c>
      <c r="C4" s="12">
        <v>1</v>
      </c>
      <c r="D4" s="14" t="s">
        <v>11</v>
      </c>
      <c r="E4" s="14" t="s">
        <v>12</v>
      </c>
      <c r="F4" s="14" t="s">
        <v>13</v>
      </c>
      <c r="G4" s="14" t="s">
        <v>14</v>
      </c>
    </row>
    <row r="5" spans="1:7" ht="45" customHeight="1" x14ac:dyDescent="0.3">
      <c r="A5" s="12" t="s">
        <v>17</v>
      </c>
      <c r="B5" s="15" t="s">
        <v>18</v>
      </c>
      <c r="C5" s="12">
        <v>1</v>
      </c>
      <c r="D5" s="14" t="s">
        <v>11</v>
      </c>
      <c r="E5" s="14" t="s">
        <v>12</v>
      </c>
      <c r="F5" s="14" t="s">
        <v>13</v>
      </c>
      <c r="G5" s="14" t="s">
        <v>14</v>
      </c>
    </row>
    <row r="6" spans="1:7" ht="43.2" x14ac:dyDescent="0.3">
      <c r="A6" s="12" t="s">
        <v>19</v>
      </c>
      <c r="B6" s="15" t="s">
        <v>20</v>
      </c>
      <c r="C6" s="12">
        <v>1</v>
      </c>
      <c r="D6" s="14" t="s">
        <v>11</v>
      </c>
      <c r="E6" s="14" t="s">
        <v>12</v>
      </c>
      <c r="F6" s="14" t="s">
        <v>13</v>
      </c>
      <c r="G6" s="14" t="s">
        <v>14</v>
      </c>
    </row>
    <row r="7" spans="1:7" ht="28.5" customHeight="1" x14ac:dyDescent="0.3">
      <c r="A7" s="12" t="s">
        <v>21</v>
      </c>
      <c r="B7" s="15" t="s">
        <v>22</v>
      </c>
      <c r="C7" s="12">
        <v>1</v>
      </c>
      <c r="D7" s="14" t="s">
        <v>11</v>
      </c>
      <c r="E7" s="14" t="s">
        <v>12</v>
      </c>
      <c r="F7" s="14" t="s">
        <v>13</v>
      </c>
      <c r="G7" s="14" t="s">
        <v>14</v>
      </c>
    </row>
    <row r="8" spans="1:7" ht="75" customHeight="1" x14ac:dyDescent="0.3">
      <c r="A8" s="12" t="s">
        <v>23</v>
      </c>
      <c r="B8" s="15" t="s">
        <v>24</v>
      </c>
      <c r="C8" s="12">
        <v>2</v>
      </c>
      <c r="D8" s="14" t="s">
        <v>11</v>
      </c>
      <c r="E8" s="14" t="s">
        <v>12</v>
      </c>
      <c r="F8" s="14" t="s">
        <v>13</v>
      </c>
      <c r="G8" s="14" t="s">
        <v>14</v>
      </c>
    </row>
    <row r="9" spans="1:7" ht="30" customHeight="1" x14ac:dyDescent="0.3">
      <c r="A9" s="12" t="s">
        <v>25</v>
      </c>
      <c r="B9" s="15" t="s">
        <v>26</v>
      </c>
      <c r="C9" s="12">
        <v>2</v>
      </c>
      <c r="D9" s="14" t="s">
        <v>11</v>
      </c>
      <c r="E9" s="14" t="s">
        <v>12</v>
      </c>
      <c r="F9" s="14" t="s">
        <v>13</v>
      </c>
      <c r="G9" s="14" t="s">
        <v>14</v>
      </c>
    </row>
    <row r="10" spans="1:7" ht="45" customHeight="1" x14ac:dyDescent="0.3">
      <c r="A10" s="12" t="s">
        <v>27</v>
      </c>
      <c r="B10" s="15" t="s">
        <v>28</v>
      </c>
      <c r="C10" s="12">
        <v>2</v>
      </c>
      <c r="D10" s="14" t="s">
        <v>11</v>
      </c>
      <c r="E10" s="14" t="s">
        <v>12</v>
      </c>
      <c r="F10" s="14" t="s">
        <v>13</v>
      </c>
      <c r="G10" s="14" t="s">
        <v>14</v>
      </c>
    </row>
    <row r="11" spans="1:7" ht="60" customHeight="1" x14ac:dyDescent="0.3">
      <c r="A11" s="12" t="s">
        <v>29</v>
      </c>
      <c r="B11" s="15" t="s">
        <v>30</v>
      </c>
      <c r="C11" s="12">
        <v>3</v>
      </c>
      <c r="D11" s="16" t="s">
        <v>11</v>
      </c>
      <c r="E11" s="16" t="s">
        <v>12</v>
      </c>
      <c r="F11" s="14" t="s">
        <v>13</v>
      </c>
      <c r="G11" s="14" t="s">
        <v>14</v>
      </c>
    </row>
    <row r="12" spans="1:7" ht="63.75" customHeight="1" x14ac:dyDescent="0.3">
      <c r="A12" s="12" t="s">
        <v>31</v>
      </c>
      <c r="B12" s="15" t="s">
        <v>32</v>
      </c>
      <c r="C12" s="12">
        <v>3</v>
      </c>
      <c r="D12" s="14" t="s">
        <v>11</v>
      </c>
      <c r="E12" s="14" t="s">
        <v>12</v>
      </c>
      <c r="F12" s="14" t="s">
        <v>13</v>
      </c>
      <c r="G12" s="14" t="s">
        <v>14</v>
      </c>
    </row>
    <row r="13" spans="1:7" ht="45" customHeight="1" x14ac:dyDescent="0.3">
      <c r="A13" s="12" t="s">
        <v>33</v>
      </c>
      <c r="B13" s="15" t="s">
        <v>34</v>
      </c>
      <c r="C13" s="12">
        <v>3</v>
      </c>
      <c r="D13" s="14" t="s">
        <v>11</v>
      </c>
      <c r="E13" s="14" t="s">
        <v>12</v>
      </c>
      <c r="F13" s="14" t="s">
        <v>13</v>
      </c>
      <c r="G13" s="14" t="s">
        <v>14</v>
      </c>
    </row>
    <row r="14" spans="1:7" ht="42.75" customHeight="1" x14ac:dyDescent="0.3">
      <c r="A14" s="12" t="s">
        <v>35</v>
      </c>
      <c r="B14" s="15" t="s">
        <v>36</v>
      </c>
      <c r="C14" s="12">
        <v>4</v>
      </c>
      <c r="D14" s="14" t="s">
        <v>11</v>
      </c>
      <c r="E14" s="14" t="s">
        <v>12</v>
      </c>
      <c r="F14" s="14" t="s">
        <v>13</v>
      </c>
      <c r="G14" s="14" t="s">
        <v>14</v>
      </c>
    </row>
    <row r="15" spans="1:7" ht="63" customHeight="1" x14ac:dyDescent="0.3">
      <c r="A15" s="12" t="s">
        <v>37</v>
      </c>
      <c r="B15" s="15" t="s">
        <v>38</v>
      </c>
      <c r="C15" s="12">
        <v>5</v>
      </c>
      <c r="D15" s="14" t="s">
        <v>11</v>
      </c>
      <c r="E15" s="14" t="s">
        <v>12</v>
      </c>
      <c r="F15" s="14" t="s">
        <v>13</v>
      </c>
      <c r="G15" s="14" t="s">
        <v>14</v>
      </c>
    </row>
    <row r="16" spans="1:7" ht="75" customHeight="1" x14ac:dyDescent="0.3">
      <c r="A16" s="12" t="s">
        <v>39</v>
      </c>
      <c r="B16" s="15" t="s">
        <v>40</v>
      </c>
      <c r="C16" s="12">
        <v>6</v>
      </c>
      <c r="D16" s="14" t="s">
        <v>11</v>
      </c>
      <c r="E16" s="14" t="s">
        <v>12</v>
      </c>
      <c r="F16" s="14" t="s">
        <v>13</v>
      </c>
      <c r="G16" s="14" t="s">
        <v>14</v>
      </c>
    </row>
    <row r="17" spans="1:7" ht="63" customHeight="1" x14ac:dyDescent="0.3">
      <c r="A17" s="12" t="s">
        <v>41</v>
      </c>
      <c r="B17" s="15" t="s">
        <v>42</v>
      </c>
      <c r="C17" s="12">
        <v>6</v>
      </c>
      <c r="D17" s="14" t="s">
        <v>11</v>
      </c>
      <c r="E17" s="14" t="s">
        <v>12</v>
      </c>
      <c r="F17" s="14" t="s">
        <v>13</v>
      </c>
      <c r="G17" s="14" t="s">
        <v>14</v>
      </c>
    </row>
  </sheetData>
  <hyperlinks>
    <hyperlink ref="A1" location="'Modelo de Dominio'!A1" display="&lt;&lt;&lt;&lt; Ir al modulo de dominio" xr:uid="{00000000-0004-0000-0100-000000000000}"/>
    <hyperlink ref="D3" location="'M-DiaSemana'!A3" display="Ir al muestreo" xr:uid="{00000000-0004-0000-0100-000001000000}"/>
    <hyperlink ref="E3" location="'C-DiaSemana'!A3" display="Ir a la caracterización" xr:uid="{00000000-0004-0000-0100-000002000000}"/>
    <hyperlink ref="F3" location="'E-DiaSemana'!A1" display="Ir al Event Storming" xr:uid="{00000000-0004-0000-0100-000003000000}"/>
    <hyperlink ref="G3" location="'P-DiaSemana'!A1" display="Ir a las políticas" xr:uid="{00000000-0004-0000-0100-000004000000}"/>
    <hyperlink ref="D4" location="'M-Estado'!A3" display="Ir al muestreo" xr:uid="{00000000-0004-0000-0100-000005000000}"/>
    <hyperlink ref="E4" location="'C-Estado'!A3" display="Ir a la caracterización" xr:uid="{00000000-0004-0000-0100-000006000000}"/>
    <hyperlink ref="F4" location="'E-Estado'!A1" display="Ir al Event Storming" xr:uid="{00000000-0004-0000-0100-000007000000}"/>
    <hyperlink ref="G4" location="'P-Estado'!A1" display="Ir a las políticas" xr:uid="{00000000-0004-0000-0100-000008000000}"/>
    <hyperlink ref="D5" location="'M-Servicio'!A3" display="Ir al muestreo" xr:uid="{00000000-0004-0000-0100-000009000000}"/>
    <hyperlink ref="E5" location="'C-Servicio'!A3" display="Ir a la caracterización" xr:uid="{00000000-0004-0000-0100-00000A000000}"/>
    <hyperlink ref="F5" location="'E-Servicio'!A1" display="Ir al Event Storming" xr:uid="{00000000-0004-0000-0100-00000B000000}"/>
    <hyperlink ref="G5" location="'P-Servicio'!A1" display="Ir a las políticas" xr:uid="{00000000-0004-0000-0100-00000C000000}"/>
    <hyperlink ref="D6" location="'M-PrefijoCelular'!A3" display="Ir al muestreo" xr:uid="{00000000-0004-0000-0100-00000D000000}"/>
    <hyperlink ref="E6" location="'C-PrefijoCelular'!A3" display="Ir a la caracterización" xr:uid="{00000000-0004-0000-0100-00000E000000}"/>
    <hyperlink ref="F6" location="'E-PrefijoCelular'!A1" display="Ir al Event Storming" xr:uid="{00000000-0004-0000-0100-00000F000000}"/>
    <hyperlink ref="G6" location="'P-PrefijoCelular'!A1" display="Ir a las políticas" xr:uid="{00000000-0004-0000-0100-000010000000}"/>
    <hyperlink ref="D7" location="'M-TipoMulta'!A3" display="Ir al muestreo" xr:uid="{00000000-0004-0000-0100-000011000000}"/>
    <hyperlink ref="E7" location="'C-TipoMulta'!A3" display="Ir a la caracterización" xr:uid="{00000000-0004-0000-0100-000012000000}"/>
    <hyperlink ref="F7" location="'E-TipoMulta'!A1" display="Ir al Event Storming" xr:uid="{00000000-0004-0000-0100-000013000000}"/>
    <hyperlink ref="G7" location="'P-TipoMulta'!A1" display="Ir a las políticas" xr:uid="{00000000-0004-0000-0100-000014000000}"/>
    <hyperlink ref="D8" location="'M-Barbero'!A3" display="Ir al muestreo" xr:uid="{00000000-0004-0000-0100-000015000000}"/>
    <hyperlink ref="E8" location="'C-Barbero'!A3" display="Ir a la caracterización" xr:uid="{00000000-0004-0000-0100-000016000000}"/>
    <hyperlink ref="F8" location="'E-Barbero'!A1" display="Ir al Event Storming" xr:uid="{00000000-0004-0000-0100-000017000000}"/>
    <hyperlink ref="G8" location="'P-Barbero'!A1" display="Ir a las políticas" xr:uid="{00000000-0004-0000-0100-000018000000}"/>
    <hyperlink ref="D9" location="'M-Cliente'!A3" display="Ir al muestreo" xr:uid="{00000000-0004-0000-0100-000019000000}"/>
    <hyperlink ref="E9" location="'C-Cliente'!A3" display="Ir a la caracterización" xr:uid="{00000000-0004-0000-0100-00001A000000}"/>
    <hyperlink ref="F9" location="'E-Cliente'!A1" display="Ir al Event Storming" xr:uid="{00000000-0004-0000-0100-00001B000000}"/>
    <hyperlink ref="G9" location="'P-Cliente'!A1" display="Ir a las políticas" xr:uid="{00000000-0004-0000-0100-00001C000000}"/>
    <hyperlink ref="D10" location="'M-HorarioBarberia'!A3" display="Ir al muestreo" xr:uid="{00000000-0004-0000-0100-00001D000000}"/>
    <hyperlink ref="E10" location="'C-HorarioBarberia'!A3" display="Ir a la caracterización" xr:uid="{00000000-0004-0000-0100-00001E000000}"/>
    <hyperlink ref="F10" location="'E-HorarioBarberia'!A1" display="Ir al Event Storming" xr:uid="{00000000-0004-0000-0100-00001F000000}"/>
    <hyperlink ref="G10" location="'P-HorarioBarberia'!A1" display="Ir a las políticas" xr:uid="{00000000-0004-0000-0100-000020000000}"/>
    <hyperlink ref="D11" location="'M-Bloqueo'!A3" display="Ir al muestreo" xr:uid="{00000000-0004-0000-0100-000021000000}"/>
    <hyperlink ref="E11" location="'C-Bloqueo'!A3" display="Ir a la caracterización" xr:uid="{00000000-0004-0000-0100-000022000000}"/>
    <hyperlink ref="F11" location="'E-Bloqueo'!A1" display="Ir al Event Storming" xr:uid="{00000000-0004-0000-0100-000023000000}"/>
    <hyperlink ref="G11" location="'P-Bloqueo'!A1" display="Ir a las políticas" xr:uid="{00000000-0004-0000-0100-000024000000}"/>
    <hyperlink ref="D12" location="'M-BarberoServicio'!A3" display="Ir al muestreo" xr:uid="{00000000-0004-0000-0100-000025000000}"/>
    <hyperlink ref="E12" location="'C-BarberoServicio'!A3" display="Ir a la caracterización" xr:uid="{00000000-0004-0000-0100-000026000000}"/>
    <hyperlink ref="F12" location="'E-BarberoServicio'!A1" display="Ir al Event Storming" xr:uid="{00000000-0004-0000-0100-000027000000}"/>
    <hyperlink ref="G12" location="'P-BarberoServicio'!A1" display="Ir a las políticas" xr:uid="{00000000-0004-0000-0100-000028000000}"/>
    <hyperlink ref="D13" location="'M-HorarioBarbero'!A3" display="Ir al muestreo" xr:uid="{00000000-0004-0000-0100-000029000000}"/>
    <hyperlink ref="E13" location="'C-HorarioBarbero'!A3" display="Ir a la caracterización" xr:uid="{00000000-0004-0000-0100-00002A000000}"/>
    <hyperlink ref="F13" location="'E-HorarioBarbero'!A1" display="Ir al Event Storming" xr:uid="{00000000-0004-0000-0100-00002B000000}"/>
    <hyperlink ref="G13" location="'P-HorarioBarbero'!A1" display="Ir a las políticas" xr:uid="{00000000-0004-0000-0100-00002C000000}"/>
    <hyperlink ref="D14" location="'M-Agenda'!A3" display="Ir al muestreo" xr:uid="{00000000-0004-0000-0100-00002D000000}"/>
    <hyperlink ref="E14" location="'C-Agenda'!A3" display="Ir a la caracterización" xr:uid="{00000000-0004-0000-0100-00002E000000}"/>
    <hyperlink ref="F14" location="'E-Agenda'!A1" display="Ir al Event Storming" xr:uid="{00000000-0004-0000-0100-00002F000000}"/>
    <hyperlink ref="G14" location="'P-Agenda'!A1" display="Ir a las políticas" xr:uid="{00000000-0004-0000-0100-000030000000}"/>
    <hyperlink ref="D15" location="'M-Cita'!A3" display="Ir al muestreo" xr:uid="{00000000-0004-0000-0100-000031000000}"/>
    <hyperlink ref="E15" location="'C-Cita'!A3" display="Ir a la caracterización" xr:uid="{00000000-0004-0000-0100-000032000000}"/>
    <hyperlink ref="F15" location="'E-Cita'!A1" display="Ir al Event Storming" xr:uid="{00000000-0004-0000-0100-000033000000}"/>
    <hyperlink ref="G15" location="'P-Cita'!A1" display="Ir a las políticas" xr:uid="{00000000-0004-0000-0100-000034000000}"/>
    <hyperlink ref="D16" location="'M-CitaServicio'!A3" display="Ir al muestreo" xr:uid="{00000000-0004-0000-0100-000035000000}"/>
    <hyperlink ref="E16" location="'C-CitaServicio'!A3" display="Ir a la caracterización" xr:uid="{00000000-0004-0000-0100-000036000000}"/>
    <hyperlink ref="F16" location="'E-CitaServicio'!A1" display="Ir al Event Storming" xr:uid="{00000000-0004-0000-0100-000037000000}"/>
    <hyperlink ref="G16" location="'P-CitaServicio'!A1" display="Ir a las políticas" xr:uid="{00000000-0004-0000-0100-000038000000}"/>
    <hyperlink ref="D17" location="'M-Multa'!A3" display="Ir al muestreo" xr:uid="{00000000-0004-0000-0100-000039000000}"/>
    <hyperlink ref="E17" location="'C-Multa'!A3" display="Ir a la caracterización" xr:uid="{00000000-0004-0000-0100-00003A000000}"/>
    <hyperlink ref="F17" location="'E-Multa'!A1" display="Ir al Event Storming" xr:uid="{00000000-0004-0000-0100-00003B000000}"/>
    <hyperlink ref="G17" location="'P-Multa'!A1" display="Ir a las políticas" xr:uid="{00000000-0004-0000-0100-00003C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1"/>
  <sheetViews>
    <sheetView zoomScaleNormal="100" workbookViewId="0">
      <selection activeCell="B1" sqref="B1"/>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7.6640625"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 min="22" max="22" width="19.33203125" customWidth="1"/>
  </cols>
  <sheetData>
    <row r="1" spans="1:22" ht="15" customHeight="1" x14ac:dyDescent="0.3">
      <c r="A1" s="8" t="s">
        <v>1</v>
      </c>
      <c r="B1" s="8" t="s">
        <v>43</v>
      </c>
    </row>
    <row r="2" spans="1:22" ht="15" customHeight="1" x14ac:dyDescent="0.3">
      <c r="A2" s="17" t="s">
        <v>44</v>
      </c>
      <c r="B2" s="18" t="s">
        <v>45</v>
      </c>
      <c r="C2" s="17" t="s">
        <v>46</v>
      </c>
      <c r="D2" s="17" t="s">
        <v>47</v>
      </c>
      <c r="E2" s="17" t="s">
        <v>48</v>
      </c>
      <c r="F2" s="17" t="s">
        <v>49</v>
      </c>
      <c r="G2" s="17" t="s">
        <v>50</v>
      </c>
      <c r="H2" s="17" t="s">
        <v>51</v>
      </c>
      <c r="I2" s="17" t="s">
        <v>52</v>
      </c>
      <c r="J2" s="17" t="s">
        <v>53</v>
      </c>
      <c r="K2" s="17" t="s">
        <v>54</v>
      </c>
      <c r="L2" s="17" t="s">
        <v>55</v>
      </c>
      <c r="M2" s="18" t="s">
        <v>56</v>
      </c>
      <c r="N2" s="17" t="s">
        <v>57</v>
      </c>
      <c r="O2" s="17" t="s">
        <v>58</v>
      </c>
      <c r="P2" s="17" t="s">
        <v>59</v>
      </c>
      <c r="Q2" s="17" t="s">
        <v>60</v>
      </c>
      <c r="R2" s="17" t="s">
        <v>61</v>
      </c>
      <c r="S2" s="17" t="s">
        <v>62</v>
      </c>
      <c r="T2" s="17" t="s">
        <v>63</v>
      </c>
      <c r="U2" s="17" t="s">
        <v>64</v>
      </c>
      <c r="V2" s="19" t="str">
        <f>A11</f>
        <v>VerDiasDeLaSemana</v>
      </c>
    </row>
    <row r="3" spans="1:22" ht="45" customHeight="1" x14ac:dyDescent="0.3">
      <c r="A3" s="20" t="str">
        <f>'M-DiaSemana'!A3</f>
        <v>id</v>
      </c>
      <c r="B3" s="21" t="str">
        <f>'M-DiaSemana'!A2</f>
        <v>Representa un identificador que hará unico cada objeto de dominio de este tipo, no se puede repetir</v>
      </c>
      <c r="C3" s="20" t="s">
        <v>65</v>
      </c>
      <c r="D3" s="20" t="s">
        <v>66</v>
      </c>
      <c r="E3" s="20" t="s">
        <v>65</v>
      </c>
      <c r="F3" s="20" t="s">
        <v>67</v>
      </c>
      <c r="G3" s="20" t="s">
        <v>67</v>
      </c>
      <c r="H3" s="20" t="s">
        <v>67</v>
      </c>
      <c r="I3" s="20" t="s">
        <v>67</v>
      </c>
      <c r="J3" s="20" t="s">
        <v>67</v>
      </c>
      <c r="K3" s="20" t="s">
        <v>67</v>
      </c>
      <c r="L3" s="20" t="s">
        <v>67</v>
      </c>
      <c r="M3" s="20" t="s">
        <v>67</v>
      </c>
      <c r="N3" s="20" t="s">
        <v>68</v>
      </c>
      <c r="O3" s="20" t="s">
        <v>67</v>
      </c>
      <c r="P3" s="20" t="s">
        <v>67</v>
      </c>
      <c r="Q3" s="20" t="s">
        <v>67</v>
      </c>
      <c r="R3" s="20" t="s">
        <v>67</v>
      </c>
      <c r="S3" s="20" t="s">
        <v>68</v>
      </c>
      <c r="T3" s="20" t="s">
        <v>69</v>
      </c>
      <c r="U3" s="20" t="s">
        <v>65</v>
      </c>
      <c r="V3" s="22" t="s">
        <v>70</v>
      </c>
    </row>
    <row r="4" spans="1:22" ht="45" customHeight="1" x14ac:dyDescent="0.3">
      <c r="A4" s="20" t="str">
        <f>'M-DiaSemana'!B3</f>
        <v>nombre</v>
      </c>
      <c r="B4" s="21" t="str">
        <f>'M-DiaSemana'!B2</f>
        <v>Representa como se llama el dia de la semana, para los horarios</v>
      </c>
      <c r="C4" s="20" t="s">
        <v>68</v>
      </c>
      <c r="D4" s="20" t="s">
        <v>71</v>
      </c>
      <c r="E4" s="20" t="s">
        <v>65</v>
      </c>
      <c r="F4" s="20">
        <v>5</v>
      </c>
      <c r="G4" s="20">
        <v>9</v>
      </c>
      <c r="H4" s="20" t="s">
        <v>67</v>
      </c>
      <c r="I4" s="20" t="s">
        <v>67</v>
      </c>
      <c r="J4" s="20" t="s">
        <v>67</v>
      </c>
      <c r="K4" s="20" t="s">
        <v>67</v>
      </c>
      <c r="L4" s="20" t="s">
        <v>67</v>
      </c>
      <c r="M4" s="21" t="s">
        <v>72</v>
      </c>
      <c r="N4" s="20" t="s">
        <v>68</v>
      </c>
      <c r="O4" s="20" t="s">
        <v>67</v>
      </c>
      <c r="P4" s="20" t="s">
        <v>67</v>
      </c>
      <c r="Q4" s="20" t="s">
        <v>65</v>
      </c>
      <c r="R4" s="20" t="s">
        <v>65</v>
      </c>
      <c r="S4" s="20" t="s">
        <v>68</v>
      </c>
      <c r="T4" s="20" t="s">
        <v>73</v>
      </c>
      <c r="U4" s="20" t="s">
        <v>68</v>
      </c>
      <c r="V4" s="22" t="s">
        <v>74</v>
      </c>
    </row>
    <row r="6" spans="1:22" ht="15" customHeight="1" x14ac:dyDescent="0.3">
      <c r="A6" s="23" t="s">
        <v>75</v>
      </c>
      <c r="B6" s="23" t="s">
        <v>76</v>
      </c>
      <c r="C6" s="23" t="s">
        <v>77</v>
      </c>
    </row>
    <row r="7" spans="1:22" ht="45" customHeight="1" x14ac:dyDescent="0.3">
      <c r="A7" s="24" t="str">
        <f>'M-DiaSemana'!C3</f>
        <v xml:space="preserve">Combinación única </v>
      </c>
      <c r="B7" s="25" t="str">
        <f>'M-DiaSemana'!C2</f>
        <v>Combinacion única que indica que no puede existir más un dia de la semana con el mismo nombre</v>
      </c>
      <c r="C7" s="26" t="s">
        <v>78</v>
      </c>
    </row>
    <row r="9" spans="1:22" x14ac:dyDescent="0.3">
      <c r="A9" s="243" t="s">
        <v>79</v>
      </c>
      <c r="B9" s="243"/>
      <c r="C9" s="239" t="s">
        <v>76</v>
      </c>
      <c r="D9" s="239"/>
      <c r="E9" s="239"/>
      <c r="F9" s="239"/>
      <c r="G9" s="239" t="s">
        <v>80</v>
      </c>
      <c r="H9" s="239"/>
      <c r="I9" s="239"/>
      <c r="J9" s="239" t="s">
        <v>81</v>
      </c>
      <c r="K9" s="239"/>
      <c r="L9" s="239"/>
      <c r="M9" s="239"/>
      <c r="N9" s="239"/>
      <c r="O9" s="239" t="s">
        <v>82</v>
      </c>
      <c r="P9" s="239"/>
      <c r="Q9" s="239" t="s">
        <v>83</v>
      </c>
      <c r="R9" s="239"/>
    </row>
    <row r="10" spans="1:22" x14ac:dyDescent="0.3">
      <c r="A10" s="243"/>
      <c r="B10" s="243"/>
      <c r="C10" s="239"/>
      <c r="D10" s="239"/>
      <c r="E10" s="239"/>
      <c r="F10" s="239"/>
      <c r="G10" s="27" t="s">
        <v>84</v>
      </c>
      <c r="H10" s="27" t="s">
        <v>47</v>
      </c>
      <c r="I10" s="27" t="s">
        <v>76</v>
      </c>
      <c r="J10" s="27" t="s">
        <v>85</v>
      </c>
      <c r="K10" s="240" t="s">
        <v>76</v>
      </c>
      <c r="L10" s="240"/>
      <c r="M10" s="240"/>
      <c r="N10" s="240"/>
      <c r="O10" s="27" t="s">
        <v>86</v>
      </c>
      <c r="P10" s="27" t="s">
        <v>76</v>
      </c>
      <c r="Q10" s="27" t="s">
        <v>87</v>
      </c>
      <c r="R10" s="28" t="s">
        <v>88</v>
      </c>
    </row>
    <row r="11" spans="1:22" ht="15" customHeight="1" x14ac:dyDescent="0.3">
      <c r="A11" s="241" t="s">
        <v>89</v>
      </c>
      <c r="B11" s="241"/>
      <c r="C11" s="242" t="s">
        <v>90</v>
      </c>
      <c r="D11" s="242"/>
      <c r="E11" s="242"/>
      <c r="F11" s="242"/>
      <c r="G11" s="30"/>
      <c r="H11" s="30"/>
      <c r="I11" s="31"/>
      <c r="J11" s="32" t="s">
        <v>91</v>
      </c>
      <c r="K11" s="242" t="s">
        <v>92</v>
      </c>
      <c r="L11" s="242"/>
      <c r="M11" s="242"/>
      <c r="N11" s="242"/>
      <c r="O11" s="30"/>
      <c r="P11" s="29"/>
      <c r="Q11" s="29"/>
      <c r="R11" s="22"/>
    </row>
  </sheetData>
  <mergeCells count="10">
    <mergeCell ref="Q9:R9"/>
    <mergeCell ref="K10:N10"/>
    <mergeCell ref="A11:B11"/>
    <mergeCell ref="C11:F11"/>
    <mergeCell ref="K11:N11"/>
    <mergeCell ref="A9:B10"/>
    <mergeCell ref="C9:F10"/>
    <mergeCell ref="G9:I9"/>
    <mergeCell ref="J9:N9"/>
    <mergeCell ref="O9:P9"/>
  </mergeCells>
  <hyperlinks>
    <hyperlink ref="A1" location="'Modelo de Dominio'!A1" display="&lt;&lt;&lt;&lt; Ir al modulo de dominio" xr:uid="{00000000-0004-0000-0200-000000000000}"/>
    <hyperlink ref="B1" location="'Objetos de Dominio'!A1" display="&lt;&lt;&lt;&lt; Ir a objetos de dominio" xr:uid="{00000000-0004-0000-0200-000001000000}"/>
    <hyperlink ref="V2" location="'C-DiaSemana'!A11" display="#'C-DiaSemana'.A11" xr:uid="{00000000-0004-0000-0200-000002000000}"/>
    <hyperlink ref="A3" location="'M-DiaSemana'!A3" display="#'M-DiaSemana'.A3" xr:uid="{00000000-0004-0000-0200-000003000000}"/>
    <hyperlink ref="B3" location="'M-DiaSemana'!A2" display="#'M-DiaSemana'.A2" xr:uid="{00000000-0004-0000-0200-000004000000}"/>
    <hyperlink ref="A4" location="'M-DiaSemana'!A3" display="#'M-DiaSemana'.A3" xr:uid="{00000000-0004-0000-0200-000005000000}"/>
    <hyperlink ref="B4" location="'M-DiaSemana'!A2" display="#'M-DiaSemana'.A2" xr:uid="{00000000-0004-0000-0200-000006000000}"/>
    <hyperlink ref="A7" location="'M-DiaSemana'!A3" display="#'M-DiaSemana'.A3" xr:uid="{00000000-0004-0000-0200-000007000000}"/>
    <hyperlink ref="B7" location="'M-DiaSemana'!A2" display="#'M-DiaSemana'.A2" xr:uid="{00000000-0004-0000-0200-000008000000}"/>
    <hyperlink ref="A11" location="'C-DiaSemana'!V2" display="VerDiasDeLaSemana" xr:uid="{00000000-0004-0000-0200-000009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showGridLines="0" zoomScaleNormal="100" workbookViewId="0"/>
  </sheetViews>
  <sheetFormatPr baseColWidth="10" defaultColWidth="8.6640625" defaultRowHeight="14.4" x14ac:dyDescent="0.3"/>
  <cols>
    <col min="1" max="1" width="20.6640625" customWidth="1"/>
    <col min="2" max="2" width="29.109375" customWidth="1"/>
    <col min="3" max="3" width="36.33203125" customWidth="1"/>
    <col min="4" max="4" width="37.6640625" customWidth="1"/>
    <col min="5" max="5" width="36.6640625" customWidth="1"/>
  </cols>
  <sheetData>
    <row r="1" spans="1:5" ht="15" customHeight="1" x14ac:dyDescent="0.3">
      <c r="A1" s="7" t="s">
        <v>93</v>
      </c>
      <c r="B1" s="7" t="s">
        <v>94</v>
      </c>
      <c r="C1" s="7" t="s">
        <v>95</v>
      </c>
      <c r="D1" s="7" t="s">
        <v>96</v>
      </c>
      <c r="E1" s="33" t="s">
        <v>97</v>
      </c>
    </row>
    <row r="2" spans="1:5" ht="15" customHeight="1" x14ac:dyDescent="0.3">
      <c r="A2" s="34" t="s">
        <v>98</v>
      </c>
      <c r="B2" s="244" t="str">
        <f>'Objetos de Dominio'!A3</f>
        <v>DiaSemana</v>
      </c>
      <c r="C2" s="244"/>
      <c r="D2" s="244"/>
      <c r="E2" s="244"/>
    </row>
    <row r="3" spans="1:5" ht="30" customHeight="1" x14ac:dyDescent="0.3">
      <c r="A3" s="35" t="s">
        <v>99</v>
      </c>
      <c r="B3" s="245" t="str">
        <f>'Objetos de Dominio'!B3</f>
        <v>Representa cada uno de los días de la semana, incluyendo festivo, que se usa como catálogo para definir los horarios de la barbería y de cada barbero.</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0" customHeight="1" x14ac:dyDescent="0.3">
      <c r="A6" s="36"/>
      <c r="B6" s="248" t="s">
        <v>104</v>
      </c>
      <c r="C6" s="248"/>
      <c r="D6" s="37"/>
      <c r="E6" s="37"/>
    </row>
    <row r="10" spans="1:5" ht="14.25" customHeight="1" x14ac:dyDescent="0.3">
      <c r="B10" s="38"/>
      <c r="C10" s="249"/>
      <c r="D10" s="249"/>
      <c r="E10" s="249"/>
    </row>
    <row r="11" spans="1:5" ht="14.25" customHeight="1" x14ac:dyDescent="0.3">
      <c r="B11" s="38"/>
      <c r="C11" s="250"/>
      <c r="D11" s="250"/>
      <c r="E11" s="250"/>
    </row>
    <row r="12" spans="1:5" ht="14.25" customHeight="1" x14ac:dyDescent="0.3">
      <c r="B12" s="251"/>
      <c r="C12" s="252"/>
      <c r="D12" s="252"/>
      <c r="E12" s="252"/>
    </row>
    <row r="13" spans="1:5" ht="14.25" customHeight="1" x14ac:dyDescent="0.3">
      <c r="B13" s="251"/>
      <c r="C13" s="251"/>
      <c r="D13" s="252"/>
      <c r="E13" s="252"/>
    </row>
  </sheetData>
  <mergeCells count="12">
    <mergeCell ref="B6:C6"/>
    <mergeCell ref="C10:E10"/>
    <mergeCell ref="C11:E11"/>
    <mergeCell ref="B12:B13"/>
    <mergeCell ref="C12:D13"/>
    <mergeCell ref="E12:E13"/>
    <mergeCell ref="B2:E2"/>
    <mergeCell ref="B3:E3"/>
    <mergeCell ref="A4:A5"/>
    <mergeCell ref="B4:C5"/>
    <mergeCell ref="D4:D5"/>
    <mergeCell ref="E4:E5"/>
  </mergeCells>
  <hyperlinks>
    <hyperlink ref="A1" location="'Modelo de Dominio'!A1" display="&lt;&lt; Ir al modelo de dominio" xr:uid="{00000000-0004-0000-0300-000000000000}"/>
    <hyperlink ref="B1" location="'Objetos de Dominio'!A1" display="&lt;&lt; Ir al listado de objetos de dominio" xr:uid="{00000000-0004-0000-0300-000001000000}"/>
    <hyperlink ref="C1" location="'C-DiaSemana'!A1" display="&lt;&lt; Ir a la caracterización del objeto de dominio" xr:uid="{00000000-0004-0000-0300-000002000000}"/>
    <hyperlink ref="D1" location="'M-DiaSemana'!A1" display="Ir al muestreo de datos del objeto de dominio &gt;&gt;" xr:uid="{00000000-0004-0000-0300-000003000000}"/>
    <hyperlink ref="E1" location="'E-DiaSemana'!A1" display="Ir al event storming del objeto de dominio &gt;&gt;" xr:uid="{00000000-0004-0000-0300-000004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
  <sheetViews>
    <sheetView showGridLines="0" zoomScaleNormal="100" workbookViewId="0"/>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34" t="s">
        <v>98</v>
      </c>
      <c r="B2" s="254" t="str">
        <f>'Objetos de Dominio'!A3</f>
        <v>DiaSemana</v>
      </c>
      <c r="C2" s="254"/>
      <c r="D2" s="254"/>
      <c r="E2" s="254"/>
      <c r="F2" s="254"/>
      <c r="G2" s="254"/>
      <c r="H2" s="254"/>
      <c r="I2" s="254"/>
      <c r="J2" s="254"/>
      <c r="K2" s="254"/>
    </row>
    <row r="3" spans="1:11" ht="30" customHeight="1" x14ac:dyDescent="0.3">
      <c r="A3" s="35" t="s">
        <v>99</v>
      </c>
      <c r="B3" s="259" t="str">
        <f>'Objetos de Dominio'!B3</f>
        <v>Representa cada uno de los días de la semana, incluyendo festivo, que se usa como catálogo para definir los horarios de la barbería y de cada barbero.</v>
      </c>
      <c r="C3" s="259"/>
      <c r="D3" s="259"/>
      <c r="E3" s="259"/>
      <c r="F3" s="259"/>
      <c r="G3" s="259"/>
      <c r="H3" s="259"/>
      <c r="I3" s="259"/>
      <c r="J3" s="259"/>
      <c r="K3" s="259"/>
    </row>
    <row r="4" spans="1:11" ht="34.5" customHeight="1" x14ac:dyDescent="0.3">
      <c r="A4" s="41" t="s">
        <v>105</v>
      </c>
      <c r="B4" s="256" t="s">
        <v>106</v>
      </c>
      <c r="C4" s="256"/>
      <c r="D4" s="42" t="s">
        <v>107</v>
      </c>
      <c r="E4" s="258" t="s">
        <v>108</v>
      </c>
      <c r="F4" s="258"/>
      <c r="G4" s="260" t="s">
        <v>109</v>
      </c>
      <c r="H4" s="260"/>
      <c r="I4" s="44" t="s">
        <v>110</v>
      </c>
      <c r="J4" s="45" t="s">
        <v>111</v>
      </c>
      <c r="K4" s="46" t="s">
        <v>112</v>
      </c>
    </row>
    <row r="5" spans="1:11" ht="15" customHeight="1" x14ac:dyDescent="0.3">
      <c r="A5" s="255" t="s">
        <v>105</v>
      </c>
      <c r="B5" s="256" t="s">
        <v>113</v>
      </c>
      <c r="C5" s="256" t="s">
        <v>76</v>
      </c>
      <c r="D5" s="257" t="s">
        <v>114</v>
      </c>
      <c r="E5" s="258" t="s">
        <v>115</v>
      </c>
      <c r="F5" s="258"/>
      <c r="G5" s="260" t="s">
        <v>116</v>
      </c>
      <c r="H5" s="260"/>
      <c r="I5" s="261" t="s">
        <v>117</v>
      </c>
      <c r="J5" s="262" t="s">
        <v>118</v>
      </c>
      <c r="K5" s="263" t="s">
        <v>119</v>
      </c>
    </row>
    <row r="6" spans="1:11" ht="15" customHeight="1" x14ac:dyDescent="0.3">
      <c r="A6" s="255"/>
      <c r="B6" s="255"/>
      <c r="C6" s="255"/>
      <c r="D6" s="255"/>
      <c r="E6" s="43" t="s">
        <v>120</v>
      </c>
      <c r="F6" s="43" t="s">
        <v>76</v>
      </c>
      <c r="G6" s="47" t="s">
        <v>121</v>
      </c>
      <c r="H6" s="47" t="s">
        <v>76</v>
      </c>
      <c r="I6" s="261"/>
      <c r="J6" s="261"/>
      <c r="K6" s="261"/>
    </row>
    <row r="7" spans="1:11" ht="30" customHeight="1" x14ac:dyDescent="0.3">
      <c r="A7" s="48" t="s">
        <v>122</v>
      </c>
      <c r="B7" s="49" t="s">
        <v>123</v>
      </c>
      <c r="C7" s="49" t="s">
        <v>124</v>
      </c>
      <c r="D7" s="48" t="str">
        <f>$B$2</f>
        <v>DiaSemana</v>
      </c>
      <c r="E7" s="49"/>
      <c r="F7" s="49"/>
      <c r="G7" s="48"/>
      <c r="H7" s="50"/>
      <c r="I7" s="48"/>
      <c r="J7" s="49" t="s">
        <v>125</v>
      </c>
      <c r="K7" s="49"/>
    </row>
    <row r="8" spans="1:11" ht="30" customHeight="1" x14ac:dyDescent="0.3">
      <c r="A8" s="48" t="s">
        <v>23</v>
      </c>
      <c r="B8" s="49" t="s">
        <v>123</v>
      </c>
      <c r="C8" s="49" t="s">
        <v>124</v>
      </c>
      <c r="D8" s="48" t="str">
        <f>$B$2</f>
        <v>DiaSemana</v>
      </c>
      <c r="E8" s="49"/>
      <c r="F8" s="49"/>
      <c r="G8" s="48"/>
      <c r="H8" s="50"/>
      <c r="I8" s="48"/>
      <c r="J8" s="49" t="s">
        <v>125</v>
      </c>
      <c r="K8" s="49"/>
    </row>
    <row r="13" spans="1:11" ht="14.25" customHeight="1" x14ac:dyDescent="0.3">
      <c r="I13" s="40"/>
    </row>
    <row r="14" spans="1:11" ht="14.25" customHeight="1" x14ac:dyDescent="0.3">
      <c r="I14" s="251"/>
    </row>
    <row r="15" spans="1:11" ht="14.25" customHeight="1" x14ac:dyDescent="0.3">
      <c r="I15" s="251"/>
    </row>
  </sheetData>
  <mergeCells count="19">
    <mergeCell ref="I14:I15"/>
    <mergeCell ref="B3:K3"/>
    <mergeCell ref="B4:C4"/>
    <mergeCell ref="E4:F4"/>
    <mergeCell ref="G4:H4"/>
    <mergeCell ref="G5:H5"/>
    <mergeCell ref="I5:I6"/>
    <mergeCell ref="J5:J6"/>
    <mergeCell ref="K5:K6"/>
    <mergeCell ref="A5:A6"/>
    <mergeCell ref="B5:B6"/>
    <mergeCell ref="C5:C6"/>
    <mergeCell ref="D5:D6"/>
    <mergeCell ref="E5:F5"/>
    <mergeCell ref="A1:B1"/>
    <mergeCell ref="C1:E1"/>
    <mergeCell ref="F1:I1"/>
    <mergeCell ref="J1:K1"/>
    <mergeCell ref="B2:K2"/>
  </mergeCells>
  <hyperlinks>
    <hyperlink ref="A1" location="'Modelo de Dominio'!A1" display="&lt;&lt; Ir al modelo de dominio" xr:uid="{00000000-0004-0000-0400-000000000000}"/>
    <hyperlink ref="C1" location="'Objetos de Dominio'!A1" display="&lt;&lt; Ir al listado de objetos de dominio" xr:uid="{00000000-0004-0000-0400-000001000000}"/>
    <hyperlink ref="F1" location="'C-DiaSemana'!A1" display="&lt;&lt; Ir a la caracterización del objeto de dominio" xr:uid="{00000000-0004-0000-0400-000002000000}"/>
    <hyperlink ref="J1" location="'M-DiaSemana'!A1" display="Ir al muestreo de datos del objeto de dominio &gt;&gt;" xr:uid="{00000000-0004-0000-0400-000003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zoomScaleNormal="100" workbookViewId="0">
      <selection activeCell="B1" sqref="B1"/>
    </sheetView>
  </sheetViews>
  <sheetFormatPr baseColWidth="10" defaultColWidth="8.6640625" defaultRowHeight="14.4" x14ac:dyDescent="0.3"/>
  <cols>
    <col min="1" max="1" width="27" customWidth="1"/>
    <col min="2" max="2" width="26.109375" customWidth="1"/>
    <col min="3" max="3" width="21.6640625" customWidth="1"/>
  </cols>
  <sheetData>
    <row r="1" spans="1:3" ht="14.25" customHeight="1" x14ac:dyDescent="0.3">
      <c r="A1" s="8" t="s">
        <v>1</v>
      </c>
      <c r="B1" s="8" t="s">
        <v>43</v>
      </c>
    </row>
    <row r="2" spans="1:3" ht="32.25" customHeight="1" x14ac:dyDescent="0.3">
      <c r="A2" s="51" t="s">
        <v>126</v>
      </c>
      <c r="B2" s="51" t="s">
        <v>127</v>
      </c>
      <c r="C2" s="52" t="s">
        <v>128</v>
      </c>
    </row>
    <row r="3" spans="1:3" ht="14.25" customHeight="1" x14ac:dyDescent="0.3">
      <c r="A3" s="53" t="s">
        <v>129</v>
      </c>
      <c r="B3" s="54" t="s">
        <v>78</v>
      </c>
      <c r="C3" s="55" t="s">
        <v>130</v>
      </c>
    </row>
    <row r="4" spans="1:3" ht="14.25" customHeight="1" x14ac:dyDescent="0.3">
      <c r="A4" s="56">
        <v>1</v>
      </c>
      <c r="B4" s="57" t="s">
        <v>131</v>
      </c>
      <c r="C4" s="57" t="str">
        <f t="shared" ref="C4:C11" si="0">B4</f>
        <v>Lunes</v>
      </c>
    </row>
    <row r="5" spans="1:3" ht="14.25" customHeight="1" x14ac:dyDescent="0.3">
      <c r="A5" s="56">
        <v>2</v>
      </c>
      <c r="B5" s="56" t="s">
        <v>132</v>
      </c>
      <c r="C5" s="57" t="str">
        <f t="shared" si="0"/>
        <v>Martes</v>
      </c>
    </row>
    <row r="6" spans="1:3" ht="14.25" customHeight="1" x14ac:dyDescent="0.3">
      <c r="A6" s="56">
        <v>3</v>
      </c>
      <c r="B6" s="57" t="s">
        <v>133</v>
      </c>
      <c r="C6" s="57" t="str">
        <f t="shared" si="0"/>
        <v>Miércoles</v>
      </c>
    </row>
    <row r="7" spans="1:3" ht="14.25" customHeight="1" x14ac:dyDescent="0.3">
      <c r="A7" s="56">
        <v>4</v>
      </c>
      <c r="B7" s="56" t="s">
        <v>134</v>
      </c>
      <c r="C7" s="57" t="str">
        <f t="shared" si="0"/>
        <v>Jueves</v>
      </c>
    </row>
    <row r="8" spans="1:3" ht="14.25" customHeight="1" x14ac:dyDescent="0.3">
      <c r="A8" s="56">
        <v>5</v>
      </c>
      <c r="B8" s="57" t="s">
        <v>135</v>
      </c>
      <c r="C8" s="57" t="str">
        <f t="shared" si="0"/>
        <v>Viernes</v>
      </c>
    </row>
    <row r="9" spans="1:3" ht="14.25" customHeight="1" x14ac:dyDescent="0.3">
      <c r="A9" s="56">
        <v>6</v>
      </c>
      <c r="B9" s="56" t="s">
        <v>136</v>
      </c>
      <c r="C9" s="57" t="str">
        <f t="shared" si="0"/>
        <v>Sábado</v>
      </c>
    </row>
    <row r="10" spans="1:3" ht="14.25" customHeight="1" x14ac:dyDescent="0.3">
      <c r="A10" s="56">
        <v>7</v>
      </c>
      <c r="B10" s="57" t="s">
        <v>137</v>
      </c>
      <c r="C10" s="57" t="str">
        <f t="shared" si="0"/>
        <v>Domingo</v>
      </c>
    </row>
    <row r="11" spans="1:3" ht="14.25" customHeight="1" x14ac:dyDescent="0.3">
      <c r="A11" s="56">
        <v>8</v>
      </c>
      <c r="B11" s="56" t="s">
        <v>138</v>
      </c>
      <c r="C11" s="57" t="str">
        <f t="shared" si="0"/>
        <v>Festivo</v>
      </c>
    </row>
    <row r="12" spans="1:3" ht="14.25" customHeight="1" x14ac:dyDescent="0.3">
      <c r="A12" s="58"/>
      <c r="B12" s="58"/>
    </row>
    <row r="13" spans="1:3" ht="14.25" customHeight="1" x14ac:dyDescent="0.3">
      <c r="A13" s="58"/>
      <c r="B13" s="58"/>
    </row>
    <row r="14" spans="1:3" ht="14.25" customHeight="1" x14ac:dyDescent="0.3">
      <c r="A14" s="58"/>
      <c r="B14" s="58"/>
    </row>
    <row r="15" spans="1:3" ht="14.25" customHeight="1" x14ac:dyDescent="0.3">
      <c r="A15" s="58"/>
      <c r="B15" s="58"/>
    </row>
    <row r="17" spans="1:2" ht="28.5" customHeight="1" x14ac:dyDescent="0.3">
      <c r="A17" s="59"/>
      <c r="B17" s="60" t="s">
        <v>139</v>
      </c>
    </row>
    <row r="18" spans="1:2" ht="28.5" customHeight="1" x14ac:dyDescent="0.3">
      <c r="A18" s="61"/>
      <c r="B18" s="60" t="s">
        <v>140</v>
      </c>
    </row>
    <row r="19" spans="1:2" ht="28.5" customHeight="1" x14ac:dyDescent="0.3">
      <c r="A19" s="62"/>
      <c r="B19" s="60" t="s">
        <v>141</v>
      </c>
    </row>
    <row r="20" spans="1:2" ht="28.5" customHeight="1" x14ac:dyDescent="0.3">
      <c r="A20" s="63"/>
      <c r="B20" s="60" t="s">
        <v>142</v>
      </c>
    </row>
  </sheetData>
  <hyperlinks>
    <hyperlink ref="A1" location="'Modelo de Dominio'!A1" display="&lt;&lt;&lt;&lt; Ir al modulo de dominio" xr:uid="{00000000-0004-0000-0500-000000000000}"/>
    <hyperlink ref="B1" location="'Objetos de Dominio'!A1" display="&lt;&lt;&lt;&lt; Ir a objetos de dominio" xr:uid="{00000000-0004-0000-0500-000001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5"/>
  <sheetViews>
    <sheetView zoomScaleNormal="100" workbookViewId="0">
      <selection activeCell="B1" sqref="B1"/>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26.6640625" customWidth="1"/>
    <col min="14" max="14" width="14.33203125"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 min="22" max="22" width="24.33203125" customWidth="1"/>
    <col min="23" max="23" width="12.88671875" customWidth="1"/>
    <col min="24" max="24" width="14.5546875" customWidth="1"/>
    <col min="25" max="25" width="19.5546875" customWidth="1"/>
  </cols>
  <sheetData>
    <row r="1" spans="1:25" ht="15" customHeight="1" x14ac:dyDescent="0.3">
      <c r="A1" s="8" t="s">
        <v>1</v>
      </c>
      <c r="B1" s="8" t="s">
        <v>43</v>
      </c>
    </row>
    <row r="2" spans="1:25" ht="15" customHeight="1" x14ac:dyDescent="0.3">
      <c r="A2" s="17" t="s">
        <v>44</v>
      </c>
      <c r="B2" s="18" t="s">
        <v>45</v>
      </c>
      <c r="C2" s="17" t="s">
        <v>46</v>
      </c>
      <c r="D2" s="17" t="s">
        <v>47</v>
      </c>
      <c r="E2" s="17" t="s">
        <v>48</v>
      </c>
      <c r="F2" s="17" t="s">
        <v>49</v>
      </c>
      <c r="G2" s="17" t="s">
        <v>50</v>
      </c>
      <c r="H2" s="17" t="s">
        <v>51</v>
      </c>
      <c r="I2" s="17" t="s">
        <v>52</v>
      </c>
      <c r="J2" s="17" t="s">
        <v>53</v>
      </c>
      <c r="K2" s="17" t="s">
        <v>54</v>
      </c>
      <c r="L2" s="17" t="s">
        <v>55</v>
      </c>
      <c r="M2" s="18" t="s">
        <v>56</v>
      </c>
      <c r="N2" s="17" t="s">
        <v>57</v>
      </c>
      <c r="O2" s="17" t="s">
        <v>58</v>
      </c>
      <c r="P2" s="17" t="s">
        <v>59</v>
      </c>
      <c r="Q2" s="17" t="s">
        <v>60</v>
      </c>
      <c r="R2" s="17" t="s">
        <v>61</v>
      </c>
      <c r="S2" s="17" t="s">
        <v>62</v>
      </c>
      <c r="T2" s="17" t="s">
        <v>63</v>
      </c>
      <c r="U2" s="17" t="s">
        <v>64</v>
      </c>
      <c r="V2" s="64" t="str">
        <f>A12</f>
        <v>consultarTodosLosEstados</v>
      </c>
      <c r="W2" s="65" t="str">
        <f>A13</f>
        <v>editarDescripcion</v>
      </c>
      <c r="X2" s="65" t="s">
        <v>143</v>
      </c>
      <c r="Y2" s="66" t="str">
        <f>A15</f>
        <v>consultarDescripcion</v>
      </c>
    </row>
    <row r="3" spans="1:25" ht="45" customHeight="1" x14ac:dyDescent="0.3">
      <c r="A3" s="20" t="str">
        <f>'M-Estado'!A3</f>
        <v>id</v>
      </c>
      <c r="B3" s="21" t="str">
        <f>'M-Estado'!A2</f>
        <v>Representa un identificador que hará unico cada objeto de dominio de este tipo, no se puede repetir</v>
      </c>
      <c r="C3" s="20" t="s">
        <v>65</v>
      </c>
      <c r="D3" s="20" t="s">
        <v>66</v>
      </c>
      <c r="E3" s="20" t="s">
        <v>65</v>
      </c>
      <c r="F3" s="20" t="s">
        <v>67</v>
      </c>
      <c r="G3" s="20" t="s">
        <v>67</v>
      </c>
      <c r="H3" s="20" t="s">
        <v>67</v>
      </c>
      <c r="I3" s="20" t="s">
        <v>67</v>
      </c>
      <c r="J3" s="20" t="s">
        <v>67</v>
      </c>
      <c r="K3" s="20" t="s">
        <v>67</v>
      </c>
      <c r="L3" s="20" t="s">
        <v>67</v>
      </c>
      <c r="M3" s="20" t="s">
        <v>67</v>
      </c>
      <c r="N3" s="20" t="s">
        <v>68</v>
      </c>
      <c r="O3" s="20" t="s">
        <v>67</v>
      </c>
      <c r="P3" s="20" t="s">
        <v>67</v>
      </c>
      <c r="Q3" s="20" t="s">
        <v>67</v>
      </c>
      <c r="R3" s="20" t="s">
        <v>67</v>
      </c>
      <c r="S3" s="20" t="s">
        <v>67</v>
      </c>
      <c r="T3" s="20" t="s">
        <v>69</v>
      </c>
      <c r="U3" s="20" t="s">
        <v>65</v>
      </c>
      <c r="V3" s="30" t="s">
        <v>70</v>
      </c>
      <c r="W3" s="67" t="s">
        <v>144</v>
      </c>
      <c r="X3" s="67" t="s">
        <v>145</v>
      </c>
      <c r="Y3" s="68" t="s">
        <v>70</v>
      </c>
    </row>
    <row r="4" spans="1:25" ht="45" customHeight="1" x14ac:dyDescent="0.3">
      <c r="A4" s="20" t="str">
        <f>'M-Estado'!B3</f>
        <v>nombre</v>
      </c>
      <c r="B4" s="21" t="str">
        <f>'M-Estado'!B2</f>
        <v>Representa como se llama el estado en el que se encuentra una cita puntual</v>
      </c>
      <c r="C4" s="20" t="s">
        <v>68</v>
      </c>
      <c r="D4" s="20" t="s">
        <v>71</v>
      </c>
      <c r="E4" s="20" t="s">
        <v>65</v>
      </c>
      <c r="F4" s="20">
        <v>4</v>
      </c>
      <c r="G4" s="20">
        <v>50</v>
      </c>
      <c r="H4" s="20" t="s">
        <v>67</v>
      </c>
      <c r="I4" s="20" t="s">
        <v>67</v>
      </c>
      <c r="J4" s="20" t="s">
        <v>67</v>
      </c>
      <c r="K4" s="20" t="s">
        <v>67</v>
      </c>
      <c r="L4" s="20" t="s">
        <v>67</v>
      </c>
      <c r="M4" s="21" t="s">
        <v>146</v>
      </c>
      <c r="N4" s="20" t="s">
        <v>68</v>
      </c>
      <c r="O4" s="20" t="s">
        <v>67</v>
      </c>
      <c r="P4" s="20" t="s">
        <v>67</v>
      </c>
      <c r="Q4" s="20" t="s">
        <v>65</v>
      </c>
      <c r="R4" s="20" t="s">
        <v>65</v>
      </c>
      <c r="S4" s="20" t="s">
        <v>68</v>
      </c>
      <c r="T4" s="20" t="s">
        <v>73</v>
      </c>
      <c r="U4" s="20" t="s">
        <v>68</v>
      </c>
      <c r="V4" s="30" t="s">
        <v>74</v>
      </c>
      <c r="W4" s="67" t="s">
        <v>147</v>
      </c>
      <c r="X4" s="67" t="s">
        <v>145</v>
      </c>
      <c r="Y4" s="68" t="s">
        <v>70</v>
      </c>
    </row>
    <row r="5" spans="1:25" ht="60" customHeight="1" x14ac:dyDescent="0.3">
      <c r="A5" s="20" t="str">
        <f>'M-Estado'!C3</f>
        <v>descripcion</v>
      </c>
      <c r="B5" s="21" t="str">
        <f>'M-Estado'!C2</f>
        <v>Representa el significado de que representa cada estado para la cita</v>
      </c>
      <c r="C5" s="20" t="s">
        <v>68</v>
      </c>
      <c r="D5" s="20" t="s">
        <v>71</v>
      </c>
      <c r="E5" s="20" t="s">
        <v>65</v>
      </c>
      <c r="F5" s="20">
        <v>10</v>
      </c>
      <c r="G5" s="20">
        <v>300</v>
      </c>
      <c r="H5" s="20" t="s">
        <v>67</v>
      </c>
      <c r="I5" s="20" t="s">
        <v>67</v>
      </c>
      <c r="J5" s="20" t="s">
        <v>67</v>
      </c>
      <c r="K5" s="20" t="s">
        <v>67</v>
      </c>
      <c r="L5" s="20" t="s">
        <v>67</v>
      </c>
      <c r="M5" s="21" t="s">
        <v>148</v>
      </c>
      <c r="N5" s="20" t="s">
        <v>68</v>
      </c>
      <c r="O5" s="20" t="s">
        <v>67</v>
      </c>
      <c r="P5" s="20" t="s">
        <v>67</v>
      </c>
      <c r="Q5" s="20" t="s">
        <v>65</v>
      </c>
      <c r="R5" s="20" t="s">
        <v>65</v>
      </c>
      <c r="S5" s="20" t="s">
        <v>68</v>
      </c>
      <c r="T5" s="20" t="s">
        <v>73</v>
      </c>
      <c r="U5" s="20" t="s">
        <v>68</v>
      </c>
      <c r="V5" s="30" t="s">
        <v>70</v>
      </c>
      <c r="W5" s="67" t="s">
        <v>144</v>
      </c>
      <c r="X5" s="67" t="s">
        <v>149</v>
      </c>
      <c r="Y5" s="68" t="s">
        <v>74</v>
      </c>
    </row>
    <row r="7" spans="1:25" ht="15" customHeight="1" x14ac:dyDescent="0.3">
      <c r="A7" s="23" t="s">
        <v>75</v>
      </c>
      <c r="B7" s="23" t="s">
        <v>76</v>
      </c>
      <c r="C7" s="23" t="s">
        <v>77</v>
      </c>
    </row>
    <row r="8" spans="1:25" ht="45" customHeight="1" x14ac:dyDescent="0.3">
      <c r="A8" s="24" t="str">
        <f>'M-Estado'!D3</f>
        <v xml:space="preserve">Combinación única </v>
      </c>
      <c r="B8" s="25" t="str">
        <f>'M-Estado'!D2</f>
        <v>Combinacion única que indica que no puede existir más un dia de la semana con el mismo nombre</v>
      </c>
      <c r="C8" s="26" t="s">
        <v>78</v>
      </c>
    </row>
    <row r="10" spans="1:25" x14ac:dyDescent="0.3">
      <c r="A10" s="243" t="s">
        <v>79</v>
      </c>
      <c r="B10" s="243"/>
      <c r="C10" s="239" t="s">
        <v>76</v>
      </c>
      <c r="D10" s="239"/>
      <c r="E10" s="239"/>
      <c r="F10" s="239"/>
      <c r="G10" s="239" t="s">
        <v>80</v>
      </c>
      <c r="H10" s="239"/>
      <c r="I10" s="239"/>
      <c r="J10" s="239" t="s">
        <v>81</v>
      </c>
      <c r="K10" s="239"/>
      <c r="L10" s="239"/>
      <c r="M10" s="239"/>
      <c r="N10" s="239"/>
      <c r="O10" s="239" t="s">
        <v>82</v>
      </c>
      <c r="P10" s="239"/>
      <c r="Q10" s="239" t="s">
        <v>83</v>
      </c>
      <c r="R10" s="239"/>
    </row>
    <row r="11" spans="1:25" x14ac:dyDescent="0.3">
      <c r="A11" s="243"/>
      <c r="B11" s="243"/>
      <c r="C11" s="239"/>
      <c r="D11" s="239"/>
      <c r="E11" s="239"/>
      <c r="F11" s="239"/>
      <c r="G11" s="27" t="s">
        <v>84</v>
      </c>
      <c r="H11" s="27" t="s">
        <v>47</v>
      </c>
      <c r="I11" s="27" t="s">
        <v>76</v>
      </c>
      <c r="J11" s="27" t="s">
        <v>85</v>
      </c>
      <c r="K11" s="240" t="s">
        <v>76</v>
      </c>
      <c r="L11" s="240"/>
      <c r="M11" s="240"/>
      <c r="N11" s="240"/>
      <c r="O11" s="27" t="s">
        <v>86</v>
      </c>
      <c r="P11" s="27" t="s">
        <v>76</v>
      </c>
      <c r="Q11" s="27" t="s">
        <v>87</v>
      </c>
      <c r="R11" s="27" t="s">
        <v>88</v>
      </c>
    </row>
    <row r="12" spans="1:25" ht="42" customHeight="1" x14ac:dyDescent="0.3">
      <c r="A12" s="264" t="s">
        <v>150</v>
      </c>
      <c r="B12" s="264"/>
      <c r="C12" s="242" t="s">
        <v>151</v>
      </c>
      <c r="D12" s="242"/>
      <c r="E12" s="242"/>
      <c r="F12" s="242"/>
      <c r="G12" s="30"/>
      <c r="H12" s="30"/>
      <c r="I12" s="31"/>
      <c r="J12" s="69" t="s">
        <v>152</v>
      </c>
      <c r="K12" s="242" t="s">
        <v>153</v>
      </c>
      <c r="L12" s="242"/>
      <c r="M12" s="242"/>
      <c r="N12" s="242"/>
      <c r="O12" s="30"/>
      <c r="P12" s="29"/>
      <c r="Q12" s="29"/>
      <c r="R12" s="30"/>
    </row>
    <row r="13" spans="1:25" ht="54.75" customHeight="1" x14ac:dyDescent="0.3">
      <c r="A13" s="265" t="s">
        <v>154</v>
      </c>
      <c r="B13" s="265"/>
      <c r="C13" s="266" t="s">
        <v>155</v>
      </c>
      <c r="D13" s="266"/>
      <c r="E13" s="266"/>
      <c r="F13" s="266"/>
      <c r="G13" s="67" t="s">
        <v>129</v>
      </c>
      <c r="H13" s="67" t="s">
        <v>156</v>
      </c>
      <c r="I13" s="71" t="s">
        <v>157</v>
      </c>
      <c r="J13" s="267"/>
      <c r="K13" s="266" t="s">
        <v>158</v>
      </c>
      <c r="L13" s="266"/>
      <c r="M13" s="266"/>
      <c r="N13" s="266"/>
      <c r="O13" s="67" t="str">
        <f>'P-Estado'!A7</f>
        <v>P-EST-0002</v>
      </c>
      <c r="P13" s="70" t="str">
        <f>'P-Estado'!B7</f>
        <v>Asegurar que exista el estado con el id enviado</v>
      </c>
      <c r="Q13" s="72" t="s">
        <v>159</v>
      </c>
      <c r="R13" s="73" t="s">
        <v>160</v>
      </c>
    </row>
    <row r="14" spans="1:25" ht="60" customHeight="1" x14ac:dyDescent="0.3">
      <c r="A14" s="265"/>
      <c r="B14" s="265"/>
      <c r="C14" s="266"/>
      <c r="D14" s="266"/>
      <c r="E14" s="266"/>
      <c r="F14" s="266"/>
      <c r="G14" s="67" t="s">
        <v>161</v>
      </c>
      <c r="H14" s="67" t="s">
        <v>15</v>
      </c>
      <c r="I14" s="71" t="s">
        <v>162</v>
      </c>
      <c r="J14" s="267"/>
      <c r="K14" s="266"/>
      <c r="L14" s="266"/>
      <c r="M14" s="266"/>
      <c r="N14" s="266"/>
      <c r="O14" s="67" t="str">
        <f>'P-Estado'!A6</f>
        <v>P-EST-0001</v>
      </c>
      <c r="P14" s="70" t="str">
        <f>'P-Estado'!B6</f>
        <v>Asegurar que los datos requeridos (descripción) sean válidos en tipo de dato, longitud, formato y rango</v>
      </c>
      <c r="Q14" s="70" t="s">
        <v>163</v>
      </c>
      <c r="R14" s="67" t="s">
        <v>164</v>
      </c>
    </row>
    <row r="15" spans="1:25" ht="45" customHeight="1" x14ac:dyDescent="0.3">
      <c r="A15" s="268" t="s">
        <v>165</v>
      </c>
      <c r="B15" s="268"/>
      <c r="C15" s="269" t="s">
        <v>166</v>
      </c>
      <c r="D15" s="269"/>
      <c r="E15" s="269"/>
      <c r="F15" s="269"/>
      <c r="G15" s="68" t="s">
        <v>167</v>
      </c>
      <c r="H15" s="68" t="s">
        <v>15</v>
      </c>
      <c r="I15" s="75" t="s">
        <v>168</v>
      </c>
      <c r="J15" s="76" t="s">
        <v>71</v>
      </c>
      <c r="K15" s="269" t="s">
        <v>169</v>
      </c>
      <c r="L15" s="269"/>
      <c r="M15" s="269"/>
      <c r="N15" s="269"/>
      <c r="O15" s="68" t="str">
        <f>'P-Estado'!A7</f>
        <v>P-EST-0002</v>
      </c>
      <c r="P15" s="74" t="str">
        <f>'P-Estado'!B7</f>
        <v>Asegurar que exista el estado con el id enviado</v>
      </c>
      <c r="Q15" s="74" t="s">
        <v>170</v>
      </c>
      <c r="R15" s="68" t="s">
        <v>160</v>
      </c>
    </row>
  </sheetData>
  <mergeCells count="17">
    <mergeCell ref="A13:B14"/>
    <mergeCell ref="C13:F14"/>
    <mergeCell ref="J13:J14"/>
    <mergeCell ref="K13:N14"/>
    <mergeCell ref="A15:B15"/>
    <mergeCell ref="C15:F15"/>
    <mergeCell ref="K15:N15"/>
    <mergeCell ref="Q10:R10"/>
    <mergeCell ref="K11:N11"/>
    <mergeCell ref="A12:B12"/>
    <mergeCell ref="C12:F12"/>
    <mergeCell ref="K12:N12"/>
    <mergeCell ref="A10:B11"/>
    <mergeCell ref="C10:F11"/>
    <mergeCell ref="G10:I10"/>
    <mergeCell ref="J10:N10"/>
    <mergeCell ref="O10:P10"/>
  </mergeCells>
  <hyperlinks>
    <hyperlink ref="A1" location="'Modelo de Dominio'!A1" display="&lt;&lt;&lt;&lt; Ir al modulo de dominio" xr:uid="{00000000-0004-0000-0600-000000000000}"/>
    <hyperlink ref="B1" location="'Objetos de Dominio'!A1" display="&lt;&lt;&lt;&lt; Ir a objetos de dominio" xr:uid="{00000000-0004-0000-0600-000001000000}"/>
    <hyperlink ref="V2" location="'C-Estado'!A12" display="#'C-Estado'.A12" xr:uid="{00000000-0004-0000-0600-000002000000}"/>
    <hyperlink ref="W2" location="'C-Estado'!A13" display="#'C-Estado'.A13" xr:uid="{00000000-0004-0000-0600-000003000000}"/>
    <hyperlink ref="X2" location="'C-Estado'!A13" display="'C-Estado'!A13" xr:uid="{00000000-0004-0000-0600-000004000000}"/>
    <hyperlink ref="Y2" location="'C-Estado'!A15" display="#'C-Estado'.A15" xr:uid="{00000000-0004-0000-0600-000005000000}"/>
    <hyperlink ref="A3" location="'M-Estado'!A3" display="#'M-Estado'.A3" xr:uid="{00000000-0004-0000-0600-000006000000}"/>
    <hyperlink ref="B3" location="'M-Estado'!A2" display="#'M-Estado'.A2" xr:uid="{00000000-0004-0000-0600-000007000000}"/>
    <hyperlink ref="A4" location="'M-Estado'!A3" display="#'M-Estado'.A3" xr:uid="{00000000-0004-0000-0600-000008000000}"/>
    <hyperlink ref="B4" location="'M-Estado'!A2" display="#'M-Estado'.A2" xr:uid="{00000000-0004-0000-0600-000009000000}"/>
    <hyperlink ref="A5" location="'M-Estado'!A3" display="#'M-Estado'.A3" xr:uid="{00000000-0004-0000-0600-00000A000000}"/>
    <hyperlink ref="B5" location="'M-Estado'!A2" display="#'M-Estado'.A2" xr:uid="{00000000-0004-0000-0600-00000B000000}"/>
    <hyperlink ref="A8" location="'M-Estado'!A3" display="#'M-Estado'.A3" xr:uid="{00000000-0004-0000-0600-00000C000000}"/>
    <hyperlink ref="B8" location="'M-Estado'!A2" display="#'M-Estado'.A2" xr:uid="{00000000-0004-0000-0600-00000D000000}"/>
    <hyperlink ref="A12" location="'C-Estado'!V2" display="consultarTodosLosEstados" xr:uid="{00000000-0004-0000-0600-00000E000000}"/>
    <hyperlink ref="A13" location="'C-Estado'!W2" display="editarDescripcion" xr:uid="{00000000-0004-0000-0600-00000F000000}"/>
    <hyperlink ref="A15" location="'C-Estado'!Y2" display="consultarDescripcion" xr:uid="{00000000-0004-0000-0600-000010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showGridLines="0" zoomScaleNormal="100" workbookViewId="0">
      <selection activeCell="D17" sqref="D17"/>
    </sheetView>
  </sheetViews>
  <sheetFormatPr baseColWidth="10" defaultColWidth="8.6640625" defaultRowHeight="14.4" x14ac:dyDescent="0.3"/>
  <cols>
    <col min="1" max="1" width="20.6640625" customWidth="1"/>
    <col min="2" max="2" width="29.109375" customWidth="1"/>
    <col min="3" max="3" width="36.33203125" customWidth="1"/>
    <col min="4" max="4" width="37.109375" customWidth="1"/>
    <col min="5" max="5" width="36.66406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Dominio'!A4</f>
        <v>Estado</v>
      </c>
      <c r="C2" s="244"/>
      <c r="D2" s="244"/>
      <c r="E2" s="244"/>
    </row>
    <row r="3" spans="1:5" ht="30" customHeight="1" x14ac:dyDescent="0.3">
      <c r="A3" s="35" t="s">
        <v>99</v>
      </c>
      <c r="B3" s="245" t="str">
        <f>'Objetos de Dominio'!B4</f>
        <v>Representa en qué situación puntual se encuentra una cita: agendada, finalizada, cancelada por alguna de las partes, con tardanza del cliente o del barbero, o con inasistencia del cliente.</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0" customHeight="1" x14ac:dyDescent="0.3">
      <c r="A6" s="36" t="s">
        <v>171</v>
      </c>
      <c r="B6" s="248" t="s">
        <v>172</v>
      </c>
      <c r="C6" s="248"/>
      <c r="D6" s="37" t="s">
        <v>15</v>
      </c>
      <c r="E6" s="37"/>
    </row>
    <row r="7" spans="1:5" ht="15" customHeight="1" x14ac:dyDescent="0.3">
      <c r="A7" s="36" t="s">
        <v>173</v>
      </c>
      <c r="B7" s="248" t="s">
        <v>174</v>
      </c>
      <c r="C7" s="248"/>
      <c r="D7" s="37" t="s">
        <v>15</v>
      </c>
      <c r="E7" s="37"/>
    </row>
  </sheetData>
  <mergeCells count="8">
    <mergeCell ref="B6:C6"/>
    <mergeCell ref="B7:C7"/>
    <mergeCell ref="B2:E2"/>
    <mergeCell ref="B3:E3"/>
    <mergeCell ref="A4:A5"/>
    <mergeCell ref="B4:C5"/>
    <mergeCell ref="D4:D5"/>
    <mergeCell ref="E4:E5"/>
  </mergeCells>
  <hyperlinks>
    <hyperlink ref="A1" location="'Modelo de Dominio'!A1" display="&lt;&lt; Ir al modelo de dominio" xr:uid="{00000000-0004-0000-0700-000000000000}"/>
    <hyperlink ref="B1" location="'Objetos de Dominio'!A1" display="&lt;&lt; Ir al listado de objetos de dominio" xr:uid="{00000000-0004-0000-0700-000001000000}"/>
    <hyperlink ref="C1" location="'C-Estado'!A1" display="&lt;&lt; Ir a la caracterización del objeto de dominio" xr:uid="{00000000-0004-0000-0700-000002000000}"/>
    <hyperlink ref="D1" location="'M-Estado'!A1" display="Ir al muestreo de datos del objeto de dominio &gt;&gt;" xr:uid="{00000000-0004-0000-0700-000003000000}"/>
    <hyperlink ref="E1" location="'E-Estado'!A1" display="Ir al event storming del objeto de dominio &gt;&gt;" xr:uid="{00000000-0004-0000-0700-000004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
  <sheetViews>
    <sheetView showGridLines="0" zoomScaleNormal="100" workbookViewId="0">
      <selection activeCell="C16" sqref="C16"/>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0.10937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78" t="s">
        <v>98</v>
      </c>
      <c r="B2" s="270" t="str">
        <f>'Objetos de Dominio'!A4</f>
        <v>Estado</v>
      </c>
      <c r="C2" s="270"/>
      <c r="D2" s="270"/>
      <c r="E2" s="270"/>
      <c r="F2" s="270"/>
      <c r="G2" s="270"/>
      <c r="H2" s="270"/>
      <c r="I2" s="270"/>
      <c r="J2" s="270"/>
      <c r="K2" s="270"/>
    </row>
    <row r="3" spans="1:11" ht="30" customHeight="1" x14ac:dyDescent="0.3">
      <c r="A3" s="79" t="s">
        <v>99</v>
      </c>
      <c r="B3" s="271" t="str">
        <f>'Objetos de Dominio'!B4</f>
        <v>Representa en qué situación puntual se encuentra una cita: agendada, finalizada, cancelada por alguna de las partes, con tardanza del cliente o del barbero, o con inasistencia del cliente.</v>
      </c>
      <c r="C3" s="271"/>
      <c r="D3" s="271"/>
      <c r="E3" s="271"/>
      <c r="F3" s="271"/>
      <c r="G3" s="271"/>
      <c r="H3" s="271"/>
      <c r="I3" s="271"/>
      <c r="J3" s="271"/>
      <c r="K3" s="271"/>
    </row>
    <row r="4" spans="1:11" ht="34.5" customHeight="1" x14ac:dyDescent="0.3">
      <c r="A4" s="41" t="s">
        <v>105</v>
      </c>
      <c r="B4" s="272" t="s">
        <v>106</v>
      </c>
      <c r="C4" s="272"/>
      <c r="D4" s="42" t="s">
        <v>107</v>
      </c>
      <c r="E4" s="258" t="s">
        <v>108</v>
      </c>
      <c r="F4" s="258"/>
      <c r="G4" s="260" t="s">
        <v>109</v>
      </c>
      <c r="H4" s="260"/>
      <c r="I4" s="80" t="s">
        <v>110</v>
      </c>
      <c r="J4" s="45" t="s">
        <v>111</v>
      </c>
      <c r="K4" s="81" t="s">
        <v>112</v>
      </c>
    </row>
    <row r="5" spans="1:11" ht="15" customHeight="1" x14ac:dyDescent="0.3">
      <c r="A5" s="255" t="s">
        <v>105</v>
      </c>
      <c r="B5" s="272" t="s">
        <v>113</v>
      </c>
      <c r="C5" s="272" t="s">
        <v>76</v>
      </c>
      <c r="D5" s="257" t="s">
        <v>114</v>
      </c>
      <c r="E5" s="258" t="s">
        <v>115</v>
      </c>
      <c r="F5" s="258"/>
      <c r="G5" s="260" t="s">
        <v>116</v>
      </c>
      <c r="H5" s="260"/>
      <c r="I5" s="273" t="s">
        <v>117</v>
      </c>
      <c r="J5" s="262" t="s">
        <v>118</v>
      </c>
      <c r="K5" s="274" t="s">
        <v>119</v>
      </c>
    </row>
    <row r="6" spans="1:11" ht="15" customHeight="1" x14ac:dyDescent="0.3">
      <c r="A6" s="255"/>
      <c r="B6" s="255"/>
      <c r="C6" s="255"/>
      <c r="D6" s="255"/>
      <c r="E6" s="43" t="s">
        <v>120</v>
      </c>
      <c r="F6" s="43" t="s">
        <v>76</v>
      </c>
      <c r="G6" s="47" t="s">
        <v>121</v>
      </c>
      <c r="H6" s="47" t="s">
        <v>76</v>
      </c>
      <c r="I6" s="273"/>
      <c r="J6" s="273"/>
      <c r="K6" s="273"/>
    </row>
    <row r="7" spans="1:11" ht="30" customHeight="1" x14ac:dyDescent="0.3">
      <c r="A7" s="48" t="s">
        <v>122</v>
      </c>
      <c r="B7" s="49" t="s">
        <v>175</v>
      </c>
      <c r="C7" s="49" t="s">
        <v>151</v>
      </c>
      <c r="D7" s="48" t="str">
        <f t="shared" ref="D7:D13" si="0">$B$2</f>
        <v>Estado</v>
      </c>
      <c r="E7" s="49"/>
      <c r="F7" s="49"/>
      <c r="G7" s="48"/>
      <c r="H7" s="50"/>
      <c r="I7" s="48"/>
      <c r="J7" s="49" t="s">
        <v>176</v>
      </c>
      <c r="K7" s="49"/>
    </row>
    <row r="8" spans="1:11" ht="30" customHeight="1" x14ac:dyDescent="0.3">
      <c r="A8" s="48" t="s">
        <v>23</v>
      </c>
      <c r="B8" s="49" t="s">
        <v>175</v>
      </c>
      <c r="C8" s="49" t="s">
        <v>151</v>
      </c>
      <c r="D8" s="48" t="str">
        <f t="shared" si="0"/>
        <v>Estado</v>
      </c>
      <c r="E8" s="49"/>
      <c r="F8" s="49"/>
      <c r="G8" s="48"/>
      <c r="H8" s="50"/>
      <c r="I8" s="48"/>
      <c r="J8" s="49" t="s">
        <v>176</v>
      </c>
      <c r="K8" s="49"/>
    </row>
    <row r="9" spans="1:11" ht="30" customHeight="1" x14ac:dyDescent="0.3">
      <c r="A9" s="48" t="s">
        <v>25</v>
      </c>
      <c r="B9" s="49" t="s">
        <v>175</v>
      </c>
      <c r="C9" s="49" t="s">
        <v>151</v>
      </c>
      <c r="D9" s="48" t="str">
        <f t="shared" si="0"/>
        <v>Estado</v>
      </c>
      <c r="E9" s="49"/>
      <c r="F9" s="49"/>
      <c r="G9" s="48"/>
      <c r="H9" s="50"/>
      <c r="I9" s="48"/>
      <c r="J9" s="49" t="s">
        <v>176</v>
      </c>
      <c r="K9" s="49"/>
    </row>
    <row r="10" spans="1:11" ht="42.75" customHeight="1" x14ac:dyDescent="0.3">
      <c r="A10" s="48" t="s">
        <v>122</v>
      </c>
      <c r="B10" s="49" t="s">
        <v>177</v>
      </c>
      <c r="C10" s="49" t="s">
        <v>155</v>
      </c>
      <c r="D10" s="48" t="str">
        <f t="shared" si="0"/>
        <v>Estado</v>
      </c>
      <c r="E10" s="49"/>
      <c r="F10" s="49"/>
      <c r="G10" s="82" t="str">
        <f>'P-Estado'!A6</f>
        <v>P-EST-0001</v>
      </c>
      <c r="H10" s="83" t="str">
        <f>'P-Estado'!B6</f>
        <v>Asegurar que los datos requeridos (descripción) sean válidos en tipo de dato, longitud, formato y rango</v>
      </c>
      <c r="I10" s="48"/>
      <c r="J10" s="49" t="s">
        <v>178</v>
      </c>
      <c r="K10" s="49"/>
    </row>
    <row r="11" spans="1:11" ht="27" customHeight="1" x14ac:dyDescent="0.3">
      <c r="A11" s="48" t="s">
        <v>122</v>
      </c>
      <c r="B11" s="49" t="s">
        <v>179</v>
      </c>
      <c r="C11" s="49" t="s">
        <v>166</v>
      </c>
      <c r="D11" s="48" t="str">
        <f t="shared" si="0"/>
        <v>Estado</v>
      </c>
      <c r="E11" s="49"/>
      <c r="F11" s="49"/>
      <c r="G11" s="48"/>
      <c r="H11" s="50"/>
      <c r="I11" s="48"/>
      <c r="J11" s="49" t="s">
        <v>180</v>
      </c>
      <c r="K11" s="49"/>
    </row>
    <row r="12" spans="1:11" ht="27" customHeight="1" x14ac:dyDescent="0.3">
      <c r="A12" s="48" t="s">
        <v>23</v>
      </c>
      <c r="B12" s="49" t="s">
        <v>179</v>
      </c>
      <c r="C12" s="49" t="s">
        <v>166</v>
      </c>
      <c r="D12" s="48" t="str">
        <f t="shared" si="0"/>
        <v>Estado</v>
      </c>
      <c r="E12" s="49"/>
      <c r="F12" s="49"/>
      <c r="G12" s="48"/>
      <c r="H12" s="50"/>
      <c r="I12" s="48"/>
      <c r="J12" s="49" t="s">
        <v>180</v>
      </c>
      <c r="K12" s="49"/>
    </row>
    <row r="13" spans="1:11" ht="27" customHeight="1" x14ac:dyDescent="0.3">
      <c r="A13" s="48" t="s">
        <v>25</v>
      </c>
      <c r="B13" s="49" t="s">
        <v>179</v>
      </c>
      <c r="C13" s="49" t="s">
        <v>166</v>
      </c>
      <c r="D13" s="48" t="str">
        <f t="shared" si="0"/>
        <v>Estado</v>
      </c>
      <c r="E13" s="49"/>
      <c r="F13" s="49"/>
      <c r="G13" s="48"/>
      <c r="H13" s="50"/>
      <c r="I13" s="48"/>
      <c r="J13" s="49" t="s">
        <v>180</v>
      </c>
      <c r="K13" s="49"/>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0800-000000000000}"/>
    <hyperlink ref="C1" location="'Objetos de Dominio'!A1" display="&lt;&lt; Ir al listado de objetos de dominio" xr:uid="{00000000-0004-0000-0800-000001000000}"/>
    <hyperlink ref="F1" location="'C-Estado'!A1" display="&lt;&lt; Ir a la caracterización del objeto de dominio" xr:uid="{00000000-0004-0000-0800-000002000000}"/>
    <hyperlink ref="J1" location="'M-Estado'!A1" display="Ir al muestreo de datos del objeto de dominio &gt;&gt;" xr:uid="{00000000-0004-0000-0800-000003000000}"/>
    <hyperlink ref="G10" location="'P-Estado'!A6" display="#'P-Estado'.A6" xr:uid="{00000000-0004-0000-0800-000004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0"/>
  <sheetViews>
    <sheetView zoomScaleNormal="100" workbookViewId="0">
      <selection activeCell="B1" sqref="B1"/>
    </sheetView>
  </sheetViews>
  <sheetFormatPr baseColWidth="10" defaultColWidth="8.6640625" defaultRowHeight="14.4" x14ac:dyDescent="0.3"/>
  <cols>
    <col min="1" max="1" width="27" customWidth="1"/>
    <col min="2" max="2" width="26.109375" customWidth="1"/>
    <col min="3" max="3" width="49.109375" customWidth="1"/>
    <col min="4" max="4" width="23.33203125" customWidth="1"/>
  </cols>
  <sheetData>
    <row r="1" spans="1:4" ht="14.25" customHeight="1" x14ac:dyDescent="0.3">
      <c r="A1" s="8" t="s">
        <v>1</v>
      </c>
      <c r="B1" s="8" t="s">
        <v>43</v>
      </c>
      <c r="C1" s="84"/>
    </row>
    <row r="2" spans="1:4" ht="39" customHeight="1" x14ac:dyDescent="0.3">
      <c r="A2" s="51" t="s">
        <v>126</v>
      </c>
      <c r="B2" s="51" t="s">
        <v>181</v>
      </c>
      <c r="C2" s="51" t="s">
        <v>182</v>
      </c>
      <c r="D2" s="52" t="s">
        <v>128</v>
      </c>
    </row>
    <row r="3" spans="1:4" ht="14.25" customHeight="1" x14ac:dyDescent="0.3">
      <c r="A3" s="53" t="s">
        <v>129</v>
      </c>
      <c r="B3" s="54" t="s">
        <v>78</v>
      </c>
      <c r="C3" s="54" t="s">
        <v>183</v>
      </c>
      <c r="D3" s="55" t="s">
        <v>130</v>
      </c>
    </row>
    <row r="4" spans="1:4" ht="28.5" customHeight="1" x14ac:dyDescent="0.3">
      <c r="A4" s="56">
        <v>1</v>
      </c>
      <c r="B4" s="57" t="s">
        <v>184</v>
      </c>
      <c r="C4" s="85" t="s">
        <v>185</v>
      </c>
      <c r="D4" s="57" t="str">
        <f t="shared" ref="D4:D11" si="0">B4</f>
        <v>Agendada</v>
      </c>
    </row>
    <row r="5" spans="1:4" ht="28.5" customHeight="1" x14ac:dyDescent="0.3">
      <c r="A5" s="56">
        <v>2</v>
      </c>
      <c r="B5" s="56" t="s">
        <v>186</v>
      </c>
      <c r="C5" s="86" t="s">
        <v>187</v>
      </c>
      <c r="D5" s="57" t="str">
        <f t="shared" si="0"/>
        <v>Finalizada</v>
      </c>
    </row>
    <row r="6" spans="1:4" ht="28.5" customHeight="1" x14ac:dyDescent="0.3">
      <c r="A6" s="56">
        <v>3</v>
      </c>
      <c r="B6" s="56" t="s">
        <v>188</v>
      </c>
      <c r="C6" s="86" t="s">
        <v>189</v>
      </c>
      <c r="D6" s="57" t="str">
        <f t="shared" si="0"/>
        <v>Cancelada por el cliente</v>
      </c>
    </row>
    <row r="7" spans="1:4" ht="28.5" customHeight="1" x14ac:dyDescent="0.3">
      <c r="A7" s="56">
        <v>4</v>
      </c>
      <c r="B7" s="56" t="s">
        <v>190</v>
      </c>
      <c r="C7" s="86" t="s">
        <v>191</v>
      </c>
      <c r="D7" s="57" t="str">
        <f t="shared" si="0"/>
        <v>Cancelada por el barbero</v>
      </c>
    </row>
    <row r="8" spans="1:4" ht="42.75" customHeight="1" x14ac:dyDescent="0.3">
      <c r="A8" s="56">
        <v>5</v>
      </c>
      <c r="B8" s="56" t="s">
        <v>192</v>
      </c>
      <c r="C8" s="86" t="s">
        <v>193</v>
      </c>
      <c r="D8" s="57" t="str">
        <f t="shared" si="0"/>
        <v>El cliente se demoro</v>
      </c>
    </row>
    <row r="9" spans="1:4" ht="42.75" customHeight="1" x14ac:dyDescent="0.3">
      <c r="A9" s="56">
        <v>6</v>
      </c>
      <c r="B9" s="56" t="s">
        <v>194</v>
      </c>
      <c r="C9" s="86" t="s">
        <v>195</v>
      </c>
      <c r="D9" s="57" t="str">
        <f t="shared" si="0"/>
        <v>El barbero se demoro</v>
      </c>
    </row>
    <row r="10" spans="1:4" ht="48" customHeight="1" x14ac:dyDescent="0.3">
      <c r="A10" s="56">
        <v>7</v>
      </c>
      <c r="B10" s="56" t="s">
        <v>196</v>
      </c>
      <c r="C10" s="86" t="s">
        <v>197</v>
      </c>
      <c r="D10" s="57" t="str">
        <f t="shared" si="0"/>
        <v>Inasistencia del cliente</v>
      </c>
    </row>
    <row r="11" spans="1:4" ht="57" customHeight="1" x14ac:dyDescent="0.3">
      <c r="A11" s="56">
        <v>8</v>
      </c>
      <c r="B11" s="56" t="s">
        <v>198</v>
      </c>
      <c r="C11" s="86" t="s">
        <v>199</v>
      </c>
      <c r="D11" s="57" t="str">
        <f t="shared" si="0"/>
        <v>Cancelación</v>
      </c>
    </row>
    <row r="12" spans="1:4" ht="14.25" customHeight="1" x14ac:dyDescent="0.3"/>
    <row r="13" spans="1:4" ht="15" customHeight="1" x14ac:dyDescent="0.3">
      <c r="C13" s="87"/>
    </row>
    <row r="16" spans="1:4" ht="27.75" customHeight="1" x14ac:dyDescent="0.3"/>
    <row r="17" spans="1:2" ht="28.5" customHeight="1" x14ac:dyDescent="0.3">
      <c r="A17" s="59"/>
      <c r="B17" s="60" t="s">
        <v>139</v>
      </c>
    </row>
    <row r="18" spans="1:2" ht="28.5" customHeight="1" x14ac:dyDescent="0.3">
      <c r="A18" s="61"/>
      <c r="B18" s="60" t="s">
        <v>140</v>
      </c>
    </row>
    <row r="19" spans="1:2" ht="28.5" customHeight="1" x14ac:dyDescent="0.3">
      <c r="A19" s="62"/>
      <c r="B19" s="60" t="s">
        <v>141</v>
      </c>
    </row>
    <row r="20" spans="1:2" ht="28.5" customHeight="1" x14ac:dyDescent="0.3">
      <c r="A20" s="63"/>
      <c r="B20" s="60" t="s">
        <v>142</v>
      </c>
    </row>
  </sheetData>
  <hyperlinks>
    <hyperlink ref="A1" location="'Modelo de Dominio'!A1" display="&lt;&lt;&lt;&lt; Ir al modulo de dominio" xr:uid="{00000000-0004-0000-0900-000000000000}"/>
    <hyperlink ref="B1" location="'Objetos de Dominio'!A1" display="&lt;&lt;&lt;&lt; Ir a objetos de dominio" xr:uid="{00000000-0004-0000-0900-000001000000}"/>
  </hyperlink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21"/>
  <sheetViews>
    <sheetView zoomScale="93" zoomScaleNormal="93" workbookViewId="0">
      <selection activeCell="A3" sqref="A3"/>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 min="22" max="22" width="22" customWidth="1"/>
    <col min="23" max="23" width="13" customWidth="1"/>
    <col min="24" max="24" width="15.44140625" customWidth="1"/>
    <col min="25" max="25" width="27.88671875" customWidth="1"/>
    <col min="26" max="26" width="22" customWidth="1"/>
  </cols>
  <sheetData>
    <row r="1" spans="1:26" ht="15" customHeight="1" x14ac:dyDescent="0.3">
      <c r="A1" s="8" t="s">
        <v>1</v>
      </c>
      <c r="B1" s="8" t="s">
        <v>43</v>
      </c>
    </row>
    <row r="2" spans="1:26" ht="15" customHeight="1" x14ac:dyDescent="0.3">
      <c r="A2" s="88" t="s">
        <v>44</v>
      </c>
      <c r="B2" s="88" t="s">
        <v>45</v>
      </c>
      <c r="C2" s="88" t="s">
        <v>46</v>
      </c>
      <c r="D2" s="88" t="s">
        <v>47</v>
      </c>
      <c r="E2" s="88" t="s">
        <v>48</v>
      </c>
      <c r="F2" s="88" t="s">
        <v>49</v>
      </c>
      <c r="G2" s="88" t="s">
        <v>50</v>
      </c>
      <c r="H2" s="88" t="s">
        <v>51</v>
      </c>
      <c r="I2" s="88" t="s">
        <v>52</v>
      </c>
      <c r="J2" s="88" t="s">
        <v>53</v>
      </c>
      <c r="K2" s="88" t="s">
        <v>54</v>
      </c>
      <c r="L2" s="88" t="s">
        <v>55</v>
      </c>
      <c r="M2" s="88" t="s">
        <v>56</v>
      </c>
      <c r="N2" s="88" t="s">
        <v>57</v>
      </c>
      <c r="O2" s="88" t="s">
        <v>58</v>
      </c>
      <c r="P2" s="88" t="s">
        <v>59</v>
      </c>
      <c r="Q2" s="88" t="s">
        <v>60</v>
      </c>
      <c r="R2" s="88" t="s">
        <v>61</v>
      </c>
      <c r="S2" s="88" t="s">
        <v>62</v>
      </c>
      <c r="T2" s="88" t="s">
        <v>63</v>
      </c>
      <c r="U2" s="88" t="s">
        <v>64</v>
      </c>
      <c r="V2" s="89" t="str">
        <f>A14</f>
        <v>ofrecerServicioNuevo</v>
      </c>
      <c r="W2" s="275" t="str">
        <f>A16</f>
        <v>editarServicio</v>
      </c>
      <c r="X2" s="275"/>
      <c r="Y2" s="91" t="str">
        <f>A19</f>
        <v>consultarServiciosDisponibles</v>
      </c>
      <c r="Z2" s="89" t="str">
        <f>A20</f>
        <v>retirarServicio</v>
      </c>
    </row>
    <row r="3" spans="1:26" ht="45" customHeight="1" x14ac:dyDescent="0.3">
      <c r="A3" s="20" t="str">
        <f>'M-Servicio'!A3</f>
        <v>id</v>
      </c>
      <c r="B3" s="21" t="str">
        <f>'M-Servicio'!A2</f>
        <v>Representa un identificador que hará unico cada objeto de dominio de este tipo, no se puede repetir</v>
      </c>
      <c r="C3" s="20" t="s">
        <v>65</v>
      </c>
      <c r="D3" s="20" t="s">
        <v>66</v>
      </c>
      <c r="E3" s="20" t="s">
        <v>65</v>
      </c>
      <c r="F3" s="20" t="s">
        <v>67</v>
      </c>
      <c r="G3" s="20" t="s">
        <v>67</v>
      </c>
      <c r="H3" s="20" t="s">
        <v>67</v>
      </c>
      <c r="I3" s="20" t="s">
        <v>67</v>
      </c>
      <c r="J3" s="20" t="s">
        <v>67</v>
      </c>
      <c r="K3" s="20" t="s">
        <v>67</v>
      </c>
      <c r="L3" s="20" t="s">
        <v>67</v>
      </c>
      <c r="M3" s="20" t="s">
        <v>67</v>
      </c>
      <c r="N3" s="20" t="s">
        <v>68</v>
      </c>
      <c r="O3" s="20" t="s">
        <v>67</v>
      </c>
      <c r="P3" s="20" t="s">
        <v>67</v>
      </c>
      <c r="Q3" s="20" t="s">
        <v>67</v>
      </c>
      <c r="R3" s="20" t="s">
        <v>67</v>
      </c>
      <c r="S3" s="20" t="s">
        <v>68</v>
      </c>
      <c r="T3" s="20" t="s">
        <v>69</v>
      </c>
      <c r="U3" s="20" t="s">
        <v>65</v>
      </c>
      <c r="V3" s="92" t="s">
        <v>147</v>
      </c>
      <c r="W3" s="93" t="s">
        <v>144</v>
      </c>
      <c r="X3" s="93" t="s">
        <v>145</v>
      </c>
      <c r="Y3" s="94" t="s">
        <v>70</v>
      </c>
      <c r="Z3" s="92" t="s">
        <v>144</v>
      </c>
    </row>
    <row r="4" spans="1:26" ht="45" customHeight="1" x14ac:dyDescent="0.3">
      <c r="A4" s="20" t="str">
        <f>'M-Servicio'!B3</f>
        <v>nombre</v>
      </c>
      <c r="B4" s="21" t="str">
        <f>'M-Servicio'!B2</f>
        <v>Representa el nombre del servicio que va estar en la barberia, para que el barbero elija los servicios que el sabe hacer</v>
      </c>
      <c r="C4" s="20" t="s">
        <v>68</v>
      </c>
      <c r="D4" s="20" t="s">
        <v>71</v>
      </c>
      <c r="E4" s="20" t="s">
        <v>65</v>
      </c>
      <c r="F4" s="20">
        <v>3</v>
      </c>
      <c r="G4" s="20">
        <v>50</v>
      </c>
      <c r="H4" s="20" t="s">
        <v>67</v>
      </c>
      <c r="I4" s="20" t="s">
        <v>67</v>
      </c>
      <c r="J4" s="20" t="s">
        <v>67</v>
      </c>
      <c r="K4" s="20" t="s">
        <v>67</v>
      </c>
      <c r="L4" s="20" t="s">
        <v>67</v>
      </c>
      <c r="M4" s="21" t="s">
        <v>200</v>
      </c>
      <c r="N4" s="20" t="s">
        <v>68</v>
      </c>
      <c r="O4" s="20" t="s">
        <v>67</v>
      </c>
      <c r="P4" s="20" t="s">
        <v>67</v>
      </c>
      <c r="Q4" s="20" t="s">
        <v>65</v>
      </c>
      <c r="R4" s="20" t="s">
        <v>65</v>
      </c>
      <c r="S4" s="20" t="s">
        <v>68</v>
      </c>
      <c r="T4" s="20" t="s">
        <v>73</v>
      </c>
      <c r="U4" s="20" t="s">
        <v>68</v>
      </c>
      <c r="V4" s="92" t="s">
        <v>144</v>
      </c>
      <c r="W4" s="93" t="s">
        <v>144</v>
      </c>
      <c r="X4" s="93" t="s">
        <v>149</v>
      </c>
      <c r="Y4" s="94" t="s">
        <v>74</v>
      </c>
      <c r="Z4" s="92" t="s">
        <v>147</v>
      </c>
    </row>
    <row r="5" spans="1:26" ht="45" customHeight="1" x14ac:dyDescent="0.3">
      <c r="A5" s="20" t="str">
        <f>'M-Servicio'!C3</f>
        <v>descripcion</v>
      </c>
      <c r="B5" s="21" t="str">
        <f>'M-Servicio'!C2</f>
        <v>Representa una descripcion de que va a hacer cada servicio en la barberia, para que el barbero sepa que hace el servicio</v>
      </c>
      <c r="C5" s="20" t="s">
        <v>68</v>
      </c>
      <c r="D5" s="20" t="s">
        <v>71</v>
      </c>
      <c r="E5" s="20" t="s">
        <v>68</v>
      </c>
      <c r="F5" s="20">
        <v>0</v>
      </c>
      <c r="G5" s="20">
        <v>200</v>
      </c>
      <c r="H5" s="20" t="s">
        <v>67</v>
      </c>
      <c r="I5" s="20" t="s">
        <v>67</v>
      </c>
      <c r="J5" s="20" t="s">
        <v>67</v>
      </c>
      <c r="K5" s="20" t="s">
        <v>67</v>
      </c>
      <c r="L5" s="20" t="s">
        <v>67</v>
      </c>
      <c r="M5" s="21" t="s">
        <v>148</v>
      </c>
      <c r="N5" s="20" t="s">
        <v>68</v>
      </c>
      <c r="O5" s="20" t="s">
        <v>67</v>
      </c>
      <c r="P5" s="20" t="s">
        <v>67</v>
      </c>
      <c r="Q5" s="20" t="s">
        <v>65</v>
      </c>
      <c r="R5" s="20" t="s">
        <v>65</v>
      </c>
      <c r="S5" s="20" t="s">
        <v>68</v>
      </c>
      <c r="T5" s="20" t="s">
        <v>73</v>
      </c>
      <c r="U5" s="20" t="s">
        <v>68</v>
      </c>
      <c r="V5" s="92" t="s">
        <v>144</v>
      </c>
      <c r="W5" s="93" t="s">
        <v>144</v>
      </c>
      <c r="X5" s="93" t="s">
        <v>149</v>
      </c>
      <c r="Y5" s="94" t="s">
        <v>74</v>
      </c>
      <c r="Z5" s="92" t="s">
        <v>147</v>
      </c>
    </row>
    <row r="6" spans="1:26" ht="30" customHeight="1" x14ac:dyDescent="0.3">
      <c r="A6" s="20" t="str">
        <f>'M-Servicio'!D3</f>
        <v>precio</v>
      </c>
      <c r="B6" s="21" t="str">
        <f>'M-Servicio'!D2</f>
        <v>Representa cuanto va a valer el servicio en pesos colombianos</v>
      </c>
      <c r="C6" s="20" t="s">
        <v>68</v>
      </c>
      <c r="D6" s="20" t="s">
        <v>201</v>
      </c>
      <c r="E6" s="20" t="s">
        <v>65</v>
      </c>
      <c r="F6" s="20" t="s">
        <v>67</v>
      </c>
      <c r="G6" s="20" t="s">
        <v>67</v>
      </c>
      <c r="H6" s="20" t="s">
        <v>67</v>
      </c>
      <c r="I6" s="20" t="s">
        <v>67</v>
      </c>
      <c r="J6" s="20">
        <v>0</v>
      </c>
      <c r="K6" s="95">
        <v>2000000</v>
      </c>
      <c r="L6" s="20" t="s">
        <v>67</v>
      </c>
      <c r="M6" s="20" t="s">
        <v>67</v>
      </c>
      <c r="N6" s="20" t="s">
        <v>68</v>
      </c>
      <c r="O6" s="20" t="s">
        <v>67</v>
      </c>
      <c r="P6" s="20" t="s">
        <v>67</v>
      </c>
      <c r="Q6" s="20" t="s">
        <v>67</v>
      </c>
      <c r="R6" s="20" t="s">
        <v>67</v>
      </c>
      <c r="S6" s="20" t="s">
        <v>68</v>
      </c>
      <c r="T6" s="20">
        <v>0</v>
      </c>
      <c r="U6" s="20" t="s">
        <v>68</v>
      </c>
      <c r="V6" s="92" t="s">
        <v>144</v>
      </c>
      <c r="W6" s="93" t="s">
        <v>144</v>
      </c>
      <c r="X6" s="93" t="s">
        <v>149</v>
      </c>
      <c r="Y6" s="94" t="s">
        <v>74</v>
      </c>
      <c r="Z6" s="92" t="s">
        <v>147</v>
      </c>
    </row>
    <row r="7" spans="1:26" ht="30" customHeight="1" x14ac:dyDescent="0.3">
      <c r="A7" s="20" t="str">
        <f>'M-Servicio'!E3</f>
        <v>disponible</v>
      </c>
      <c r="B7" s="21" t="str">
        <f>'M-Servicio'!E2</f>
        <v>Representa si el servicio sigue o no disponible en la barberia</v>
      </c>
      <c r="C7" s="20" t="s">
        <v>68</v>
      </c>
      <c r="D7" s="20" t="s">
        <v>202</v>
      </c>
      <c r="E7" s="20" t="s">
        <v>65</v>
      </c>
      <c r="F7" s="20" t="s">
        <v>67</v>
      </c>
      <c r="G7" s="20" t="s">
        <v>67</v>
      </c>
      <c r="H7" s="20" t="s">
        <v>67</v>
      </c>
      <c r="I7" s="20" t="s">
        <v>67</v>
      </c>
      <c r="J7" s="20" t="s">
        <v>67</v>
      </c>
      <c r="K7" s="20" t="s">
        <v>67</v>
      </c>
      <c r="L7" s="20" t="s">
        <v>67</v>
      </c>
      <c r="M7" s="20" t="s">
        <v>67</v>
      </c>
      <c r="N7" s="20" t="s">
        <v>68</v>
      </c>
      <c r="O7" s="20" t="s">
        <v>67</v>
      </c>
      <c r="P7" s="20" t="s">
        <v>67</v>
      </c>
      <c r="Q7" s="20" t="s">
        <v>67</v>
      </c>
      <c r="R7" s="20" t="s">
        <v>67</v>
      </c>
      <c r="S7" s="20" t="s">
        <v>68</v>
      </c>
      <c r="T7" s="20" t="s">
        <v>65</v>
      </c>
      <c r="U7" s="20" t="s">
        <v>65</v>
      </c>
      <c r="V7" s="92" t="s">
        <v>147</v>
      </c>
      <c r="W7" s="93" t="s">
        <v>147</v>
      </c>
      <c r="X7" s="93" t="s">
        <v>145</v>
      </c>
      <c r="Y7" s="94" t="s">
        <v>70</v>
      </c>
      <c r="Z7" s="92" t="s">
        <v>147</v>
      </c>
    </row>
    <row r="8" spans="1:26" ht="15" customHeight="1" x14ac:dyDescent="0.3">
      <c r="A8" s="9"/>
      <c r="B8" s="9"/>
      <c r="C8" s="9"/>
      <c r="D8" s="9"/>
      <c r="E8" s="9"/>
      <c r="F8" s="9"/>
      <c r="G8" s="9"/>
      <c r="H8" s="9"/>
      <c r="I8" s="9"/>
      <c r="J8" s="9"/>
      <c r="K8" s="9"/>
      <c r="L8" s="9"/>
      <c r="M8" s="9"/>
      <c r="N8" s="9"/>
      <c r="O8" s="9"/>
      <c r="P8" s="9"/>
      <c r="Q8" s="9"/>
      <c r="R8" s="9"/>
      <c r="S8" s="9"/>
      <c r="T8" s="9"/>
      <c r="U8" s="9"/>
    </row>
    <row r="9" spans="1:26" ht="15" customHeight="1" x14ac:dyDescent="0.3">
      <c r="A9" s="23" t="s">
        <v>75</v>
      </c>
      <c r="B9" s="23" t="s">
        <v>76</v>
      </c>
      <c r="C9" s="23" t="s">
        <v>77</v>
      </c>
      <c r="D9" s="96"/>
      <c r="E9" s="96"/>
      <c r="F9" s="96"/>
      <c r="G9" s="96"/>
      <c r="H9" s="96"/>
      <c r="I9" s="96"/>
      <c r="J9" s="96"/>
      <c r="K9" s="96"/>
      <c r="L9" s="96"/>
      <c r="M9" s="96"/>
      <c r="N9" s="96"/>
      <c r="O9" s="96"/>
      <c r="P9" s="96"/>
      <c r="Q9" s="96"/>
      <c r="R9" s="96"/>
      <c r="S9" s="96"/>
      <c r="T9" s="96"/>
      <c r="U9" s="96"/>
    </row>
    <row r="10" spans="1:26" ht="30" customHeight="1" x14ac:dyDescent="0.3">
      <c r="A10" s="24" t="str">
        <f>'M-Servicio'!F3</f>
        <v xml:space="preserve">Combinacion única </v>
      </c>
      <c r="B10" s="25" t="str">
        <f>'M-Servicio'!F2</f>
        <v>Combinacion única que indica que no puede existir más de un servicio con el mismo nombre</v>
      </c>
      <c r="C10" s="26" t="str">
        <f>A4</f>
        <v>nombre</v>
      </c>
      <c r="D10" s="9"/>
      <c r="E10" s="9"/>
      <c r="F10" s="9"/>
      <c r="G10" s="9"/>
      <c r="H10" s="9"/>
      <c r="I10" s="9"/>
      <c r="J10" s="9"/>
      <c r="K10" s="9"/>
      <c r="L10" s="9"/>
      <c r="M10" s="9"/>
      <c r="N10" s="9"/>
      <c r="O10" s="9"/>
      <c r="P10" s="9"/>
      <c r="Q10" s="9"/>
      <c r="R10" s="9"/>
      <c r="S10" s="9"/>
      <c r="T10" s="9"/>
      <c r="U10" s="9"/>
    </row>
    <row r="11" spans="1:26" ht="15" customHeight="1" x14ac:dyDescent="0.3">
      <c r="A11" s="97"/>
      <c r="B11" s="97"/>
      <c r="C11" s="97"/>
      <c r="D11" s="97"/>
      <c r="E11" s="97"/>
      <c r="F11" s="97"/>
      <c r="G11" s="97"/>
      <c r="H11" s="97"/>
      <c r="I11" s="97"/>
      <c r="J11" s="97"/>
      <c r="K11" s="97"/>
      <c r="L11" s="97"/>
      <c r="M11" s="97"/>
      <c r="N11" s="97"/>
      <c r="O11" s="97"/>
      <c r="P11" s="97"/>
      <c r="Q11" s="97"/>
      <c r="R11" s="97"/>
      <c r="S11" s="97"/>
      <c r="T11" s="97"/>
      <c r="U11" s="97"/>
    </row>
    <row r="12" spans="1:26" ht="15" customHeight="1" x14ac:dyDescent="0.3">
      <c r="A12" s="243" t="s">
        <v>79</v>
      </c>
      <c r="B12" s="243"/>
      <c r="C12" s="239" t="s">
        <v>76</v>
      </c>
      <c r="D12" s="239"/>
      <c r="E12" s="239"/>
      <c r="F12" s="239"/>
      <c r="G12" s="239" t="s">
        <v>80</v>
      </c>
      <c r="H12" s="239"/>
      <c r="I12" s="239"/>
      <c r="J12" s="239" t="s">
        <v>81</v>
      </c>
      <c r="K12" s="239"/>
      <c r="L12" s="239"/>
      <c r="M12" s="239"/>
      <c r="N12" s="239"/>
      <c r="O12" s="239" t="s">
        <v>82</v>
      </c>
      <c r="P12" s="239"/>
      <c r="Q12" s="239" t="s">
        <v>83</v>
      </c>
      <c r="R12" s="239"/>
    </row>
    <row r="13" spans="1:26" ht="15" customHeight="1" x14ac:dyDescent="0.3">
      <c r="A13" s="243"/>
      <c r="B13" s="243"/>
      <c r="C13" s="239"/>
      <c r="D13" s="239"/>
      <c r="E13" s="239"/>
      <c r="F13" s="239"/>
      <c r="G13" s="27" t="s">
        <v>84</v>
      </c>
      <c r="H13" s="27" t="s">
        <v>47</v>
      </c>
      <c r="I13" s="27" t="s">
        <v>76</v>
      </c>
      <c r="J13" s="27" t="s">
        <v>85</v>
      </c>
      <c r="K13" s="240" t="s">
        <v>76</v>
      </c>
      <c r="L13" s="240"/>
      <c r="M13" s="240"/>
      <c r="N13" s="240"/>
      <c r="O13" s="27" t="s">
        <v>86</v>
      </c>
      <c r="P13" s="27" t="s">
        <v>76</v>
      </c>
      <c r="Q13" s="27" t="s">
        <v>87</v>
      </c>
      <c r="R13" s="28" t="s">
        <v>88</v>
      </c>
    </row>
    <row r="14" spans="1:26" ht="105" customHeight="1" x14ac:dyDescent="0.3">
      <c r="A14" s="283" t="s">
        <v>203</v>
      </c>
      <c r="B14" s="283"/>
      <c r="C14" s="277" t="s">
        <v>204</v>
      </c>
      <c r="D14" s="277"/>
      <c r="E14" s="277"/>
      <c r="F14" s="277"/>
      <c r="G14" s="277" t="s">
        <v>205</v>
      </c>
      <c r="H14" s="284" t="s">
        <v>17</v>
      </c>
      <c r="I14" s="285" t="s">
        <v>206</v>
      </c>
      <c r="J14" s="276" t="s">
        <v>17</v>
      </c>
      <c r="K14" s="277" t="s">
        <v>207</v>
      </c>
      <c r="L14" s="277"/>
      <c r="M14" s="277"/>
      <c r="N14" s="277"/>
      <c r="O14" s="30" t="str">
        <f>'P-Servicio'!A6</f>
        <v>P-SER-0001</v>
      </c>
      <c r="P14" s="29" t="str">
        <f>'P-Servicio'!B6</f>
        <v>Asegurar que los datos requeridos del servicio (nombre, descripción, precio) sean válidos en tipo de dato, longitud, obligatoriedad, formato y rango</v>
      </c>
      <c r="Q14" s="29" t="s">
        <v>208</v>
      </c>
      <c r="R14" s="22" t="s">
        <v>164</v>
      </c>
    </row>
    <row r="15" spans="1:26" ht="60" customHeight="1" x14ac:dyDescent="0.3">
      <c r="A15" s="283"/>
      <c r="B15" s="283"/>
      <c r="C15" s="277"/>
      <c r="D15" s="277"/>
      <c r="E15" s="277"/>
      <c r="F15" s="277"/>
      <c r="G15" s="277"/>
      <c r="H15" s="277"/>
      <c r="I15" s="277"/>
      <c r="J15" s="277"/>
      <c r="K15" s="277"/>
      <c r="L15" s="277"/>
      <c r="M15" s="277"/>
      <c r="N15" s="277"/>
      <c r="O15" s="30" t="str">
        <f>'P-Servicio'!A7</f>
        <v>P-SER-0002</v>
      </c>
      <c r="P15" s="29" t="str">
        <f>'P-Servicio'!B7</f>
        <v>Asegurar que no exista otro servicio registrado con el mismo nombre en la barbería</v>
      </c>
      <c r="Q15" s="29" t="s">
        <v>209</v>
      </c>
      <c r="R15" s="22" t="s">
        <v>164</v>
      </c>
    </row>
    <row r="16" spans="1:26" ht="60" customHeight="1" x14ac:dyDescent="0.3">
      <c r="A16" s="278" t="s">
        <v>210</v>
      </c>
      <c r="B16" s="278"/>
      <c r="C16" s="279" t="s">
        <v>211</v>
      </c>
      <c r="D16" s="279"/>
      <c r="E16" s="279"/>
      <c r="F16" s="279"/>
      <c r="G16" s="98" t="s">
        <v>129</v>
      </c>
      <c r="H16" s="98" t="s">
        <v>156</v>
      </c>
      <c r="I16" s="99" t="s">
        <v>212</v>
      </c>
      <c r="J16" s="280" t="s">
        <v>17</v>
      </c>
      <c r="K16" s="279" t="s">
        <v>213</v>
      </c>
      <c r="L16" s="279"/>
      <c r="M16" s="279"/>
      <c r="N16" s="279"/>
      <c r="O16" s="72" t="str">
        <f>'P-Servicio'!A9</f>
        <v>P-SER-0004</v>
      </c>
      <c r="P16" s="72" t="str">
        <f>'P-Servicio'!B9</f>
        <v>Asegurar que exista el servicio con el id enviado</v>
      </c>
      <c r="Q16" s="72" t="s">
        <v>214</v>
      </c>
      <c r="R16" s="100" t="s">
        <v>160</v>
      </c>
    </row>
    <row r="17" spans="1:18" ht="105" customHeight="1" x14ac:dyDescent="0.3">
      <c r="A17" s="278"/>
      <c r="B17" s="278"/>
      <c r="C17" s="279"/>
      <c r="D17" s="279"/>
      <c r="E17" s="279"/>
      <c r="F17" s="279"/>
      <c r="G17" s="279" t="s">
        <v>205</v>
      </c>
      <c r="H17" s="281" t="s">
        <v>17</v>
      </c>
      <c r="I17" s="282" t="s">
        <v>215</v>
      </c>
      <c r="J17" s="280"/>
      <c r="K17" s="279"/>
      <c r="L17" s="279"/>
      <c r="M17" s="279"/>
      <c r="N17" s="279"/>
      <c r="O17" s="67" t="str">
        <f>'P-Servicio'!A6</f>
        <v>P-SER-0001</v>
      </c>
      <c r="P17" s="70" t="str">
        <f>'P-Servicio'!B6</f>
        <v>Asegurar que los datos requeridos del servicio (nombre, descripción, precio) sean válidos en tipo de dato, longitud, obligatoriedad, formato y rango</v>
      </c>
      <c r="Q17" s="70" t="s">
        <v>208</v>
      </c>
      <c r="R17" s="101" t="s">
        <v>164</v>
      </c>
    </row>
    <row r="18" spans="1:18" ht="60" customHeight="1" x14ac:dyDescent="0.3">
      <c r="A18" s="278"/>
      <c r="B18" s="278"/>
      <c r="C18" s="279"/>
      <c r="D18" s="279"/>
      <c r="E18" s="279"/>
      <c r="F18" s="279"/>
      <c r="G18" s="279"/>
      <c r="H18" s="279"/>
      <c r="I18" s="279"/>
      <c r="J18" s="279"/>
      <c r="K18" s="279"/>
      <c r="L18" s="279"/>
      <c r="M18" s="279"/>
      <c r="N18" s="279"/>
      <c r="O18" s="67" t="str">
        <f>'P-Servicio'!A7</f>
        <v>P-SER-0002</v>
      </c>
      <c r="P18" s="70" t="str">
        <f>'P-Servicio'!B7</f>
        <v>Asegurar que no exista otro servicio registrado con el mismo nombre en la barbería</v>
      </c>
      <c r="Q18" s="70" t="s">
        <v>209</v>
      </c>
      <c r="R18" s="101" t="s">
        <v>164</v>
      </c>
    </row>
    <row r="19" spans="1:18" ht="38.25" customHeight="1" x14ac:dyDescent="0.3">
      <c r="A19" s="286" t="s">
        <v>216</v>
      </c>
      <c r="B19" s="286"/>
      <c r="C19" s="269" t="s">
        <v>217</v>
      </c>
      <c r="D19" s="269"/>
      <c r="E19" s="269"/>
      <c r="F19" s="269"/>
      <c r="G19" s="68"/>
      <c r="H19" s="68"/>
      <c r="I19" s="75"/>
      <c r="J19" s="102" t="s">
        <v>218</v>
      </c>
      <c r="K19" s="287" t="s">
        <v>219</v>
      </c>
      <c r="L19" s="287"/>
      <c r="M19" s="287"/>
      <c r="N19" s="287"/>
      <c r="O19" s="68"/>
      <c r="P19" s="74"/>
      <c r="Q19" s="74"/>
      <c r="R19" s="103"/>
    </row>
    <row r="20" spans="1:18" ht="60" customHeight="1" x14ac:dyDescent="0.3">
      <c r="A20" s="288" t="s">
        <v>220</v>
      </c>
      <c r="B20" s="288"/>
      <c r="C20" s="277" t="s">
        <v>221</v>
      </c>
      <c r="D20" s="277"/>
      <c r="E20" s="277"/>
      <c r="F20" s="277"/>
      <c r="G20" s="284" t="s">
        <v>129</v>
      </c>
      <c r="H20" s="284" t="s">
        <v>156</v>
      </c>
      <c r="I20" s="285" t="s">
        <v>222</v>
      </c>
      <c r="J20" s="289"/>
      <c r="K20" s="277" t="s">
        <v>223</v>
      </c>
      <c r="L20" s="277"/>
      <c r="M20" s="277"/>
      <c r="N20" s="277"/>
      <c r="O20" s="30" t="str">
        <f>'P-Servicio'!A8</f>
        <v>P-SER-0003</v>
      </c>
      <c r="P20" s="29" t="str">
        <f>'P-Servicio'!B8</f>
        <v>Asegurar que el servicio a retirar no esté siendo ofrecido actualmente por ningún barbero vigente</v>
      </c>
      <c r="Q20" s="29" t="s">
        <v>224</v>
      </c>
      <c r="R20" s="22" t="s">
        <v>164</v>
      </c>
    </row>
    <row r="21" spans="1:18" ht="60" customHeight="1" x14ac:dyDescent="0.3">
      <c r="A21" s="288"/>
      <c r="B21" s="288"/>
      <c r="C21" s="277"/>
      <c r="D21" s="277"/>
      <c r="E21" s="277"/>
      <c r="F21" s="277"/>
      <c r="G21" s="284"/>
      <c r="H21" s="284"/>
      <c r="I21" s="284"/>
      <c r="J21" s="284"/>
      <c r="K21" s="277"/>
      <c r="L21" s="277"/>
      <c r="M21" s="277"/>
      <c r="N21" s="277"/>
      <c r="O21" s="69" t="str">
        <f>'P-Servicio'!A9</f>
        <v>P-SER-0004</v>
      </c>
      <c r="P21" s="104" t="str">
        <f>'P-Servicio'!B9</f>
        <v>Asegurar que exista el servicio con el id enviado</v>
      </c>
      <c r="Q21" s="104" t="s">
        <v>225</v>
      </c>
      <c r="R21" s="22" t="s">
        <v>164</v>
      </c>
    </row>
  </sheetData>
  <mergeCells count="32">
    <mergeCell ref="A19:B19"/>
    <mergeCell ref="C19:F19"/>
    <mergeCell ref="K19:N19"/>
    <mergeCell ref="A20:B21"/>
    <mergeCell ref="C20:F21"/>
    <mergeCell ref="G20:G21"/>
    <mergeCell ref="H20:H21"/>
    <mergeCell ref="I20:I21"/>
    <mergeCell ref="J20:J21"/>
    <mergeCell ref="K20:N21"/>
    <mergeCell ref="J14:J15"/>
    <mergeCell ref="K14:N15"/>
    <mergeCell ref="A16:B18"/>
    <mergeCell ref="C16:F18"/>
    <mergeCell ref="J16:J18"/>
    <mergeCell ref="K16:N18"/>
    <mergeCell ref="G17:G18"/>
    <mergeCell ref="H17:H18"/>
    <mergeCell ref="I17:I18"/>
    <mergeCell ref="A14:B15"/>
    <mergeCell ref="C14:F15"/>
    <mergeCell ref="G14:G15"/>
    <mergeCell ref="H14:H15"/>
    <mergeCell ref="I14:I15"/>
    <mergeCell ref="W2:X2"/>
    <mergeCell ref="A12:B13"/>
    <mergeCell ref="C12:F13"/>
    <mergeCell ref="G12:I12"/>
    <mergeCell ref="J12:N12"/>
    <mergeCell ref="O12:P12"/>
    <mergeCell ref="Q12:R12"/>
    <mergeCell ref="K13:N13"/>
  </mergeCells>
  <hyperlinks>
    <hyperlink ref="A1" location="'Modelo de Dominio'!A1" display="&lt;&lt;&lt;&lt; Ir al modulo de dominio" xr:uid="{00000000-0004-0000-0A00-000000000000}"/>
    <hyperlink ref="B1" location="'Objetos de Dominio'!A1" display="&lt;&lt;&lt;&lt; Ir a objetos de dominio" xr:uid="{00000000-0004-0000-0A00-000001000000}"/>
    <hyperlink ref="V2" location="'C-Servicio'!A14" display="#'C-Servicio'.A14" xr:uid="{00000000-0004-0000-0A00-000002000000}"/>
    <hyperlink ref="W2" location="'C-Servicio'!A16" display="#'C-Servicio'.A16" xr:uid="{00000000-0004-0000-0A00-000003000000}"/>
    <hyperlink ref="Y2" location="'C-Servicio'!A19" display="#'C-Servicio'.A19" xr:uid="{00000000-0004-0000-0A00-000004000000}"/>
    <hyperlink ref="Z2" location="'C-Servicio'!A20" display="#'C-Servicio'.A20" xr:uid="{00000000-0004-0000-0A00-000005000000}"/>
    <hyperlink ref="A14" location="'C-Servicio'!V2" display="ofrecerServicioNuevo" xr:uid="{00000000-0004-0000-0A00-000006000000}"/>
    <hyperlink ref="A16" location="'C-Servicio'!W2" display="editarServicio" xr:uid="{00000000-0004-0000-0A00-000007000000}"/>
    <hyperlink ref="A19" location="'C-Servicio'!Y2" display="consultarServiciosDisponibles" xr:uid="{00000000-0004-0000-0A00-000008000000}"/>
    <hyperlink ref="A20" location="'C-Servicio'!Z2" display="retirarServicio" xr:uid="{00000000-0004-0000-0A00-000009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showGridLines="0" zoomScale="115" zoomScaleNormal="115" workbookViewId="0">
      <selection activeCell="B9" sqref="B9:C9"/>
    </sheetView>
  </sheetViews>
  <sheetFormatPr baseColWidth="10" defaultColWidth="8.6640625" defaultRowHeight="14.4" x14ac:dyDescent="0.3"/>
  <cols>
    <col min="1" max="1" width="21.44140625" customWidth="1"/>
    <col min="2" max="2" width="29.109375" customWidth="1"/>
    <col min="3" max="3" width="37.109375" customWidth="1"/>
    <col min="4" max="4" width="38" customWidth="1"/>
    <col min="5" max="5" width="36.66406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Dominio'!A5</f>
        <v>Servicio</v>
      </c>
      <c r="C2" s="244"/>
      <c r="D2" s="244"/>
      <c r="E2" s="244"/>
    </row>
    <row r="3" spans="1:5" ht="30" customHeight="1" x14ac:dyDescent="0.3">
      <c r="A3" s="35" t="s">
        <v>99</v>
      </c>
      <c r="B3" s="245" t="str">
        <f>'Objetos de Dominio'!B5</f>
        <v>Representa cada tipo de corte o arreglo que ofrece la barbería, definido por el dueño, para que luego cada barbero decida cuáles sabe hacer.</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0" customHeight="1" x14ac:dyDescent="0.3">
      <c r="A6" s="36" t="s">
        <v>226</v>
      </c>
      <c r="B6" s="248" t="s">
        <v>227</v>
      </c>
      <c r="C6" s="248"/>
      <c r="D6" s="37" t="s">
        <v>17</v>
      </c>
      <c r="E6" s="37"/>
    </row>
    <row r="7" spans="1:5" ht="30" customHeight="1" x14ac:dyDescent="0.3">
      <c r="A7" s="36" t="s">
        <v>228</v>
      </c>
      <c r="B7" s="248" t="s">
        <v>229</v>
      </c>
      <c r="C7" s="248"/>
      <c r="D7" s="37" t="s">
        <v>17</v>
      </c>
      <c r="E7" s="37"/>
    </row>
    <row r="8" spans="1:5" ht="30" customHeight="1" x14ac:dyDescent="0.3">
      <c r="A8" s="36" t="s">
        <v>230</v>
      </c>
      <c r="B8" s="248" t="s">
        <v>231</v>
      </c>
      <c r="C8" s="248"/>
      <c r="D8" s="37" t="s">
        <v>31</v>
      </c>
      <c r="E8" s="37"/>
    </row>
    <row r="9" spans="1:5" ht="15" customHeight="1" x14ac:dyDescent="0.3">
      <c r="A9" s="36" t="s">
        <v>232</v>
      </c>
      <c r="B9" s="248" t="s">
        <v>233</v>
      </c>
      <c r="C9" s="248"/>
      <c r="D9" s="37" t="s">
        <v>17</v>
      </c>
      <c r="E9" s="37"/>
    </row>
  </sheetData>
  <mergeCells count="10">
    <mergeCell ref="B7:C7"/>
    <mergeCell ref="B8:C8"/>
    <mergeCell ref="B9:C9"/>
    <mergeCell ref="B2:E2"/>
    <mergeCell ref="B3:E3"/>
    <mergeCell ref="A4:A5"/>
    <mergeCell ref="B4:C5"/>
    <mergeCell ref="D4:D5"/>
    <mergeCell ref="E4:E5"/>
    <mergeCell ref="B6:C6"/>
  </mergeCells>
  <hyperlinks>
    <hyperlink ref="A1" location="'Modelo de Dominio'!A1" display="&lt;&lt; Ir al modelo de dominio" xr:uid="{00000000-0004-0000-0B00-000000000000}"/>
    <hyperlink ref="B1" location="'Objetos de Dominio'!A1" display="&lt;&lt; Ir al listado de objetos de dominio" xr:uid="{00000000-0004-0000-0B00-000001000000}"/>
    <hyperlink ref="C1" location="'C-Servicio'!A1" display="&lt;&lt; Ir a la caracterización del objeto de dominio" xr:uid="{00000000-0004-0000-0B00-000002000000}"/>
    <hyperlink ref="D1" location="'M-Servicio'!A1" display="Ir al muestreo de datos del objeto de dominio &gt;&gt;" xr:uid="{00000000-0004-0000-0B00-000003000000}"/>
    <hyperlink ref="E1" location="'E-Servicio'!A1" display="Ir al event storming del objeto de dominio &gt;&gt;" xr:uid="{00000000-0004-0000-0B00-000004000000}"/>
  </hyperlink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4"/>
  <sheetViews>
    <sheetView showGridLines="0" zoomScale="115" zoomScaleNormal="115" workbookViewId="0">
      <selection sqref="A1:B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34" t="s">
        <v>98</v>
      </c>
      <c r="B2" s="254" t="str">
        <f>'Objetos de Dominio'!A5</f>
        <v>Servicio</v>
      </c>
      <c r="C2" s="254"/>
      <c r="D2" s="254"/>
      <c r="E2" s="254"/>
      <c r="F2" s="254"/>
      <c r="G2" s="254"/>
      <c r="H2" s="254"/>
      <c r="I2" s="254"/>
      <c r="J2" s="254"/>
      <c r="K2" s="254"/>
    </row>
    <row r="3" spans="1:11" ht="30" customHeight="1" x14ac:dyDescent="0.3">
      <c r="A3" s="35" t="s">
        <v>99</v>
      </c>
      <c r="B3" s="259" t="str">
        <f>'Objetos de Dominio'!B5</f>
        <v>Representa cada tipo de corte o arreglo que ofrece la barbería, definido por el dueño, para que luego cada barbero decida cuáles sabe hacer.</v>
      </c>
      <c r="C3" s="259"/>
      <c r="D3" s="259"/>
      <c r="E3" s="259"/>
      <c r="F3" s="259"/>
      <c r="G3" s="259"/>
      <c r="H3" s="259"/>
      <c r="I3" s="259"/>
      <c r="J3" s="259"/>
      <c r="K3" s="259"/>
    </row>
    <row r="4" spans="1:11" ht="34.5" customHeight="1" x14ac:dyDescent="0.3">
      <c r="A4" s="41" t="s">
        <v>105</v>
      </c>
      <c r="B4" s="256" t="s">
        <v>106</v>
      </c>
      <c r="C4" s="256"/>
      <c r="D4" s="42" t="s">
        <v>107</v>
      </c>
      <c r="E4" s="258" t="s">
        <v>108</v>
      </c>
      <c r="F4" s="258"/>
      <c r="G4" s="260" t="s">
        <v>109</v>
      </c>
      <c r="H4" s="260"/>
      <c r="I4" s="44" t="s">
        <v>110</v>
      </c>
      <c r="J4" s="45" t="s">
        <v>111</v>
      </c>
      <c r="K4" s="46" t="s">
        <v>112</v>
      </c>
    </row>
    <row r="5" spans="1:11" ht="15" customHeight="1" x14ac:dyDescent="0.3">
      <c r="A5" s="255" t="s">
        <v>105</v>
      </c>
      <c r="B5" s="256" t="s">
        <v>113</v>
      </c>
      <c r="C5" s="256" t="s">
        <v>76</v>
      </c>
      <c r="D5" s="257" t="s">
        <v>114</v>
      </c>
      <c r="E5" s="258" t="s">
        <v>115</v>
      </c>
      <c r="F5" s="258"/>
      <c r="G5" s="260" t="s">
        <v>116</v>
      </c>
      <c r="H5" s="260"/>
      <c r="I5" s="261" t="s">
        <v>117</v>
      </c>
      <c r="J5" s="262" t="s">
        <v>118</v>
      </c>
      <c r="K5" s="263" t="s">
        <v>119</v>
      </c>
    </row>
    <row r="6" spans="1:11" ht="15" customHeight="1" x14ac:dyDescent="0.3">
      <c r="A6" s="255"/>
      <c r="B6" s="255"/>
      <c r="C6" s="255"/>
      <c r="D6" s="255"/>
      <c r="E6" s="43" t="s">
        <v>120</v>
      </c>
      <c r="F6" s="43" t="s">
        <v>76</v>
      </c>
      <c r="G6" s="47" t="s">
        <v>121</v>
      </c>
      <c r="H6" s="47" t="s">
        <v>76</v>
      </c>
      <c r="I6" s="261"/>
      <c r="J6" s="261"/>
      <c r="K6" s="261"/>
    </row>
    <row r="7" spans="1:11" ht="30" customHeight="1" x14ac:dyDescent="0.3">
      <c r="A7" s="291" t="s">
        <v>122</v>
      </c>
      <c r="B7" s="290" t="s">
        <v>234</v>
      </c>
      <c r="C7" s="290" t="s">
        <v>204</v>
      </c>
      <c r="D7" s="291" t="str">
        <f>$B$2</f>
        <v>Servicio</v>
      </c>
      <c r="E7" s="290"/>
      <c r="F7" s="290"/>
      <c r="G7" s="105" t="str">
        <f>'P-Servicio'!A6</f>
        <v>P-SER-0001</v>
      </c>
      <c r="H7" s="14" t="s">
        <v>235</v>
      </c>
      <c r="I7" s="291"/>
      <c r="J7" s="290" t="s">
        <v>236</v>
      </c>
      <c r="K7" s="290"/>
    </row>
    <row r="8" spans="1:11" ht="30" customHeight="1" x14ac:dyDescent="0.3">
      <c r="A8" s="291"/>
      <c r="B8" s="291"/>
      <c r="C8" s="291"/>
      <c r="D8" s="291"/>
      <c r="E8" s="291"/>
      <c r="F8" s="291"/>
      <c r="G8" s="105" t="str">
        <f>'P-Servicio'!A7</f>
        <v>P-SER-0002</v>
      </c>
      <c r="H8" s="14" t="s">
        <v>235</v>
      </c>
      <c r="I8" s="291"/>
      <c r="J8" s="291"/>
      <c r="K8" s="291"/>
    </row>
    <row r="9" spans="1:11" ht="30" customHeight="1" x14ac:dyDescent="0.3">
      <c r="A9" s="291" t="s">
        <v>122</v>
      </c>
      <c r="B9" s="290" t="s">
        <v>237</v>
      </c>
      <c r="C9" s="290" t="s">
        <v>211</v>
      </c>
      <c r="D9" s="291" t="str">
        <f>$B$2</f>
        <v>Servicio</v>
      </c>
      <c r="E9" s="290"/>
      <c r="F9" s="290"/>
      <c r="G9" s="105" t="str">
        <f>'P-Servicio'!A6</f>
        <v>P-SER-0001</v>
      </c>
      <c r="H9" s="14" t="s">
        <v>235</v>
      </c>
      <c r="I9" s="291"/>
      <c r="J9" s="290" t="s">
        <v>238</v>
      </c>
      <c r="K9" s="290"/>
    </row>
    <row r="10" spans="1:11" ht="30" customHeight="1" x14ac:dyDescent="0.3">
      <c r="A10" s="291"/>
      <c r="B10" s="291"/>
      <c r="C10" s="291"/>
      <c r="D10" s="291"/>
      <c r="E10" s="291"/>
      <c r="F10" s="291"/>
      <c r="G10" s="105" t="str">
        <f>'P-Servicio'!A7</f>
        <v>P-SER-0002</v>
      </c>
      <c r="H10" s="14" t="s">
        <v>235</v>
      </c>
      <c r="I10" s="291"/>
      <c r="J10" s="291"/>
      <c r="K10" s="291"/>
    </row>
    <row r="11" spans="1:11" ht="30" customHeight="1" x14ac:dyDescent="0.3">
      <c r="A11" s="48" t="s">
        <v>122</v>
      </c>
      <c r="B11" s="49" t="s">
        <v>239</v>
      </c>
      <c r="C11" s="49" t="s">
        <v>217</v>
      </c>
      <c r="D11" s="48" t="str">
        <f>$B$2</f>
        <v>Servicio</v>
      </c>
      <c r="E11" s="49"/>
      <c r="F11" s="49"/>
      <c r="G11" s="48"/>
      <c r="H11" s="50"/>
      <c r="I11" s="48"/>
      <c r="J11" s="49" t="s">
        <v>240</v>
      </c>
      <c r="K11" s="49"/>
    </row>
    <row r="12" spans="1:11" ht="30" customHeight="1" x14ac:dyDescent="0.3">
      <c r="A12" s="48" t="s">
        <v>23</v>
      </c>
      <c r="B12" s="49" t="s">
        <v>239</v>
      </c>
      <c r="C12" s="49" t="s">
        <v>217</v>
      </c>
      <c r="D12" s="48" t="str">
        <f>$B$2</f>
        <v>Servicio</v>
      </c>
      <c r="E12" s="49"/>
      <c r="F12" s="49"/>
      <c r="G12" s="48"/>
      <c r="H12" s="50"/>
      <c r="I12" s="48"/>
      <c r="J12" s="49" t="s">
        <v>240</v>
      </c>
      <c r="K12" s="49"/>
    </row>
    <row r="13" spans="1:11" ht="30" customHeight="1" x14ac:dyDescent="0.3">
      <c r="A13" s="48" t="s">
        <v>25</v>
      </c>
      <c r="B13" s="49" t="s">
        <v>239</v>
      </c>
      <c r="C13" s="49" t="s">
        <v>217</v>
      </c>
      <c r="D13" s="48" t="str">
        <f>$B$2</f>
        <v>Servicio</v>
      </c>
      <c r="E13" s="49"/>
      <c r="F13" s="49"/>
      <c r="G13" s="48"/>
      <c r="H13" s="50"/>
      <c r="I13" s="48"/>
      <c r="J13" s="49" t="s">
        <v>240</v>
      </c>
      <c r="K13" s="49"/>
    </row>
    <row r="14" spans="1:11" ht="30" customHeight="1" x14ac:dyDescent="0.3">
      <c r="A14" s="48" t="s">
        <v>122</v>
      </c>
      <c r="B14" s="49" t="s">
        <v>241</v>
      </c>
      <c r="C14" s="49" t="s">
        <v>221</v>
      </c>
      <c r="D14" s="48" t="str">
        <f>$B$2</f>
        <v>Servicio</v>
      </c>
      <c r="E14" s="49"/>
      <c r="F14" s="49"/>
      <c r="G14" s="105" t="str">
        <f>'P-Servicio'!A8</f>
        <v>P-SER-0003</v>
      </c>
      <c r="H14" s="14" t="s">
        <v>235</v>
      </c>
      <c r="I14" s="48"/>
      <c r="J14" s="49" t="s">
        <v>242</v>
      </c>
      <c r="K14" s="49"/>
    </row>
  </sheetData>
  <mergeCells count="36">
    <mergeCell ref="F9:F10"/>
    <mergeCell ref="I9:I10"/>
    <mergeCell ref="J9:J10"/>
    <mergeCell ref="K9:K10"/>
    <mergeCell ref="A7:A8"/>
    <mergeCell ref="B7:B8"/>
    <mergeCell ref="C7:C8"/>
    <mergeCell ref="A9:A10"/>
    <mergeCell ref="B9:B10"/>
    <mergeCell ref="C9:C10"/>
    <mergeCell ref="D9:D10"/>
    <mergeCell ref="E9:E10"/>
    <mergeCell ref="D7:D8"/>
    <mergeCell ref="E7:E8"/>
    <mergeCell ref="F7:F8"/>
    <mergeCell ref="I7:I8"/>
    <mergeCell ref="B3:K3"/>
    <mergeCell ref="B4:C4"/>
    <mergeCell ref="E4:F4"/>
    <mergeCell ref="G4:H4"/>
    <mergeCell ref="G5:H5"/>
    <mergeCell ref="I5:I6"/>
    <mergeCell ref="J5:J6"/>
    <mergeCell ref="K5:K6"/>
    <mergeCell ref="J7:J8"/>
    <mergeCell ref="K7:K8"/>
    <mergeCell ref="A5:A6"/>
    <mergeCell ref="B5:B6"/>
    <mergeCell ref="C5:C6"/>
    <mergeCell ref="D5:D6"/>
    <mergeCell ref="E5:F5"/>
    <mergeCell ref="A1:B1"/>
    <mergeCell ref="C1:E1"/>
    <mergeCell ref="F1:I1"/>
    <mergeCell ref="J1:K1"/>
    <mergeCell ref="B2:K2"/>
  </mergeCells>
  <hyperlinks>
    <hyperlink ref="A1" location="'Modelo de Dominio'!A1" display="&lt;&lt; Ir al modelo de dominio" xr:uid="{00000000-0004-0000-0C00-000000000000}"/>
    <hyperlink ref="C1" location="'Objetos de Dominio'!A1" display="&lt;&lt; Ir al listado de objetos de dominio" xr:uid="{00000000-0004-0000-0C00-000001000000}"/>
    <hyperlink ref="F1" location="'C-Servicio'!A1" display="&lt;&lt; Ir a la caracterización del objeto de dominio" xr:uid="{00000000-0004-0000-0C00-000002000000}"/>
    <hyperlink ref="J1" location="'M-Servicio'!A1" display="Ir al muestreo de datos del objeto de dominio &gt;&gt;" xr:uid="{00000000-0004-0000-0C00-000003000000}"/>
    <hyperlink ref="G7" location="'P-Servicio'!A6" display="#'P-Servicio'.A6" xr:uid="{00000000-0004-0000-0C00-000004000000}"/>
    <hyperlink ref="H7" location="'P-Servicio'!B6" display="aquí" xr:uid="{00000000-0004-0000-0C00-000005000000}"/>
    <hyperlink ref="G8" location="'P-Servicio'!A7" display="#'P-Servicio'.A7" xr:uid="{00000000-0004-0000-0C00-000006000000}"/>
    <hyperlink ref="H8" location="'P-Servicio'!B7" display="aquí" xr:uid="{00000000-0004-0000-0C00-000007000000}"/>
    <hyperlink ref="G9" location="'P-Servicio'!A6" display="#'P-Servicio'.A6" xr:uid="{00000000-0004-0000-0C00-000008000000}"/>
    <hyperlink ref="H9" location="'P-Servicio'!B6" display="aquí" xr:uid="{00000000-0004-0000-0C00-000009000000}"/>
    <hyperlink ref="G10" location="'P-Servicio'!A7" display="#'P-Servicio'.A7" xr:uid="{00000000-0004-0000-0C00-00000A000000}"/>
    <hyperlink ref="H10" location="'P-Servicio'!B7" display="aquí" xr:uid="{00000000-0004-0000-0C00-00000B000000}"/>
    <hyperlink ref="G14" location="'P-Servicio'!A8" display="#'P-Servicio'.A8" xr:uid="{00000000-0004-0000-0C00-00000C000000}"/>
    <hyperlink ref="H14" location="'P-Servicio'!B8" display="aquí" xr:uid="{00000000-0004-0000-0C00-00000D000000}"/>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0"/>
  <sheetViews>
    <sheetView zoomScale="130" zoomScaleNormal="130" workbookViewId="0">
      <selection activeCell="B1" sqref="B1"/>
    </sheetView>
  </sheetViews>
  <sheetFormatPr baseColWidth="10" defaultColWidth="8.6640625" defaultRowHeight="14.4" x14ac:dyDescent="0.3"/>
  <cols>
    <col min="1" max="1" width="27" customWidth="1"/>
    <col min="2" max="2" width="26.109375" customWidth="1"/>
    <col min="3" max="3" width="20.88671875" customWidth="1"/>
    <col min="4" max="4" width="22.88671875" customWidth="1"/>
    <col min="5" max="5" width="10.44140625" customWidth="1"/>
    <col min="6" max="6" width="18.33203125" customWidth="1"/>
  </cols>
  <sheetData>
    <row r="1" spans="1:6" ht="14.25" customHeight="1" x14ac:dyDescent="0.3">
      <c r="A1" s="8" t="s">
        <v>1</v>
      </c>
      <c r="B1" s="8" t="s">
        <v>43</v>
      </c>
      <c r="C1" s="106"/>
      <c r="D1" s="107"/>
      <c r="E1" s="107"/>
      <c r="F1" s="58"/>
    </row>
    <row r="2" spans="1:6" ht="42.75" customHeight="1" x14ac:dyDescent="0.3">
      <c r="A2" s="51" t="s">
        <v>126</v>
      </c>
      <c r="B2" s="51" t="s">
        <v>243</v>
      </c>
      <c r="C2" s="51" t="s">
        <v>244</v>
      </c>
      <c r="D2" s="51" t="s">
        <v>245</v>
      </c>
      <c r="E2" s="51" t="s">
        <v>246</v>
      </c>
      <c r="F2" s="108" t="s">
        <v>247</v>
      </c>
    </row>
    <row r="3" spans="1:6" ht="14.25" customHeight="1" x14ac:dyDescent="0.3">
      <c r="A3" s="109" t="s">
        <v>129</v>
      </c>
      <c r="B3" s="110" t="s">
        <v>78</v>
      </c>
      <c r="C3" s="110" t="s">
        <v>183</v>
      </c>
      <c r="D3" s="110" t="s">
        <v>248</v>
      </c>
      <c r="E3" s="133" t="s">
        <v>249</v>
      </c>
      <c r="F3" s="55" t="s">
        <v>250</v>
      </c>
    </row>
    <row r="4" spans="1:6" ht="57" customHeight="1" x14ac:dyDescent="0.3">
      <c r="A4" s="111">
        <v>1</v>
      </c>
      <c r="B4" s="111" t="s">
        <v>251</v>
      </c>
      <c r="C4" s="112" t="s">
        <v>252</v>
      </c>
      <c r="D4" s="113">
        <v>22000</v>
      </c>
      <c r="E4" s="113" t="s">
        <v>253</v>
      </c>
      <c r="F4" s="56" t="str">
        <f>B4</f>
        <v>Motilada</v>
      </c>
    </row>
    <row r="5" spans="1:6" ht="57" customHeight="1" x14ac:dyDescent="0.3">
      <c r="A5" s="111">
        <v>2</v>
      </c>
      <c r="B5" s="111" t="s">
        <v>254</v>
      </c>
      <c r="C5" s="112" t="s">
        <v>255</v>
      </c>
      <c r="D5" s="113">
        <v>12000</v>
      </c>
      <c r="E5" s="113" t="s">
        <v>253</v>
      </c>
      <c r="F5" s="56" t="str">
        <f>B5</f>
        <v>Corte de barba</v>
      </c>
    </row>
    <row r="6" spans="1:6" ht="57" customHeight="1" x14ac:dyDescent="0.3">
      <c r="A6" s="111">
        <v>3</v>
      </c>
      <c r="B6" s="111" t="s">
        <v>256</v>
      </c>
      <c r="C6" s="112" t="s">
        <v>257</v>
      </c>
      <c r="D6" s="113">
        <v>15000</v>
      </c>
      <c r="E6" s="113" t="s">
        <v>253</v>
      </c>
      <c r="F6" s="56" t="str">
        <f>B6</f>
        <v>Perfilada de barba</v>
      </c>
    </row>
    <row r="7" spans="1:6" ht="57" customHeight="1" x14ac:dyDescent="0.3">
      <c r="A7" s="111">
        <v>4</v>
      </c>
      <c r="B7" s="112" t="s">
        <v>258</v>
      </c>
      <c r="C7" s="112" t="s">
        <v>259</v>
      </c>
      <c r="D7" s="113">
        <v>35000</v>
      </c>
      <c r="E7" s="113" t="s">
        <v>253</v>
      </c>
      <c r="F7" s="86" t="str">
        <f>B7</f>
        <v>Arreglo completo de barba con toalla caliente</v>
      </c>
    </row>
    <row r="13" spans="1:6" ht="28.5" customHeight="1" x14ac:dyDescent="0.3">
      <c r="A13" s="59"/>
      <c r="B13" s="60" t="s">
        <v>139</v>
      </c>
    </row>
    <row r="14" spans="1:6" ht="28.5" customHeight="1" x14ac:dyDescent="0.3">
      <c r="A14" s="61"/>
      <c r="B14" s="60" t="s">
        <v>140</v>
      </c>
    </row>
    <row r="15" spans="1:6" ht="42.75" customHeight="1" x14ac:dyDescent="0.3">
      <c r="A15" s="62"/>
      <c r="B15" s="60" t="s">
        <v>141</v>
      </c>
    </row>
    <row r="16" spans="1:6" ht="42.75" customHeight="1" x14ac:dyDescent="0.3">
      <c r="A16" s="136"/>
      <c r="B16" s="60" t="s">
        <v>442</v>
      </c>
    </row>
    <row r="17" spans="1:2" ht="28.5" customHeight="1" x14ac:dyDescent="0.3">
      <c r="A17" s="63"/>
      <c r="B17" s="60" t="s">
        <v>142</v>
      </c>
    </row>
    <row r="18" spans="1:2" ht="28.5" customHeight="1" x14ac:dyDescent="0.3">
      <c r="B18" s="60"/>
    </row>
    <row r="19" spans="1:2" ht="28.5" customHeight="1" x14ac:dyDescent="0.3">
      <c r="B19" s="60"/>
    </row>
    <row r="20" spans="1:2" ht="28.5" customHeight="1" x14ac:dyDescent="0.3">
      <c r="B20" s="60"/>
    </row>
  </sheetData>
  <hyperlinks>
    <hyperlink ref="A1" location="'Modelo de Dominio'!A1" display="&lt;&lt;&lt;&lt; Ir al modulo de dominio" xr:uid="{00000000-0004-0000-0D00-000000000000}"/>
    <hyperlink ref="B1" location="'Objetos de Dominio'!A1" display="&lt;&lt;&lt;&lt; Ir a objetos de dominio" xr:uid="{00000000-0004-0000-0D00-000001000000}"/>
  </hyperlink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8"/>
  <sheetViews>
    <sheetView zoomScaleNormal="100" workbookViewId="0">
      <selection activeCell="B1" sqref="B1"/>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30.109375"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 min="22" max="22" width="22" customWidth="1"/>
    <col min="23" max="23" width="13" customWidth="1"/>
    <col min="24" max="24" width="15.44140625" customWidth="1"/>
    <col min="25" max="26" width="22" customWidth="1"/>
  </cols>
  <sheetData>
    <row r="1" spans="1:26" ht="15" customHeight="1" x14ac:dyDescent="0.3">
      <c r="A1" s="8" t="s">
        <v>1</v>
      </c>
      <c r="B1" s="8" t="s">
        <v>43</v>
      </c>
    </row>
    <row r="2" spans="1:26" ht="15" customHeight="1" x14ac:dyDescent="0.3">
      <c r="A2" s="17" t="s">
        <v>44</v>
      </c>
      <c r="B2" s="18" t="s">
        <v>45</v>
      </c>
      <c r="C2" s="17" t="s">
        <v>46</v>
      </c>
      <c r="D2" s="17" t="s">
        <v>47</v>
      </c>
      <c r="E2" s="17" t="s">
        <v>48</v>
      </c>
      <c r="F2" s="17" t="s">
        <v>49</v>
      </c>
      <c r="G2" s="17" t="s">
        <v>50</v>
      </c>
      <c r="H2" s="17" t="s">
        <v>51</v>
      </c>
      <c r="I2" s="17" t="s">
        <v>52</v>
      </c>
      <c r="J2" s="17" t="s">
        <v>53</v>
      </c>
      <c r="K2" s="17" t="s">
        <v>54</v>
      </c>
      <c r="L2" s="17" t="s">
        <v>55</v>
      </c>
      <c r="M2" s="18" t="s">
        <v>56</v>
      </c>
      <c r="N2" s="17" t="s">
        <v>57</v>
      </c>
      <c r="O2" s="17" t="s">
        <v>58</v>
      </c>
      <c r="P2" s="17" t="s">
        <v>59</v>
      </c>
      <c r="Q2" s="17" t="s">
        <v>60</v>
      </c>
      <c r="R2" s="17" t="s">
        <v>61</v>
      </c>
      <c r="S2" s="17" t="s">
        <v>62</v>
      </c>
      <c r="T2" s="17" t="s">
        <v>63</v>
      </c>
      <c r="U2" s="17" t="s">
        <v>64</v>
      </c>
      <c r="V2" s="89" t="str">
        <f>A11</f>
        <v>registrarPrefijoCelular</v>
      </c>
      <c r="W2" s="275" t="str">
        <f>A13</f>
        <v>modificarPrefijoCelular</v>
      </c>
      <c r="X2" s="275"/>
      <c r="Y2" s="91" t="str">
        <f>A16</f>
        <v>retirarPrefijoCelular</v>
      </c>
      <c r="Z2" s="89" t="str">
        <f>A18</f>
        <v>consultarPrefijosCelular</v>
      </c>
    </row>
    <row r="3" spans="1:26" ht="45" customHeight="1" x14ac:dyDescent="0.3">
      <c r="A3" s="20" t="str">
        <f>'M-PrefijoCelular'!A3</f>
        <v>id</v>
      </c>
      <c r="B3" s="21" t="str">
        <f>'M-PrefijoCelular'!A2</f>
        <v>Representa un identificador que hará unico cada objeto de dominio de este tipo, no se puede repetir</v>
      </c>
      <c r="C3" s="20" t="s">
        <v>65</v>
      </c>
      <c r="D3" s="20" t="s">
        <v>66</v>
      </c>
      <c r="E3" s="20" t="s">
        <v>65</v>
      </c>
      <c r="F3" s="20" t="s">
        <v>67</v>
      </c>
      <c r="G3" s="20" t="s">
        <v>67</v>
      </c>
      <c r="H3" s="20" t="s">
        <v>67</v>
      </c>
      <c r="I3" s="20" t="s">
        <v>67</v>
      </c>
      <c r="J3" s="20" t="s">
        <v>67</v>
      </c>
      <c r="K3" s="20" t="s">
        <v>67</v>
      </c>
      <c r="L3" s="20" t="s">
        <v>67</v>
      </c>
      <c r="M3" s="21" t="s">
        <v>67</v>
      </c>
      <c r="N3" s="20" t="s">
        <v>68</v>
      </c>
      <c r="O3" s="20" t="s">
        <v>68</v>
      </c>
      <c r="P3" s="20" t="s">
        <v>67</v>
      </c>
      <c r="Q3" s="20" t="s">
        <v>68</v>
      </c>
      <c r="R3" s="20" t="s">
        <v>68</v>
      </c>
      <c r="S3" s="20" t="s">
        <v>68</v>
      </c>
      <c r="T3" s="20" t="s">
        <v>67</v>
      </c>
      <c r="U3" s="20" t="s">
        <v>65</v>
      </c>
      <c r="V3" s="92" t="s">
        <v>147</v>
      </c>
      <c r="W3" s="93" t="s">
        <v>144</v>
      </c>
      <c r="X3" s="93" t="s">
        <v>145</v>
      </c>
      <c r="Y3" s="94" t="s">
        <v>144</v>
      </c>
      <c r="Z3" s="92" t="s">
        <v>70</v>
      </c>
    </row>
    <row r="4" spans="1:26" ht="75" customHeight="1" x14ac:dyDescent="0.3">
      <c r="A4" s="20" t="str">
        <f>'M-PrefijoCelular'!B3</f>
        <v>prefijo</v>
      </c>
      <c r="B4" s="21" t="str">
        <f>'M-PrefijoCelular'!B2</f>
        <v>Representa el prefijo telefónico del país que el dueño habilita para que la barbería pueda atender números de ese país</v>
      </c>
      <c r="C4" s="20" t="s">
        <v>68</v>
      </c>
      <c r="D4" s="20" t="s">
        <v>71</v>
      </c>
      <c r="E4" s="20" t="s">
        <v>65</v>
      </c>
      <c r="F4" s="20">
        <v>2</v>
      </c>
      <c r="G4" s="20">
        <v>6</v>
      </c>
      <c r="H4" s="20" t="s">
        <v>67</v>
      </c>
      <c r="I4" s="20" t="s">
        <v>67</v>
      </c>
      <c r="J4" s="20" t="s">
        <v>67</v>
      </c>
      <c r="K4" s="20" t="s">
        <v>67</v>
      </c>
      <c r="L4" s="21" t="s">
        <v>260</v>
      </c>
      <c r="M4" s="21" t="s">
        <v>261</v>
      </c>
      <c r="N4" s="20" t="s">
        <v>68</v>
      </c>
      <c r="O4" s="20" t="s">
        <v>68</v>
      </c>
      <c r="P4" s="20" t="s">
        <v>67</v>
      </c>
      <c r="Q4" s="20" t="s">
        <v>65</v>
      </c>
      <c r="R4" s="20" t="s">
        <v>65</v>
      </c>
      <c r="S4" s="20" t="s">
        <v>68</v>
      </c>
      <c r="T4" s="20" t="s">
        <v>262</v>
      </c>
      <c r="U4" s="20" t="s">
        <v>68</v>
      </c>
      <c r="V4" s="92" t="s">
        <v>144</v>
      </c>
      <c r="W4" s="93" t="s">
        <v>144</v>
      </c>
      <c r="X4" s="93" t="s">
        <v>149</v>
      </c>
      <c r="Y4" s="94" t="s">
        <v>147</v>
      </c>
      <c r="Z4" s="92" t="s">
        <v>74</v>
      </c>
    </row>
    <row r="6" spans="1:26" ht="15" customHeight="1" x14ac:dyDescent="0.3">
      <c r="A6" s="23" t="s">
        <v>75</v>
      </c>
      <c r="B6" s="23" t="s">
        <v>76</v>
      </c>
      <c r="C6" s="23" t="s">
        <v>77</v>
      </c>
    </row>
    <row r="7" spans="1:26" ht="30" customHeight="1" x14ac:dyDescent="0.3">
      <c r="A7" s="24" t="str">
        <f>'M-PrefijoCelular'!C3</f>
        <v xml:space="preserve">Combinación única </v>
      </c>
      <c r="B7" s="25" t="str">
        <f>'M-PrefijoCelular'!C2</f>
        <v>Combinacion única que indica que no puede existir más un mismo prefijo</v>
      </c>
      <c r="C7" s="26" t="s">
        <v>263</v>
      </c>
    </row>
    <row r="9" spans="1:26" x14ac:dyDescent="0.3">
      <c r="A9" s="243" t="s">
        <v>79</v>
      </c>
      <c r="B9" s="243"/>
      <c r="C9" s="239" t="s">
        <v>76</v>
      </c>
      <c r="D9" s="239"/>
      <c r="E9" s="239"/>
      <c r="F9" s="239"/>
      <c r="G9" s="239" t="s">
        <v>80</v>
      </c>
      <c r="H9" s="239"/>
      <c r="I9" s="239"/>
      <c r="J9" s="239" t="s">
        <v>81</v>
      </c>
      <c r="K9" s="239"/>
      <c r="L9" s="239"/>
      <c r="M9" s="239"/>
      <c r="N9" s="239"/>
      <c r="O9" s="239" t="s">
        <v>82</v>
      </c>
      <c r="P9" s="239"/>
      <c r="Q9" s="239" t="s">
        <v>83</v>
      </c>
      <c r="R9" s="239"/>
    </row>
    <row r="10" spans="1:26" x14ac:dyDescent="0.3">
      <c r="A10" s="243"/>
      <c r="B10" s="243"/>
      <c r="C10" s="239"/>
      <c r="D10" s="239"/>
      <c r="E10" s="239"/>
      <c r="F10" s="239"/>
      <c r="G10" s="27" t="s">
        <v>84</v>
      </c>
      <c r="H10" s="27" t="s">
        <v>47</v>
      </c>
      <c r="I10" s="27" t="s">
        <v>76</v>
      </c>
      <c r="J10" s="27" t="s">
        <v>85</v>
      </c>
      <c r="K10" s="240" t="s">
        <v>76</v>
      </c>
      <c r="L10" s="240"/>
      <c r="M10" s="240"/>
      <c r="N10" s="240"/>
      <c r="O10" s="27" t="s">
        <v>86</v>
      </c>
      <c r="P10" s="27" t="s">
        <v>76</v>
      </c>
      <c r="Q10" s="27" t="s">
        <v>87</v>
      </c>
      <c r="R10" s="28" t="s">
        <v>88</v>
      </c>
    </row>
    <row r="11" spans="1:26" ht="75" customHeight="1" x14ac:dyDescent="0.3">
      <c r="A11" s="283" t="s">
        <v>264</v>
      </c>
      <c r="B11" s="283"/>
      <c r="C11" s="277" t="s">
        <v>265</v>
      </c>
      <c r="D11" s="277"/>
      <c r="E11" s="277"/>
      <c r="F11" s="277"/>
      <c r="G11" s="284" t="s">
        <v>266</v>
      </c>
      <c r="H11" s="284" t="s">
        <v>19</v>
      </c>
      <c r="I11" s="285" t="s">
        <v>267</v>
      </c>
      <c r="J11" s="292" t="s">
        <v>19</v>
      </c>
      <c r="K11" s="277" t="s">
        <v>268</v>
      </c>
      <c r="L11" s="277"/>
      <c r="M11" s="277"/>
      <c r="N11" s="277"/>
      <c r="O11" s="30" t="str">
        <f>'P-PrefijoCelular'!A6</f>
        <v>P-PRE-0001</v>
      </c>
      <c r="P11" s="29" t="str">
        <f>'P-PrefijoCelular'!B6</f>
        <v>Asegurar que los datos requeridos (prefijo) sean válidos en tipo de dato, longitud, obligatoriedad, formato y regla especial</v>
      </c>
      <c r="Q11" s="29" t="s">
        <v>269</v>
      </c>
      <c r="R11" s="22" t="s">
        <v>164</v>
      </c>
    </row>
    <row r="12" spans="1:26" ht="45" customHeight="1" x14ac:dyDescent="0.3">
      <c r="A12" s="283"/>
      <c r="B12" s="283"/>
      <c r="C12" s="277"/>
      <c r="D12" s="277"/>
      <c r="E12" s="277"/>
      <c r="F12" s="277"/>
      <c r="G12" s="284"/>
      <c r="H12" s="284"/>
      <c r="I12" s="284"/>
      <c r="J12" s="284"/>
      <c r="K12" s="277"/>
      <c r="L12" s="277"/>
      <c r="M12" s="277"/>
      <c r="N12" s="277"/>
      <c r="O12" s="30" t="str">
        <f>'P-PrefijoCelular'!A7</f>
        <v>P-PRE-0002</v>
      </c>
      <c r="P12" s="29" t="str">
        <f>'P-PrefijoCelular'!B7</f>
        <v>Asegurar que no exista otro prefijo de celular registrado con el mismo valor</v>
      </c>
      <c r="Q12" s="29" t="s">
        <v>270</v>
      </c>
      <c r="R12" s="22" t="s">
        <v>164</v>
      </c>
    </row>
    <row r="13" spans="1:26" ht="60" customHeight="1" x14ac:dyDescent="0.3">
      <c r="A13" s="278" t="s">
        <v>271</v>
      </c>
      <c r="B13" s="278"/>
      <c r="C13" s="279" t="s">
        <v>272</v>
      </c>
      <c r="D13" s="279"/>
      <c r="E13" s="279"/>
      <c r="F13" s="279"/>
      <c r="G13" s="98" t="s">
        <v>129</v>
      </c>
      <c r="H13" s="98" t="s">
        <v>156</v>
      </c>
      <c r="I13" s="99" t="s">
        <v>273</v>
      </c>
      <c r="J13" s="280" t="s">
        <v>19</v>
      </c>
      <c r="K13" s="279" t="s">
        <v>274</v>
      </c>
      <c r="L13" s="279"/>
      <c r="M13" s="279"/>
      <c r="N13" s="279"/>
      <c r="O13" s="70" t="str">
        <f>'P-PrefijoCelular'!A9</f>
        <v>P-PRE-0004</v>
      </c>
      <c r="P13" s="70" t="str">
        <f>'P-PrefijoCelular'!B9</f>
        <v>Asegurar que exista el prefijo de celular con el id enviado</v>
      </c>
      <c r="Q13" s="72" t="s">
        <v>275</v>
      </c>
      <c r="R13" s="101" t="s">
        <v>164</v>
      </c>
    </row>
    <row r="14" spans="1:26" ht="75" customHeight="1" x14ac:dyDescent="0.3">
      <c r="A14" s="278"/>
      <c r="B14" s="278"/>
      <c r="C14" s="279"/>
      <c r="D14" s="279"/>
      <c r="E14" s="279"/>
      <c r="F14" s="279"/>
      <c r="G14" s="281" t="s">
        <v>266</v>
      </c>
      <c r="H14" s="281" t="s">
        <v>19</v>
      </c>
      <c r="I14" s="282" t="s">
        <v>276</v>
      </c>
      <c r="J14" s="280"/>
      <c r="K14" s="279"/>
      <c r="L14" s="279"/>
      <c r="M14" s="279"/>
      <c r="N14" s="279"/>
      <c r="O14" s="67" t="str">
        <f>'P-PrefijoCelular'!A6</f>
        <v>P-PRE-0001</v>
      </c>
      <c r="P14" s="70" t="str">
        <f>'P-PrefijoCelular'!B6</f>
        <v>Asegurar que los datos requeridos (prefijo) sean válidos en tipo de dato, longitud, obligatoriedad, formato y regla especial</v>
      </c>
      <c r="Q14" s="70" t="s">
        <v>277</v>
      </c>
      <c r="R14" s="101" t="s">
        <v>164</v>
      </c>
    </row>
    <row r="15" spans="1:26" ht="45" customHeight="1" x14ac:dyDescent="0.3">
      <c r="A15" s="278"/>
      <c r="B15" s="278"/>
      <c r="C15" s="279"/>
      <c r="D15" s="279"/>
      <c r="E15" s="279"/>
      <c r="F15" s="279"/>
      <c r="G15" s="281"/>
      <c r="H15" s="281"/>
      <c r="I15" s="281"/>
      <c r="J15" s="281"/>
      <c r="K15" s="279"/>
      <c r="L15" s="279"/>
      <c r="M15" s="279"/>
      <c r="N15" s="279"/>
      <c r="O15" s="67" t="str">
        <f>'P-PrefijoCelular'!A7</f>
        <v>P-PRE-0002</v>
      </c>
      <c r="P15" s="70" t="str">
        <f>'P-PrefijoCelular'!B7</f>
        <v>Asegurar que no exista otro prefijo de celular registrado con el mismo valor</v>
      </c>
      <c r="Q15" s="70" t="s">
        <v>270</v>
      </c>
      <c r="R15" s="101" t="s">
        <v>164</v>
      </c>
    </row>
    <row r="16" spans="1:26" ht="45" customHeight="1" x14ac:dyDescent="0.3">
      <c r="A16" s="294" t="s">
        <v>278</v>
      </c>
      <c r="B16" s="294"/>
      <c r="C16" s="287" t="s">
        <v>279</v>
      </c>
      <c r="D16" s="287"/>
      <c r="E16" s="287"/>
      <c r="F16" s="287"/>
      <c r="G16" s="293" t="s">
        <v>129</v>
      </c>
      <c r="H16" s="293" t="s">
        <v>156</v>
      </c>
      <c r="I16" s="295" t="s">
        <v>280</v>
      </c>
      <c r="J16" s="293"/>
      <c r="K16" s="287" t="s">
        <v>223</v>
      </c>
      <c r="L16" s="287"/>
      <c r="M16" s="287"/>
      <c r="N16" s="287"/>
      <c r="O16" s="68" t="str">
        <f>'P-PrefijoCelular'!A8</f>
        <v>P-PRE-0003</v>
      </c>
      <c r="P16" s="74" t="str">
        <f>'P-PrefijoCelular'!B8</f>
        <v>Asegurar que el prefijo que se va a retirar no esté siendo usado por ningún barbero ni por ningún cliente</v>
      </c>
      <c r="Q16" s="74" t="s">
        <v>281</v>
      </c>
      <c r="R16" s="103" t="s">
        <v>164</v>
      </c>
    </row>
    <row r="17" spans="1:18" ht="60" customHeight="1" x14ac:dyDescent="0.3">
      <c r="A17" s="294"/>
      <c r="B17" s="294"/>
      <c r="C17" s="287"/>
      <c r="D17" s="287"/>
      <c r="E17" s="287"/>
      <c r="F17" s="287"/>
      <c r="G17" s="293"/>
      <c r="H17" s="293"/>
      <c r="I17" s="293"/>
      <c r="J17" s="293"/>
      <c r="K17" s="287"/>
      <c r="L17" s="287"/>
      <c r="M17" s="287"/>
      <c r="N17" s="287"/>
      <c r="O17" s="68" t="str">
        <f>'P-PrefijoCelular'!A9</f>
        <v>P-PRE-0004</v>
      </c>
      <c r="P17" s="74" t="str">
        <f>'P-PrefijoCelular'!B9</f>
        <v>Asegurar que exista el prefijo de celular con el id enviado</v>
      </c>
      <c r="Q17" s="74" t="s">
        <v>282</v>
      </c>
      <c r="R17" s="103" t="s">
        <v>164</v>
      </c>
    </row>
    <row r="18" spans="1:18" ht="42" customHeight="1" x14ac:dyDescent="0.3">
      <c r="A18" s="283" t="s">
        <v>283</v>
      </c>
      <c r="B18" s="283"/>
      <c r="C18" s="277" t="s">
        <v>284</v>
      </c>
      <c r="D18" s="277"/>
      <c r="E18" s="277"/>
      <c r="F18" s="277"/>
      <c r="G18" s="30"/>
      <c r="H18" s="30"/>
      <c r="I18" s="31"/>
      <c r="J18" s="32" t="s">
        <v>285</v>
      </c>
      <c r="K18" s="277" t="s">
        <v>286</v>
      </c>
      <c r="L18" s="277"/>
      <c r="M18" s="277"/>
      <c r="N18" s="277"/>
      <c r="O18" s="30"/>
      <c r="P18" s="29"/>
      <c r="Q18" s="29"/>
      <c r="R18" s="22"/>
    </row>
  </sheetData>
  <mergeCells count="32">
    <mergeCell ref="J16:J17"/>
    <mergeCell ref="K16:N17"/>
    <mergeCell ref="A18:B18"/>
    <mergeCell ref="C18:F18"/>
    <mergeCell ref="K18:N18"/>
    <mergeCell ref="A16:B17"/>
    <mergeCell ref="C16:F17"/>
    <mergeCell ref="G16:G17"/>
    <mergeCell ref="H16:H17"/>
    <mergeCell ref="I16:I17"/>
    <mergeCell ref="J11:J12"/>
    <mergeCell ref="K11:N12"/>
    <mergeCell ref="A13:B15"/>
    <mergeCell ref="C13:F15"/>
    <mergeCell ref="J13:J15"/>
    <mergeCell ref="K13:N15"/>
    <mergeCell ref="G14:G15"/>
    <mergeCell ref="H14:H15"/>
    <mergeCell ref="I14:I15"/>
    <mergeCell ref="A11:B12"/>
    <mergeCell ref="C11:F12"/>
    <mergeCell ref="G11:G12"/>
    <mergeCell ref="H11:H12"/>
    <mergeCell ref="I11:I12"/>
    <mergeCell ref="W2:X2"/>
    <mergeCell ref="A9:B10"/>
    <mergeCell ref="C9:F10"/>
    <mergeCell ref="G9:I9"/>
    <mergeCell ref="J9:N9"/>
    <mergeCell ref="O9:P9"/>
    <mergeCell ref="Q9:R9"/>
    <mergeCell ref="K10:N10"/>
  </mergeCells>
  <hyperlinks>
    <hyperlink ref="A1" location="'Modelo de Dominio'!A1" display="&lt;&lt;&lt;&lt; Ir al modulo de dominio" xr:uid="{00000000-0004-0000-0E00-000000000000}"/>
    <hyperlink ref="B1" location="'Objetos de Dominio'!A1" display="&lt;&lt;&lt;&lt; Ir a objetos de dominio" xr:uid="{00000000-0004-0000-0E00-000001000000}"/>
    <hyperlink ref="V2" location="'C-PrefijoCelular'!A11" display="#'C-PrefijoCelular'.A11" xr:uid="{00000000-0004-0000-0E00-000002000000}"/>
    <hyperlink ref="W2" location="'C-PrefijoCelular'!A13" display="#'C-PrefijoCelular'.A13" xr:uid="{00000000-0004-0000-0E00-000003000000}"/>
    <hyperlink ref="Y2" location="'C-PrefijoCelular'!A16" display="#'C-PrefijoCelular'.A16" xr:uid="{00000000-0004-0000-0E00-000004000000}"/>
    <hyperlink ref="Z2" location="'C-PrefijoCelular'!A18" display="#'C-PrefijoCelular'.A18" xr:uid="{00000000-0004-0000-0E00-000005000000}"/>
    <hyperlink ref="A3" location="'M-PrefijoCelular'!A3" display="#'M-PrefijoCelular'.A3" xr:uid="{00000000-0004-0000-0E00-000006000000}"/>
    <hyperlink ref="B3" location="'M-PrefijoCelular'!A2" display="#'M-PrefijoCelular'.A2" xr:uid="{00000000-0004-0000-0E00-000007000000}"/>
    <hyperlink ref="A4" location="'M-PrefijoCelular'!A3" display="#'M-PrefijoCelular'.A3" xr:uid="{00000000-0004-0000-0E00-000008000000}"/>
    <hyperlink ref="B4" location="'M-PrefijoCelular'!A2" display="#'M-PrefijoCelular'.A2" xr:uid="{00000000-0004-0000-0E00-000009000000}"/>
    <hyperlink ref="A7" location="'M-PrefijoCelular'!A3" display="#'M-PrefijoCelular'.A3" xr:uid="{00000000-0004-0000-0E00-00000A000000}"/>
    <hyperlink ref="B7" location="'M-PrefijoCelular'!A2" display="#'M-PrefijoCelular'.A2" xr:uid="{00000000-0004-0000-0E00-00000B000000}"/>
    <hyperlink ref="A11" location="'C-PrefijoCelular'!V2" display="registrarPrefijoCelular" xr:uid="{00000000-0004-0000-0E00-00000C000000}"/>
    <hyperlink ref="A13" location="'C-PrefijoCelular'!W2" display="modificarPrefijoCelular" xr:uid="{00000000-0004-0000-0E00-00000D000000}"/>
    <hyperlink ref="A16" location="'C-PrefijoCelular'!Y2" display="retirarPrefijoCelular" xr:uid="{00000000-0004-0000-0E00-00000E000000}"/>
    <hyperlink ref="A18" location="'C-PrefijoCelular'!Z2" display="consultarPrefijosCelular" xr:uid="{00000000-0004-0000-0E00-00000F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9"/>
  <sheetViews>
    <sheetView showGridLines="0" zoomScaleNormal="100" workbookViewId="0">
      <selection activeCell="B9" sqref="B9:C9"/>
    </sheetView>
  </sheetViews>
  <sheetFormatPr baseColWidth="10" defaultColWidth="8.6640625" defaultRowHeight="14.4" x14ac:dyDescent="0.3"/>
  <cols>
    <col min="1" max="1" width="21.33203125" customWidth="1"/>
    <col min="2" max="2" width="29.109375" customWidth="1"/>
    <col min="3" max="3" width="36.33203125" customWidth="1"/>
    <col min="4" max="4" width="37.6640625" customWidth="1"/>
    <col min="5" max="5" width="36.332031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Dominio'!A6</f>
        <v>PrefijoCelular</v>
      </c>
      <c r="C2" s="244"/>
      <c r="D2" s="244"/>
      <c r="E2" s="244"/>
    </row>
    <row r="3" spans="1:5" ht="30" customHeight="1" x14ac:dyDescent="0.3">
      <c r="A3" s="35" t="s">
        <v>99</v>
      </c>
      <c r="B3" s="245" t="str">
        <f>'Objetos de Dominio'!B6</f>
        <v>Representa el catálogo de prefijos telefónicos de país que el dueño habilita, y que son los únicos que barberos y clientes pueden usar en su número de celular.</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28.5" customHeight="1" x14ac:dyDescent="0.3">
      <c r="A6" s="36" t="s">
        <v>287</v>
      </c>
      <c r="B6" s="296" t="s">
        <v>288</v>
      </c>
      <c r="C6" s="296"/>
      <c r="D6" s="37" t="s">
        <v>19</v>
      </c>
      <c r="E6" s="37"/>
    </row>
    <row r="7" spans="1:5" ht="28.5" customHeight="1" x14ac:dyDescent="0.3">
      <c r="A7" s="36" t="s">
        <v>289</v>
      </c>
      <c r="B7" s="296" t="s">
        <v>290</v>
      </c>
      <c r="C7" s="296"/>
      <c r="D7" s="37" t="s">
        <v>19</v>
      </c>
      <c r="E7" s="37"/>
    </row>
    <row r="8" spans="1:5" ht="28.5" customHeight="1" x14ac:dyDescent="0.3">
      <c r="A8" s="36" t="s">
        <v>291</v>
      </c>
      <c r="B8" s="296" t="s">
        <v>292</v>
      </c>
      <c r="C8" s="296"/>
      <c r="D8" s="37" t="s">
        <v>19</v>
      </c>
      <c r="E8" s="37"/>
    </row>
    <row r="9" spans="1:5" ht="15" customHeight="1" x14ac:dyDescent="0.3">
      <c r="A9" s="36" t="s">
        <v>293</v>
      </c>
      <c r="B9" s="248" t="s">
        <v>294</v>
      </c>
      <c r="C9" s="248"/>
      <c r="D9" s="37" t="s">
        <v>19</v>
      </c>
      <c r="E9" s="37"/>
    </row>
  </sheetData>
  <mergeCells count="10">
    <mergeCell ref="B7:C7"/>
    <mergeCell ref="B8:C8"/>
    <mergeCell ref="B9:C9"/>
    <mergeCell ref="B2:E2"/>
    <mergeCell ref="B3:E3"/>
    <mergeCell ref="A4:A5"/>
    <mergeCell ref="B4:C5"/>
    <mergeCell ref="D4:D5"/>
    <mergeCell ref="E4:E5"/>
    <mergeCell ref="B6:C6"/>
  </mergeCells>
  <hyperlinks>
    <hyperlink ref="A1" location="'Modelo de Dominio'!A1" display="&lt;&lt; Ir al modelo de dominio" xr:uid="{00000000-0004-0000-0F00-000000000000}"/>
    <hyperlink ref="B1" location="'Objetos de Dominio'!A1" display="&lt;&lt; Ir al listado de objetos de dominio" xr:uid="{00000000-0004-0000-0F00-000001000000}"/>
    <hyperlink ref="C1" location="'C-PrefijoCelular'!A1" display="&lt;&lt; Ir a la caracterización del objeto de dominio" xr:uid="{00000000-0004-0000-0F00-000002000000}"/>
    <hyperlink ref="D1" location="'M-PrefijoCelular'!A1" display="Ir al muestreo de datos del objeto de dominio &gt;&gt;" xr:uid="{00000000-0004-0000-0F00-000003000000}"/>
    <hyperlink ref="E1" location="'E-PrefijoCelular'!A1" display="Ir al event storming del objeto de dominio &gt;&gt;" xr:uid="{00000000-0004-0000-0F00-000004000000}"/>
  </hyperlink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4"/>
  <sheetViews>
    <sheetView showGridLines="0" topLeftCell="B1" zoomScaleNormal="100" workbookViewId="0">
      <selection activeCell="C15" sqref="C15"/>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3.66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34" t="s">
        <v>98</v>
      </c>
      <c r="B2" s="254" t="str">
        <f>'Objetos de Dominio'!A6</f>
        <v>PrefijoCelular</v>
      </c>
      <c r="C2" s="254"/>
      <c r="D2" s="254"/>
      <c r="E2" s="254"/>
      <c r="F2" s="254"/>
      <c r="G2" s="254"/>
      <c r="H2" s="254"/>
      <c r="I2" s="254"/>
      <c r="J2" s="254"/>
      <c r="K2" s="254"/>
    </row>
    <row r="3" spans="1:11" ht="30" customHeight="1" x14ac:dyDescent="0.3">
      <c r="A3" s="35" t="s">
        <v>99</v>
      </c>
      <c r="B3" s="259" t="str">
        <f>'Objetos de Dominio'!B6</f>
        <v>Representa el catálogo de prefijos telefónicos de país que el dueño habilita, y que son los únicos que barberos y clientes pueden usar en su número de celular.</v>
      </c>
      <c r="C3" s="259"/>
      <c r="D3" s="259"/>
      <c r="E3" s="259"/>
      <c r="F3" s="259"/>
      <c r="G3" s="259"/>
      <c r="H3" s="259"/>
      <c r="I3" s="259"/>
      <c r="J3" s="259"/>
      <c r="K3" s="259"/>
    </row>
    <row r="4" spans="1:11" ht="34.5" customHeight="1" x14ac:dyDescent="0.3">
      <c r="A4" s="41" t="s">
        <v>105</v>
      </c>
      <c r="B4" s="256" t="s">
        <v>106</v>
      </c>
      <c r="C4" s="256"/>
      <c r="D4" s="42" t="s">
        <v>107</v>
      </c>
      <c r="E4" s="258" t="s">
        <v>108</v>
      </c>
      <c r="F4" s="258"/>
      <c r="G4" s="260" t="s">
        <v>109</v>
      </c>
      <c r="H4" s="260"/>
      <c r="I4" s="44" t="s">
        <v>110</v>
      </c>
      <c r="J4" s="45" t="s">
        <v>111</v>
      </c>
      <c r="K4" s="46" t="s">
        <v>112</v>
      </c>
    </row>
    <row r="5" spans="1:11" ht="15" customHeight="1" x14ac:dyDescent="0.3">
      <c r="A5" s="255" t="s">
        <v>105</v>
      </c>
      <c r="B5" s="256" t="s">
        <v>113</v>
      </c>
      <c r="C5" s="256" t="s">
        <v>76</v>
      </c>
      <c r="D5" s="257" t="s">
        <v>114</v>
      </c>
      <c r="E5" s="258" t="s">
        <v>115</v>
      </c>
      <c r="F5" s="258"/>
      <c r="G5" s="260" t="s">
        <v>116</v>
      </c>
      <c r="H5" s="260"/>
      <c r="I5" s="261" t="s">
        <v>117</v>
      </c>
      <c r="J5" s="262" t="s">
        <v>118</v>
      </c>
      <c r="K5" s="263" t="s">
        <v>119</v>
      </c>
    </row>
    <row r="6" spans="1:11" ht="15" customHeight="1" x14ac:dyDescent="0.3">
      <c r="A6" s="255"/>
      <c r="B6" s="255"/>
      <c r="C6" s="255"/>
      <c r="D6" s="255"/>
      <c r="E6" s="43" t="s">
        <v>120</v>
      </c>
      <c r="F6" s="43" t="s">
        <v>76</v>
      </c>
      <c r="G6" s="47" t="s">
        <v>121</v>
      </c>
      <c r="H6" s="47" t="s">
        <v>76</v>
      </c>
      <c r="I6" s="261"/>
      <c r="J6" s="261"/>
      <c r="K6" s="261"/>
    </row>
    <row r="7" spans="1:11" ht="41.25" customHeight="1" x14ac:dyDescent="0.3">
      <c r="A7" s="291" t="s">
        <v>122</v>
      </c>
      <c r="B7" s="290" t="s">
        <v>295</v>
      </c>
      <c r="C7" s="290" t="s">
        <v>265</v>
      </c>
      <c r="D7" s="291" t="str">
        <f>$B$2</f>
        <v>PrefijoCelular</v>
      </c>
      <c r="E7" s="49"/>
      <c r="F7" s="49"/>
      <c r="G7" s="48" t="str">
        <f>'P-PrefijoCelular'!A6</f>
        <v>P-PRE-0001</v>
      </c>
      <c r="H7" s="114" t="str">
        <f>'P-PrefijoCelular'!B6</f>
        <v>Asegurar que los datos requeridos (prefijo) sean válidos en tipo de dato, longitud, obligatoriedad, formato y regla especial</v>
      </c>
      <c r="I7" s="291"/>
      <c r="J7" s="290" t="s">
        <v>296</v>
      </c>
      <c r="K7" s="290"/>
    </row>
    <row r="8" spans="1:11" ht="27" customHeight="1" x14ac:dyDescent="0.3">
      <c r="A8" s="291"/>
      <c r="B8" s="291"/>
      <c r="C8" s="291"/>
      <c r="D8" s="291"/>
      <c r="E8" s="49"/>
      <c r="F8" s="49"/>
      <c r="G8" s="48" t="str">
        <f>'P-PrefijoCelular'!A7</f>
        <v>P-PRE-0002</v>
      </c>
      <c r="H8" s="114" t="str">
        <f>'P-PrefijoCelular'!B7</f>
        <v>Asegurar que no exista otro prefijo de celular registrado con el mismo valor</v>
      </c>
      <c r="I8" s="291"/>
      <c r="J8" s="291"/>
      <c r="K8" s="291"/>
    </row>
    <row r="9" spans="1:11" ht="41.25" customHeight="1" x14ac:dyDescent="0.3">
      <c r="A9" s="291" t="s">
        <v>122</v>
      </c>
      <c r="B9" s="290" t="s">
        <v>297</v>
      </c>
      <c r="C9" s="290" t="s">
        <v>272</v>
      </c>
      <c r="D9" s="291" t="str">
        <f>$B$2</f>
        <v>PrefijoCelular</v>
      </c>
      <c r="E9" s="49"/>
      <c r="F9" s="49"/>
      <c r="G9" s="48" t="str">
        <f>'P-PrefijoCelular'!A6</f>
        <v>P-PRE-0001</v>
      </c>
      <c r="H9" s="114" t="str">
        <f>'P-PrefijoCelular'!B6</f>
        <v>Asegurar que los datos requeridos (prefijo) sean válidos en tipo de dato, longitud, obligatoriedad, formato y regla especial</v>
      </c>
      <c r="I9" s="291"/>
      <c r="J9" s="290" t="s">
        <v>298</v>
      </c>
      <c r="K9" s="290"/>
    </row>
    <row r="10" spans="1:11" ht="27" customHeight="1" x14ac:dyDescent="0.3">
      <c r="A10" s="291"/>
      <c r="B10" s="291"/>
      <c r="C10" s="291"/>
      <c r="D10" s="291"/>
      <c r="E10" s="49"/>
      <c r="F10" s="49"/>
      <c r="G10" s="48" t="str">
        <f>'P-PrefijoCelular'!A7</f>
        <v>P-PRE-0002</v>
      </c>
      <c r="H10" s="114" t="str">
        <f>'P-PrefijoCelular'!B7</f>
        <v>Asegurar que no exista otro prefijo de celular registrado con el mismo valor</v>
      </c>
      <c r="I10" s="291"/>
      <c r="J10" s="291"/>
      <c r="K10" s="291"/>
    </row>
    <row r="11" spans="1:11" ht="41.25" customHeight="1" x14ac:dyDescent="0.3">
      <c r="A11" s="48" t="s">
        <v>122</v>
      </c>
      <c r="B11" s="49" t="s">
        <v>299</v>
      </c>
      <c r="C11" s="49" t="s">
        <v>279</v>
      </c>
      <c r="D11" s="48" t="str">
        <f>$B$2</f>
        <v>PrefijoCelular</v>
      </c>
      <c r="E11" s="49"/>
      <c r="F11" s="49"/>
      <c r="G11" s="48" t="str">
        <f>'P-PrefijoCelular'!A8</f>
        <v>P-PRE-0003</v>
      </c>
      <c r="H11" s="114" t="str">
        <f>'P-PrefijoCelular'!B8</f>
        <v>Asegurar que el prefijo que se va a retirar no esté siendo usado por ningún barbero ni por ningún cliente</v>
      </c>
      <c r="I11" s="48"/>
      <c r="J11" s="49" t="s">
        <v>300</v>
      </c>
      <c r="K11" s="49"/>
    </row>
    <row r="12" spans="1:11" ht="27" customHeight="1" x14ac:dyDescent="0.3">
      <c r="A12" s="48" t="s">
        <v>122</v>
      </c>
      <c r="B12" s="49" t="s">
        <v>301</v>
      </c>
      <c r="C12" s="49" t="s">
        <v>284</v>
      </c>
      <c r="D12" s="48" t="str">
        <f>$B$2</f>
        <v>PrefijoCelular</v>
      </c>
      <c r="E12" s="49"/>
      <c r="F12" s="49"/>
      <c r="G12" s="48"/>
      <c r="H12" s="50"/>
      <c r="I12" s="48"/>
      <c r="J12" s="49" t="s">
        <v>302</v>
      </c>
      <c r="K12" s="49"/>
    </row>
    <row r="13" spans="1:11" ht="27" customHeight="1" x14ac:dyDescent="0.3">
      <c r="A13" s="48" t="s">
        <v>23</v>
      </c>
      <c r="B13" s="49" t="s">
        <v>301</v>
      </c>
      <c r="C13" s="49" t="s">
        <v>303</v>
      </c>
      <c r="D13" s="48" t="str">
        <f>$B$2</f>
        <v>PrefijoCelular</v>
      </c>
      <c r="E13" s="49"/>
      <c r="F13" s="49"/>
      <c r="G13" s="48"/>
      <c r="H13" s="50"/>
      <c r="I13" s="48"/>
      <c r="J13" s="49" t="s">
        <v>302</v>
      </c>
      <c r="K13" s="49"/>
    </row>
    <row r="14" spans="1:11" ht="27" customHeight="1" x14ac:dyDescent="0.3">
      <c r="A14" s="48" t="s">
        <v>25</v>
      </c>
      <c r="B14" s="49" t="s">
        <v>301</v>
      </c>
      <c r="C14" s="49" t="s">
        <v>303</v>
      </c>
      <c r="D14" s="48" t="str">
        <f>$B$2</f>
        <v>PrefijoCelular</v>
      </c>
      <c r="E14" s="49"/>
      <c r="F14" s="49"/>
      <c r="G14" s="48"/>
      <c r="H14" s="50"/>
      <c r="I14" s="48"/>
      <c r="J14" s="49" t="s">
        <v>302</v>
      </c>
      <c r="K14" s="49"/>
    </row>
  </sheetData>
  <mergeCells count="32">
    <mergeCell ref="J7:J8"/>
    <mergeCell ref="K7:K8"/>
    <mergeCell ref="A9:A10"/>
    <mergeCell ref="B9:B10"/>
    <mergeCell ref="C9:C10"/>
    <mergeCell ref="D9:D10"/>
    <mergeCell ref="I9:I10"/>
    <mergeCell ref="J9:J10"/>
    <mergeCell ref="K9:K10"/>
    <mergeCell ref="A7:A8"/>
    <mergeCell ref="B7:B8"/>
    <mergeCell ref="C7:C8"/>
    <mergeCell ref="D7:D8"/>
    <mergeCell ref="I7:I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1000-000000000000}"/>
    <hyperlink ref="C1" location="'Objetos de Dominio'!A1" display="&lt;&lt; Ir al listado de objetos de dominio" xr:uid="{00000000-0004-0000-1000-000001000000}"/>
    <hyperlink ref="F1" location="'C-PrefijoCelular'!A1" display="&lt;&lt; Ir a la caracterización del objeto de dominio" xr:uid="{00000000-0004-0000-1000-000002000000}"/>
    <hyperlink ref="J1" location="'M-PrefijoCelular'!A1" display="Ir al muestreo de datos del objeto de dominio &gt;&gt;" xr:uid="{00000000-0004-0000-1000-000003000000}"/>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6"/>
  <sheetViews>
    <sheetView zoomScaleNormal="100" workbookViewId="0"/>
  </sheetViews>
  <sheetFormatPr baseColWidth="10" defaultColWidth="8.6640625" defaultRowHeight="14.4" x14ac:dyDescent="0.3"/>
  <cols>
    <col min="1" max="1" width="27" customWidth="1"/>
    <col min="2" max="2" width="26.109375" customWidth="1"/>
    <col min="3" max="3" width="19.6640625" customWidth="1"/>
  </cols>
  <sheetData>
    <row r="1" spans="1:3" ht="14.25" customHeight="1" x14ac:dyDescent="0.3">
      <c r="A1" s="8" t="s">
        <v>1</v>
      </c>
      <c r="B1" s="8" t="s">
        <v>43</v>
      </c>
    </row>
    <row r="2" spans="1:3" ht="31.5" customHeight="1" x14ac:dyDescent="0.3">
      <c r="A2" s="51" t="s">
        <v>126</v>
      </c>
      <c r="B2" s="51" t="s">
        <v>304</v>
      </c>
      <c r="C2" s="52" t="s">
        <v>305</v>
      </c>
    </row>
    <row r="3" spans="1:3" ht="14.25" customHeight="1" x14ac:dyDescent="0.3">
      <c r="A3" s="53" t="s">
        <v>129</v>
      </c>
      <c r="B3" s="54" t="s">
        <v>263</v>
      </c>
      <c r="C3" s="55" t="s">
        <v>130</v>
      </c>
    </row>
    <row r="4" spans="1:3" ht="14.25" customHeight="1" x14ac:dyDescent="0.3">
      <c r="A4" s="56">
        <v>1</v>
      </c>
      <c r="B4" s="56" t="s">
        <v>306</v>
      </c>
      <c r="C4" s="56" t="str">
        <f>B4</f>
        <v>+57</v>
      </c>
    </row>
    <row r="5" spans="1:3" ht="14.25" customHeight="1" x14ac:dyDescent="0.3">
      <c r="A5" s="56">
        <v>2</v>
      </c>
      <c r="B5" s="56" t="s">
        <v>307</v>
      </c>
      <c r="C5" s="56" t="str">
        <f>B5</f>
        <v>+91</v>
      </c>
    </row>
    <row r="6" spans="1:3" ht="14.25" customHeight="1" x14ac:dyDescent="0.3">
      <c r="A6" s="56">
        <v>3</v>
      </c>
      <c r="B6" s="56" t="s">
        <v>308</v>
      </c>
      <c r="C6" s="56" t="str">
        <f>B6</f>
        <v>+593</v>
      </c>
    </row>
    <row r="7" spans="1:3" ht="14.25" customHeight="1" x14ac:dyDescent="0.3">
      <c r="A7" s="56">
        <v>4</v>
      </c>
      <c r="B7" s="56" t="s">
        <v>309</v>
      </c>
      <c r="C7" s="56" t="str">
        <f>B7</f>
        <v>+58</v>
      </c>
    </row>
    <row r="8" spans="1:3" ht="14.25" customHeight="1" x14ac:dyDescent="0.3">
      <c r="A8" s="58"/>
      <c r="B8" s="58"/>
    </row>
    <row r="9" spans="1:3" ht="14.25" customHeight="1" x14ac:dyDescent="0.3">
      <c r="A9" s="58"/>
      <c r="B9" s="58"/>
    </row>
    <row r="13" spans="1:3" ht="28.5" customHeight="1" x14ac:dyDescent="0.3">
      <c r="A13" s="59"/>
      <c r="B13" s="60" t="s">
        <v>139</v>
      </c>
    </row>
    <row r="14" spans="1:3" ht="28.5" customHeight="1" x14ac:dyDescent="0.3">
      <c r="A14" s="61"/>
      <c r="B14" s="60" t="s">
        <v>140</v>
      </c>
    </row>
    <row r="15" spans="1:3" ht="28.5" customHeight="1" x14ac:dyDescent="0.3">
      <c r="A15" s="62"/>
      <c r="B15" s="60" t="s">
        <v>141</v>
      </c>
    </row>
    <row r="16" spans="1:3" ht="28.5" customHeight="1" x14ac:dyDescent="0.3">
      <c r="A16" s="63"/>
      <c r="B16" s="60" t="s">
        <v>142</v>
      </c>
    </row>
  </sheetData>
  <hyperlinks>
    <hyperlink ref="A1" location="'Modelo de Dominio'!A1" display="&lt;&lt;&lt;&lt; Ir al modulo de dominio" xr:uid="{00000000-0004-0000-1100-000000000000}"/>
    <hyperlink ref="B1" location="'Objetos de Dominio'!A1" display="&lt;&lt;&lt;&lt; Ir a objetos de dominio" xr:uid="{00000000-0004-0000-1100-000001000000}"/>
  </hyperlink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12"/>
  <sheetViews>
    <sheetView zoomScaleNormal="100" workbookViewId="0">
      <selection activeCell="K13" sqref="K13"/>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8" customWidth="1"/>
    <col min="22" max="22" width="22" customWidth="1"/>
  </cols>
  <sheetData>
    <row r="1" spans="1:22" ht="15" customHeight="1" x14ac:dyDescent="0.3">
      <c r="A1" s="8" t="s">
        <v>1</v>
      </c>
      <c r="B1" s="8" t="s">
        <v>43</v>
      </c>
    </row>
    <row r="2" spans="1:22" ht="15" customHeight="1" x14ac:dyDescent="0.3">
      <c r="A2" s="17" t="s">
        <v>44</v>
      </c>
      <c r="B2" s="18" t="s">
        <v>45</v>
      </c>
      <c r="C2" s="17" t="s">
        <v>46</v>
      </c>
      <c r="D2" s="17" t="s">
        <v>47</v>
      </c>
      <c r="E2" s="17" t="s">
        <v>48</v>
      </c>
      <c r="F2" s="17" t="s">
        <v>49</v>
      </c>
      <c r="G2" s="17" t="s">
        <v>50</v>
      </c>
      <c r="H2" s="17" t="s">
        <v>51</v>
      </c>
      <c r="I2" s="17" t="s">
        <v>52</v>
      </c>
      <c r="J2" s="17" t="s">
        <v>53</v>
      </c>
      <c r="K2" s="17" t="s">
        <v>54</v>
      </c>
      <c r="L2" s="17" t="s">
        <v>55</v>
      </c>
      <c r="M2" s="18" t="s">
        <v>56</v>
      </c>
      <c r="N2" s="17" t="s">
        <v>57</v>
      </c>
      <c r="O2" s="17" t="s">
        <v>58</v>
      </c>
      <c r="P2" s="17" t="s">
        <v>59</v>
      </c>
      <c r="Q2" s="17" t="s">
        <v>60</v>
      </c>
      <c r="R2" s="17" t="s">
        <v>61</v>
      </c>
      <c r="S2" s="17" t="s">
        <v>62</v>
      </c>
      <c r="T2" s="17" t="s">
        <v>63</v>
      </c>
      <c r="U2" s="17" t="s">
        <v>64</v>
      </c>
      <c r="V2" s="89" t="str">
        <f>A12</f>
        <v>consultarTodosLosTiposMulta</v>
      </c>
    </row>
    <row r="3" spans="1:22" ht="45" customHeight="1" x14ac:dyDescent="0.3">
      <c r="A3" s="20" t="str">
        <f>'M-TipoMulta'!A3</f>
        <v>id</v>
      </c>
      <c r="B3" s="21" t="str">
        <f>'M-TipoMulta'!A2</f>
        <v>Representa un identificador que hará unico cada objeto de dominio de este tipo, no se puede repetir</v>
      </c>
      <c r="C3" s="20" t="s">
        <v>65</v>
      </c>
      <c r="D3" s="20" t="s">
        <v>66</v>
      </c>
      <c r="E3" s="20" t="s">
        <v>65</v>
      </c>
      <c r="F3" s="20" t="s">
        <v>67</v>
      </c>
      <c r="G3" s="20" t="s">
        <v>67</v>
      </c>
      <c r="H3" s="20" t="s">
        <v>67</v>
      </c>
      <c r="I3" s="20" t="s">
        <v>67</v>
      </c>
      <c r="J3" s="20" t="s">
        <v>67</v>
      </c>
      <c r="K3" s="20" t="s">
        <v>67</v>
      </c>
      <c r="L3" s="20" t="s">
        <v>67</v>
      </c>
      <c r="M3" s="20" t="s">
        <v>67</v>
      </c>
      <c r="N3" s="20" t="s">
        <v>68</v>
      </c>
      <c r="O3" s="20" t="s">
        <v>68</v>
      </c>
      <c r="P3" s="20" t="s">
        <v>67</v>
      </c>
      <c r="Q3" s="20" t="s">
        <v>68</v>
      </c>
      <c r="R3" s="20" t="s">
        <v>68</v>
      </c>
      <c r="S3" s="20" t="s">
        <v>68</v>
      </c>
      <c r="T3" s="20" t="s">
        <v>69</v>
      </c>
      <c r="U3" s="20" t="s">
        <v>65</v>
      </c>
      <c r="V3" s="92" t="s">
        <v>70</v>
      </c>
    </row>
    <row r="4" spans="1:22" ht="15" customHeight="1" x14ac:dyDescent="0.3">
      <c r="A4" s="20" t="str">
        <f>'M-TipoMulta'!B3</f>
        <v>nombre</v>
      </c>
      <c r="B4" s="21" t="str">
        <f>'M-TipoMulta'!B2</f>
        <v>Representa el nombre del tipo de multa</v>
      </c>
      <c r="C4" s="20" t="s">
        <v>68</v>
      </c>
      <c r="D4" s="20" t="s">
        <v>71</v>
      </c>
      <c r="E4" s="20" t="s">
        <v>65</v>
      </c>
      <c r="F4" s="20">
        <v>4</v>
      </c>
      <c r="G4" s="20">
        <v>50</v>
      </c>
      <c r="H4" s="20" t="s">
        <v>67</v>
      </c>
      <c r="I4" s="20" t="s">
        <v>67</v>
      </c>
      <c r="J4" s="20" t="s">
        <v>67</v>
      </c>
      <c r="K4" s="20" t="s">
        <v>67</v>
      </c>
      <c r="L4" s="20" t="s">
        <v>67</v>
      </c>
      <c r="M4" s="20" t="s">
        <v>67</v>
      </c>
      <c r="N4" s="20" t="s">
        <v>68</v>
      </c>
      <c r="O4" s="20" t="s">
        <v>68</v>
      </c>
      <c r="P4" s="20" t="s">
        <v>67</v>
      </c>
      <c r="Q4" s="20" t="s">
        <v>65</v>
      </c>
      <c r="R4" s="20" t="s">
        <v>65</v>
      </c>
      <c r="S4" s="20" t="s">
        <v>68</v>
      </c>
      <c r="T4" s="20" t="s">
        <v>73</v>
      </c>
      <c r="U4" s="20" t="s">
        <v>68</v>
      </c>
      <c r="V4" s="92" t="s">
        <v>74</v>
      </c>
    </row>
    <row r="5" spans="1:22" ht="15" customHeight="1" x14ac:dyDescent="0.3">
      <c r="A5" s="20" t="str">
        <f>'M-TipoMulta'!C3</f>
        <v>descripcion</v>
      </c>
      <c r="B5" s="21" t="str">
        <f>'M-TipoMulta'!C2</f>
        <v>Representa que hace cada tipo de multa</v>
      </c>
      <c r="C5" s="20" t="s">
        <v>68</v>
      </c>
      <c r="D5" s="20" t="s">
        <v>71</v>
      </c>
      <c r="E5" s="20" t="s">
        <v>65</v>
      </c>
      <c r="F5" s="20">
        <v>10</v>
      </c>
      <c r="G5" s="20">
        <v>300</v>
      </c>
      <c r="H5" s="20" t="s">
        <v>67</v>
      </c>
      <c r="I5" s="20" t="s">
        <v>67</v>
      </c>
      <c r="J5" s="20" t="s">
        <v>67</v>
      </c>
      <c r="K5" s="20" t="s">
        <v>67</v>
      </c>
      <c r="L5" s="20" t="s">
        <v>67</v>
      </c>
      <c r="M5" s="20" t="s">
        <v>67</v>
      </c>
      <c r="N5" s="20" t="s">
        <v>68</v>
      </c>
      <c r="O5" s="20" t="s">
        <v>68</v>
      </c>
      <c r="P5" s="20" t="s">
        <v>67</v>
      </c>
      <c r="Q5" s="20" t="s">
        <v>65</v>
      </c>
      <c r="R5" s="20" t="s">
        <v>65</v>
      </c>
      <c r="S5" s="20" t="s">
        <v>68</v>
      </c>
      <c r="T5" s="20" t="s">
        <v>73</v>
      </c>
      <c r="U5" s="20" t="s">
        <v>68</v>
      </c>
      <c r="V5" s="92" t="s">
        <v>74</v>
      </c>
    </row>
    <row r="7" spans="1:22" ht="15" customHeight="1" x14ac:dyDescent="0.3">
      <c r="A7" s="23" t="s">
        <v>75</v>
      </c>
      <c r="B7" s="23" t="s">
        <v>76</v>
      </c>
      <c r="C7" s="23" t="s">
        <v>77</v>
      </c>
    </row>
    <row r="8" spans="1:22" ht="30" customHeight="1" x14ac:dyDescent="0.3">
      <c r="A8" s="24" t="str">
        <f>'M-TipoMulta'!D3</f>
        <v>Combinación única</v>
      </c>
      <c r="B8" s="25" t="str">
        <f>'M-TipoMulta'!D2</f>
        <v xml:space="preserve">Combinación única indica que no puede existir más de un tipo de multa con el mismo nombre </v>
      </c>
      <c r="C8" s="26" t="s">
        <v>78</v>
      </c>
    </row>
    <row r="10" spans="1:22" x14ac:dyDescent="0.3">
      <c r="A10" s="243" t="s">
        <v>79</v>
      </c>
      <c r="B10" s="243"/>
      <c r="C10" s="239" t="s">
        <v>76</v>
      </c>
      <c r="D10" s="239"/>
      <c r="E10" s="239"/>
      <c r="F10" s="239"/>
      <c r="G10" s="239" t="s">
        <v>80</v>
      </c>
      <c r="H10" s="239"/>
      <c r="I10" s="239"/>
      <c r="J10" s="239" t="s">
        <v>81</v>
      </c>
      <c r="K10" s="239"/>
      <c r="L10" s="239"/>
      <c r="M10" s="239"/>
      <c r="N10" s="239"/>
      <c r="O10" s="239" t="s">
        <v>82</v>
      </c>
      <c r="P10" s="239"/>
      <c r="Q10" s="239" t="s">
        <v>83</v>
      </c>
      <c r="R10" s="239"/>
    </row>
    <row r="11" spans="1:22" x14ac:dyDescent="0.3">
      <c r="A11" s="243"/>
      <c r="B11" s="243"/>
      <c r="C11" s="239"/>
      <c r="D11" s="239"/>
      <c r="E11" s="239"/>
      <c r="F11" s="239"/>
      <c r="G11" s="27" t="s">
        <v>84</v>
      </c>
      <c r="H11" s="27" t="s">
        <v>47</v>
      </c>
      <c r="I11" s="27" t="s">
        <v>76</v>
      </c>
      <c r="J11" s="27" t="s">
        <v>85</v>
      </c>
      <c r="K11" s="240" t="s">
        <v>76</v>
      </c>
      <c r="L11" s="240"/>
      <c r="M11" s="240"/>
      <c r="N11" s="240"/>
      <c r="O11" s="27" t="s">
        <v>86</v>
      </c>
      <c r="P11" s="27" t="s">
        <v>76</v>
      </c>
      <c r="Q11" s="27" t="s">
        <v>87</v>
      </c>
      <c r="R11" s="28" t="s">
        <v>88</v>
      </c>
    </row>
    <row r="12" spans="1:22" ht="15" customHeight="1" x14ac:dyDescent="0.3">
      <c r="A12" s="297" t="s">
        <v>310</v>
      </c>
      <c r="B12" s="297"/>
      <c r="C12" s="242" t="s">
        <v>311</v>
      </c>
      <c r="D12" s="242"/>
      <c r="E12" s="242"/>
      <c r="F12" s="242"/>
      <c r="G12" s="30"/>
      <c r="H12" s="30"/>
      <c r="I12" s="31"/>
      <c r="J12" s="32" t="s">
        <v>312</v>
      </c>
      <c r="K12" s="242" t="s">
        <v>313</v>
      </c>
      <c r="L12" s="242"/>
      <c r="M12" s="242"/>
      <c r="N12" s="242"/>
      <c r="O12" s="30"/>
      <c r="P12" s="29"/>
      <c r="Q12" s="29"/>
      <c r="R12" s="22"/>
    </row>
  </sheetData>
  <mergeCells count="10">
    <mergeCell ref="Q10:R10"/>
    <mergeCell ref="K11:N11"/>
    <mergeCell ref="A12:B12"/>
    <mergeCell ref="C12:F12"/>
    <mergeCell ref="K12:N12"/>
    <mergeCell ref="A10:B11"/>
    <mergeCell ref="C10:F11"/>
    <mergeCell ref="G10:I10"/>
    <mergeCell ref="J10:N10"/>
    <mergeCell ref="O10:P10"/>
  </mergeCells>
  <hyperlinks>
    <hyperlink ref="A1" location="'Modelo de Dominio'!A1" display="&lt;&lt;&lt;&lt; Ir al modulo de dominio" xr:uid="{00000000-0004-0000-1200-000000000000}"/>
    <hyperlink ref="B1" location="'Objetos de Dominio'!A1" display="&lt;&lt;&lt;&lt; Ir a objetos de dominio" xr:uid="{00000000-0004-0000-1200-000001000000}"/>
    <hyperlink ref="V2" location="'C-TipoMulta'!A12" display="#'C-TipoMulta'.A12" xr:uid="{00000000-0004-0000-1200-000002000000}"/>
    <hyperlink ref="A3" location="'M-TipoMulta'!A3" display="#'M-TipoMulta'.A3" xr:uid="{00000000-0004-0000-1200-000003000000}"/>
    <hyperlink ref="B3" location="'M-TipoMulta'!A2" display="#'M-TipoMulta'.A2" xr:uid="{00000000-0004-0000-1200-000004000000}"/>
    <hyperlink ref="A4" location="'M-TipoMulta'!A3" display="#'M-TipoMulta'.A3" xr:uid="{00000000-0004-0000-1200-000005000000}"/>
    <hyperlink ref="B4" location="'M-TipoMulta'!A2" display="#'M-TipoMulta'.A2" xr:uid="{00000000-0004-0000-1200-000006000000}"/>
    <hyperlink ref="A5" location="'M-TipoMulta'!A3" display="#'M-TipoMulta'.A3" xr:uid="{00000000-0004-0000-1200-000007000000}"/>
    <hyperlink ref="B5" location="'M-TipoMulta'!A2" display="#'M-TipoMulta'.A2" xr:uid="{00000000-0004-0000-1200-000008000000}"/>
    <hyperlink ref="A8" location="'M-TipoMulta'!A3" display="#'M-TipoMulta'.A3" xr:uid="{00000000-0004-0000-1200-000009000000}"/>
    <hyperlink ref="B8" location="'M-TipoMulta'!A2" display="#'M-TipoMulta'.A2" xr:uid="{00000000-0004-0000-1200-00000A000000}"/>
    <hyperlink ref="A12" location="'C-TipoMulta'!V2" display="consultarTodosLosTiposMulta" xr:uid="{00000000-0004-0000-1200-00000B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6"/>
  <sheetViews>
    <sheetView showGridLines="0" zoomScaleNormal="100" workbookViewId="0">
      <selection activeCell="A2" sqref="A2"/>
    </sheetView>
  </sheetViews>
  <sheetFormatPr baseColWidth="10" defaultColWidth="8.6640625" defaultRowHeight="14.4" x14ac:dyDescent="0.3"/>
  <cols>
    <col min="1" max="1" width="21.33203125" customWidth="1"/>
    <col min="2" max="2" width="29.109375" customWidth="1"/>
    <col min="3" max="3" width="36.33203125" customWidth="1"/>
    <col min="4" max="4" width="37.6640625" customWidth="1"/>
    <col min="5" max="5" width="36.332031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Dominio'!A7</f>
        <v>TipoMulta</v>
      </c>
      <c r="C2" s="244"/>
      <c r="D2" s="244"/>
      <c r="E2" s="244"/>
    </row>
    <row r="3" spans="1:5" ht="30" customHeight="1" x14ac:dyDescent="0.3">
      <c r="A3" s="35" t="s">
        <v>99</v>
      </c>
      <c r="B3" s="245" t="str">
        <f>'Objetos de Dominio'!B7</f>
        <v>Representa los tipos de multa que puede recibir un cliente: por tardanza o por inasistencia.</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0" customHeight="1" x14ac:dyDescent="0.3">
      <c r="A6" s="36"/>
      <c r="B6" s="296" t="s">
        <v>104</v>
      </c>
      <c r="C6" s="296"/>
      <c r="D6" s="37"/>
      <c r="E6" s="37"/>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1300-000000000000}"/>
    <hyperlink ref="B1" location="'Objetos de Dominio'!A1" display="&lt;&lt; Ir al listado de objetos de dominio" xr:uid="{00000000-0004-0000-1300-000001000000}"/>
    <hyperlink ref="C1" location="'C-TipoMulta'!A1" display="&lt;&lt; Ir a la caracterización del objeto de dominio" xr:uid="{00000000-0004-0000-1300-000002000000}"/>
    <hyperlink ref="D1" location="'M-TipoMulta'!A1" display="Ir al muestreo de datos del objeto de dominio &gt;&gt;" xr:uid="{00000000-0004-0000-1300-000003000000}"/>
    <hyperlink ref="E1" location="'E-TipoMulta'!A1" display="Ir al event storming del objeto de dominio &gt;&gt;" xr:uid="{00000000-0004-0000-1300-000004000000}"/>
  </hyperlink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9"/>
  <sheetViews>
    <sheetView showGridLines="0" zoomScaleNormal="100" workbookViewId="0">
      <selection sqref="A1:B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34" t="s">
        <v>98</v>
      </c>
      <c r="B2" s="254" t="str">
        <f>'Objetos de Dominio'!A7</f>
        <v>TipoMulta</v>
      </c>
      <c r="C2" s="254"/>
      <c r="D2" s="254"/>
      <c r="E2" s="254"/>
      <c r="F2" s="254"/>
      <c r="G2" s="254"/>
      <c r="H2" s="254"/>
      <c r="I2" s="254"/>
      <c r="J2" s="254"/>
      <c r="K2" s="254"/>
    </row>
    <row r="3" spans="1:11" ht="30" customHeight="1" x14ac:dyDescent="0.3">
      <c r="A3" s="35" t="s">
        <v>99</v>
      </c>
      <c r="B3" s="259" t="str">
        <f>'Objetos de Dominio'!B7</f>
        <v>Representa los tipos de multa que puede recibir un cliente: por tardanza o por inasistencia.</v>
      </c>
      <c r="C3" s="259"/>
      <c r="D3" s="259"/>
      <c r="E3" s="259"/>
      <c r="F3" s="259"/>
      <c r="G3" s="259"/>
      <c r="H3" s="259"/>
      <c r="I3" s="259"/>
      <c r="J3" s="259"/>
      <c r="K3" s="259"/>
    </row>
    <row r="4" spans="1:11" ht="34.5" customHeight="1" x14ac:dyDescent="0.3">
      <c r="A4" s="41" t="s">
        <v>105</v>
      </c>
      <c r="B4" s="256" t="s">
        <v>106</v>
      </c>
      <c r="C4" s="256"/>
      <c r="D4" s="42" t="s">
        <v>107</v>
      </c>
      <c r="E4" s="258" t="s">
        <v>108</v>
      </c>
      <c r="F4" s="258"/>
      <c r="G4" s="260" t="s">
        <v>109</v>
      </c>
      <c r="H4" s="260"/>
      <c r="I4" s="44" t="s">
        <v>110</v>
      </c>
      <c r="J4" s="45" t="s">
        <v>111</v>
      </c>
      <c r="K4" s="46" t="s">
        <v>112</v>
      </c>
    </row>
    <row r="5" spans="1:11" ht="15" customHeight="1" x14ac:dyDescent="0.3">
      <c r="A5" s="255" t="s">
        <v>105</v>
      </c>
      <c r="B5" s="256" t="s">
        <v>113</v>
      </c>
      <c r="C5" s="256" t="s">
        <v>76</v>
      </c>
      <c r="D5" s="257" t="s">
        <v>114</v>
      </c>
      <c r="E5" s="258" t="s">
        <v>115</v>
      </c>
      <c r="F5" s="258"/>
      <c r="G5" s="260" t="s">
        <v>116</v>
      </c>
      <c r="H5" s="260"/>
      <c r="I5" s="261" t="s">
        <v>117</v>
      </c>
      <c r="J5" s="262" t="s">
        <v>118</v>
      </c>
      <c r="K5" s="263" t="s">
        <v>119</v>
      </c>
    </row>
    <row r="6" spans="1:11" ht="15" customHeight="1" x14ac:dyDescent="0.3">
      <c r="A6" s="255"/>
      <c r="B6" s="255"/>
      <c r="C6" s="255"/>
      <c r="D6" s="255"/>
      <c r="E6" s="43" t="s">
        <v>120</v>
      </c>
      <c r="F6" s="43" t="s">
        <v>76</v>
      </c>
      <c r="G6" s="47" t="s">
        <v>121</v>
      </c>
      <c r="H6" s="47" t="s">
        <v>76</v>
      </c>
      <c r="I6" s="261"/>
      <c r="J6" s="261"/>
      <c r="K6" s="261"/>
    </row>
    <row r="7" spans="1:11" ht="30" customHeight="1" x14ac:dyDescent="0.3">
      <c r="A7" s="48" t="s">
        <v>122</v>
      </c>
      <c r="B7" s="49" t="s">
        <v>314</v>
      </c>
      <c r="C7" s="49" t="s">
        <v>311</v>
      </c>
      <c r="D7" s="48" t="str">
        <f>$B$2</f>
        <v>TipoMulta</v>
      </c>
      <c r="E7" s="49"/>
      <c r="F7" s="49"/>
      <c r="G7" s="48"/>
      <c r="H7" s="50"/>
      <c r="I7" s="48"/>
      <c r="J7" s="49" t="s">
        <v>315</v>
      </c>
      <c r="K7" s="49"/>
    </row>
    <row r="8" spans="1:11" ht="30" customHeight="1" x14ac:dyDescent="0.3">
      <c r="A8" s="48" t="s">
        <v>23</v>
      </c>
      <c r="B8" s="49" t="s">
        <v>314</v>
      </c>
      <c r="C8" s="49" t="s">
        <v>311</v>
      </c>
      <c r="D8" s="48" t="str">
        <f>$B$2</f>
        <v>TipoMulta</v>
      </c>
      <c r="E8" s="49"/>
      <c r="F8" s="49"/>
      <c r="G8" s="48"/>
      <c r="H8" s="50"/>
      <c r="I8" s="48"/>
      <c r="J8" s="49" t="s">
        <v>315</v>
      </c>
      <c r="K8" s="49"/>
    </row>
    <row r="9" spans="1:11" ht="30" customHeight="1" x14ac:dyDescent="0.3">
      <c r="A9" s="48" t="s">
        <v>25</v>
      </c>
      <c r="B9" s="49" t="s">
        <v>314</v>
      </c>
      <c r="C9" s="49" t="s">
        <v>311</v>
      </c>
      <c r="D9" s="48" t="str">
        <f>$B$2</f>
        <v>TipoMulta</v>
      </c>
      <c r="E9" s="49"/>
      <c r="F9" s="49"/>
      <c r="G9" s="48"/>
      <c r="H9" s="50"/>
      <c r="I9" s="48"/>
      <c r="J9" s="49" t="s">
        <v>315</v>
      </c>
      <c r="K9" s="49"/>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1400-000000000000}"/>
    <hyperlink ref="C1" location="'Objetos de Dominio'!A1" display="&lt;&lt; Ir al listado de objetos de dominio" xr:uid="{00000000-0004-0000-1400-000001000000}"/>
    <hyperlink ref="F1" location="'C-TipoMulta'!A1" display="&lt;&lt; Ir a la caracterización del objeto de dominio" xr:uid="{00000000-0004-0000-1400-000002000000}"/>
    <hyperlink ref="J1" location="'M-TipoMulta'!A1" display="Ir al muestreo de datos del objeto de dominio &gt;&gt;" xr:uid="{00000000-0004-0000-1400-000003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7"/>
  <sheetViews>
    <sheetView zoomScaleNormal="100" workbookViewId="0">
      <selection activeCell="A4" sqref="A4"/>
    </sheetView>
  </sheetViews>
  <sheetFormatPr baseColWidth="10" defaultColWidth="8.6640625" defaultRowHeight="14.4" x14ac:dyDescent="0.3"/>
  <cols>
    <col min="1" max="1" width="25" customWidth="1"/>
    <col min="2" max="2" width="24.44140625" customWidth="1"/>
    <col min="3" max="3" width="40.109375" customWidth="1"/>
    <col min="4" max="4" width="17.6640625" customWidth="1"/>
  </cols>
  <sheetData>
    <row r="1" spans="1:4" ht="14.25" customHeight="1" x14ac:dyDescent="0.3">
      <c r="A1" s="8" t="s">
        <v>1</v>
      </c>
      <c r="B1" s="8" t="s">
        <v>43</v>
      </c>
      <c r="C1" s="8"/>
    </row>
    <row r="2" spans="1:4" ht="39" customHeight="1" x14ac:dyDescent="0.3">
      <c r="A2" s="51" t="s">
        <v>126</v>
      </c>
      <c r="B2" s="51" t="s">
        <v>316</v>
      </c>
      <c r="C2" s="51" t="s">
        <v>317</v>
      </c>
      <c r="D2" s="52" t="s">
        <v>318</v>
      </c>
    </row>
    <row r="3" spans="1:4" ht="14.25" customHeight="1" x14ac:dyDescent="0.3">
      <c r="A3" s="53" t="s">
        <v>129</v>
      </c>
      <c r="B3" s="54" t="s">
        <v>78</v>
      </c>
      <c r="C3" s="54" t="s">
        <v>183</v>
      </c>
      <c r="D3" s="55" t="s">
        <v>319</v>
      </c>
    </row>
    <row r="4" spans="1:4" ht="42.75" customHeight="1" x14ac:dyDescent="0.3">
      <c r="A4" s="56">
        <v>1</v>
      </c>
      <c r="B4" s="56" t="s">
        <v>320</v>
      </c>
      <c r="C4" s="86" t="s">
        <v>321</v>
      </c>
      <c r="D4" s="56" t="str">
        <f>B4</f>
        <v>Tardanza</v>
      </c>
    </row>
    <row r="5" spans="1:4" ht="45" customHeight="1" x14ac:dyDescent="0.3">
      <c r="A5" s="56">
        <v>2</v>
      </c>
      <c r="B5" s="56" t="s">
        <v>322</v>
      </c>
      <c r="C5" s="86" t="s">
        <v>323</v>
      </c>
      <c r="D5" s="56" t="str">
        <f>B5</f>
        <v>Inasistencia</v>
      </c>
    </row>
    <row r="6" spans="1:4" ht="14.25" customHeight="1" x14ac:dyDescent="0.3">
      <c r="A6" s="58"/>
      <c r="B6" s="58"/>
      <c r="C6" s="58"/>
      <c r="D6" s="58"/>
    </row>
    <row r="7" spans="1:4" ht="14.25" customHeight="1" x14ac:dyDescent="0.3">
      <c r="A7" s="58"/>
      <c r="B7" s="58"/>
      <c r="C7" s="58"/>
      <c r="D7" s="58"/>
    </row>
    <row r="8" spans="1:4" ht="14.25" customHeight="1" x14ac:dyDescent="0.3">
      <c r="A8" s="58"/>
      <c r="B8" s="58"/>
      <c r="C8" s="58"/>
    </row>
    <row r="9" spans="1:4" ht="14.25" customHeight="1" x14ac:dyDescent="0.3">
      <c r="A9" s="58"/>
      <c r="B9" s="58"/>
      <c r="C9" s="58"/>
    </row>
    <row r="11" spans="1:4" ht="28.5" customHeight="1" x14ac:dyDescent="0.3">
      <c r="A11" s="59"/>
      <c r="B11" s="60" t="s">
        <v>139</v>
      </c>
    </row>
    <row r="12" spans="1:4" ht="28.5" customHeight="1" x14ac:dyDescent="0.3">
      <c r="A12" s="61"/>
      <c r="B12" s="60" t="s">
        <v>140</v>
      </c>
    </row>
    <row r="13" spans="1:4" ht="28.5" customHeight="1" x14ac:dyDescent="0.3">
      <c r="A13" s="62"/>
      <c r="B13" s="60" t="s">
        <v>141</v>
      </c>
      <c r="C13" s="60"/>
    </row>
    <row r="14" spans="1:4" ht="28.5" customHeight="1" x14ac:dyDescent="0.3">
      <c r="A14" s="63"/>
      <c r="B14" s="60" t="s">
        <v>142</v>
      </c>
      <c r="C14" s="60"/>
    </row>
    <row r="15" spans="1:4" ht="28.5" customHeight="1" x14ac:dyDescent="0.3">
      <c r="B15" s="60"/>
      <c r="C15" s="60"/>
    </row>
    <row r="16" spans="1:4" ht="14.25" customHeight="1" x14ac:dyDescent="0.3">
      <c r="C16" s="60"/>
    </row>
    <row r="17" spans="3:3" ht="14.25" customHeight="1" x14ac:dyDescent="0.3">
      <c r="C17" s="60"/>
    </row>
  </sheetData>
  <hyperlinks>
    <hyperlink ref="A1" location="'Modelo de Dominio'!A1" display="&lt;&lt;&lt;&lt; Ir al modulo de dominio" xr:uid="{00000000-0004-0000-1500-000000000000}"/>
    <hyperlink ref="B1" location="'Objetos de Dominio'!A1" display="&lt;&lt;&lt;&lt; Ir a objetos de dominio" xr:uid="{00000000-0004-0000-1500-000001000000}"/>
  </hyperlink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4"/>
  <sheetViews>
    <sheetView zoomScaleNormal="100" workbookViewId="0">
      <selection activeCell="B1" sqref="B1"/>
    </sheetView>
  </sheetViews>
  <sheetFormatPr baseColWidth="10" defaultColWidth="8.6640625" defaultRowHeight="14.4" x14ac:dyDescent="0.3"/>
  <cols>
    <col min="1" max="1" width="37" customWidth="1"/>
    <col min="2" max="2" width="45" customWidth="1"/>
    <col min="3" max="3" width="30.44140625" customWidth="1"/>
    <col min="4" max="4" width="26.6640625" customWidth="1"/>
    <col min="5" max="5" width="18" customWidth="1"/>
    <col min="6" max="6" width="23.6640625" customWidth="1"/>
    <col min="7" max="7" width="28" customWidth="1"/>
    <col min="8" max="8" width="18"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8" customWidth="1"/>
    <col min="22" max="22" width="22" customWidth="1"/>
    <col min="23" max="23" width="14.88671875" customWidth="1"/>
    <col min="24" max="24" width="17.109375" customWidth="1"/>
    <col min="25" max="25" width="18" customWidth="1"/>
    <col min="26" max="26" width="23.5546875" customWidth="1"/>
    <col min="27" max="27" width="26.33203125" customWidth="1"/>
    <col min="28" max="29" width="22" customWidth="1"/>
    <col min="30" max="30" width="42.5546875" customWidth="1"/>
    <col min="31" max="31" width="11.33203125" customWidth="1"/>
    <col min="32" max="32" width="13" customWidth="1"/>
  </cols>
  <sheetData>
    <row r="1" spans="1:32" ht="15" customHeight="1" x14ac:dyDescent="0.3">
      <c r="A1" s="8" t="s">
        <v>1</v>
      </c>
      <c r="B1" s="8" t="s">
        <v>43</v>
      </c>
    </row>
    <row r="2" spans="1:32" ht="15" customHeight="1" x14ac:dyDescent="0.3">
      <c r="A2" s="17" t="s">
        <v>44</v>
      </c>
      <c r="B2" s="18" t="s">
        <v>45</v>
      </c>
      <c r="C2" s="17" t="s">
        <v>46</v>
      </c>
      <c r="D2" s="17" t="s">
        <v>47</v>
      </c>
      <c r="E2" s="17" t="s">
        <v>48</v>
      </c>
      <c r="F2" s="17" t="s">
        <v>49</v>
      </c>
      <c r="G2" s="17" t="s">
        <v>50</v>
      </c>
      <c r="H2" s="17" t="s">
        <v>51</v>
      </c>
      <c r="I2" s="17" t="s">
        <v>52</v>
      </c>
      <c r="J2" s="17" t="s">
        <v>53</v>
      </c>
      <c r="K2" s="17" t="s">
        <v>54</v>
      </c>
      <c r="L2" s="17" t="s">
        <v>55</v>
      </c>
      <c r="M2" s="18" t="s">
        <v>56</v>
      </c>
      <c r="N2" s="17" t="s">
        <v>57</v>
      </c>
      <c r="O2" s="17" t="s">
        <v>58</v>
      </c>
      <c r="P2" s="17" t="s">
        <v>59</v>
      </c>
      <c r="Q2" s="17" t="s">
        <v>60</v>
      </c>
      <c r="R2" s="17" t="s">
        <v>61</v>
      </c>
      <c r="S2" s="17" t="s">
        <v>62</v>
      </c>
      <c r="T2" s="17" t="s">
        <v>63</v>
      </c>
      <c r="U2" s="17" t="s">
        <v>64</v>
      </c>
      <c r="V2" s="89" t="str">
        <f>A21</f>
        <v>registrarBarbero</v>
      </c>
      <c r="W2" s="275" t="str">
        <f>A24</f>
        <v>editarContactoBarbero</v>
      </c>
      <c r="X2" s="275"/>
      <c r="Y2" s="298" t="str">
        <f>A27</f>
        <v>editarTiemposAnticipacionBarbero</v>
      </c>
      <c r="Z2" s="298"/>
      <c r="AA2" s="89" t="str">
        <f>A29</f>
        <v>consultarDatosBarbero</v>
      </c>
      <c r="AB2" s="275" t="str">
        <f>A30</f>
        <v>desactivarBarbero</v>
      </c>
      <c r="AC2" s="275"/>
      <c r="AD2" s="115" t="str">
        <f>A32</f>
        <v>consultarTiemposAnticipacionBarbero</v>
      </c>
      <c r="AE2" s="299" t="str">
        <f>A33</f>
        <v>reactivarBarbero</v>
      </c>
      <c r="AF2" s="299"/>
    </row>
    <row r="3" spans="1:32" ht="45" customHeight="1" x14ac:dyDescent="0.3">
      <c r="A3" s="20" t="str">
        <f>'M-Barbero'!A3</f>
        <v>id</v>
      </c>
      <c r="B3" s="21" t="str">
        <f>'M-Barbero'!A2</f>
        <v>Representa un identificador que hará unico cada objeto de dominio de este tipo, no se puede repetir</v>
      </c>
      <c r="C3" s="20" t="s">
        <v>65</v>
      </c>
      <c r="D3" s="20" t="s">
        <v>66</v>
      </c>
      <c r="E3" s="20" t="s">
        <v>65</v>
      </c>
      <c r="F3" s="20" t="s">
        <v>67</v>
      </c>
      <c r="G3" s="20" t="s">
        <v>67</v>
      </c>
      <c r="H3" s="20" t="s">
        <v>67</v>
      </c>
      <c r="I3" s="20" t="s">
        <v>67</v>
      </c>
      <c r="J3" s="20" t="s">
        <v>67</v>
      </c>
      <c r="K3" s="20" t="s">
        <v>67</v>
      </c>
      <c r="L3" s="20" t="s">
        <v>67</v>
      </c>
      <c r="M3" s="20" t="s">
        <v>67</v>
      </c>
      <c r="N3" s="20" t="s">
        <v>68</v>
      </c>
      <c r="O3" s="20" t="s">
        <v>67</v>
      </c>
      <c r="P3" s="20" t="s">
        <v>67</v>
      </c>
      <c r="Q3" s="20" t="s">
        <v>68</v>
      </c>
      <c r="R3" s="20" t="s">
        <v>68</v>
      </c>
      <c r="S3" s="20" t="s">
        <v>68</v>
      </c>
      <c r="T3" s="20" t="s">
        <v>69</v>
      </c>
      <c r="U3" s="20" t="s">
        <v>65</v>
      </c>
      <c r="V3" s="92" t="s">
        <v>147</v>
      </c>
      <c r="W3" s="93" t="s">
        <v>144</v>
      </c>
      <c r="X3" s="93" t="s">
        <v>145</v>
      </c>
      <c r="Y3" s="94" t="s">
        <v>144</v>
      </c>
      <c r="Z3" s="94" t="s">
        <v>145</v>
      </c>
      <c r="AA3" s="92" t="s">
        <v>70</v>
      </c>
      <c r="AB3" s="70" t="s">
        <v>144</v>
      </c>
      <c r="AC3" s="70" t="s">
        <v>145</v>
      </c>
      <c r="AD3" s="94" t="s">
        <v>70</v>
      </c>
      <c r="AE3" s="116" t="s">
        <v>144</v>
      </c>
      <c r="AF3" s="116" t="s">
        <v>145</v>
      </c>
    </row>
    <row r="4" spans="1:32" ht="45" customHeight="1" x14ac:dyDescent="0.3">
      <c r="A4" s="20" t="str">
        <f>'M-Barbero'!B3</f>
        <v>primerNombre</v>
      </c>
      <c r="B4" s="21" t="str">
        <f>'M-Barbero'!B2</f>
        <v>Representa el primer nombre del barbero que trabaja en barbería</v>
      </c>
      <c r="C4" s="20" t="s">
        <v>68</v>
      </c>
      <c r="D4" s="20" t="s">
        <v>71</v>
      </c>
      <c r="E4" s="20" t="s">
        <v>65</v>
      </c>
      <c r="F4" s="20">
        <v>3</v>
      </c>
      <c r="G4" s="20">
        <v>100</v>
      </c>
      <c r="H4" s="20" t="s">
        <v>67</v>
      </c>
      <c r="I4" s="20" t="s">
        <v>67</v>
      </c>
      <c r="J4" s="20" t="s">
        <v>67</v>
      </c>
      <c r="K4" s="20" t="s">
        <v>67</v>
      </c>
      <c r="L4" s="20" t="s">
        <v>67</v>
      </c>
      <c r="M4" s="21" t="s">
        <v>324</v>
      </c>
      <c r="N4" s="20" t="s">
        <v>68</v>
      </c>
      <c r="O4" s="20" t="s">
        <v>68</v>
      </c>
      <c r="P4" s="20" t="s">
        <v>68</v>
      </c>
      <c r="Q4" s="20" t="s">
        <v>65</v>
      </c>
      <c r="R4" s="20" t="s">
        <v>65</v>
      </c>
      <c r="S4" s="20" t="s">
        <v>68</v>
      </c>
      <c r="T4" s="20" t="s">
        <v>325</v>
      </c>
      <c r="U4" s="20" t="s">
        <v>68</v>
      </c>
      <c r="V4" s="92" t="s">
        <v>144</v>
      </c>
      <c r="W4" s="93" t="s">
        <v>147</v>
      </c>
      <c r="X4" s="93" t="s">
        <v>145</v>
      </c>
      <c r="Y4" s="94" t="s">
        <v>147</v>
      </c>
      <c r="Z4" s="94" t="s">
        <v>145</v>
      </c>
      <c r="AA4" s="92" t="s">
        <v>74</v>
      </c>
      <c r="AB4" s="70" t="s">
        <v>147</v>
      </c>
      <c r="AC4" s="70" t="s">
        <v>145</v>
      </c>
      <c r="AD4" s="94" t="s">
        <v>70</v>
      </c>
      <c r="AE4" s="116" t="s">
        <v>147</v>
      </c>
      <c r="AF4" s="116" t="s">
        <v>145</v>
      </c>
    </row>
    <row r="5" spans="1:32" ht="45" customHeight="1" x14ac:dyDescent="0.3">
      <c r="A5" s="20" t="str">
        <f>'M-Barbero'!C3</f>
        <v>segundoNombre</v>
      </c>
      <c r="B5" s="21" t="str">
        <f>'M-Barbero'!C2</f>
        <v>Representa el segundo nombre del barbero que trabaja en barbería</v>
      </c>
      <c r="C5" s="20" t="s">
        <v>68</v>
      </c>
      <c r="D5" s="20" t="s">
        <v>71</v>
      </c>
      <c r="E5" s="20" t="s">
        <v>68</v>
      </c>
      <c r="F5" s="20">
        <v>3</v>
      </c>
      <c r="G5" s="20">
        <v>100</v>
      </c>
      <c r="H5" s="20" t="s">
        <v>67</v>
      </c>
      <c r="I5" s="20" t="s">
        <v>67</v>
      </c>
      <c r="J5" s="20" t="s">
        <v>67</v>
      </c>
      <c r="K5" s="20" t="s">
        <v>67</v>
      </c>
      <c r="L5" s="20" t="s">
        <v>67</v>
      </c>
      <c r="M5" s="21" t="s">
        <v>324</v>
      </c>
      <c r="N5" s="20" t="s">
        <v>68</v>
      </c>
      <c r="O5" s="20" t="s">
        <v>68</v>
      </c>
      <c r="P5" s="20" t="s">
        <v>68</v>
      </c>
      <c r="Q5" s="20" t="s">
        <v>65</v>
      </c>
      <c r="R5" s="20" t="s">
        <v>65</v>
      </c>
      <c r="S5" s="20" t="s">
        <v>68</v>
      </c>
      <c r="T5" s="20" t="s">
        <v>325</v>
      </c>
      <c r="U5" s="20" t="s">
        <v>68</v>
      </c>
      <c r="V5" s="92" t="s">
        <v>147</v>
      </c>
      <c r="W5" s="93" t="s">
        <v>147</v>
      </c>
      <c r="X5" s="93" t="s">
        <v>145</v>
      </c>
      <c r="Y5" s="94" t="s">
        <v>147</v>
      </c>
      <c r="Z5" s="94" t="s">
        <v>145</v>
      </c>
      <c r="AA5" s="92" t="s">
        <v>74</v>
      </c>
      <c r="AB5" s="70" t="s">
        <v>147</v>
      </c>
      <c r="AC5" s="70" t="s">
        <v>145</v>
      </c>
      <c r="AD5" s="94" t="s">
        <v>70</v>
      </c>
      <c r="AE5" s="116" t="s">
        <v>147</v>
      </c>
      <c r="AF5" s="116" t="s">
        <v>145</v>
      </c>
    </row>
    <row r="6" spans="1:32" ht="45" customHeight="1" x14ac:dyDescent="0.3">
      <c r="A6" s="20" t="str">
        <f>'M-Barbero'!D3</f>
        <v>primerApellido</v>
      </c>
      <c r="B6" s="21" t="str">
        <f>'M-Barbero'!D2</f>
        <v>Representa el primer apellido del barbero que trabaja en la barbería</v>
      </c>
      <c r="C6" s="20" t="s">
        <v>68</v>
      </c>
      <c r="D6" s="20" t="s">
        <v>71</v>
      </c>
      <c r="E6" s="20" t="s">
        <v>65</v>
      </c>
      <c r="F6" s="20">
        <v>3</v>
      </c>
      <c r="G6" s="20">
        <v>100</v>
      </c>
      <c r="H6" s="20" t="s">
        <v>67</v>
      </c>
      <c r="I6" s="20" t="s">
        <v>67</v>
      </c>
      <c r="J6" s="20" t="s">
        <v>67</v>
      </c>
      <c r="K6" s="20" t="s">
        <v>67</v>
      </c>
      <c r="L6" s="20" t="s">
        <v>67</v>
      </c>
      <c r="M6" s="21" t="s">
        <v>326</v>
      </c>
      <c r="N6" s="20" t="s">
        <v>68</v>
      </c>
      <c r="O6" s="20" t="s">
        <v>68</v>
      </c>
      <c r="P6" s="20" t="s">
        <v>68</v>
      </c>
      <c r="Q6" s="20" t="s">
        <v>65</v>
      </c>
      <c r="R6" s="20" t="s">
        <v>65</v>
      </c>
      <c r="S6" s="20" t="s">
        <v>68</v>
      </c>
      <c r="T6" s="20" t="s">
        <v>325</v>
      </c>
      <c r="U6" s="20" t="s">
        <v>68</v>
      </c>
      <c r="V6" s="92" t="s">
        <v>144</v>
      </c>
      <c r="W6" s="93" t="s">
        <v>147</v>
      </c>
      <c r="X6" s="93" t="s">
        <v>145</v>
      </c>
      <c r="Y6" s="94" t="s">
        <v>147</v>
      </c>
      <c r="Z6" s="94" t="s">
        <v>145</v>
      </c>
      <c r="AA6" s="92" t="s">
        <v>74</v>
      </c>
      <c r="AB6" s="70" t="s">
        <v>147</v>
      </c>
      <c r="AC6" s="70" t="s">
        <v>145</v>
      </c>
      <c r="AD6" s="94" t="s">
        <v>70</v>
      </c>
      <c r="AE6" s="116" t="s">
        <v>147</v>
      </c>
      <c r="AF6" s="116" t="s">
        <v>145</v>
      </c>
    </row>
    <row r="7" spans="1:32" ht="45" customHeight="1" x14ac:dyDescent="0.3">
      <c r="A7" s="20" t="str">
        <f>'M-Barbero'!E3</f>
        <v>segundoApellido</v>
      </c>
      <c r="B7" s="21" t="str">
        <f>'M-Barbero'!E2</f>
        <v>Representa el segundo apellido del barbero que trabaja en la barbería</v>
      </c>
      <c r="C7" s="20" t="s">
        <v>68</v>
      </c>
      <c r="D7" s="20" t="s">
        <v>71</v>
      </c>
      <c r="E7" s="20" t="s">
        <v>68</v>
      </c>
      <c r="F7" s="20">
        <v>3</v>
      </c>
      <c r="G7" s="20">
        <v>100</v>
      </c>
      <c r="H7" s="20" t="s">
        <v>67</v>
      </c>
      <c r="I7" s="20" t="s">
        <v>67</v>
      </c>
      <c r="J7" s="20" t="s">
        <v>67</v>
      </c>
      <c r="K7" s="20" t="s">
        <v>67</v>
      </c>
      <c r="L7" s="20" t="s">
        <v>67</v>
      </c>
      <c r="M7" s="21" t="s">
        <v>326</v>
      </c>
      <c r="N7" s="20" t="s">
        <v>68</v>
      </c>
      <c r="O7" s="20" t="s">
        <v>68</v>
      </c>
      <c r="P7" s="20" t="s">
        <v>68</v>
      </c>
      <c r="Q7" s="20" t="s">
        <v>65</v>
      </c>
      <c r="R7" s="20" t="s">
        <v>65</v>
      </c>
      <c r="S7" s="20" t="s">
        <v>68</v>
      </c>
      <c r="T7" s="20" t="s">
        <v>325</v>
      </c>
      <c r="U7" s="20" t="s">
        <v>68</v>
      </c>
      <c r="V7" s="92" t="s">
        <v>147</v>
      </c>
      <c r="W7" s="93" t="s">
        <v>147</v>
      </c>
      <c r="X7" s="93" t="s">
        <v>145</v>
      </c>
      <c r="Y7" s="94" t="s">
        <v>147</v>
      </c>
      <c r="Z7" s="94" t="s">
        <v>145</v>
      </c>
      <c r="AA7" s="92" t="s">
        <v>74</v>
      </c>
      <c r="AB7" s="70" t="s">
        <v>147</v>
      </c>
      <c r="AC7" s="70" t="s">
        <v>145</v>
      </c>
      <c r="AD7" s="94" t="s">
        <v>70</v>
      </c>
      <c r="AE7" s="116" t="s">
        <v>147</v>
      </c>
      <c r="AF7" s="116" t="s">
        <v>145</v>
      </c>
    </row>
    <row r="8" spans="1:32" ht="30" customHeight="1" x14ac:dyDescent="0.3">
      <c r="A8" s="20" t="str">
        <f>'M-Barbero'!F3</f>
        <v>prefijo</v>
      </c>
      <c r="B8" s="21" t="str">
        <f>'M-Barbero'!F2</f>
        <v>Representa cual es el prefijo del numero de celular del barbero</v>
      </c>
      <c r="C8" s="20" t="s">
        <v>68</v>
      </c>
      <c r="D8" s="117" t="s">
        <v>19</v>
      </c>
      <c r="E8" s="20" t="s">
        <v>65</v>
      </c>
      <c r="F8" s="20" t="s">
        <v>67</v>
      </c>
      <c r="G8" s="20" t="s">
        <v>67</v>
      </c>
      <c r="H8" s="20" t="s">
        <v>67</v>
      </c>
      <c r="I8" s="20" t="s">
        <v>67</v>
      </c>
      <c r="J8" s="20" t="s">
        <v>67</v>
      </c>
      <c r="K8" s="20" t="s">
        <v>67</v>
      </c>
      <c r="L8" s="20" t="s">
        <v>67</v>
      </c>
      <c r="M8" s="118" t="s">
        <v>327</v>
      </c>
      <c r="N8" s="20" t="s">
        <v>68</v>
      </c>
      <c r="O8" s="20" t="s">
        <v>67</v>
      </c>
      <c r="P8" s="20" t="s">
        <v>67</v>
      </c>
      <c r="Q8" s="20" t="s">
        <v>67</v>
      </c>
      <c r="R8" s="20" t="s">
        <v>67</v>
      </c>
      <c r="S8" s="20" t="s">
        <v>68</v>
      </c>
      <c r="T8" s="20" t="s">
        <v>69</v>
      </c>
      <c r="U8" s="20" t="s">
        <v>68</v>
      </c>
      <c r="V8" s="92" t="s">
        <v>144</v>
      </c>
      <c r="W8" s="93" t="s">
        <v>144</v>
      </c>
      <c r="X8" s="93" t="s">
        <v>149</v>
      </c>
      <c r="Y8" s="94" t="s">
        <v>147</v>
      </c>
      <c r="Z8" s="94" t="s">
        <v>145</v>
      </c>
      <c r="AA8" s="92" t="s">
        <v>74</v>
      </c>
      <c r="AB8" s="70" t="s">
        <v>147</v>
      </c>
      <c r="AC8" s="70" t="s">
        <v>145</v>
      </c>
      <c r="AD8" s="94" t="s">
        <v>70</v>
      </c>
      <c r="AE8" s="116" t="s">
        <v>147</v>
      </c>
      <c r="AF8" s="116" t="s">
        <v>145</v>
      </c>
    </row>
    <row r="9" spans="1:32" ht="45" customHeight="1" x14ac:dyDescent="0.3">
      <c r="A9" s="20" t="str">
        <f>'M-Barbero'!G3</f>
        <v>celular</v>
      </c>
      <c r="B9" s="21" t="str">
        <f>'M-Barbero'!G2</f>
        <v>Representa el número de celular del barbero, es el dato que el cliente necesita en caso de que tenga que contactarse con el</v>
      </c>
      <c r="C9" s="20" t="s">
        <v>68</v>
      </c>
      <c r="D9" s="20" t="s">
        <v>71</v>
      </c>
      <c r="E9" s="20" t="s">
        <v>65</v>
      </c>
      <c r="F9" s="20">
        <v>6</v>
      </c>
      <c r="G9" s="20">
        <v>15</v>
      </c>
      <c r="H9" s="20" t="s">
        <v>67</v>
      </c>
      <c r="I9" s="20" t="s">
        <v>67</v>
      </c>
      <c r="J9" s="20" t="s">
        <v>67</v>
      </c>
      <c r="K9" s="20" t="s">
        <v>67</v>
      </c>
      <c r="L9" s="21" t="s">
        <v>67</v>
      </c>
      <c r="M9" s="21" t="s">
        <v>328</v>
      </c>
      <c r="N9" s="20" t="s">
        <v>68</v>
      </c>
      <c r="O9" s="20" t="s">
        <v>67</v>
      </c>
      <c r="P9" s="20" t="s">
        <v>67</v>
      </c>
      <c r="Q9" s="20" t="s">
        <v>65</v>
      </c>
      <c r="R9" s="20" t="s">
        <v>65</v>
      </c>
      <c r="S9" s="20" t="s">
        <v>65</v>
      </c>
      <c r="T9" s="20" t="s">
        <v>329</v>
      </c>
      <c r="U9" s="20" t="s">
        <v>68</v>
      </c>
      <c r="V9" s="92" t="s">
        <v>144</v>
      </c>
      <c r="W9" s="93" t="s">
        <v>144</v>
      </c>
      <c r="X9" s="93" t="s">
        <v>149</v>
      </c>
      <c r="Y9" s="94" t="s">
        <v>147</v>
      </c>
      <c r="Z9" s="94" t="s">
        <v>145</v>
      </c>
      <c r="AA9" s="92" t="s">
        <v>74</v>
      </c>
      <c r="AB9" s="70" t="s">
        <v>147</v>
      </c>
      <c r="AC9" s="70" t="s">
        <v>145</v>
      </c>
      <c r="AD9" s="94" t="s">
        <v>70</v>
      </c>
      <c r="AE9" s="116" t="s">
        <v>147</v>
      </c>
      <c r="AF9" s="116" t="s">
        <v>145</v>
      </c>
    </row>
    <row r="10" spans="1:32" ht="45" customHeight="1" x14ac:dyDescent="0.3">
      <c r="A10" s="20" t="str">
        <f>'M-Barbero'!H3</f>
        <v>elNumeroCelularEsCorrecto</v>
      </c>
      <c r="B10" s="21" t="str">
        <f>'M-Barbero'!H2</f>
        <v>Representa si el numero que ingreso el cliente es correcto o no</v>
      </c>
      <c r="C10" s="20" t="s">
        <v>68</v>
      </c>
      <c r="D10" s="20" t="s">
        <v>202</v>
      </c>
      <c r="E10" s="20" t="s">
        <v>65</v>
      </c>
      <c r="F10" s="20" t="s">
        <v>67</v>
      </c>
      <c r="G10" s="20" t="s">
        <v>67</v>
      </c>
      <c r="H10" s="20" t="s">
        <v>67</v>
      </c>
      <c r="I10" s="20" t="s">
        <v>67</v>
      </c>
      <c r="J10" s="20" t="s">
        <v>67</v>
      </c>
      <c r="K10" s="20" t="s">
        <v>67</v>
      </c>
      <c r="L10" s="20" t="s">
        <v>67</v>
      </c>
      <c r="M10" s="21" t="s">
        <v>330</v>
      </c>
      <c r="N10" s="20" t="s">
        <v>68</v>
      </c>
      <c r="O10" s="20" t="s">
        <v>67</v>
      </c>
      <c r="P10" s="20" t="s">
        <v>67</v>
      </c>
      <c r="Q10" s="20" t="s">
        <v>67</v>
      </c>
      <c r="R10" s="20" t="s">
        <v>67</v>
      </c>
      <c r="S10" s="20" t="s">
        <v>68</v>
      </c>
      <c r="T10" s="20" t="s">
        <v>68</v>
      </c>
      <c r="U10" s="20" t="s">
        <v>68</v>
      </c>
      <c r="V10" s="92" t="s">
        <v>144</v>
      </c>
      <c r="W10" s="93" t="s">
        <v>147</v>
      </c>
      <c r="X10" s="93" t="s">
        <v>145</v>
      </c>
      <c r="Y10" s="94" t="s">
        <v>147</v>
      </c>
      <c r="Z10" s="94" t="s">
        <v>145</v>
      </c>
      <c r="AA10" s="92" t="s">
        <v>74</v>
      </c>
      <c r="AB10" s="70" t="s">
        <v>144</v>
      </c>
      <c r="AC10" s="70" t="s">
        <v>149</v>
      </c>
      <c r="AD10" s="94" t="s">
        <v>70</v>
      </c>
      <c r="AE10" s="116" t="s">
        <v>144</v>
      </c>
      <c r="AF10" s="116" t="s">
        <v>149</v>
      </c>
    </row>
    <row r="11" spans="1:32" ht="60" customHeight="1" x14ac:dyDescent="0.3">
      <c r="A11" s="20" t="str">
        <f>'M-Barbero'!I3</f>
        <v>vigente</v>
      </c>
      <c r="B11" s="21" t="str">
        <f>'M-Barbero'!I2</f>
        <v>Representa si el barbero sigue o no trabajando en la barberia</v>
      </c>
      <c r="C11" s="20" t="s">
        <v>68</v>
      </c>
      <c r="D11" s="20" t="s">
        <v>202</v>
      </c>
      <c r="E11" s="20" t="s">
        <v>68</v>
      </c>
      <c r="F11" s="20" t="s">
        <v>67</v>
      </c>
      <c r="G11" s="20" t="s">
        <v>67</v>
      </c>
      <c r="H11" s="20" t="s">
        <v>67</v>
      </c>
      <c r="I11" s="20" t="s">
        <v>67</v>
      </c>
      <c r="J11" s="20" t="s">
        <v>67</v>
      </c>
      <c r="K11" s="20" t="s">
        <v>67</v>
      </c>
      <c r="L11" s="20" t="s">
        <v>67</v>
      </c>
      <c r="M11" s="21" t="s">
        <v>67</v>
      </c>
      <c r="N11" s="20" t="s">
        <v>65</v>
      </c>
      <c r="O11" s="20" t="s">
        <v>67</v>
      </c>
      <c r="P11" s="20" t="s">
        <v>67</v>
      </c>
      <c r="Q11" s="20" t="s">
        <v>67</v>
      </c>
      <c r="R11" s="20" t="s">
        <v>67</v>
      </c>
      <c r="S11" s="20" t="s">
        <v>68</v>
      </c>
      <c r="T11" s="20" t="s">
        <v>65</v>
      </c>
      <c r="U11" s="20" t="s">
        <v>65</v>
      </c>
      <c r="V11" s="92" t="s">
        <v>147</v>
      </c>
      <c r="W11" s="93" t="s">
        <v>147</v>
      </c>
      <c r="X11" s="93" t="s">
        <v>145</v>
      </c>
      <c r="Y11" s="94" t="s">
        <v>147</v>
      </c>
      <c r="Z11" s="94" t="s">
        <v>145</v>
      </c>
      <c r="AA11" s="92" t="s">
        <v>74</v>
      </c>
      <c r="AB11" s="70" t="s">
        <v>147</v>
      </c>
      <c r="AC11" s="70" t="s">
        <v>145</v>
      </c>
      <c r="AD11" s="94" t="s">
        <v>70</v>
      </c>
      <c r="AE11" s="116" t="s">
        <v>147</v>
      </c>
      <c r="AF11" s="116" t="s">
        <v>145</v>
      </c>
    </row>
    <row r="12" spans="1:32" ht="75" customHeight="1" x14ac:dyDescent="0.3">
      <c r="A12" s="20" t="str">
        <f>'M-Barbero'!J3</f>
        <v>anticipacionEnHorasParaAgendarCita</v>
      </c>
      <c r="B12" s="21" t="str">
        <f>'M-Barbero'!J2</f>
        <v>Representa la parte en horas del tiempo mínimo de anticipación con el que un cliente debe pedirle una cita a este barbero. Junto con anticipacionEnMinutosParaAgendarCita forma el tiempo total de anticipación que exige el barbero</v>
      </c>
      <c r="C12" s="20" t="s">
        <v>68</v>
      </c>
      <c r="D12" s="20" t="s">
        <v>201</v>
      </c>
      <c r="E12" s="20" t="s">
        <v>68</v>
      </c>
      <c r="F12" s="20" t="s">
        <v>67</v>
      </c>
      <c r="G12" s="20" t="s">
        <v>67</v>
      </c>
      <c r="H12" s="20" t="s">
        <v>67</v>
      </c>
      <c r="I12" s="20" t="s">
        <v>67</v>
      </c>
      <c r="J12" s="20">
        <v>0</v>
      </c>
      <c r="K12" s="20">
        <v>720</v>
      </c>
      <c r="L12" s="20" t="s">
        <v>331</v>
      </c>
      <c r="M12" s="20" t="s">
        <v>67</v>
      </c>
      <c r="N12" s="20" t="s">
        <v>68</v>
      </c>
      <c r="O12" s="20" t="s">
        <v>67</v>
      </c>
      <c r="P12" s="20" t="s">
        <v>67</v>
      </c>
      <c r="Q12" s="20" t="s">
        <v>67</v>
      </c>
      <c r="R12" s="20" t="s">
        <v>67</v>
      </c>
      <c r="S12" s="20" t="s">
        <v>68</v>
      </c>
      <c r="T12" s="119">
        <v>0</v>
      </c>
      <c r="U12" s="20" t="s">
        <v>68</v>
      </c>
      <c r="V12" s="92" t="s">
        <v>147</v>
      </c>
      <c r="W12" s="93" t="s">
        <v>147</v>
      </c>
      <c r="X12" s="93" t="s">
        <v>145</v>
      </c>
      <c r="Y12" s="94" t="s">
        <v>144</v>
      </c>
      <c r="Z12" s="94" t="s">
        <v>149</v>
      </c>
      <c r="AA12" s="92" t="s">
        <v>70</v>
      </c>
      <c r="AB12" s="70" t="s">
        <v>147</v>
      </c>
      <c r="AC12" s="70" t="s">
        <v>145</v>
      </c>
      <c r="AD12" s="94" t="s">
        <v>74</v>
      </c>
      <c r="AE12" s="116" t="s">
        <v>147</v>
      </c>
      <c r="AF12" s="116" t="s">
        <v>145</v>
      </c>
    </row>
    <row r="13" spans="1:32" ht="75" customHeight="1" x14ac:dyDescent="0.3">
      <c r="A13" s="20" t="str">
        <f>'M-Barbero'!K3</f>
        <v>anticipacionEnMinutosParaAgendarCita</v>
      </c>
      <c r="B13" s="21" t="str">
        <f>'M-Barbero'!K2</f>
        <v>Representa la parte en minutos del tiempo mínimo de anticipación con el que un cliente debe pedirle una cita a este barbero. Junto con anticipacionEnHorasParaAgendarCita forma el tiempo total de anticipación que exige el barbero</v>
      </c>
      <c r="C13" s="20" t="s">
        <v>68</v>
      </c>
      <c r="D13" s="20" t="s">
        <v>201</v>
      </c>
      <c r="E13" s="20" t="s">
        <v>68</v>
      </c>
      <c r="F13" s="20" t="s">
        <v>67</v>
      </c>
      <c r="G13" s="20" t="s">
        <v>67</v>
      </c>
      <c r="H13" s="20" t="s">
        <v>67</v>
      </c>
      <c r="I13" s="20" t="s">
        <v>67</v>
      </c>
      <c r="J13" s="20">
        <v>0</v>
      </c>
      <c r="K13" s="20">
        <v>59</v>
      </c>
      <c r="L13" s="20" t="s">
        <v>332</v>
      </c>
      <c r="M13" s="20" t="s">
        <v>67</v>
      </c>
      <c r="N13" s="20" t="s">
        <v>68</v>
      </c>
      <c r="O13" s="20" t="s">
        <v>67</v>
      </c>
      <c r="P13" s="20" t="s">
        <v>67</v>
      </c>
      <c r="Q13" s="20" t="s">
        <v>67</v>
      </c>
      <c r="R13" s="20" t="s">
        <v>67</v>
      </c>
      <c r="S13" s="20" t="s">
        <v>68</v>
      </c>
      <c r="T13" s="119">
        <v>0</v>
      </c>
      <c r="U13" s="20" t="s">
        <v>68</v>
      </c>
      <c r="V13" s="92" t="s">
        <v>147</v>
      </c>
      <c r="W13" s="93" t="s">
        <v>147</v>
      </c>
      <c r="X13" s="93" t="s">
        <v>145</v>
      </c>
      <c r="Y13" s="94" t="s">
        <v>144</v>
      </c>
      <c r="Z13" s="94" t="s">
        <v>149</v>
      </c>
      <c r="AA13" s="92" t="s">
        <v>70</v>
      </c>
      <c r="AB13" s="70" t="s">
        <v>147</v>
      </c>
      <c r="AC13" s="70" t="s">
        <v>145</v>
      </c>
      <c r="AD13" s="94" t="s">
        <v>74</v>
      </c>
      <c r="AE13" s="116" t="s">
        <v>147</v>
      </c>
      <c r="AF13" s="116" t="s">
        <v>145</v>
      </c>
    </row>
    <row r="15" spans="1:32" ht="15" customHeight="1" x14ac:dyDescent="0.3">
      <c r="A15" s="23" t="s">
        <v>75</v>
      </c>
      <c r="B15" s="23" t="s">
        <v>76</v>
      </c>
      <c r="C15" s="23" t="s">
        <v>77</v>
      </c>
    </row>
    <row r="16" spans="1:32" ht="23.25" customHeight="1" x14ac:dyDescent="0.3">
      <c r="A16" s="300" t="str">
        <f>'M-Barbero'!L3</f>
        <v>Combinación única  1</v>
      </c>
      <c r="B16" s="301" t="str">
        <f>'M-Barbero'!L2</f>
        <v>Combinacion única que indica que no puede existir más de un barbero con el mismo prefijo de celular y número de celular</v>
      </c>
      <c r="C16" s="26" t="str">
        <f>A8</f>
        <v>prefijo</v>
      </c>
    </row>
    <row r="17" spans="1:18" ht="21" customHeight="1" x14ac:dyDescent="0.3">
      <c r="A17" s="300"/>
      <c r="B17" s="300"/>
      <c r="C17" s="26" t="str">
        <f>A9</f>
        <v>celular</v>
      </c>
    </row>
    <row r="19" spans="1:18" x14ac:dyDescent="0.3">
      <c r="A19" s="243" t="s">
        <v>79</v>
      </c>
      <c r="B19" s="243"/>
      <c r="C19" s="239" t="s">
        <v>76</v>
      </c>
      <c r="D19" s="239"/>
      <c r="E19" s="239"/>
      <c r="F19" s="239"/>
      <c r="G19" s="239" t="s">
        <v>80</v>
      </c>
      <c r="H19" s="239"/>
      <c r="I19" s="239"/>
      <c r="J19" s="239" t="s">
        <v>81</v>
      </c>
      <c r="K19" s="239"/>
      <c r="L19" s="239"/>
      <c r="M19" s="239"/>
      <c r="N19" s="239"/>
      <c r="O19" s="239" t="s">
        <v>82</v>
      </c>
      <c r="P19" s="239"/>
      <c r="Q19" s="239" t="s">
        <v>83</v>
      </c>
      <c r="R19" s="239"/>
    </row>
    <row r="20" spans="1:18" x14ac:dyDescent="0.3">
      <c r="A20" s="243"/>
      <c r="B20" s="243"/>
      <c r="C20" s="239"/>
      <c r="D20" s="239"/>
      <c r="E20" s="239"/>
      <c r="F20" s="239"/>
      <c r="G20" s="27" t="s">
        <v>84</v>
      </c>
      <c r="H20" s="27" t="s">
        <v>47</v>
      </c>
      <c r="I20" s="27" t="s">
        <v>76</v>
      </c>
      <c r="J20" s="27" t="s">
        <v>85</v>
      </c>
      <c r="K20" s="240" t="s">
        <v>76</v>
      </c>
      <c r="L20" s="240"/>
      <c r="M20" s="240"/>
      <c r="N20" s="240"/>
      <c r="O20" s="27" t="s">
        <v>86</v>
      </c>
      <c r="P20" s="27" t="s">
        <v>76</v>
      </c>
      <c r="Q20" s="27" t="s">
        <v>87</v>
      </c>
      <c r="R20" s="28" t="s">
        <v>88</v>
      </c>
    </row>
    <row r="21" spans="1:18" ht="123.75" customHeight="1" x14ac:dyDescent="0.3">
      <c r="A21" s="302" t="s">
        <v>333</v>
      </c>
      <c r="B21" s="302"/>
      <c r="C21" s="285" t="s">
        <v>334</v>
      </c>
      <c r="D21" s="285"/>
      <c r="E21" s="285"/>
      <c r="F21" s="285"/>
      <c r="G21" s="285" t="s">
        <v>335</v>
      </c>
      <c r="H21" s="303" t="s">
        <v>23</v>
      </c>
      <c r="I21" s="285" t="s">
        <v>336</v>
      </c>
      <c r="J21" s="304" t="s">
        <v>23</v>
      </c>
      <c r="K21" s="285" t="s">
        <v>337</v>
      </c>
      <c r="L21" s="285"/>
      <c r="M21" s="285"/>
      <c r="N21" s="285"/>
      <c r="O21" s="116" t="str">
        <f>'P-Barbero'!A6</f>
        <v>P-BAR-0001</v>
      </c>
      <c r="P21" s="31" t="str">
        <f>'P-Barbero'!B6</f>
        <v>Asegurar que los datos requeridos del barbero (nombre, apellido, prefijo de celular, celular, tiempos de anticipación) sean válidos en tipo de dato, longitud, obligatoriedad, formato y rango</v>
      </c>
      <c r="Q21" s="31" t="s">
        <v>338</v>
      </c>
      <c r="R21" s="122" t="s">
        <v>164</v>
      </c>
    </row>
    <row r="22" spans="1:18" ht="60" customHeight="1" x14ac:dyDescent="0.3">
      <c r="A22" s="302"/>
      <c r="B22" s="302"/>
      <c r="C22" s="285"/>
      <c r="D22" s="285"/>
      <c r="E22" s="285"/>
      <c r="F22" s="285"/>
      <c r="G22" s="285"/>
      <c r="H22" s="285"/>
      <c r="I22" s="285"/>
      <c r="J22" s="285"/>
      <c r="K22" s="285"/>
      <c r="L22" s="285"/>
      <c r="M22" s="285"/>
      <c r="N22" s="285"/>
      <c r="O22" s="116" t="str">
        <f>'P-Barbero'!A7</f>
        <v>P-BAR-0002</v>
      </c>
      <c r="P22" s="31" t="str">
        <f>'P-Barbero'!B7</f>
        <v>Asegurar que el número de celular y prefijo de celular no esté siendo utilizado por otro barbero</v>
      </c>
      <c r="Q22" s="31" t="s">
        <v>339</v>
      </c>
      <c r="R22" s="122" t="s">
        <v>164</v>
      </c>
    </row>
    <row r="23" spans="1:18" ht="60" customHeight="1" x14ac:dyDescent="0.3">
      <c r="A23" s="302"/>
      <c r="B23" s="302"/>
      <c r="C23" s="285"/>
      <c r="D23" s="285"/>
      <c r="E23" s="285"/>
      <c r="F23" s="285"/>
      <c r="G23" s="285"/>
      <c r="H23" s="285"/>
      <c r="I23" s="285"/>
      <c r="J23" s="285"/>
      <c r="K23" s="285"/>
      <c r="L23" s="285"/>
      <c r="M23" s="285"/>
      <c r="N23" s="285"/>
      <c r="O23" s="116" t="str">
        <f>'P-Barbero'!A11</f>
        <v>P-BAR-0006</v>
      </c>
      <c r="P23" s="31" t="str">
        <f>'P-Barbero'!B11</f>
        <v>Asegurar que el barbero halla puesto un si en el atributo elNumeroCelularEsCorrecto</v>
      </c>
      <c r="Q23" s="31" t="s">
        <v>340</v>
      </c>
      <c r="R23" s="122" t="s">
        <v>164</v>
      </c>
    </row>
    <row r="24" spans="1:18" ht="60" customHeight="1" x14ac:dyDescent="0.3">
      <c r="A24" s="309" t="s">
        <v>341</v>
      </c>
      <c r="B24" s="309"/>
      <c r="C24" s="282" t="s">
        <v>342</v>
      </c>
      <c r="D24" s="282"/>
      <c r="E24" s="282"/>
      <c r="F24" s="282"/>
      <c r="G24" s="123" t="s">
        <v>129</v>
      </c>
      <c r="H24" s="123" t="s">
        <v>156</v>
      </c>
      <c r="I24" s="71" t="s">
        <v>343</v>
      </c>
      <c r="J24" s="310" t="s">
        <v>23</v>
      </c>
      <c r="K24" s="282" t="s">
        <v>344</v>
      </c>
      <c r="L24" s="282"/>
      <c r="M24" s="282"/>
      <c r="N24" s="282"/>
      <c r="O24" s="99" t="str">
        <f>'P-Barbero'!A12</f>
        <v>P-BAR-0007</v>
      </c>
      <c r="P24" s="99" t="str">
        <f>'P-Barbero'!B12</f>
        <v>Asegurar que exista el barbero con el id enviado</v>
      </c>
      <c r="Q24" s="71" t="s">
        <v>345</v>
      </c>
      <c r="R24" s="124" t="s">
        <v>164</v>
      </c>
    </row>
    <row r="25" spans="1:18" ht="38.25" customHeight="1" x14ac:dyDescent="0.3">
      <c r="A25" s="309"/>
      <c r="B25" s="309"/>
      <c r="C25" s="282"/>
      <c r="D25" s="282"/>
      <c r="E25" s="282"/>
      <c r="F25" s="282"/>
      <c r="G25" s="305" t="s">
        <v>346</v>
      </c>
      <c r="H25" s="305" t="s">
        <v>23</v>
      </c>
      <c r="I25" s="282" t="s">
        <v>347</v>
      </c>
      <c r="J25" s="310"/>
      <c r="K25" s="282"/>
      <c r="L25" s="282"/>
      <c r="M25" s="282"/>
      <c r="N25" s="282"/>
      <c r="O25" s="305" t="str">
        <f>'P-Barbero'!A9</f>
        <v>P-BAR-0004</v>
      </c>
      <c r="P25" s="282" t="str">
        <f>'P-Barbero'!B9</f>
        <v>Asegurar que los datos requeridos del barbero para editar su contacto (prefijo de celular, celular) sean válidos en tipo de dato, longitud, obligatoriedad, formato y rango</v>
      </c>
      <c r="Q25" s="282" t="s">
        <v>348</v>
      </c>
      <c r="R25" s="306" t="s">
        <v>164</v>
      </c>
    </row>
    <row r="26" spans="1:18" ht="27" customHeight="1" x14ac:dyDescent="0.3">
      <c r="A26" s="309"/>
      <c r="B26" s="309"/>
      <c r="C26" s="282"/>
      <c r="D26" s="282"/>
      <c r="E26" s="282"/>
      <c r="F26" s="282"/>
      <c r="G26" s="305"/>
      <c r="H26" s="305"/>
      <c r="I26" s="305"/>
      <c r="J26" s="305"/>
      <c r="K26" s="282"/>
      <c r="L26" s="282"/>
      <c r="M26" s="282"/>
      <c r="N26" s="282"/>
      <c r="O26" s="305"/>
      <c r="P26" s="305"/>
      <c r="Q26" s="305"/>
      <c r="R26" s="306"/>
    </row>
    <row r="27" spans="1:18" ht="60" customHeight="1" x14ac:dyDescent="0.3">
      <c r="A27" s="307" t="s">
        <v>349</v>
      </c>
      <c r="B27" s="307"/>
      <c r="C27" s="295" t="s">
        <v>350</v>
      </c>
      <c r="D27" s="295"/>
      <c r="E27" s="295"/>
      <c r="F27" s="295"/>
      <c r="G27" s="126" t="s">
        <v>129</v>
      </c>
      <c r="H27" s="126" t="s">
        <v>156</v>
      </c>
      <c r="I27" s="75" t="s">
        <v>351</v>
      </c>
      <c r="J27" s="308" t="s">
        <v>23</v>
      </c>
      <c r="K27" s="295" t="s">
        <v>352</v>
      </c>
      <c r="L27" s="295"/>
      <c r="M27" s="295"/>
      <c r="N27" s="295"/>
      <c r="O27" s="75" t="str">
        <f>'P-Barbero'!A12</f>
        <v>P-BAR-0007</v>
      </c>
      <c r="P27" s="75" t="str">
        <f>'P-Barbero'!B12</f>
        <v>Asegurar que exista el barbero con el id enviado</v>
      </c>
      <c r="Q27" s="75" t="s">
        <v>353</v>
      </c>
      <c r="R27" s="127" t="s">
        <v>164</v>
      </c>
    </row>
    <row r="28" spans="1:18" ht="60" customHeight="1" x14ac:dyDescent="0.3">
      <c r="A28" s="307"/>
      <c r="B28" s="307"/>
      <c r="C28" s="295"/>
      <c r="D28" s="295"/>
      <c r="E28" s="295"/>
      <c r="F28" s="295"/>
      <c r="G28" s="75" t="s">
        <v>354</v>
      </c>
      <c r="H28" s="126" t="s">
        <v>23</v>
      </c>
      <c r="I28" s="75" t="s">
        <v>355</v>
      </c>
      <c r="J28" s="308"/>
      <c r="K28" s="295"/>
      <c r="L28" s="295"/>
      <c r="M28" s="295"/>
      <c r="N28" s="295"/>
      <c r="O28" s="126" t="str">
        <f>'P-Barbero'!A10</f>
        <v>P-BAR-0005</v>
      </c>
      <c r="P28" s="75" t="str">
        <f>'P-Barbero'!B10</f>
        <v>Asegurar que los datos requeridos del barbero editar sus tiempos de anticipación (prefijo de celular, celular) sean válidos en tipo de dato, longitud, obligatoriedad, formato y rango</v>
      </c>
      <c r="Q28" s="75" t="s">
        <v>356</v>
      </c>
      <c r="R28" s="127" t="s">
        <v>164</v>
      </c>
    </row>
    <row r="29" spans="1:18" ht="51" customHeight="1" x14ac:dyDescent="0.3">
      <c r="A29" s="311" t="s">
        <v>357</v>
      </c>
      <c r="B29" s="311"/>
      <c r="C29" s="312" t="s">
        <v>358</v>
      </c>
      <c r="D29" s="312"/>
      <c r="E29" s="312"/>
      <c r="F29" s="312"/>
      <c r="G29" s="116" t="s">
        <v>129</v>
      </c>
      <c r="H29" s="116" t="s">
        <v>156</v>
      </c>
      <c r="I29" s="31" t="s">
        <v>359</v>
      </c>
      <c r="J29" s="128" t="s">
        <v>23</v>
      </c>
      <c r="K29" s="312" t="s">
        <v>360</v>
      </c>
      <c r="L29" s="312"/>
      <c r="M29" s="312"/>
      <c r="N29" s="312"/>
      <c r="O29" s="116" t="str">
        <f>'P-Barbero'!A12</f>
        <v>P-BAR-0007</v>
      </c>
      <c r="P29" s="31" t="str">
        <f>'P-Barbero'!B12</f>
        <v>Asegurar que exista el barbero con el id enviado</v>
      </c>
      <c r="Q29" s="31" t="s">
        <v>361</v>
      </c>
      <c r="R29" s="122" t="s">
        <v>164</v>
      </c>
    </row>
    <row r="30" spans="1:18" ht="65.25" customHeight="1" x14ac:dyDescent="0.3">
      <c r="A30" s="313" t="s">
        <v>362</v>
      </c>
      <c r="B30" s="313"/>
      <c r="C30" s="305" t="s">
        <v>363</v>
      </c>
      <c r="D30" s="305"/>
      <c r="E30" s="305"/>
      <c r="F30" s="305"/>
      <c r="G30" s="305" t="s">
        <v>129</v>
      </c>
      <c r="H30" s="305" t="s">
        <v>156</v>
      </c>
      <c r="I30" s="282" t="s">
        <v>364</v>
      </c>
      <c r="J30" s="305" t="s">
        <v>223</v>
      </c>
      <c r="K30" s="305"/>
      <c r="L30" s="305"/>
      <c r="M30" s="305"/>
      <c r="N30" s="305"/>
      <c r="O30" s="123" t="str">
        <f>'P-Barbero'!A8</f>
        <v>P-BAR-0003</v>
      </c>
      <c r="P30" s="71" t="str">
        <f>'P-Barbero'!B8</f>
        <v>Asegurar que el barbero no tenga citas futuras pendientes antes de dejar de trabajar en la barbería</v>
      </c>
      <c r="Q30" s="71" t="s">
        <v>365</v>
      </c>
      <c r="R30" s="124" t="s">
        <v>164</v>
      </c>
    </row>
    <row r="31" spans="1:18" ht="65.25" customHeight="1" x14ac:dyDescent="0.3">
      <c r="A31" s="313"/>
      <c r="B31" s="313"/>
      <c r="C31" s="305"/>
      <c r="D31" s="305"/>
      <c r="E31" s="305"/>
      <c r="F31" s="305"/>
      <c r="G31" s="305"/>
      <c r="H31" s="305"/>
      <c r="I31" s="305"/>
      <c r="J31" s="305"/>
      <c r="K31" s="305"/>
      <c r="L31" s="305"/>
      <c r="M31" s="305"/>
      <c r="N31" s="305"/>
      <c r="O31" s="123" t="str">
        <f>'P-Barbero'!A12</f>
        <v>P-BAR-0007</v>
      </c>
      <c r="P31" s="71" t="str">
        <f>'P-Barbero'!B12</f>
        <v>Asegurar que exista el barbero con el id enviado</v>
      </c>
      <c r="Q31" s="71" t="s">
        <v>366</v>
      </c>
      <c r="R31" s="124" t="s">
        <v>164</v>
      </c>
    </row>
    <row r="32" spans="1:18" ht="51" customHeight="1" x14ac:dyDescent="0.3">
      <c r="A32" s="314" t="s">
        <v>367</v>
      </c>
      <c r="B32" s="314"/>
      <c r="C32" s="315" t="s">
        <v>368</v>
      </c>
      <c r="D32" s="315"/>
      <c r="E32" s="315"/>
      <c r="F32" s="315"/>
      <c r="G32" s="126" t="s">
        <v>129</v>
      </c>
      <c r="H32" s="126" t="s">
        <v>156</v>
      </c>
      <c r="I32" s="75" t="s">
        <v>359</v>
      </c>
      <c r="J32" s="129" t="s">
        <v>23</v>
      </c>
      <c r="K32" s="315" t="s">
        <v>369</v>
      </c>
      <c r="L32" s="315"/>
      <c r="M32" s="315"/>
      <c r="N32" s="315"/>
      <c r="O32" s="126" t="str">
        <f>'P-Barbero'!A12</f>
        <v>P-BAR-0007</v>
      </c>
      <c r="P32" s="75" t="str">
        <f>'P-Barbero'!B12</f>
        <v>Asegurar que exista el barbero con el id enviado</v>
      </c>
      <c r="Q32" s="75" t="s">
        <v>370</v>
      </c>
      <c r="R32" s="127" t="s">
        <v>164</v>
      </c>
    </row>
    <row r="33" spans="1:18" ht="51" customHeight="1" x14ac:dyDescent="0.3">
      <c r="A33" s="316" t="s">
        <v>371</v>
      </c>
      <c r="B33" s="316"/>
      <c r="C33" s="303" t="s">
        <v>372</v>
      </c>
      <c r="D33" s="303"/>
      <c r="E33" s="303"/>
      <c r="F33" s="303"/>
      <c r="G33" s="116" t="s">
        <v>129</v>
      </c>
      <c r="H33" s="116" t="s">
        <v>156</v>
      </c>
      <c r="I33" s="31" t="s">
        <v>364</v>
      </c>
      <c r="J33" s="303" t="s">
        <v>223</v>
      </c>
      <c r="K33" s="303"/>
      <c r="L33" s="303"/>
      <c r="M33" s="303"/>
      <c r="N33" s="303"/>
      <c r="O33" s="116" t="str">
        <f>'P-Barbero'!A12</f>
        <v>P-BAR-0007</v>
      </c>
      <c r="P33" s="31" t="str">
        <f>'P-Barbero'!B12</f>
        <v>Asegurar que exista el barbero con el id enviado</v>
      </c>
      <c r="Q33" s="31" t="s">
        <v>373</v>
      </c>
      <c r="R33" s="122" t="s">
        <v>164</v>
      </c>
    </row>
    <row r="34" spans="1:18" x14ac:dyDescent="0.3">
      <c r="B34" s="130"/>
    </row>
  </sheetData>
  <mergeCells count="50">
    <mergeCell ref="A32:B32"/>
    <mergeCell ref="C32:F32"/>
    <mergeCell ref="K32:N32"/>
    <mergeCell ref="A33:B33"/>
    <mergeCell ref="C33:F33"/>
    <mergeCell ref="J33:N33"/>
    <mergeCell ref="A29:B29"/>
    <mergeCell ref="C29:F29"/>
    <mergeCell ref="K29:N29"/>
    <mergeCell ref="A30:B31"/>
    <mergeCell ref="C30:F31"/>
    <mergeCell ref="G30:G31"/>
    <mergeCell ref="H30:H31"/>
    <mergeCell ref="I30:I31"/>
    <mergeCell ref="J30:N31"/>
    <mergeCell ref="O25:O26"/>
    <mergeCell ref="P25:P26"/>
    <mergeCell ref="Q25:Q26"/>
    <mergeCell ref="R25:R26"/>
    <mergeCell ref="A27:B28"/>
    <mergeCell ref="C27:F28"/>
    <mergeCell ref="J27:J28"/>
    <mergeCell ref="K27:N28"/>
    <mergeCell ref="A24:B26"/>
    <mergeCell ref="C24:F26"/>
    <mergeCell ref="J24:J26"/>
    <mergeCell ref="K24:N26"/>
    <mergeCell ref="G25:G26"/>
    <mergeCell ref="H25:H26"/>
    <mergeCell ref="I25:I26"/>
    <mergeCell ref="Q19:R19"/>
    <mergeCell ref="K20:N20"/>
    <mergeCell ref="A21:B23"/>
    <mergeCell ref="C21:F23"/>
    <mergeCell ref="G21:G23"/>
    <mergeCell ref="H21:H23"/>
    <mergeCell ref="I21:I23"/>
    <mergeCell ref="J21:J23"/>
    <mergeCell ref="K21:N23"/>
    <mergeCell ref="A19:B20"/>
    <mergeCell ref="C19:F20"/>
    <mergeCell ref="G19:I19"/>
    <mergeCell ref="J19:N19"/>
    <mergeCell ref="O19:P19"/>
    <mergeCell ref="W2:X2"/>
    <mergeCell ref="Y2:Z2"/>
    <mergeCell ref="AB2:AC2"/>
    <mergeCell ref="AE2:AF2"/>
    <mergeCell ref="A16:A17"/>
    <mergeCell ref="B16:B17"/>
  </mergeCells>
  <hyperlinks>
    <hyperlink ref="A1" location="'Modelo de Dominio'!A1" display="&lt;&lt;&lt;&lt; Ir al modulo de dominio" xr:uid="{00000000-0004-0000-1600-000000000000}"/>
    <hyperlink ref="B1" location="'Objetos de Dominio'!A1" display="&lt;&lt;&lt;&lt; Ir a objetos de dominio" xr:uid="{00000000-0004-0000-1600-000001000000}"/>
    <hyperlink ref="V2" location="'C-Barbero'!A21" display="#'C-Barbero'.A21" xr:uid="{00000000-0004-0000-1600-000002000000}"/>
    <hyperlink ref="W2" location="'C-Barbero'!A24" display="#'C-Barbero'.A24" xr:uid="{00000000-0004-0000-1600-000003000000}"/>
    <hyperlink ref="Y2" location="'C-Barbero'!A27" display="#'C-Barbero'.A27" xr:uid="{00000000-0004-0000-1600-000004000000}"/>
    <hyperlink ref="AA2" location="'C-Barbero'!A29" display="#'C-Barbero'.A29" xr:uid="{00000000-0004-0000-1600-000005000000}"/>
    <hyperlink ref="AB2" location="'C-Barbero'!A30" display="#'C-Barbero'.A30" xr:uid="{00000000-0004-0000-1600-000006000000}"/>
    <hyperlink ref="AD2" location="'C-Barbero'!A32" display="#'C-Barbero'.A32" xr:uid="{00000000-0004-0000-1600-000007000000}"/>
    <hyperlink ref="AE2" location="'C-Barbero'!A33" display="#'C-Barbero'.A33" xr:uid="{00000000-0004-0000-1600-000008000000}"/>
    <hyperlink ref="A3" location="'M-Barbero'!A3" display="#'M-Barbero'.A3" xr:uid="{00000000-0004-0000-1600-000009000000}"/>
    <hyperlink ref="B3" location="'M-Barbero'!A2" display="#'M-Barbero'.A2" xr:uid="{00000000-0004-0000-1600-00000A000000}"/>
    <hyperlink ref="A4" location="'M-Barbero'!A3" display="#'M-Barbero'.A3" xr:uid="{00000000-0004-0000-1600-00000B000000}"/>
    <hyperlink ref="B4" location="'M-Barbero'!A2" display="#'M-Barbero'.A2" xr:uid="{00000000-0004-0000-1600-00000C000000}"/>
    <hyperlink ref="A5" location="'M-Barbero'!A3" display="#'M-Barbero'.A3" xr:uid="{00000000-0004-0000-1600-00000D000000}"/>
    <hyperlink ref="B5" location="'M-Barbero'!A2" display="#'M-Barbero'.A2" xr:uid="{00000000-0004-0000-1600-00000E000000}"/>
    <hyperlink ref="A6" location="'M-Barbero'!A3" display="#'M-Barbero'.A3" xr:uid="{00000000-0004-0000-1600-00000F000000}"/>
    <hyperlink ref="B6" location="'M-Barbero'!A2" display="#'M-Barbero'.A2" xr:uid="{00000000-0004-0000-1600-000010000000}"/>
    <hyperlink ref="A7" location="'M-Barbero'!A3" display="#'M-Barbero'.A3" xr:uid="{00000000-0004-0000-1600-000011000000}"/>
    <hyperlink ref="B7" location="'M-Barbero'!A2" display="#'M-Barbero'.A2" xr:uid="{00000000-0004-0000-1600-000012000000}"/>
    <hyperlink ref="A8" location="'M-Barbero'!A3" display="#'M-Barbero'.A3" xr:uid="{00000000-0004-0000-1600-000013000000}"/>
    <hyperlink ref="B8" location="'M-Barbero'!A2" display="#'M-Barbero'.A2" xr:uid="{00000000-0004-0000-1600-000014000000}"/>
    <hyperlink ref="D8" location="'C-PrefijoCelular'!A1" display="PrefijoCelular" xr:uid="{00000000-0004-0000-1600-000015000000}"/>
    <hyperlink ref="A9" location="'M-Barbero'!A3" display="#'M-Barbero'.A3" xr:uid="{00000000-0004-0000-1600-000016000000}"/>
    <hyperlink ref="B9" location="'M-Barbero'!A2" display="#'M-Barbero'.A2" xr:uid="{00000000-0004-0000-1600-000017000000}"/>
    <hyperlink ref="A11" location="'M-Barbero'!A3" display="#'M-Barbero'.A3" xr:uid="{00000000-0004-0000-1600-000018000000}"/>
    <hyperlink ref="B11" location="'M-Barbero'!A2" display="#'M-Barbero'.A2" xr:uid="{00000000-0004-0000-1600-000019000000}"/>
    <hyperlink ref="A16" location="'M-Barbero'!A3" display="#'M-Barbero'.A3" xr:uid="{00000000-0004-0000-1600-00001A000000}"/>
    <hyperlink ref="B16" location="'M-Barbero'!A2" display="#'M-Barbero'.A2" xr:uid="{00000000-0004-0000-1600-00001B000000}"/>
    <hyperlink ref="A21" location="'C-Barbero'!V2" display="registrarBarbero" xr:uid="{00000000-0004-0000-1600-00001C000000}"/>
    <hyperlink ref="A24" location="'C-Barbero'!W2" display="editarContactoBarbero" xr:uid="{00000000-0004-0000-1600-00001D000000}"/>
    <hyperlink ref="A27" location="'C-Barbero'!Y2" display="editarTiemposAnticipacionBarbero" xr:uid="{00000000-0004-0000-1600-00001E000000}"/>
    <hyperlink ref="A29" location="'C-Barbero'!AA2" display="consultarDatosBarbero" xr:uid="{00000000-0004-0000-1600-00001F000000}"/>
    <hyperlink ref="A30" location="'C-Barbero'!AB2" display="desactivarBarbero" xr:uid="{00000000-0004-0000-1600-000020000000}"/>
    <hyperlink ref="A32" location="'C-Barbero'!AD2" display="consultarTiemposAnticipacionBarbero" xr:uid="{00000000-0004-0000-1600-000021000000}"/>
    <hyperlink ref="A33" location="'C-Barbero'!AE2" display="reactivarBarbero" xr:uid="{00000000-0004-0000-1600-000022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2"/>
  <sheetViews>
    <sheetView showGridLines="0" zoomScaleNormal="100" workbookViewId="0">
      <selection activeCell="A12" sqref="A12"/>
    </sheetView>
  </sheetViews>
  <sheetFormatPr baseColWidth="10" defaultColWidth="8.6640625" defaultRowHeight="14.4" x14ac:dyDescent="0.3"/>
  <cols>
    <col min="1" max="1" width="20.6640625" customWidth="1"/>
    <col min="2" max="2" width="28.5546875" customWidth="1"/>
    <col min="3" max="3" width="35.5546875" customWidth="1"/>
    <col min="4" max="4" width="37.109375" customWidth="1"/>
    <col min="5" max="5" width="36.66406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Dominio'!A8</f>
        <v>Barbero</v>
      </c>
      <c r="C2" s="244"/>
      <c r="D2" s="244"/>
      <c r="E2" s="244"/>
    </row>
    <row r="3" spans="1:5" ht="30" customHeight="1" x14ac:dyDescent="0.3">
      <c r="A3" s="35" t="s">
        <v>99</v>
      </c>
      <c r="B3" s="245" t="str">
        <f>'Objetos de Dominio'!B8</f>
        <v>Representa a un trabajador de la barbería que atiende clientes según los servicios que sabe realizar, organiza su propio horario y tiene su agenda personal para atender todas las citas que valla teniendo.</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47.25" customHeight="1" x14ac:dyDescent="0.3">
      <c r="A6" s="36" t="s">
        <v>374</v>
      </c>
      <c r="B6" s="296" t="s">
        <v>375</v>
      </c>
      <c r="C6" s="296"/>
      <c r="D6" s="37" t="s">
        <v>23</v>
      </c>
      <c r="E6" s="37"/>
    </row>
    <row r="7" spans="1:5" ht="30" customHeight="1" x14ac:dyDescent="0.3">
      <c r="A7" s="36" t="s">
        <v>376</v>
      </c>
      <c r="B7" s="296" t="s">
        <v>377</v>
      </c>
      <c r="C7" s="296"/>
      <c r="D7" s="37" t="s">
        <v>23</v>
      </c>
      <c r="E7" s="37"/>
    </row>
    <row r="8" spans="1:5" ht="30" customHeight="1" x14ac:dyDescent="0.3">
      <c r="A8" s="36" t="s">
        <v>378</v>
      </c>
      <c r="B8" s="296" t="s">
        <v>379</v>
      </c>
      <c r="C8" s="296"/>
      <c r="D8" s="37" t="s">
        <v>37</v>
      </c>
      <c r="E8" s="37"/>
    </row>
    <row r="9" spans="1:5" ht="42.75" customHeight="1" x14ac:dyDescent="0.3">
      <c r="A9" s="36" t="s">
        <v>380</v>
      </c>
      <c r="B9" s="296" t="s">
        <v>381</v>
      </c>
      <c r="C9" s="296"/>
      <c r="D9" s="37" t="s">
        <v>23</v>
      </c>
      <c r="E9" s="37"/>
    </row>
    <row r="10" spans="1:5" ht="48" customHeight="1" x14ac:dyDescent="0.3">
      <c r="A10" s="36" t="s">
        <v>382</v>
      </c>
      <c r="B10" s="296" t="s">
        <v>383</v>
      </c>
      <c r="C10" s="296"/>
      <c r="D10" s="37" t="s">
        <v>23</v>
      </c>
      <c r="E10" s="37"/>
    </row>
    <row r="11" spans="1:5" ht="27" customHeight="1" x14ac:dyDescent="0.3">
      <c r="A11" s="36" t="s">
        <v>384</v>
      </c>
      <c r="B11" s="296" t="s">
        <v>385</v>
      </c>
      <c r="C11" s="296"/>
      <c r="D11" s="37" t="s">
        <v>23</v>
      </c>
      <c r="E11" s="37"/>
    </row>
    <row r="12" spans="1:5" ht="15" customHeight="1" x14ac:dyDescent="0.3">
      <c r="A12" s="36" t="s">
        <v>386</v>
      </c>
      <c r="B12" s="248" t="s">
        <v>387</v>
      </c>
      <c r="C12" s="248"/>
      <c r="D12" s="37" t="s">
        <v>23</v>
      </c>
      <c r="E12" s="37"/>
    </row>
  </sheetData>
  <mergeCells count="13">
    <mergeCell ref="B11:C11"/>
    <mergeCell ref="B12:C12"/>
    <mergeCell ref="B6:C6"/>
    <mergeCell ref="B7:C7"/>
    <mergeCell ref="B8:C8"/>
    <mergeCell ref="B9:C9"/>
    <mergeCell ref="B10:C10"/>
    <mergeCell ref="B2:E2"/>
    <mergeCell ref="B3:E3"/>
    <mergeCell ref="A4:A5"/>
    <mergeCell ref="B4:C5"/>
    <mergeCell ref="D4:D5"/>
    <mergeCell ref="E4:E5"/>
  </mergeCells>
  <hyperlinks>
    <hyperlink ref="A1" location="'Modelo de Dominio'!A1" display="&lt;&lt; Ir al modelo de dominio" xr:uid="{00000000-0004-0000-1700-000000000000}"/>
    <hyperlink ref="B1" location="'Objetos de Dominio'!A1" display="&lt;&lt; Ir al listado de objetos de dominio" xr:uid="{00000000-0004-0000-1700-000001000000}"/>
    <hyperlink ref="C1" location="'C-Barbero'!A1" display="&lt;&lt; Ir a la caracterización del objeto de dominio" xr:uid="{00000000-0004-0000-1700-000002000000}"/>
    <hyperlink ref="D1" location="'M-Barbero'!A1" display="Ir al muestreo de datos del objeto de dominio &gt;&gt;" xr:uid="{00000000-0004-0000-1700-000003000000}"/>
    <hyperlink ref="E1" location="'E-Barbero'!A1" display="Ir al event storming del objeto de dominio &gt;&gt;" xr:uid="{00000000-0004-0000-1700-000004000000}"/>
  </hyperlink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5"/>
  <sheetViews>
    <sheetView showGridLines="0" zoomScaleNormal="100" workbookViewId="0">
      <selection activeCell="J16" sqref="J16"/>
    </sheetView>
  </sheetViews>
  <sheetFormatPr baseColWidth="10" defaultColWidth="8.6640625" defaultRowHeight="14.4" x14ac:dyDescent="0.3"/>
  <cols>
    <col min="1" max="1" width="22.44140625"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34" t="s">
        <v>98</v>
      </c>
      <c r="B2" s="254" t="str">
        <f>'Objetos de Dominio'!A8</f>
        <v>Barbero</v>
      </c>
      <c r="C2" s="254"/>
      <c r="D2" s="254"/>
      <c r="E2" s="254"/>
      <c r="F2" s="254"/>
      <c r="G2" s="254"/>
      <c r="H2" s="254"/>
      <c r="I2" s="254"/>
      <c r="J2" s="254"/>
      <c r="K2" s="254"/>
    </row>
    <row r="3" spans="1:11" ht="30" customHeight="1" x14ac:dyDescent="0.3">
      <c r="A3" s="35" t="s">
        <v>99</v>
      </c>
      <c r="B3" s="259" t="str">
        <f>'Objetos de Dominio'!B8</f>
        <v>Representa a un trabajador de la barbería que atiende clientes según los servicios que sabe realizar, organiza su propio horario y tiene su agenda personal para atender todas las citas que valla teniendo.</v>
      </c>
      <c r="C3" s="259"/>
      <c r="D3" s="259"/>
      <c r="E3" s="259"/>
      <c r="F3" s="259"/>
      <c r="G3" s="259"/>
      <c r="H3" s="259"/>
      <c r="I3" s="259"/>
      <c r="J3" s="259"/>
      <c r="K3" s="259"/>
    </row>
    <row r="4" spans="1:11" ht="34.5" customHeight="1" x14ac:dyDescent="0.3">
      <c r="A4" s="41" t="s">
        <v>105</v>
      </c>
      <c r="B4" s="256" t="s">
        <v>106</v>
      </c>
      <c r="C4" s="256"/>
      <c r="D4" s="42" t="s">
        <v>107</v>
      </c>
      <c r="E4" s="258" t="s">
        <v>108</v>
      </c>
      <c r="F4" s="258"/>
      <c r="G4" s="260" t="s">
        <v>109</v>
      </c>
      <c r="H4" s="260"/>
      <c r="I4" s="44" t="s">
        <v>110</v>
      </c>
      <c r="J4" s="45" t="s">
        <v>111</v>
      </c>
      <c r="K4" s="46" t="s">
        <v>112</v>
      </c>
    </row>
    <row r="5" spans="1:11" ht="15" customHeight="1" x14ac:dyDescent="0.3">
      <c r="A5" s="255" t="s">
        <v>105</v>
      </c>
      <c r="B5" s="256" t="s">
        <v>113</v>
      </c>
      <c r="C5" s="256" t="s">
        <v>76</v>
      </c>
      <c r="D5" s="257" t="s">
        <v>114</v>
      </c>
      <c r="E5" s="258" t="s">
        <v>115</v>
      </c>
      <c r="F5" s="258"/>
      <c r="G5" s="260" t="s">
        <v>116</v>
      </c>
      <c r="H5" s="260"/>
      <c r="I5" s="261" t="s">
        <v>117</v>
      </c>
      <c r="J5" s="262" t="s">
        <v>118</v>
      </c>
      <c r="K5" s="263" t="s">
        <v>119</v>
      </c>
    </row>
    <row r="6" spans="1:11" ht="15" customHeight="1" x14ac:dyDescent="0.3">
      <c r="A6" s="255"/>
      <c r="B6" s="255"/>
      <c r="C6" s="255"/>
      <c r="D6" s="255"/>
      <c r="E6" s="43" t="s">
        <v>120</v>
      </c>
      <c r="F6" s="43" t="s">
        <v>76</v>
      </c>
      <c r="G6" s="47" t="s">
        <v>121</v>
      </c>
      <c r="H6" s="47" t="s">
        <v>76</v>
      </c>
      <c r="I6" s="261"/>
      <c r="J6" s="261"/>
      <c r="K6" s="261"/>
    </row>
    <row r="7" spans="1:11" ht="30" customHeight="1" x14ac:dyDescent="0.3">
      <c r="A7" s="291" t="s">
        <v>23</v>
      </c>
      <c r="B7" s="290" t="s">
        <v>388</v>
      </c>
      <c r="C7" s="290" t="s">
        <v>334</v>
      </c>
      <c r="D7" s="291" t="str">
        <f>$B$2</f>
        <v>Barbero</v>
      </c>
      <c r="E7" s="290"/>
      <c r="F7" s="290"/>
      <c r="G7" s="105" t="str">
        <f>'P-Barbero'!A6</f>
        <v>P-BAR-0001</v>
      </c>
      <c r="H7" s="14" t="s">
        <v>235</v>
      </c>
      <c r="I7" s="291"/>
      <c r="J7" s="290" t="s">
        <v>389</v>
      </c>
      <c r="K7" s="290"/>
    </row>
    <row r="8" spans="1:11" ht="30" customHeight="1" x14ac:dyDescent="0.3">
      <c r="A8" s="291"/>
      <c r="B8" s="291"/>
      <c r="C8" s="291"/>
      <c r="D8" s="291"/>
      <c r="E8" s="291"/>
      <c r="F8" s="291"/>
      <c r="G8" s="105" t="str">
        <f>'P-Barbero'!A7</f>
        <v>P-BAR-0002</v>
      </c>
      <c r="H8" s="14" t="s">
        <v>235</v>
      </c>
      <c r="I8" s="291"/>
      <c r="J8" s="291"/>
      <c r="K8" s="291"/>
    </row>
    <row r="9" spans="1:11" ht="30" customHeight="1" x14ac:dyDescent="0.3">
      <c r="A9" s="48" t="s">
        <v>23</v>
      </c>
      <c r="B9" s="49" t="s">
        <v>390</v>
      </c>
      <c r="C9" s="49" t="s">
        <v>342</v>
      </c>
      <c r="D9" s="48" t="str">
        <f t="shared" ref="D9:D15" si="0">$B$2</f>
        <v>Barbero</v>
      </c>
      <c r="E9" s="49"/>
      <c r="F9" s="49"/>
      <c r="G9" s="131" t="str">
        <f>'P-Barbero'!A9</f>
        <v>P-BAR-0004</v>
      </c>
      <c r="H9" s="16" t="s">
        <v>235</v>
      </c>
      <c r="I9" s="48"/>
      <c r="J9" s="49" t="s">
        <v>391</v>
      </c>
      <c r="K9" s="49"/>
    </row>
    <row r="10" spans="1:11" ht="30" customHeight="1" x14ac:dyDescent="0.3">
      <c r="A10" s="48" t="s">
        <v>23</v>
      </c>
      <c r="B10" s="49" t="s">
        <v>392</v>
      </c>
      <c r="C10" s="49" t="s">
        <v>350</v>
      </c>
      <c r="D10" s="48" t="str">
        <f t="shared" si="0"/>
        <v>Barbero</v>
      </c>
      <c r="E10" s="49"/>
      <c r="F10" s="49"/>
      <c r="G10" s="131" t="str">
        <f>'P-Barbero'!A10</f>
        <v>P-BAR-0005</v>
      </c>
      <c r="H10" s="16" t="s">
        <v>235</v>
      </c>
      <c r="I10" s="48"/>
      <c r="J10" s="49" t="s">
        <v>393</v>
      </c>
      <c r="K10" s="49"/>
    </row>
    <row r="11" spans="1:11" ht="30" customHeight="1" x14ac:dyDescent="0.3">
      <c r="A11" s="48" t="s">
        <v>25</v>
      </c>
      <c r="B11" s="49" t="s">
        <v>394</v>
      </c>
      <c r="C11" s="49" t="s">
        <v>395</v>
      </c>
      <c r="D11" s="48" t="str">
        <f t="shared" si="0"/>
        <v>Barbero</v>
      </c>
      <c r="E11" s="49"/>
      <c r="F11" s="49"/>
      <c r="G11" s="48"/>
      <c r="H11" s="50"/>
      <c r="I11" s="48"/>
      <c r="J11" s="49" t="s">
        <v>396</v>
      </c>
      <c r="K11" s="49"/>
    </row>
    <row r="12" spans="1:11" ht="30" customHeight="1" x14ac:dyDescent="0.3">
      <c r="A12" s="48" t="s">
        <v>23</v>
      </c>
      <c r="B12" s="49" t="s">
        <v>394</v>
      </c>
      <c r="C12" s="49" t="s">
        <v>397</v>
      </c>
      <c r="D12" s="48" t="str">
        <f t="shared" si="0"/>
        <v>Barbero</v>
      </c>
      <c r="E12" s="49"/>
      <c r="F12" s="49"/>
      <c r="G12" s="48"/>
      <c r="H12" s="50"/>
      <c r="I12" s="48"/>
      <c r="J12" s="49" t="s">
        <v>396</v>
      </c>
      <c r="K12" s="49"/>
    </row>
    <row r="13" spans="1:11" ht="39.75" customHeight="1" x14ac:dyDescent="0.3">
      <c r="A13" s="48" t="s">
        <v>23</v>
      </c>
      <c r="B13" s="49" t="s">
        <v>398</v>
      </c>
      <c r="C13" s="49" t="s">
        <v>399</v>
      </c>
      <c r="D13" s="48" t="str">
        <f t="shared" si="0"/>
        <v>Barbero</v>
      </c>
      <c r="E13" s="49"/>
      <c r="F13" s="49"/>
      <c r="G13" s="105" t="str">
        <f>'P-Barbero'!A8</f>
        <v>P-BAR-0003</v>
      </c>
      <c r="H13" s="14" t="s">
        <v>235</v>
      </c>
      <c r="I13" s="48"/>
      <c r="J13" s="49" t="s">
        <v>400</v>
      </c>
      <c r="K13" s="49"/>
    </row>
    <row r="14" spans="1:11" ht="27.75" customHeight="1" x14ac:dyDescent="0.3">
      <c r="A14" s="48" t="s">
        <v>23</v>
      </c>
      <c r="B14" s="49" t="s">
        <v>401</v>
      </c>
      <c r="C14" s="49" t="s">
        <v>368</v>
      </c>
      <c r="D14" s="48" t="str">
        <f t="shared" si="0"/>
        <v>Barbero</v>
      </c>
      <c r="E14" s="49"/>
      <c r="F14" s="49"/>
      <c r="G14" s="105"/>
      <c r="H14" s="14"/>
      <c r="I14" s="48"/>
      <c r="J14" s="49" t="s">
        <v>402</v>
      </c>
      <c r="K14" s="49"/>
    </row>
    <row r="15" spans="1:11" ht="27" customHeight="1" x14ac:dyDescent="0.3">
      <c r="A15" s="48" t="s">
        <v>23</v>
      </c>
      <c r="B15" s="49" t="s">
        <v>403</v>
      </c>
      <c r="C15" s="49" t="s">
        <v>399</v>
      </c>
      <c r="D15" s="48" t="str">
        <f t="shared" si="0"/>
        <v>Barbero</v>
      </c>
      <c r="E15" s="49"/>
      <c r="F15" s="49"/>
      <c r="G15" s="105"/>
      <c r="H15" s="14"/>
      <c r="I15" s="48"/>
      <c r="J15" s="49" t="s">
        <v>404</v>
      </c>
      <c r="K15" s="49"/>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1800-000000000000}"/>
    <hyperlink ref="C1" location="'Objetos de Dominio'!A1" display="&lt;&lt; Ir al listado de objetos de dominio" xr:uid="{00000000-0004-0000-1800-000001000000}"/>
    <hyperlink ref="F1" location="'C-Barbero'!A1" display="&lt;&lt; Ir a la caracterización del objeto de dominio" xr:uid="{00000000-0004-0000-1800-000002000000}"/>
    <hyperlink ref="J1" location="'M-Barbero'!A1" display="Ir al muestreo de datos del objeto de dominio &gt;&gt;" xr:uid="{00000000-0004-0000-1800-000003000000}"/>
    <hyperlink ref="G7" location="'P-Barbero'!A6" display="#'P-Barbero'.A6" xr:uid="{00000000-0004-0000-1800-000004000000}"/>
    <hyperlink ref="H7" location="'P-Barbero'!B6" display="aquí" xr:uid="{00000000-0004-0000-1800-000005000000}"/>
    <hyperlink ref="G8" location="'P-Barbero'!A7" display="#'P-Barbero'.A7" xr:uid="{00000000-0004-0000-1800-000006000000}"/>
    <hyperlink ref="H8" location="'P-Barbero'!B7" display="aquí" xr:uid="{00000000-0004-0000-1800-000007000000}"/>
    <hyperlink ref="G9" location="'P-Barbero'!A9" display="#'P-Barbero'.A9" xr:uid="{00000000-0004-0000-1800-000008000000}"/>
    <hyperlink ref="H9" location="'P-Barbero'!B9" display="aquí" xr:uid="{00000000-0004-0000-1800-000009000000}"/>
    <hyperlink ref="G10" location="'P-Barbero'!A10" display="#'P-Barbero'.A10" xr:uid="{00000000-0004-0000-1800-00000A000000}"/>
    <hyperlink ref="H10" location="'P-Barbero'!B10" display="aquí" xr:uid="{00000000-0004-0000-1800-00000B000000}"/>
    <hyperlink ref="G13" location="'P-Barbero'!A8" display="#'P-Barbero'.A8" xr:uid="{00000000-0004-0000-1800-00000C000000}"/>
    <hyperlink ref="H13" location="'P-Barbero'!B8" display="aquí" xr:uid="{00000000-0004-0000-1800-00000D000000}"/>
  </hyperlink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0"/>
  <sheetViews>
    <sheetView zoomScaleNormal="100" workbookViewId="0">
      <selection activeCell="B1" sqref="B1"/>
    </sheetView>
  </sheetViews>
  <sheetFormatPr baseColWidth="10" defaultColWidth="8.6640625" defaultRowHeight="14.4" x14ac:dyDescent="0.3"/>
  <cols>
    <col min="1" max="1" width="27" customWidth="1"/>
    <col min="2" max="2" width="26.109375" customWidth="1"/>
    <col min="3" max="3" width="21.44140625" customWidth="1"/>
    <col min="4" max="4" width="19.44140625" customWidth="1"/>
    <col min="5" max="5" width="20.44140625" customWidth="1"/>
    <col min="6" max="6" width="20.5546875" customWidth="1"/>
    <col min="7" max="7" width="21" customWidth="1"/>
    <col min="8" max="8" width="27.6640625" customWidth="1"/>
    <col min="9" max="9" width="33" customWidth="1"/>
    <col min="10" max="10" width="37.5546875" customWidth="1"/>
    <col min="11" max="11" width="36.6640625" customWidth="1"/>
    <col min="12" max="12" width="42" customWidth="1"/>
  </cols>
  <sheetData>
    <row r="1" spans="1:12" ht="14.25" customHeight="1" x14ac:dyDescent="0.3">
      <c r="A1" s="8" t="s">
        <v>1</v>
      </c>
      <c r="B1" s="8" t="s">
        <v>43</v>
      </c>
      <c r="C1" s="84"/>
      <c r="D1" s="84"/>
      <c r="E1" s="84"/>
      <c r="F1" s="84"/>
      <c r="H1" s="56"/>
    </row>
    <row r="2" spans="1:12" ht="39" customHeight="1" x14ac:dyDescent="0.3">
      <c r="A2" s="51" t="s">
        <v>126</v>
      </c>
      <c r="B2" s="51" t="s">
        <v>405</v>
      </c>
      <c r="C2" s="51" t="s">
        <v>406</v>
      </c>
      <c r="D2" s="51" t="s">
        <v>407</v>
      </c>
      <c r="E2" s="51" t="s">
        <v>408</v>
      </c>
      <c r="F2" s="51" t="s">
        <v>409</v>
      </c>
      <c r="G2" s="51" t="s">
        <v>410</v>
      </c>
      <c r="H2" s="52" t="s">
        <v>411</v>
      </c>
      <c r="I2" s="51" t="s">
        <v>412</v>
      </c>
      <c r="J2" s="51" t="s">
        <v>413</v>
      </c>
      <c r="K2" s="51" t="s">
        <v>414</v>
      </c>
      <c r="L2" s="52" t="s">
        <v>415</v>
      </c>
    </row>
    <row r="3" spans="1:12" ht="14.25" customHeight="1" x14ac:dyDescent="0.3">
      <c r="A3" s="53" t="s">
        <v>129</v>
      </c>
      <c r="B3" s="54" t="s">
        <v>416</v>
      </c>
      <c r="C3" s="54" t="s">
        <v>417</v>
      </c>
      <c r="D3" s="54" t="s">
        <v>418</v>
      </c>
      <c r="E3" s="54" t="s">
        <v>419</v>
      </c>
      <c r="F3" s="132" t="s">
        <v>263</v>
      </c>
      <c r="G3" s="54" t="s">
        <v>420</v>
      </c>
      <c r="H3" s="54" t="s">
        <v>421</v>
      </c>
      <c r="I3" s="133" t="s">
        <v>422</v>
      </c>
      <c r="J3" s="54" t="s">
        <v>423</v>
      </c>
      <c r="K3" s="54" t="s">
        <v>424</v>
      </c>
      <c r="L3" s="55" t="s">
        <v>425</v>
      </c>
    </row>
    <row r="4" spans="1:12" ht="14.25" customHeight="1" x14ac:dyDescent="0.3">
      <c r="A4" s="56">
        <v>1</v>
      </c>
      <c r="B4" s="56" t="s">
        <v>426</v>
      </c>
      <c r="C4" s="56" t="s">
        <v>427</v>
      </c>
      <c r="D4" s="56" t="s">
        <v>428</v>
      </c>
      <c r="E4" s="56" t="s">
        <v>429</v>
      </c>
      <c r="F4" s="134" t="str">
        <f>'M-PrefijoCelular'!C4</f>
        <v>+57</v>
      </c>
      <c r="G4" s="56">
        <v>3245627890</v>
      </c>
      <c r="H4" s="56" t="s">
        <v>65</v>
      </c>
      <c r="I4" s="56" t="s">
        <v>253</v>
      </c>
      <c r="J4" s="56">
        <v>24</v>
      </c>
      <c r="K4" s="56">
        <v>0</v>
      </c>
      <c r="L4" s="56" t="str">
        <f>_xlfn.CONCAT(F4,"-",G4)</f>
        <v>+57-3245627890</v>
      </c>
    </row>
    <row r="5" spans="1:12" ht="14.25" customHeight="1" x14ac:dyDescent="0.3">
      <c r="A5" s="56">
        <v>2</v>
      </c>
      <c r="B5" s="56" t="s">
        <v>426</v>
      </c>
      <c r="C5" s="56" t="s">
        <v>430</v>
      </c>
      <c r="D5" s="56" t="s">
        <v>431</v>
      </c>
      <c r="E5" s="56" t="s">
        <v>432</v>
      </c>
      <c r="F5" s="134" t="str">
        <f>'M-PrefijoCelular'!C4</f>
        <v>+57</v>
      </c>
      <c r="G5" s="56">
        <v>3124518923</v>
      </c>
      <c r="H5" s="56" t="s">
        <v>65</v>
      </c>
      <c r="I5" s="56" t="s">
        <v>253</v>
      </c>
      <c r="J5" s="56">
        <v>0</v>
      </c>
      <c r="K5" s="56">
        <v>30</v>
      </c>
      <c r="L5" s="56" t="str">
        <f>_xlfn.CONCAT(F5,"-",G5)</f>
        <v>+57-3124518923</v>
      </c>
    </row>
    <row r="6" spans="1:12" ht="14.25" customHeight="1" x14ac:dyDescent="0.3">
      <c r="A6" s="56">
        <v>3</v>
      </c>
      <c r="B6" s="56" t="s">
        <v>433</v>
      </c>
      <c r="C6" s="56"/>
      <c r="D6" s="56" t="s">
        <v>434</v>
      </c>
      <c r="E6" s="56"/>
      <c r="F6" s="134" t="str">
        <f>'M-PrefijoCelular'!C4</f>
        <v>+57</v>
      </c>
      <c r="G6" s="56">
        <v>3214533321</v>
      </c>
      <c r="H6" s="56" t="s">
        <v>65</v>
      </c>
      <c r="I6" s="56" t="s">
        <v>253</v>
      </c>
      <c r="J6" s="56">
        <v>1</v>
      </c>
      <c r="K6" s="56">
        <v>0</v>
      </c>
      <c r="L6" s="56" t="str">
        <f>_xlfn.CONCAT(F6,"-",G6)</f>
        <v>+57-3214533321</v>
      </c>
    </row>
    <row r="7" spans="1:12" ht="14.25" customHeight="1" x14ac:dyDescent="0.3">
      <c r="A7" s="56">
        <v>4</v>
      </c>
      <c r="B7" s="56" t="s">
        <v>435</v>
      </c>
      <c r="C7" s="56"/>
      <c r="D7" s="56" t="s">
        <v>436</v>
      </c>
      <c r="E7" s="56" t="s">
        <v>437</v>
      </c>
      <c r="F7" s="134" t="str">
        <f>'M-PrefijoCelular'!C5</f>
        <v>+91</v>
      </c>
      <c r="G7" s="56">
        <v>9876543210</v>
      </c>
      <c r="H7" s="56" t="s">
        <v>65</v>
      </c>
      <c r="I7" s="56" t="s">
        <v>438</v>
      </c>
      <c r="J7" s="56">
        <v>0</v>
      </c>
      <c r="K7" s="56">
        <v>0</v>
      </c>
      <c r="L7" s="56" t="str">
        <f>_xlfn.CONCAT(F7,"-",G7)</f>
        <v>+91-9876543210</v>
      </c>
    </row>
    <row r="8" spans="1:12" ht="14.25" customHeight="1" x14ac:dyDescent="0.3">
      <c r="A8" s="56">
        <v>5</v>
      </c>
      <c r="B8" s="56" t="s">
        <v>426</v>
      </c>
      <c r="C8" s="56" t="s">
        <v>433</v>
      </c>
      <c r="D8" s="56" t="s">
        <v>439</v>
      </c>
      <c r="E8" s="56" t="s">
        <v>440</v>
      </c>
      <c r="F8" s="134" t="str">
        <f>'M-PrefijoCelular'!C6</f>
        <v>+593</v>
      </c>
      <c r="G8" s="56">
        <v>998765432</v>
      </c>
      <c r="H8" s="56" t="s">
        <v>65</v>
      </c>
      <c r="I8" s="56" t="s">
        <v>438</v>
      </c>
      <c r="J8" s="56">
        <v>2</v>
      </c>
      <c r="K8" s="56">
        <v>0</v>
      </c>
      <c r="L8" s="56" t="str">
        <f>_xlfn.CONCAT(F8,"-",G8)</f>
        <v>+593-998765432</v>
      </c>
    </row>
    <row r="14" spans="1:12" ht="28.5" customHeight="1" x14ac:dyDescent="0.3">
      <c r="A14" s="59"/>
      <c r="B14" s="60" t="s">
        <v>139</v>
      </c>
    </row>
    <row r="15" spans="1:12" ht="28.5" customHeight="1" x14ac:dyDescent="0.3">
      <c r="A15" s="61"/>
      <c r="B15" s="60" t="s">
        <v>140</v>
      </c>
    </row>
    <row r="16" spans="1:12" ht="28.5" customHeight="1" x14ac:dyDescent="0.3">
      <c r="A16" s="135"/>
      <c r="B16" s="60" t="s">
        <v>441</v>
      </c>
    </row>
    <row r="17" spans="1:2" ht="28.8" x14ac:dyDescent="0.3">
      <c r="A17" s="136"/>
      <c r="B17" s="60" t="s">
        <v>442</v>
      </c>
    </row>
    <row r="18" spans="1:2" ht="28.5" customHeight="1" x14ac:dyDescent="0.3">
      <c r="A18" s="62"/>
      <c r="B18" s="60" t="s">
        <v>141</v>
      </c>
    </row>
    <row r="19" spans="1:2" ht="28.5" customHeight="1" x14ac:dyDescent="0.3">
      <c r="A19" s="63"/>
      <c r="B19" s="60" t="s">
        <v>142</v>
      </c>
    </row>
    <row r="20" spans="1:2" x14ac:dyDescent="0.3">
      <c r="B20" s="60"/>
    </row>
  </sheetData>
  <hyperlinks>
    <hyperlink ref="A1" location="'Modelo de Dominio'!A1" display="&lt;&lt;&lt;&lt; Ir al modulo de dominio" xr:uid="{00000000-0004-0000-1900-000000000000}"/>
    <hyperlink ref="B1" location="'Objetos de Dominio'!A1" display="&lt;&lt;&lt;&lt; Ir a objetos de dominio" xr:uid="{00000000-0004-0000-1900-000001000000}"/>
    <hyperlink ref="F4" location="'M-PrefijoCelular'!A4" display="#'M-PrefijoCelular'.A4" xr:uid="{00000000-0004-0000-1900-000002000000}"/>
    <hyperlink ref="F5" location="'M-PrefijoCelular'!A4" display="#'M-PrefijoCelular'.A4" xr:uid="{00000000-0004-0000-1900-000003000000}"/>
    <hyperlink ref="F6" location="'M-PrefijoCelular'!A4" display="#'M-PrefijoCelular'.A4" xr:uid="{00000000-0004-0000-1900-000004000000}"/>
    <hyperlink ref="F7" location="'M-PrefijoCelular'!A5" display="#'M-PrefijoCelular'.A5" xr:uid="{00000000-0004-0000-1900-000005000000}"/>
    <hyperlink ref="F8" location="'M-PrefijoCelular'!A6" display="#'M-PrefijoCelular'.A6" xr:uid="{00000000-0004-0000-1900-000006000000}"/>
  </hyperlink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42"/>
  <sheetViews>
    <sheetView topLeftCell="A23" zoomScaleNormal="100" workbookViewId="0">
      <selection activeCell="P24" sqref="P24:P25"/>
    </sheetView>
  </sheetViews>
  <sheetFormatPr baseColWidth="10" defaultColWidth="8.6640625" defaultRowHeight="14.4" x14ac:dyDescent="0.3"/>
  <cols>
    <col min="1" max="1" width="27" customWidth="1"/>
    <col min="2" max="2" width="45" customWidth="1"/>
    <col min="3" max="3" width="33.33203125" customWidth="1"/>
    <col min="4" max="4" width="24.332031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5" customWidth="1"/>
    <col min="17" max="17" width="38.44140625" customWidth="1"/>
    <col min="18" max="18" width="38.88671875" customWidth="1"/>
    <col min="19" max="19" width="22.88671875" customWidth="1"/>
    <col min="20" max="20" width="25.88671875" customWidth="1"/>
    <col min="21" max="21" width="18" customWidth="1"/>
    <col min="22" max="22" width="22" customWidth="1"/>
    <col min="23" max="23" width="13" customWidth="1"/>
    <col min="24" max="24" width="15.44140625" customWidth="1"/>
    <col min="25" max="25" width="22" customWidth="1"/>
    <col min="26" max="26" width="26" customWidth="1"/>
    <col min="27" max="27" width="22" customWidth="1"/>
  </cols>
  <sheetData>
    <row r="1" spans="1:27" ht="15" customHeight="1" x14ac:dyDescent="0.3">
      <c r="A1" s="8" t="s">
        <v>1</v>
      </c>
      <c r="B1" s="8" t="s">
        <v>43</v>
      </c>
    </row>
    <row r="2" spans="1:27" ht="15" customHeight="1" x14ac:dyDescent="0.3">
      <c r="A2" s="88" t="s">
        <v>44</v>
      </c>
      <c r="B2" s="88" t="s">
        <v>45</v>
      </c>
      <c r="C2" s="88" t="s">
        <v>46</v>
      </c>
      <c r="D2" s="88" t="s">
        <v>47</v>
      </c>
      <c r="E2" s="88" t="s">
        <v>48</v>
      </c>
      <c r="F2" s="88" t="s">
        <v>49</v>
      </c>
      <c r="G2" s="88" t="s">
        <v>50</v>
      </c>
      <c r="H2" s="88" t="s">
        <v>51</v>
      </c>
      <c r="I2" s="88" t="s">
        <v>52</v>
      </c>
      <c r="J2" s="88" t="s">
        <v>53</v>
      </c>
      <c r="K2" s="88" t="s">
        <v>54</v>
      </c>
      <c r="L2" s="88" t="s">
        <v>55</v>
      </c>
      <c r="M2" s="88" t="s">
        <v>56</v>
      </c>
      <c r="N2" s="88" t="s">
        <v>57</v>
      </c>
      <c r="O2" s="88" t="s">
        <v>58</v>
      </c>
      <c r="P2" s="88" t="s">
        <v>59</v>
      </c>
      <c r="Q2" s="88" t="s">
        <v>60</v>
      </c>
      <c r="R2" s="88" t="s">
        <v>61</v>
      </c>
      <c r="S2" s="88" t="s">
        <v>62</v>
      </c>
      <c r="T2" s="88" t="s">
        <v>63</v>
      </c>
      <c r="U2" s="88" t="s">
        <v>64</v>
      </c>
      <c r="V2" s="89" t="str">
        <f>A21</f>
        <v>registrarCliente</v>
      </c>
      <c r="W2" s="275" t="str">
        <f>A23</f>
        <v>editarContactoCliente</v>
      </c>
      <c r="X2" s="275"/>
      <c r="Y2" s="91" t="str">
        <f>A26</f>
        <v>consultarDatosCliente</v>
      </c>
      <c r="Z2" s="89" t="str">
        <f>A27</f>
        <v>consultarEstadoVetoCliente</v>
      </c>
      <c r="AA2" s="90" t="str">
        <f>A28</f>
        <v>consultarCantidadMultasSinPagar</v>
      </c>
    </row>
    <row r="3" spans="1:27" ht="45" customHeight="1" x14ac:dyDescent="0.3">
      <c r="A3" s="20" t="str">
        <f>'M-Cliente'!A3</f>
        <v>id</v>
      </c>
      <c r="B3" s="21" t="str">
        <f>'M-Cliente'!A2</f>
        <v>Representa un identificador que hará unico cada objeto de dominio de este tipo, no se puede repetir</v>
      </c>
      <c r="C3" s="20" t="s">
        <v>65</v>
      </c>
      <c r="D3" s="20" t="s">
        <v>66</v>
      </c>
      <c r="E3" s="20" t="s">
        <v>65</v>
      </c>
      <c r="F3" s="20" t="s">
        <v>67</v>
      </c>
      <c r="G3" s="20" t="s">
        <v>67</v>
      </c>
      <c r="H3" s="20" t="s">
        <v>67</v>
      </c>
      <c r="I3" s="20" t="s">
        <v>67</v>
      </c>
      <c r="J3" s="20" t="s">
        <v>67</v>
      </c>
      <c r="K3" s="20" t="s">
        <v>67</v>
      </c>
      <c r="L3" s="20" t="s">
        <v>67</v>
      </c>
      <c r="M3" s="21" t="s">
        <v>67</v>
      </c>
      <c r="N3" s="20" t="s">
        <v>65</v>
      </c>
      <c r="O3" s="20" t="s">
        <v>68</v>
      </c>
      <c r="P3" s="20" t="s">
        <v>67</v>
      </c>
      <c r="Q3" s="20" t="s">
        <v>67</v>
      </c>
      <c r="R3" s="20" t="s">
        <v>67</v>
      </c>
      <c r="S3" s="20" t="s">
        <v>68</v>
      </c>
      <c r="T3" s="20" t="s">
        <v>69</v>
      </c>
      <c r="U3" s="20" t="s">
        <v>65</v>
      </c>
      <c r="V3" s="92" t="s">
        <v>147</v>
      </c>
      <c r="W3" s="93" t="s">
        <v>144</v>
      </c>
      <c r="X3" s="93" t="s">
        <v>145</v>
      </c>
      <c r="Y3" s="94" t="s">
        <v>70</v>
      </c>
      <c r="Z3" s="92" t="s">
        <v>70</v>
      </c>
      <c r="AA3" s="93" t="s">
        <v>70</v>
      </c>
    </row>
    <row r="4" spans="1:27" ht="45" customHeight="1" x14ac:dyDescent="0.3">
      <c r="A4" s="20" t="str">
        <f>'M-Cliente'!B3</f>
        <v>primerNombre</v>
      </c>
      <c r="B4" s="21" t="str">
        <f>'M-Cliente'!B2</f>
        <v>Representa el primer nombre de la persona, que va a estar llendo a la barberia para las citas</v>
      </c>
      <c r="C4" s="20" t="s">
        <v>68</v>
      </c>
      <c r="D4" s="20" t="s">
        <v>71</v>
      </c>
      <c r="E4" s="20" t="s">
        <v>65</v>
      </c>
      <c r="F4" s="20">
        <v>2</v>
      </c>
      <c r="G4" s="20">
        <v>50</v>
      </c>
      <c r="H4" s="20" t="s">
        <v>67</v>
      </c>
      <c r="I4" s="20" t="s">
        <v>67</v>
      </c>
      <c r="J4" s="20" t="s">
        <v>67</v>
      </c>
      <c r="K4" s="20" t="s">
        <v>67</v>
      </c>
      <c r="L4" s="20" t="s">
        <v>67</v>
      </c>
      <c r="M4" s="21" t="s">
        <v>324</v>
      </c>
      <c r="N4" s="20" t="s">
        <v>68</v>
      </c>
      <c r="O4" s="20" t="s">
        <v>68</v>
      </c>
      <c r="P4" s="20" t="s">
        <v>68</v>
      </c>
      <c r="Q4" s="20" t="s">
        <v>65</v>
      </c>
      <c r="R4" s="20" t="s">
        <v>65</v>
      </c>
      <c r="S4" s="20" t="s">
        <v>68</v>
      </c>
      <c r="T4" s="20" t="s">
        <v>73</v>
      </c>
      <c r="U4" s="20" t="s">
        <v>68</v>
      </c>
      <c r="V4" s="92" t="s">
        <v>144</v>
      </c>
      <c r="W4" s="93" t="s">
        <v>147</v>
      </c>
      <c r="X4" s="93" t="s">
        <v>145</v>
      </c>
      <c r="Y4" s="94" t="s">
        <v>74</v>
      </c>
      <c r="Z4" s="92" t="s">
        <v>70</v>
      </c>
      <c r="AA4" s="93" t="s">
        <v>70</v>
      </c>
    </row>
    <row r="5" spans="1:27" ht="45" customHeight="1" x14ac:dyDescent="0.3">
      <c r="A5" s="20" t="str">
        <f>'M-Cliente'!C3</f>
        <v>segundoNombre</v>
      </c>
      <c r="B5" s="21" t="str">
        <f>'M-Cliente'!C2</f>
        <v>Representa el segundo nombre de la persona, que va a estar llendo a la barberia para las citas</v>
      </c>
      <c r="C5" s="20" t="s">
        <v>68</v>
      </c>
      <c r="D5" s="20" t="s">
        <v>71</v>
      </c>
      <c r="E5" s="20" t="s">
        <v>68</v>
      </c>
      <c r="F5" s="20">
        <v>2</v>
      </c>
      <c r="G5" s="20">
        <v>50</v>
      </c>
      <c r="H5" s="20" t="s">
        <v>67</v>
      </c>
      <c r="I5" s="20" t="s">
        <v>67</v>
      </c>
      <c r="J5" s="20" t="s">
        <v>67</v>
      </c>
      <c r="K5" s="20" t="s">
        <v>67</v>
      </c>
      <c r="L5" s="20" t="s">
        <v>67</v>
      </c>
      <c r="M5" s="21" t="s">
        <v>324</v>
      </c>
      <c r="N5" s="20" t="s">
        <v>68</v>
      </c>
      <c r="O5" s="20" t="s">
        <v>68</v>
      </c>
      <c r="P5" s="20" t="s">
        <v>68</v>
      </c>
      <c r="Q5" s="20" t="s">
        <v>65</v>
      </c>
      <c r="R5" s="20" t="s">
        <v>65</v>
      </c>
      <c r="S5" s="20" t="s">
        <v>68</v>
      </c>
      <c r="T5" s="20" t="s">
        <v>73</v>
      </c>
      <c r="U5" s="20" t="s">
        <v>68</v>
      </c>
      <c r="V5" s="92" t="s">
        <v>147</v>
      </c>
      <c r="W5" s="93" t="s">
        <v>147</v>
      </c>
      <c r="X5" s="93" t="s">
        <v>145</v>
      </c>
      <c r="Y5" s="94" t="s">
        <v>74</v>
      </c>
      <c r="Z5" s="92" t="s">
        <v>70</v>
      </c>
      <c r="AA5" s="93" t="s">
        <v>70</v>
      </c>
    </row>
    <row r="6" spans="1:27" ht="45" customHeight="1" x14ac:dyDescent="0.3">
      <c r="A6" s="20" t="str">
        <f>'M-Cliente'!D3</f>
        <v>primerApellido</v>
      </c>
      <c r="B6" s="21" t="str">
        <f>'M-Cliente'!D2</f>
        <v>Representa el primer apellido de la persona, que va a estar llendo a la barberia para las citas</v>
      </c>
      <c r="C6" s="20" t="s">
        <v>68</v>
      </c>
      <c r="D6" s="20" t="s">
        <v>71</v>
      </c>
      <c r="E6" s="20" t="s">
        <v>65</v>
      </c>
      <c r="F6" s="20">
        <v>2</v>
      </c>
      <c r="G6" s="20">
        <v>50</v>
      </c>
      <c r="H6" s="20" t="s">
        <v>67</v>
      </c>
      <c r="I6" s="20" t="s">
        <v>67</v>
      </c>
      <c r="J6" s="20" t="s">
        <v>67</v>
      </c>
      <c r="K6" s="20" t="s">
        <v>67</v>
      </c>
      <c r="L6" s="20" t="s">
        <v>67</v>
      </c>
      <c r="M6" s="21" t="s">
        <v>324</v>
      </c>
      <c r="N6" s="20" t="s">
        <v>68</v>
      </c>
      <c r="O6" s="20" t="s">
        <v>68</v>
      </c>
      <c r="P6" s="20" t="s">
        <v>68</v>
      </c>
      <c r="Q6" s="20" t="s">
        <v>65</v>
      </c>
      <c r="R6" s="20" t="s">
        <v>65</v>
      </c>
      <c r="S6" s="20" t="s">
        <v>68</v>
      </c>
      <c r="T6" s="20" t="s">
        <v>73</v>
      </c>
      <c r="U6" s="20" t="s">
        <v>68</v>
      </c>
      <c r="V6" s="92" t="s">
        <v>144</v>
      </c>
      <c r="W6" s="93" t="s">
        <v>147</v>
      </c>
      <c r="X6" s="93" t="s">
        <v>145</v>
      </c>
      <c r="Y6" s="94" t="s">
        <v>74</v>
      </c>
      <c r="Z6" s="92" t="s">
        <v>70</v>
      </c>
      <c r="AA6" s="93" t="s">
        <v>70</v>
      </c>
    </row>
    <row r="7" spans="1:27" ht="45" customHeight="1" x14ac:dyDescent="0.3">
      <c r="A7" s="20" t="str">
        <f>'M-Cliente'!E3</f>
        <v>segundoApellido</v>
      </c>
      <c r="B7" s="21" t="str">
        <f>'M-Cliente'!E2</f>
        <v>Representa el segundo apellido de la persona, que va a estar llendo a la barberia para las citas</v>
      </c>
      <c r="C7" s="20" t="s">
        <v>68</v>
      </c>
      <c r="D7" s="20" t="s">
        <v>71</v>
      </c>
      <c r="E7" s="20" t="s">
        <v>68</v>
      </c>
      <c r="F7" s="20">
        <v>2</v>
      </c>
      <c r="G7" s="20">
        <v>50</v>
      </c>
      <c r="H7" s="20" t="s">
        <v>67</v>
      </c>
      <c r="I7" s="20" t="s">
        <v>67</v>
      </c>
      <c r="J7" s="20" t="s">
        <v>67</v>
      </c>
      <c r="K7" s="20" t="s">
        <v>67</v>
      </c>
      <c r="L7" s="20" t="s">
        <v>67</v>
      </c>
      <c r="M7" s="21" t="s">
        <v>324</v>
      </c>
      <c r="N7" s="20" t="s">
        <v>68</v>
      </c>
      <c r="O7" s="20" t="s">
        <v>68</v>
      </c>
      <c r="P7" s="20" t="s">
        <v>68</v>
      </c>
      <c r="Q7" s="20" t="s">
        <v>65</v>
      </c>
      <c r="R7" s="20" t="s">
        <v>65</v>
      </c>
      <c r="S7" s="20" t="s">
        <v>68</v>
      </c>
      <c r="T7" s="20" t="s">
        <v>73</v>
      </c>
      <c r="U7" s="20" t="s">
        <v>68</v>
      </c>
      <c r="V7" s="92" t="s">
        <v>147</v>
      </c>
      <c r="W7" s="93" t="s">
        <v>147</v>
      </c>
      <c r="X7" s="93" t="s">
        <v>145</v>
      </c>
      <c r="Y7" s="94" t="s">
        <v>74</v>
      </c>
      <c r="Z7" s="92" t="s">
        <v>70</v>
      </c>
      <c r="AA7" s="93" t="s">
        <v>70</v>
      </c>
    </row>
    <row r="8" spans="1:27" ht="45" customHeight="1" x14ac:dyDescent="0.3">
      <c r="A8" s="20" t="str">
        <f>'M-Cliente'!F3</f>
        <v>prefijoCelular</v>
      </c>
      <c r="B8" s="21" t="str">
        <f>'M-Cliente'!F2</f>
        <v>Representa cual es el prefijo del numero de celular del cliente</v>
      </c>
      <c r="C8" s="20" t="s">
        <v>68</v>
      </c>
      <c r="D8" s="117" t="s">
        <v>19</v>
      </c>
      <c r="E8" s="20" t="s">
        <v>65</v>
      </c>
      <c r="F8" s="20" t="s">
        <v>67</v>
      </c>
      <c r="G8" s="20" t="s">
        <v>67</v>
      </c>
      <c r="H8" s="20" t="s">
        <v>67</v>
      </c>
      <c r="I8" s="20" t="s">
        <v>67</v>
      </c>
      <c r="J8" s="20" t="s">
        <v>67</v>
      </c>
      <c r="K8" s="20" t="s">
        <v>67</v>
      </c>
      <c r="L8" s="20" t="s">
        <v>67</v>
      </c>
      <c r="M8" s="118" t="s">
        <v>327</v>
      </c>
      <c r="N8" s="20" t="s">
        <v>68</v>
      </c>
      <c r="O8" s="20" t="s">
        <v>67</v>
      </c>
      <c r="P8" s="20" t="s">
        <v>67</v>
      </c>
      <c r="Q8" s="20" t="s">
        <v>67</v>
      </c>
      <c r="R8" s="20" t="s">
        <v>67</v>
      </c>
      <c r="S8" s="20" t="s">
        <v>68</v>
      </c>
      <c r="T8" s="20" t="s">
        <v>69</v>
      </c>
      <c r="U8" s="20" t="s">
        <v>68</v>
      </c>
      <c r="V8" s="92" t="s">
        <v>144</v>
      </c>
      <c r="W8" s="93" t="s">
        <v>144</v>
      </c>
      <c r="X8" s="93" t="s">
        <v>149</v>
      </c>
      <c r="Y8" s="94" t="s">
        <v>74</v>
      </c>
      <c r="Z8" s="92" t="s">
        <v>70</v>
      </c>
      <c r="AA8" s="93" t="s">
        <v>70</v>
      </c>
    </row>
    <row r="9" spans="1:27" ht="57" customHeight="1" x14ac:dyDescent="0.3">
      <c r="A9" s="20" t="str">
        <f>'M-Cliente'!G3</f>
        <v>celular</v>
      </c>
      <c r="B9" s="21" t="str">
        <f>'M-Cliente'!G2</f>
        <v>Representa el numero de celular del cliente, es el dato que el barbero necesita en caso de que tenga que contactarse con el</v>
      </c>
      <c r="C9" s="20" t="s">
        <v>68</v>
      </c>
      <c r="D9" s="20" t="s">
        <v>71</v>
      </c>
      <c r="E9" s="20" t="s">
        <v>65</v>
      </c>
      <c r="F9" s="20">
        <v>6</v>
      </c>
      <c r="G9" s="20">
        <v>15</v>
      </c>
      <c r="H9" s="20" t="s">
        <v>67</v>
      </c>
      <c r="I9" s="20" t="s">
        <v>67</v>
      </c>
      <c r="J9" s="20" t="s">
        <v>67</v>
      </c>
      <c r="K9" s="20" t="s">
        <v>67</v>
      </c>
      <c r="L9" s="21" t="s">
        <v>67</v>
      </c>
      <c r="M9" s="21" t="s">
        <v>328</v>
      </c>
      <c r="N9" s="20" t="s">
        <v>68</v>
      </c>
      <c r="O9" s="20" t="s">
        <v>67</v>
      </c>
      <c r="P9" s="20" t="s">
        <v>67</v>
      </c>
      <c r="Q9" s="20" t="s">
        <v>65</v>
      </c>
      <c r="R9" s="20" t="s">
        <v>65</v>
      </c>
      <c r="S9" s="20" t="s">
        <v>65</v>
      </c>
      <c r="T9" s="20" t="s">
        <v>329</v>
      </c>
      <c r="U9" s="20" t="s">
        <v>68</v>
      </c>
      <c r="V9" s="92" t="s">
        <v>144</v>
      </c>
      <c r="W9" s="93" t="s">
        <v>144</v>
      </c>
      <c r="X9" s="93" t="s">
        <v>149</v>
      </c>
      <c r="Y9" s="94" t="s">
        <v>74</v>
      </c>
      <c r="Z9" s="92" t="s">
        <v>70</v>
      </c>
      <c r="AA9" s="93" t="s">
        <v>70</v>
      </c>
    </row>
    <row r="10" spans="1:27" ht="57" customHeight="1" x14ac:dyDescent="0.3">
      <c r="A10" s="20" t="str">
        <f>'M-Cliente'!H3</f>
        <v>elNumeroCelularEsCorrecto</v>
      </c>
      <c r="B10" s="21" t="str">
        <f>'M-Cliente'!H2</f>
        <v>Representa si el numero que ingreso el cliente es correcto o no</v>
      </c>
      <c r="C10" s="20" t="s">
        <v>68</v>
      </c>
      <c r="D10" s="20" t="s">
        <v>202</v>
      </c>
      <c r="E10" s="20" t="s">
        <v>65</v>
      </c>
      <c r="F10" s="20" t="s">
        <v>67</v>
      </c>
      <c r="G10" s="20" t="s">
        <v>67</v>
      </c>
      <c r="H10" s="20" t="s">
        <v>67</v>
      </c>
      <c r="I10" s="20" t="s">
        <v>67</v>
      </c>
      <c r="J10" s="20" t="s">
        <v>67</v>
      </c>
      <c r="K10" s="20" t="s">
        <v>67</v>
      </c>
      <c r="L10" s="21" t="s">
        <v>67</v>
      </c>
      <c r="M10" s="21" t="s">
        <v>67</v>
      </c>
      <c r="N10" s="20" t="s">
        <v>68</v>
      </c>
      <c r="O10" s="20" t="s">
        <v>67</v>
      </c>
      <c r="P10" s="20" t="s">
        <v>67</v>
      </c>
      <c r="Q10" s="20" t="s">
        <v>67</v>
      </c>
      <c r="R10" s="20" t="s">
        <v>67</v>
      </c>
      <c r="S10" s="20" t="s">
        <v>68</v>
      </c>
      <c r="T10" s="20" t="s">
        <v>68</v>
      </c>
      <c r="U10" s="20" t="s">
        <v>68</v>
      </c>
      <c r="V10" s="92" t="s">
        <v>147</v>
      </c>
      <c r="W10" s="93" t="s">
        <v>147</v>
      </c>
      <c r="X10" s="93" t="s">
        <v>149</v>
      </c>
      <c r="Y10" s="94" t="s">
        <v>74</v>
      </c>
      <c r="Z10" s="92" t="s">
        <v>70</v>
      </c>
      <c r="AA10" s="93" t="s">
        <v>70</v>
      </c>
    </row>
    <row r="11" spans="1:27" ht="60" customHeight="1" x14ac:dyDescent="0.3">
      <c r="A11" s="20" t="str">
        <f>'M-Cliente'!I3</f>
        <v>estaVetado</v>
      </c>
      <c r="B11" s="21" t="str">
        <f>'M-Cliente'!I2</f>
        <v>Representa si el cliente esta en estado de veto o no, cuando el cliente esta vetado el sistema no va a permitir agendar citas con este cliente con ningun barbero</v>
      </c>
      <c r="C11" s="20" t="s">
        <v>68</v>
      </c>
      <c r="D11" s="20" t="s">
        <v>202</v>
      </c>
      <c r="E11" s="20" t="s">
        <v>65</v>
      </c>
      <c r="F11" s="20" t="s">
        <v>67</v>
      </c>
      <c r="G11" s="20" t="s">
        <v>67</v>
      </c>
      <c r="H11" s="20" t="s">
        <v>67</v>
      </c>
      <c r="I11" s="20" t="s">
        <v>67</v>
      </c>
      <c r="J11" s="20" t="s">
        <v>67</v>
      </c>
      <c r="K11" s="20" t="s">
        <v>67</v>
      </c>
      <c r="L11" s="20" t="s">
        <v>67</v>
      </c>
      <c r="M11" s="21" t="s">
        <v>443</v>
      </c>
      <c r="N11" s="20" t="s">
        <v>65</v>
      </c>
      <c r="O11" s="20" t="s">
        <v>68</v>
      </c>
      <c r="P11" s="20" t="s">
        <v>67</v>
      </c>
      <c r="Q11" s="20" t="s">
        <v>67</v>
      </c>
      <c r="R11" s="20" t="s">
        <v>67</v>
      </c>
      <c r="S11" s="20" t="s">
        <v>68</v>
      </c>
      <c r="T11" s="20" t="s">
        <v>68</v>
      </c>
      <c r="U11" s="20" t="s">
        <v>68</v>
      </c>
      <c r="V11" s="92" t="s">
        <v>147</v>
      </c>
      <c r="W11" s="93" t="s">
        <v>147</v>
      </c>
      <c r="X11" s="93" t="s">
        <v>145</v>
      </c>
      <c r="Y11" s="94" t="s">
        <v>74</v>
      </c>
      <c r="Z11" s="92" t="s">
        <v>74</v>
      </c>
      <c r="AA11" s="93" t="s">
        <v>70</v>
      </c>
    </row>
    <row r="12" spans="1:27" ht="15" customHeight="1" x14ac:dyDescent="0.3">
      <c r="A12" s="9"/>
      <c r="B12" s="9"/>
      <c r="C12" s="9"/>
      <c r="D12" s="9"/>
      <c r="E12" s="9"/>
      <c r="F12" s="9"/>
      <c r="G12" s="9"/>
      <c r="H12" s="9"/>
      <c r="I12" s="9"/>
      <c r="J12" s="9"/>
      <c r="K12" s="9"/>
      <c r="L12" s="9"/>
      <c r="M12" s="9"/>
      <c r="N12" s="9"/>
      <c r="O12" s="9"/>
      <c r="P12" s="9"/>
      <c r="Q12" s="9"/>
      <c r="R12" s="9"/>
      <c r="S12" s="9"/>
      <c r="T12" s="9"/>
      <c r="U12" s="9"/>
    </row>
    <row r="13" spans="1:27" ht="15" customHeight="1" x14ac:dyDescent="0.3">
      <c r="A13" s="23" t="s">
        <v>75</v>
      </c>
      <c r="B13" s="23" t="s">
        <v>76</v>
      </c>
      <c r="C13" s="23" t="s">
        <v>77</v>
      </c>
      <c r="D13" s="96"/>
      <c r="E13" s="96"/>
      <c r="F13" s="96"/>
      <c r="G13" s="96"/>
      <c r="H13" s="96"/>
      <c r="I13" s="96"/>
      <c r="J13" s="96"/>
      <c r="K13" s="96"/>
      <c r="L13" s="96"/>
      <c r="M13" s="96"/>
      <c r="N13" s="96"/>
      <c r="O13" s="96"/>
      <c r="P13" s="96"/>
      <c r="Q13" s="96"/>
      <c r="R13" s="96"/>
      <c r="S13" s="96"/>
      <c r="T13" s="96"/>
      <c r="U13" s="96"/>
    </row>
    <row r="14" spans="1:27" ht="15" customHeight="1" x14ac:dyDescent="0.3">
      <c r="A14" s="300" t="str">
        <f>'M-Cliente'!J3</f>
        <v>Combinación única  1</v>
      </c>
      <c r="B14" s="301" t="str">
        <f>'M-Cliente'!J2</f>
        <v>Combinacion única que indica que no puede existir más de un cliente con el mismo prefijo de celular y número de celular</v>
      </c>
      <c r="C14" s="317" t="str">
        <f>A8</f>
        <v>prefijoCelular</v>
      </c>
      <c r="D14" s="9"/>
      <c r="E14" s="9"/>
      <c r="F14" s="9"/>
      <c r="G14" s="9"/>
      <c r="H14" s="9"/>
      <c r="I14" s="9"/>
      <c r="J14" s="9"/>
      <c r="K14" s="9"/>
      <c r="L14" s="9"/>
      <c r="M14" s="9"/>
      <c r="N14" s="9"/>
      <c r="O14" s="9"/>
      <c r="P14" s="9"/>
      <c r="Q14" s="9"/>
      <c r="R14" s="9"/>
      <c r="S14" s="9"/>
      <c r="T14" s="9"/>
      <c r="U14" s="9"/>
    </row>
    <row r="15" spans="1:27" ht="15" customHeight="1" x14ac:dyDescent="0.3">
      <c r="A15" s="300"/>
      <c r="B15" s="300"/>
      <c r="C15" s="300"/>
      <c r="D15" s="9"/>
      <c r="E15" s="9"/>
      <c r="F15" s="9"/>
      <c r="G15" s="9"/>
      <c r="H15" s="9"/>
      <c r="I15" s="9"/>
      <c r="J15" s="9"/>
      <c r="K15" s="9"/>
      <c r="L15" s="9"/>
      <c r="M15" s="9"/>
      <c r="N15" s="9"/>
      <c r="O15" s="9"/>
      <c r="P15" s="9"/>
      <c r="Q15" s="9"/>
      <c r="R15" s="9"/>
      <c r="S15" s="9"/>
      <c r="T15" s="9"/>
      <c r="U15" s="9"/>
    </row>
    <row r="16" spans="1:27" ht="15" customHeight="1" x14ac:dyDescent="0.3">
      <c r="A16" s="300"/>
      <c r="B16" s="300"/>
      <c r="C16" s="317"/>
      <c r="D16" s="9"/>
      <c r="E16" s="9"/>
      <c r="F16" s="9"/>
      <c r="G16" s="9"/>
      <c r="H16" s="9"/>
      <c r="I16" s="9"/>
      <c r="J16" s="9"/>
      <c r="K16" s="9"/>
      <c r="L16" s="9"/>
      <c r="M16" s="9"/>
      <c r="N16" s="9"/>
      <c r="O16" s="9"/>
      <c r="P16" s="9"/>
      <c r="Q16" s="9"/>
      <c r="R16" s="9"/>
      <c r="S16" s="9"/>
      <c r="T16" s="9"/>
      <c r="U16" s="9"/>
    </row>
    <row r="17" spans="1:21" ht="15" customHeight="1" x14ac:dyDescent="0.3">
      <c r="A17" s="300"/>
      <c r="B17" s="300"/>
      <c r="C17" s="137" t="str">
        <f>A9</f>
        <v>celular</v>
      </c>
      <c r="D17" s="9"/>
      <c r="E17" s="9"/>
      <c r="F17" s="9"/>
      <c r="G17" s="9"/>
      <c r="H17" s="9"/>
      <c r="I17" s="9"/>
      <c r="J17" s="9"/>
      <c r="K17" s="9"/>
      <c r="L17" s="9"/>
      <c r="M17" s="9"/>
      <c r="N17" s="9"/>
      <c r="O17" s="9"/>
      <c r="P17" s="9"/>
      <c r="Q17" s="9"/>
      <c r="R17" s="9"/>
      <c r="S17" s="9"/>
      <c r="T17" s="9"/>
      <c r="U17" s="9"/>
    </row>
    <row r="18" spans="1:21" ht="15" customHeight="1" x14ac:dyDescent="0.3">
      <c r="D18" s="9"/>
      <c r="E18" s="9"/>
      <c r="F18" s="9"/>
      <c r="G18" s="9"/>
      <c r="H18" s="9"/>
      <c r="I18" s="9"/>
      <c r="J18" s="9"/>
      <c r="K18" s="9"/>
      <c r="L18" s="9"/>
      <c r="M18" s="9"/>
      <c r="N18" s="9"/>
      <c r="O18" s="9"/>
      <c r="P18" s="9"/>
      <c r="Q18" s="9"/>
      <c r="R18" s="9"/>
      <c r="S18" s="9"/>
      <c r="T18" s="9"/>
      <c r="U18" s="9"/>
    </row>
    <row r="19" spans="1:21" ht="15" customHeight="1" x14ac:dyDescent="0.3">
      <c r="A19" s="243" t="s">
        <v>79</v>
      </c>
      <c r="B19" s="243"/>
      <c r="C19" s="239" t="s">
        <v>76</v>
      </c>
      <c r="D19" s="239"/>
      <c r="E19" s="239"/>
      <c r="F19" s="239"/>
      <c r="G19" s="239" t="s">
        <v>80</v>
      </c>
      <c r="H19" s="239"/>
      <c r="I19" s="239"/>
      <c r="J19" s="239" t="s">
        <v>81</v>
      </c>
      <c r="K19" s="239"/>
      <c r="L19" s="239"/>
      <c r="M19" s="239"/>
      <c r="N19" s="239"/>
      <c r="O19" s="239" t="s">
        <v>82</v>
      </c>
      <c r="P19" s="239"/>
      <c r="Q19" s="239" t="s">
        <v>83</v>
      </c>
      <c r="R19" s="239"/>
      <c r="S19" s="9"/>
      <c r="T19" s="9"/>
      <c r="U19" s="9"/>
    </row>
    <row r="20" spans="1:21" ht="15" customHeight="1" x14ac:dyDescent="0.3">
      <c r="A20" s="243"/>
      <c r="B20" s="243"/>
      <c r="C20" s="239"/>
      <c r="D20" s="239"/>
      <c r="E20" s="239"/>
      <c r="F20" s="239"/>
      <c r="G20" s="27" t="s">
        <v>84</v>
      </c>
      <c r="H20" s="27" t="s">
        <v>47</v>
      </c>
      <c r="I20" s="27" t="s">
        <v>76</v>
      </c>
      <c r="J20" s="27" t="s">
        <v>85</v>
      </c>
      <c r="K20" s="240" t="s">
        <v>76</v>
      </c>
      <c r="L20" s="240"/>
      <c r="M20" s="240"/>
      <c r="N20" s="240"/>
      <c r="O20" s="27" t="s">
        <v>86</v>
      </c>
      <c r="P20" s="27" t="s">
        <v>76</v>
      </c>
      <c r="Q20" s="27" t="s">
        <v>87</v>
      </c>
      <c r="R20" s="28" t="s">
        <v>88</v>
      </c>
    </row>
    <row r="21" spans="1:21" ht="89.25" customHeight="1" x14ac:dyDescent="0.3">
      <c r="A21" s="299" t="s">
        <v>444</v>
      </c>
      <c r="B21" s="299"/>
      <c r="C21" s="285" t="s">
        <v>445</v>
      </c>
      <c r="D21" s="285"/>
      <c r="E21" s="285"/>
      <c r="F21" s="285"/>
      <c r="G21" s="285" t="s">
        <v>446</v>
      </c>
      <c r="H21" s="303" t="s">
        <v>25</v>
      </c>
      <c r="I21" s="285" t="s">
        <v>447</v>
      </c>
      <c r="J21" s="304" t="s">
        <v>25</v>
      </c>
      <c r="K21" s="285" t="s">
        <v>448</v>
      </c>
      <c r="L21" s="285"/>
      <c r="M21" s="285"/>
      <c r="N21" s="285"/>
      <c r="O21" s="116" t="str">
        <f>'P-Cliente'!A6</f>
        <v>P-CLI-0001</v>
      </c>
      <c r="P21" s="31" t="str">
        <f>'P-Cliente'!B6</f>
        <v>Asegurar que los datos requeridos del cliente (nombres, apellidos, prefijo de celular, celular) sean válidos en tipo de dato, longitud, obligatoriedad, formato y rango</v>
      </c>
      <c r="Q21" s="31" t="s">
        <v>449</v>
      </c>
      <c r="R21" s="116" t="s">
        <v>164</v>
      </c>
    </row>
    <row r="22" spans="1:21" ht="51" customHeight="1" x14ac:dyDescent="0.3">
      <c r="A22" s="299"/>
      <c r="B22" s="299"/>
      <c r="C22" s="285"/>
      <c r="D22" s="285"/>
      <c r="E22" s="285"/>
      <c r="F22" s="285"/>
      <c r="G22" s="285"/>
      <c r="H22" s="285"/>
      <c r="I22" s="285"/>
      <c r="J22" s="285"/>
      <c r="K22" s="285"/>
      <c r="L22" s="285"/>
      <c r="M22" s="285"/>
      <c r="N22" s="285"/>
      <c r="O22" s="116" t="str">
        <f>'P-Cliente'!A7</f>
        <v>P-CLI-0002</v>
      </c>
      <c r="P22" s="31" t="str">
        <f>'P-Cliente'!B7</f>
        <v>Asegurar que el número de celular y prefijo de celular no esté siendo utilizado por otro cliente</v>
      </c>
      <c r="Q22" s="31" t="s">
        <v>450</v>
      </c>
      <c r="R22" s="116" t="s">
        <v>164</v>
      </c>
    </row>
    <row r="23" spans="1:21" ht="51" customHeight="1" x14ac:dyDescent="0.3">
      <c r="A23" s="313" t="s">
        <v>451</v>
      </c>
      <c r="B23" s="313"/>
      <c r="C23" s="282" t="s">
        <v>452</v>
      </c>
      <c r="D23" s="282"/>
      <c r="E23" s="282"/>
      <c r="F23" s="282"/>
      <c r="G23" s="123" t="s">
        <v>129</v>
      </c>
      <c r="H23" s="123" t="s">
        <v>156</v>
      </c>
      <c r="I23" s="71" t="s">
        <v>453</v>
      </c>
      <c r="J23" s="310" t="s">
        <v>25</v>
      </c>
      <c r="K23" s="282" t="s">
        <v>454</v>
      </c>
      <c r="L23" s="282"/>
      <c r="M23" s="282"/>
      <c r="N23" s="282"/>
      <c r="O23" s="138" t="str">
        <f>'P-Cliente'!A10</f>
        <v>P-CLI-0005</v>
      </c>
      <c r="P23" s="139" t="str">
        <f>'P-Cliente'!B10</f>
        <v>Asegurar que exista el cliente con el id enviado</v>
      </c>
      <c r="Q23" s="71" t="s">
        <v>455</v>
      </c>
      <c r="R23" s="138" t="s">
        <v>164</v>
      </c>
    </row>
    <row r="24" spans="1:21" ht="38.25" customHeight="1" x14ac:dyDescent="0.3">
      <c r="A24" s="313"/>
      <c r="B24" s="313"/>
      <c r="C24" s="282"/>
      <c r="D24" s="282"/>
      <c r="E24" s="282"/>
      <c r="F24" s="282"/>
      <c r="G24" s="282" t="s">
        <v>346</v>
      </c>
      <c r="H24" s="305" t="s">
        <v>25</v>
      </c>
      <c r="I24" s="282" t="s">
        <v>456</v>
      </c>
      <c r="J24" s="310"/>
      <c r="K24" s="282"/>
      <c r="L24" s="282"/>
      <c r="M24" s="282"/>
      <c r="N24" s="282"/>
      <c r="O24" s="305" t="str">
        <f>'P-Cliente'!A8</f>
        <v>P-CLI-0003</v>
      </c>
      <c r="P24" s="282" t="str">
        <f>'P-Cliente'!B8</f>
        <v>Asegurar que los datos requeridos del cliente para editar su contacto (prefijo de celular y celular) sean válidos en tipo de dato, longitud, obligatoriedad, formato y rango</v>
      </c>
      <c r="Q24" s="282" t="s">
        <v>457</v>
      </c>
      <c r="R24" s="305" t="s">
        <v>164</v>
      </c>
    </row>
    <row r="25" spans="1:21" ht="60" customHeight="1" x14ac:dyDescent="0.3">
      <c r="A25" s="313"/>
      <c r="B25" s="313"/>
      <c r="C25" s="282"/>
      <c r="D25" s="282"/>
      <c r="E25" s="282"/>
      <c r="F25" s="282"/>
      <c r="G25" s="282"/>
      <c r="H25" s="282"/>
      <c r="I25" s="282"/>
      <c r="J25" s="282"/>
      <c r="K25" s="282"/>
      <c r="L25" s="282"/>
      <c r="M25" s="282"/>
      <c r="N25" s="282"/>
      <c r="O25" s="305"/>
      <c r="P25" s="305"/>
      <c r="Q25" s="305"/>
      <c r="R25" s="305"/>
    </row>
    <row r="26" spans="1:21" ht="38.25" customHeight="1" x14ac:dyDescent="0.3">
      <c r="A26" s="318" t="s">
        <v>458</v>
      </c>
      <c r="B26" s="318"/>
      <c r="C26" s="319" t="s">
        <v>459</v>
      </c>
      <c r="D26" s="319"/>
      <c r="E26" s="319"/>
      <c r="F26" s="319"/>
      <c r="G26" s="126" t="s">
        <v>129</v>
      </c>
      <c r="H26" s="126" t="s">
        <v>156</v>
      </c>
      <c r="I26" s="75" t="s">
        <v>460</v>
      </c>
      <c r="J26" s="140" t="s">
        <v>25</v>
      </c>
      <c r="K26" s="319" t="s">
        <v>461</v>
      </c>
      <c r="L26" s="319"/>
      <c r="M26" s="319"/>
      <c r="N26" s="319"/>
      <c r="O26" s="126" t="str">
        <f>'P-Cliente'!A10</f>
        <v>P-CLI-0005</v>
      </c>
      <c r="P26" s="75" t="str">
        <f>'P-Cliente'!B10</f>
        <v>Asegurar que exista el cliente con el id enviado</v>
      </c>
      <c r="Q26" s="75" t="s">
        <v>462</v>
      </c>
      <c r="R26" s="126" t="s">
        <v>164</v>
      </c>
      <c r="S26" s="97"/>
      <c r="T26" s="97"/>
      <c r="U26" s="97"/>
    </row>
    <row r="27" spans="1:21" ht="38.25" customHeight="1" x14ac:dyDescent="0.3">
      <c r="A27" s="320" t="s">
        <v>463</v>
      </c>
      <c r="B27" s="320"/>
      <c r="C27" s="312" t="s">
        <v>464</v>
      </c>
      <c r="D27" s="312"/>
      <c r="E27" s="312"/>
      <c r="F27" s="312"/>
      <c r="G27" s="116" t="s">
        <v>129</v>
      </c>
      <c r="H27" s="116" t="s">
        <v>156</v>
      </c>
      <c r="I27" s="31" t="s">
        <v>460</v>
      </c>
      <c r="J27" s="128" t="s">
        <v>202</v>
      </c>
      <c r="K27" s="312" t="s">
        <v>465</v>
      </c>
      <c r="L27" s="312"/>
      <c r="M27" s="312"/>
      <c r="N27" s="312"/>
      <c r="O27" s="116" t="str">
        <f>'P-Cliente'!A10</f>
        <v>P-CLI-0005</v>
      </c>
      <c r="P27" s="31" t="str">
        <f>'P-Cliente'!B10</f>
        <v>Asegurar que exista el cliente con el id enviado</v>
      </c>
      <c r="Q27" s="31" t="s">
        <v>462</v>
      </c>
      <c r="R27" s="116" t="s">
        <v>164</v>
      </c>
    </row>
    <row r="28" spans="1:21" ht="38.25" customHeight="1" x14ac:dyDescent="0.3">
      <c r="A28" s="321" t="s">
        <v>466</v>
      </c>
      <c r="B28" s="321"/>
      <c r="C28" s="322" t="s">
        <v>467</v>
      </c>
      <c r="D28" s="322"/>
      <c r="E28" s="322"/>
      <c r="F28" s="322"/>
      <c r="G28" s="123" t="s">
        <v>129</v>
      </c>
      <c r="H28" s="123" t="s">
        <v>156</v>
      </c>
      <c r="I28" s="71" t="s">
        <v>460</v>
      </c>
      <c r="J28" s="141" t="s">
        <v>201</v>
      </c>
      <c r="K28" s="322" t="s">
        <v>468</v>
      </c>
      <c r="L28" s="322"/>
      <c r="M28" s="322"/>
      <c r="N28" s="322"/>
      <c r="O28" s="123" t="str">
        <f>'P-Cliente'!A10</f>
        <v>P-CLI-0005</v>
      </c>
      <c r="P28" s="71" t="str">
        <f>'P-Cliente'!B10</f>
        <v>Asegurar que exista el cliente con el id enviado</v>
      </c>
      <c r="Q28" s="71" t="s">
        <v>462</v>
      </c>
      <c r="R28" s="123" t="s">
        <v>164</v>
      </c>
    </row>
    <row r="29" spans="1:21" ht="15" customHeight="1" x14ac:dyDescent="0.3">
      <c r="A29" s="142"/>
      <c r="C29" s="143"/>
      <c r="G29" s="130"/>
      <c r="H29" s="130"/>
      <c r="I29" s="39"/>
      <c r="J29" s="144"/>
      <c r="K29" s="143"/>
      <c r="O29" s="130"/>
      <c r="P29" s="143"/>
      <c r="Q29" s="143"/>
      <c r="R29" s="130"/>
    </row>
    <row r="30" spans="1:21" ht="15" customHeight="1" x14ac:dyDescent="0.3">
      <c r="A30" s="142"/>
      <c r="C30" s="143"/>
      <c r="G30" s="130"/>
      <c r="H30" s="130"/>
      <c r="I30" s="39"/>
      <c r="J30" s="144"/>
      <c r="K30" s="143"/>
      <c r="O30" s="130"/>
      <c r="P30" s="143"/>
      <c r="Q30" s="143"/>
      <c r="R30" s="130"/>
    </row>
    <row r="31" spans="1:21" ht="15" customHeight="1" x14ac:dyDescent="0.3">
      <c r="A31" s="142"/>
      <c r="C31" s="143"/>
      <c r="G31" s="130"/>
      <c r="H31" s="130"/>
      <c r="I31" s="39"/>
      <c r="J31" s="144"/>
      <c r="K31" s="143"/>
      <c r="O31" s="130"/>
      <c r="P31" s="143"/>
      <c r="Q31" s="143"/>
      <c r="R31" s="130"/>
    </row>
    <row r="32" spans="1:21" ht="15" customHeight="1" x14ac:dyDescent="0.3">
      <c r="A32" s="142"/>
      <c r="C32" s="143"/>
      <c r="G32" s="130"/>
      <c r="H32" s="130"/>
      <c r="I32" s="39"/>
      <c r="J32" s="144"/>
      <c r="K32" s="143"/>
      <c r="O32" s="130"/>
      <c r="P32" s="143"/>
      <c r="Q32" s="143"/>
      <c r="R32" s="130"/>
    </row>
    <row r="33" spans="1:18" ht="15" customHeight="1" x14ac:dyDescent="0.3">
      <c r="A33" s="142"/>
      <c r="C33" s="143"/>
      <c r="G33" s="130"/>
      <c r="H33" s="130"/>
      <c r="I33" s="39"/>
      <c r="J33" s="144"/>
      <c r="K33" s="143"/>
      <c r="O33" s="130"/>
      <c r="P33" s="143"/>
      <c r="Q33" s="143"/>
      <c r="R33" s="130"/>
    </row>
    <row r="34" spans="1:18" ht="15" customHeight="1" x14ac:dyDescent="0.3">
      <c r="A34" s="142"/>
      <c r="C34" s="143"/>
      <c r="G34" s="130"/>
      <c r="H34" s="130"/>
      <c r="I34" s="39"/>
      <c r="J34" s="144"/>
      <c r="K34" s="143"/>
      <c r="O34" s="130"/>
      <c r="P34" s="143"/>
      <c r="Q34" s="143"/>
      <c r="R34" s="130"/>
    </row>
    <row r="35" spans="1:18" ht="15" customHeight="1" x14ac:dyDescent="0.3">
      <c r="A35" s="142"/>
      <c r="C35" s="143"/>
      <c r="G35" s="130"/>
      <c r="H35" s="130"/>
      <c r="I35" s="39"/>
      <c r="J35" s="144"/>
      <c r="K35" s="143"/>
      <c r="O35" s="130"/>
      <c r="P35" s="143"/>
      <c r="Q35" s="143"/>
      <c r="R35" s="130"/>
    </row>
    <row r="36" spans="1:18" ht="15" customHeight="1" x14ac:dyDescent="0.3">
      <c r="A36" s="142"/>
      <c r="C36" s="143"/>
      <c r="G36" s="130"/>
      <c r="H36" s="130"/>
      <c r="I36" s="39"/>
      <c r="J36" s="144"/>
      <c r="K36" s="143"/>
      <c r="O36" s="130"/>
      <c r="P36" s="143"/>
      <c r="Q36" s="143"/>
      <c r="R36" s="130"/>
    </row>
    <row r="37" spans="1:18" ht="15" customHeight="1" x14ac:dyDescent="0.3">
      <c r="A37" s="142"/>
      <c r="C37" s="143"/>
      <c r="G37" s="130"/>
      <c r="H37" s="130"/>
      <c r="I37" s="39"/>
      <c r="J37" s="144"/>
      <c r="K37" s="143"/>
      <c r="O37" s="130"/>
      <c r="P37" s="143"/>
      <c r="Q37" s="143"/>
      <c r="R37" s="130"/>
    </row>
    <row r="38" spans="1:18" x14ac:dyDescent="0.3">
      <c r="A38" s="142"/>
      <c r="C38" s="143"/>
      <c r="G38" s="130"/>
      <c r="H38" s="130"/>
      <c r="I38" s="39"/>
      <c r="J38" s="144"/>
      <c r="K38" s="143"/>
      <c r="O38" s="130"/>
      <c r="P38" s="143"/>
      <c r="Q38" s="143"/>
      <c r="R38" s="130"/>
    </row>
    <row r="39" spans="1:18" ht="15" customHeight="1" x14ac:dyDescent="0.3">
      <c r="A39" s="142"/>
      <c r="C39" s="143"/>
      <c r="G39" s="130"/>
      <c r="H39" s="130"/>
      <c r="I39" s="39"/>
      <c r="J39" s="144"/>
      <c r="K39" s="143"/>
      <c r="O39" s="130"/>
      <c r="P39" s="143"/>
      <c r="Q39" s="143"/>
      <c r="R39" s="130"/>
    </row>
    <row r="40" spans="1:18" ht="15" customHeight="1" x14ac:dyDescent="0.3">
      <c r="A40" s="142"/>
      <c r="C40" s="143"/>
      <c r="G40" s="130"/>
      <c r="H40" s="130"/>
      <c r="I40" s="39"/>
      <c r="J40" s="144"/>
      <c r="K40" s="143"/>
      <c r="O40" s="130"/>
      <c r="P40" s="143"/>
      <c r="Q40" s="143"/>
      <c r="R40" s="130"/>
    </row>
    <row r="41" spans="1:18" ht="15" customHeight="1" x14ac:dyDescent="0.3">
      <c r="A41" s="142"/>
      <c r="C41" s="143"/>
      <c r="G41" s="130"/>
      <c r="H41" s="130"/>
      <c r="I41" s="39"/>
      <c r="J41" s="144"/>
      <c r="K41" s="143"/>
      <c r="O41" s="130"/>
      <c r="P41" s="143"/>
      <c r="Q41" s="143"/>
      <c r="R41" s="130"/>
    </row>
    <row r="42" spans="1:18" x14ac:dyDescent="0.3">
      <c r="A42" s="142"/>
      <c r="C42" s="143"/>
      <c r="G42" s="130"/>
      <c r="H42" s="130"/>
      <c r="I42" s="39"/>
      <c r="J42" s="144"/>
      <c r="K42" s="143"/>
      <c r="O42" s="130"/>
      <c r="P42" s="143"/>
      <c r="Q42" s="143"/>
      <c r="R42" s="130"/>
    </row>
  </sheetData>
  <mergeCells count="38">
    <mergeCell ref="A27:B27"/>
    <mergeCell ref="C27:F27"/>
    <mergeCell ref="K27:N27"/>
    <mergeCell ref="A28:B28"/>
    <mergeCell ref="C28:F28"/>
    <mergeCell ref="K28:N28"/>
    <mergeCell ref="O24:O25"/>
    <mergeCell ref="P24:P25"/>
    <mergeCell ref="Q24:Q25"/>
    <mergeCell ref="R24:R25"/>
    <mergeCell ref="A26:B26"/>
    <mergeCell ref="C26:F26"/>
    <mergeCell ref="K26:N26"/>
    <mergeCell ref="J21:J22"/>
    <mergeCell ref="K21:N22"/>
    <mergeCell ref="A23:B25"/>
    <mergeCell ref="C23:F25"/>
    <mergeCell ref="J23:J25"/>
    <mergeCell ref="K23:N25"/>
    <mergeCell ref="G24:G25"/>
    <mergeCell ref="H24:H25"/>
    <mergeCell ref="I24:I25"/>
    <mergeCell ref="A21:B22"/>
    <mergeCell ref="C21:F22"/>
    <mergeCell ref="G21:G22"/>
    <mergeCell ref="H21:H22"/>
    <mergeCell ref="I21:I22"/>
    <mergeCell ref="W2:X2"/>
    <mergeCell ref="A14:A17"/>
    <mergeCell ref="B14:B17"/>
    <mergeCell ref="C14:C16"/>
    <mergeCell ref="A19:B20"/>
    <mergeCell ref="C19:F20"/>
    <mergeCell ref="G19:I19"/>
    <mergeCell ref="J19:N19"/>
    <mergeCell ref="O19:P19"/>
    <mergeCell ref="Q19:R19"/>
    <mergeCell ref="K20:N20"/>
  </mergeCells>
  <hyperlinks>
    <hyperlink ref="A1" location="'Modelo de Dominio'!A1" display="&lt;&lt;&lt;&lt; Ir al modulo de dominio" xr:uid="{00000000-0004-0000-1A00-000000000000}"/>
    <hyperlink ref="B1" location="'Objetos de Dominio'!A1" display="&lt;&lt;&lt;&lt; Ir a objetos de dominio" xr:uid="{00000000-0004-0000-1A00-000001000000}"/>
    <hyperlink ref="V2" location="'C-Cliente'!A21" display="#'C-Cliente'.A21" xr:uid="{00000000-0004-0000-1A00-000002000000}"/>
    <hyperlink ref="W2" location="'C-Cliente'!A23" display="#'C-Cliente'.A23" xr:uid="{00000000-0004-0000-1A00-000003000000}"/>
    <hyperlink ref="Y2" location="'C-Cliente'!A26" display="#'C-Cliente'.A26" xr:uid="{00000000-0004-0000-1A00-000004000000}"/>
    <hyperlink ref="Z2" location="'C-Cliente'!A27" display="#'C-Cliente'.A27" xr:uid="{00000000-0004-0000-1A00-000005000000}"/>
    <hyperlink ref="AA2" location="'C-Cliente'!A28" display="#'C-Cliente'.A28" xr:uid="{00000000-0004-0000-1A00-000006000000}"/>
    <hyperlink ref="D8" location="'C-PrefijoCelular'!A1" display="PrefijoCelular" xr:uid="{00000000-0004-0000-1A00-000007000000}"/>
    <hyperlink ref="A21" location="'C-Cliente'!V2" display="registrarCliente" xr:uid="{00000000-0004-0000-1A00-000008000000}"/>
    <hyperlink ref="A23" location="'C-Cliente'!W2" display="editarContactoCliente" xr:uid="{00000000-0004-0000-1A00-000009000000}"/>
    <hyperlink ref="A26" location="'C-Cliente'!Y2" display="consultarDatosCliente" xr:uid="{00000000-0004-0000-1A00-00000A000000}"/>
    <hyperlink ref="A27" location="'C-Cliente'!Z2" display="consultarEstadoVetoCliente" xr:uid="{00000000-0004-0000-1A00-00000B000000}"/>
    <hyperlink ref="A28" location="'C-Cliente'!AA2" display="consultarCantidadMultasSinPagar" xr:uid="{00000000-0004-0000-1A00-00000C000000}"/>
  </hyperlink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0"/>
  <sheetViews>
    <sheetView showGridLines="0" zoomScaleNormal="100" workbookViewId="0">
      <selection activeCell="B11" sqref="B11"/>
    </sheetView>
  </sheetViews>
  <sheetFormatPr baseColWidth="10" defaultColWidth="8.6640625" defaultRowHeight="14.4" x14ac:dyDescent="0.3"/>
  <cols>
    <col min="1" max="1" width="20.6640625" customWidth="1"/>
    <col min="2" max="2" width="28.5546875" customWidth="1"/>
    <col min="3" max="3" width="35.5546875" customWidth="1"/>
    <col min="4" max="4" width="37.109375" customWidth="1"/>
    <col min="5" max="5" width="36.66406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Dominio'!A9</f>
        <v>Cliente</v>
      </c>
      <c r="C2" s="244"/>
      <c r="D2" s="244"/>
      <c r="E2" s="244"/>
    </row>
    <row r="3" spans="1:5" ht="30" customHeight="1" x14ac:dyDescent="0.3">
      <c r="A3" s="35" t="s">
        <v>99</v>
      </c>
      <c r="B3" s="245" t="str">
        <f>'Objetos de Dominio'!B9</f>
        <v xml:space="preserve">Representa a la persona que solicita citas en la barbería. </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48" customHeight="1" x14ac:dyDescent="0.3">
      <c r="A6" s="36" t="s">
        <v>469</v>
      </c>
      <c r="B6" s="296" t="s">
        <v>470</v>
      </c>
      <c r="C6" s="296"/>
      <c r="D6" s="37" t="s">
        <v>25</v>
      </c>
      <c r="E6" s="37"/>
    </row>
    <row r="7" spans="1:5" ht="30" customHeight="1" x14ac:dyDescent="0.3">
      <c r="A7" s="36" t="s">
        <v>471</v>
      </c>
      <c r="B7" s="296" t="s">
        <v>472</v>
      </c>
      <c r="C7" s="296"/>
      <c r="D7" s="37" t="s">
        <v>25</v>
      </c>
      <c r="E7" s="37"/>
    </row>
    <row r="8" spans="1:5" ht="54" customHeight="1" x14ac:dyDescent="0.3">
      <c r="A8" s="36" t="s">
        <v>473</v>
      </c>
      <c r="B8" s="296" t="s">
        <v>474</v>
      </c>
      <c r="C8" s="296"/>
      <c r="D8" s="37" t="s">
        <v>25</v>
      </c>
      <c r="E8" s="37"/>
    </row>
    <row r="9" spans="1:5" ht="54" customHeight="1" x14ac:dyDescent="0.3">
      <c r="A9" s="36" t="s">
        <v>475</v>
      </c>
      <c r="B9" s="296" t="s">
        <v>476</v>
      </c>
      <c r="C9" s="296"/>
      <c r="D9" s="37" t="s">
        <v>41</v>
      </c>
      <c r="E9" s="37"/>
    </row>
    <row r="10" spans="1:5" ht="15" customHeight="1" x14ac:dyDescent="0.3">
      <c r="A10" s="36" t="s">
        <v>477</v>
      </c>
      <c r="B10" s="248" t="s">
        <v>478</v>
      </c>
      <c r="C10" s="248"/>
      <c r="D10" s="37" t="s">
        <v>25</v>
      </c>
      <c r="E10" s="37"/>
    </row>
  </sheetData>
  <mergeCells count="11">
    <mergeCell ref="B6:C6"/>
    <mergeCell ref="B7:C7"/>
    <mergeCell ref="B8:C8"/>
    <mergeCell ref="B9:C9"/>
    <mergeCell ref="B10:C10"/>
    <mergeCell ref="B2:E2"/>
    <mergeCell ref="B3:E3"/>
    <mergeCell ref="A4:A5"/>
    <mergeCell ref="B4:C5"/>
    <mergeCell ref="D4:D5"/>
    <mergeCell ref="E4:E5"/>
  </mergeCells>
  <hyperlinks>
    <hyperlink ref="A1" location="'Modelo de Dominio'!A1" display="&lt;&lt; Ir al modelo de dominio" xr:uid="{00000000-0004-0000-1B00-000000000000}"/>
    <hyperlink ref="B1" location="'Objetos de Dominio'!A1" display="&lt;&lt; Ir al listado de objetos de dominio" xr:uid="{00000000-0004-0000-1B00-000001000000}"/>
    <hyperlink ref="C1" location="'C-Cliente'!A1" display="&lt;&lt; Ir a la caracterización del objeto de dominio" xr:uid="{00000000-0004-0000-1B00-000002000000}"/>
    <hyperlink ref="D1" location="'M-Cliente'!A1" display="Ir al muestreo de datos del objeto de dominio &gt;&gt;" xr:uid="{00000000-0004-0000-1B00-000003000000}"/>
    <hyperlink ref="E1" location="'E-Cliente'!A1" display="Ir al event storming del objeto de dominio &gt;&gt;" xr:uid="{00000000-0004-0000-1B00-000004000000}"/>
  </hyperlink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3"/>
  <sheetViews>
    <sheetView showGridLines="0" topLeftCell="A4" zoomScaleNormal="100" workbookViewId="0">
      <selection activeCell="F15" sqref="F15"/>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8.10937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34" t="s">
        <v>98</v>
      </c>
      <c r="B2" s="254" t="str">
        <f>'Objetos de Dominio'!A9</f>
        <v>Cliente</v>
      </c>
      <c r="C2" s="254"/>
      <c r="D2" s="254"/>
      <c r="E2" s="254"/>
      <c r="F2" s="254"/>
      <c r="G2" s="254"/>
      <c r="H2" s="254"/>
      <c r="I2" s="254"/>
      <c r="J2" s="254"/>
      <c r="K2" s="254"/>
    </row>
    <row r="3" spans="1:11" ht="30" customHeight="1" x14ac:dyDescent="0.3">
      <c r="A3" s="35" t="s">
        <v>99</v>
      </c>
      <c r="B3" s="259" t="str">
        <f>'Objetos de Dominio'!B9</f>
        <v xml:space="preserve">Representa a la persona que solicita citas en la barbería. </v>
      </c>
      <c r="C3" s="259"/>
      <c r="D3" s="259"/>
      <c r="E3" s="259"/>
      <c r="F3" s="259"/>
      <c r="G3" s="259"/>
      <c r="H3" s="259"/>
      <c r="I3" s="259"/>
      <c r="J3" s="259"/>
      <c r="K3" s="259"/>
    </row>
    <row r="4" spans="1:11" ht="34.5" customHeight="1" x14ac:dyDescent="0.3">
      <c r="A4" s="41" t="s">
        <v>105</v>
      </c>
      <c r="B4" s="256" t="s">
        <v>106</v>
      </c>
      <c r="C4" s="256"/>
      <c r="D4" s="42" t="s">
        <v>107</v>
      </c>
      <c r="E4" s="258" t="s">
        <v>108</v>
      </c>
      <c r="F4" s="258"/>
      <c r="G4" s="260" t="s">
        <v>109</v>
      </c>
      <c r="H4" s="260"/>
      <c r="I4" s="44" t="s">
        <v>110</v>
      </c>
      <c r="J4" s="45" t="s">
        <v>111</v>
      </c>
      <c r="K4" s="46" t="s">
        <v>112</v>
      </c>
    </row>
    <row r="5" spans="1:11" ht="15" customHeight="1" x14ac:dyDescent="0.3">
      <c r="A5" s="255" t="s">
        <v>105</v>
      </c>
      <c r="B5" s="256" t="s">
        <v>113</v>
      </c>
      <c r="C5" s="256" t="s">
        <v>76</v>
      </c>
      <c r="D5" s="257" t="s">
        <v>114</v>
      </c>
      <c r="E5" s="258" t="s">
        <v>115</v>
      </c>
      <c r="F5" s="258"/>
      <c r="G5" s="260" t="s">
        <v>116</v>
      </c>
      <c r="H5" s="260"/>
      <c r="I5" s="261" t="s">
        <v>117</v>
      </c>
      <c r="J5" s="262" t="s">
        <v>118</v>
      </c>
      <c r="K5" s="263" t="s">
        <v>119</v>
      </c>
    </row>
    <row r="6" spans="1:11" ht="15" customHeight="1" x14ac:dyDescent="0.3">
      <c r="A6" s="255"/>
      <c r="B6" s="255"/>
      <c r="C6" s="255"/>
      <c r="D6" s="255"/>
      <c r="E6" s="43" t="s">
        <v>120</v>
      </c>
      <c r="F6" s="43" t="s">
        <v>76</v>
      </c>
      <c r="G6" s="47" t="s">
        <v>121</v>
      </c>
      <c r="H6" s="47" t="s">
        <v>76</v>
      </c>
      <c r="I6" s="261"/>
      <c r="J6" s="261"/>
      <c r="K6" s="261"/>
    </row>
    <row r="7" spans="1:11" ht="57" customHeight="1" x14ac:dyDescent="0.3">
      <c r="A7" s="291" t="s">
        <v>25</v>
      </c>
      <c r="B7" s="290" t="s">
        <v>479</v>
      </c>
      <c r="C7" s="290" t="s">
        <v>445</v>
      </c>
      <c r="D7" s="291" t="str">
        <f>$B$2</f>
        <v>Cliente</v>
      </c>
      <c r="E7" s="290" t="s">
        <v>19</v>
      </c>
      <c r="F7" s="290" t="s">
        <v>480</v>
      </c>
      <c r="G7" s="105" t="str">
        <f>'P-Cliente'!A6</f>
        <v>P-CLI-0001</v>
      </c>
      <c r="H7" s="49" t="str">
        <f>'P-Cliente'!B6</f>
        <v>Asegurar que los datos requeridos del cliente (nombres, apellidos, prefijo de celular, celular) sean válidos en tipo de dato, longitud, obligatoriedad, formato y rango</v>
      </c>
      <c r="I7" s="291"/>
      <c r="J7" s="290" t="s">
        <v>481</v>
      </c>
      <c r="K7" s="290"/>
    </row>
    <row r="8" spans="1:11" ht="42.75" customHeight="1" x14ac:dyDescent="0.3">
      <c r="A8" s="291"/>
      <c r="B8" s="291"/>
      <c r="C8" s="291"/>
      <c r="D8" s="291"/>
      <c r="E8" s="291"/>
      <c r="F8" s="291"/>
      <c r="G8" s="105" t="str">
        <f>'P-Cliente'!A7</f>
        <v>P-CLI-0002</v>
      </c>
      <c r="H8" s="49" t="str">
        <f>'P-Cliente'!B7</f>
        <v>Asegurar que el número de celular y prefijo de celular no esté siendo utilizado por otro cliente</v>
      </c>
      <c r="I8" s="291"/>
      <c r="J8" s="291"/>
      <c r="K8" s="291"/>
    </row>
    <row r="9" spans="1:11" ht="57" customHeight="1" x14ac:dyDescent="0.3">
      <c r="A9" s="48" t="s">
        <v>25</v>
      </c>
      <c r="B9" s="49" t="s">
        <v>390</v>
      </c>
      <c r="C9" s="49" t="s">
        <v>452</v>
      </c>
      <c r="D9" s="48" t="str">
        <f>$B$2</f>
        <v>Cliente</v>
      </c>
      <c r="E9" s="49" t="s">
        <v>19</v>
      </c>
      <c r="F9" s="49" t="s">
        <v>482</v>
      </c>
      <c r="G9" s="105" t="str">
        <f>'P-Cliente'!A8</f>
        <v>P-CLI-0003</v>
      </c>
      <c r="H9" s="49" t="str">
        <f>'P-Cliente'!B8</f>
        <v>Asegurar que los datos requeridos del cliente para editar su contacto (prefijo de celular y celular) sean válidos en tipo de dato, longitud, obligatoriedad, formato y rango</v>
      </c>
      <c r="I9" s="48"/>
      <c r="J9" s="49" t="s">
        <v>483</v>
      </c>
      <c r="K9" s="49"/>
    </row>
    <row r="10" spans="1:11" ht="30" customHeight="1" x14ac:dyDescent="0.3">
      <c r="A10" s="48" t="s">
        <v>23</v>
      </c>
      <c r="B10" s="49" t="s">
        <v>484</v>
      </c>
      <c r="C10" s="49" t="s">
        <v>459</v>
      </c>
      <c r="D10" s="48" t="str">
        <f>$B$2</f>
        <v>Cliente</v>
      </c>
      <c r="E10" s="49" t="s">
        <v>19</v>
      </c>
      <c r="F10" s="49" t="s">
        <v>485</v>
      </c>
      <c r="G10" s="48"/>
      <c r="H10" s="49"/>
      <c r="I10" s="48"/>
      <c r="J10" s="49" t="s">
        <v>486</v>
      </c>
      <c r="K10" s="49"/>
    </row>
    <row r="11" spans="1:11" ht="30" customHeight="1" x14ac:dyDescent="0.3">
      <c r="A11" s="48" t="s">
        <v>25</v>
      </c>
      <c r="B11" s="49" t="s">
        <v>487</v>
      </c>
      <c r="C11" s="49" t="s">
        <v>464</v>
      </c>
      <c r="D11" s="48" t="str">
        <f>$B$2</f>
        <v>Cliente</v>
      </c>
      <c r="E11" s="12"/>
      <c r="F11" s="12"/>
      <c r="G11" s="48"/>
      <c r="H11" s="50"/>
      <c r="I11" s="48"/>
      <c r="J11" s="49" t="s">
        <v>489</v>
      </c>
      <c r="K11" s="49"/>
    </row>
    <row r="12" spans="1:11" ht="30" customHeight="1" x14ac:dyDescent="0.3">
      <c r="A12" s="48" t="s">
        <v>25</v>
      </c>
      <c r="B12" s="49" t="s">
        <v>490</v>
      </c>
      <c r="C12" s="49" t="s">
        <v>467</v>
      </c>
      <c r="D12" s="48" t="str">
        <f>$B$2</f>
        <v>Cliente</v>
      </c>
      <c r="E12" s="49" t="s">
        <v>41</v>
      </c>
      <c r="F12" s="49" t="s">
        <v>491</v>
      </c>
      <c r="G12" s="48"/>
      <c r="H12" s="50"/>
      <c r="I12" s="48"/>
      <c r="J12" s="49" t="s">
        <v>492</v>
      </c>
      <c r="K12" s="49"/>
    </row>
    <row r="13" spans="1:11" ht="20.25" customHeight="1" x14ac:dyDescent="0.3">
      <c r="A13" s="48" t="s">
        <v>493</v>
      </c>
      <c r="B13" s="49" t="s">
        <v>494</v>
      </c>
      <c r="C13" s="49" t="s">
        <v>495</v>
      </c>
      <c r="D13" s="48" t="s">
        <v>25</v>
      </c>
      <c r="E13" s="49" t="s">
        <v>41</v>
      </c>
      <c r="F13" s="49" t="s">
        <v>488</v>
      </c>
      <c r="G13" s="48"/>
      <c r="H13" s="50"/>
      <c r="I13" s="48"/>
      <c r="J13" s="49" t="s">
        <v>1098</v>
      </c>
      <c r="K13" s="49"/>
    </row>
  </sheetData>
  <mergeCells count="27">
    <mergeCell ref="F7:F8"/>
    <mergeCell ref="I7:I8"/>
    <mergeCell ref="J7:J8"/>
    <mergeCell ref="K7:K8"/>
    <mergeCell ref="A7:A8"/>
    <mergeCell ref="B7:B8"/>
    <mergeCell ref="C7:C8"/>
    <mergeCell ref="D7:D8"/>
    <mergeCell ref="E7:E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1C00-000000000000}"/>
    <hyperlink ref="C1" location="'Objetos de Dominio'!A1" display="&lt;&lt; Ir al listado de objetos de dominio" xr:uid="{00000000-0004-0000-1C00-000001000000}"/>
    <hyperlink ref="F1" location="'C-Cliente'!A1" display="&lt;&lt; Ir a la caracterización del objeto de dominio" xr:uid="{00000000-0004-0000-1C00-000002000000}"/>
    <hyperlink ref="J1" location="'M-Cliente'!A1" display="Ir al muestreo de datos del objeto de dominio &gt;&gt;" xr:uid="{00000000-0004-0000-1C00-000003000000}"/>
    <hyperlink ref="G7" location="'P-Cliente'!A6" display="#'P-Cliente'.A6" xr:uid="{00000000-0004-0000-1C00-000004000000}"/>
    <hyperlink ref="G8" location="'P-Cliente'!A7" display="#'P-Cliente'.A7" xr:uid="{00000000-0004-0000-1C00-000005000000}"/>
    <hyperlink ref="G9" location="'P-Cliente'!A6" display="#'P-Cliente'.A6" xr:uid="{00000000-0004-0000-1C00-000006000000}"/>
  </hyperlink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9"/>
  <sheetViews>
    <sheetView zoomScaleNormal="100" workbookViewId="0">
      <selection activeCell="B1" sqref="B1"/>
    </sheetView>
  </sheetViews>
  <sheetFormatPr baseColWidth="10" defaultColWidth="8.6640625" defaultRowHeight="14.4" x14ac:dyDescent="0.3"/>
  <cols>
    <col min="1" max="1" width="27" customWidth="1"/>
    <col min="2" max="2" width="26.109375" customWidth="1"/>
    <col min="3" max="3" width="21.88671875" customWidth="1"/>
    <col min="4" max="4" width="22.109375" customWidth="1"/>
    <col min="5" max="5" width="22.44140625" customWidth="1"/>
    <col min="6" max="6" width="19.5546875" customWidth="1"/>
    <col min="7" max="7" width="28.33203125" customWidth="1"/>
    <col min="8" max="8" width="27.6640625" customWidth="1"/>
    <col min="9" max="9" width="35.88671875" customWidth="1"/>
    <col min="10" max="10" width="28.33203125" customWidth="1"/>
  </cols>
  <sheetData>
    <row r="1" spans="1:10" ht="14.25" customHeight="1" x14ac:dyDescent="0.3">
      <c r="A1" s="8" t="s">
        <v>1</v>
      </c>
      <c r="B1" s="8" t="s">
        <v>43</v>
      </c>
      <c r="C1" s="134"/>
      <c r="D1" s="134"/>
      <c r="E1" s="134"/>
      <c r="F1" s="134"/>
      <c r="G1" s="56"/>
      <c r="H1" s="56"/>
      <c r="I1" s="56"/>
      <c r="J1" s="56"/>
    </row>
    <row r="2" spans="1:10" ht="37.5" customHeight="1" x14ac:dyDescent="0.3">
      <c r="A2" s="51" t="s">
        <v>126</v>
      </c>
      <c r="B2" s="51" t="s">
        <v>496</v>
      </c>
      <c r="C2" s="51" t="s">
        <v>497</v>
      </c>
      <c r="D2" s="51" t="s">
        <v>498</v>
      </c>
      <c r="E2" s="51" t="s">
        <v>499</v>
      </c>
      <c r="F2" s="51" t="s">
        <v>500</v>
      </c>
      <c r="G2" s="52" t="s">
        <v>501</v>
      </c>
      <c r="H2" s="52" t="s">
        <v>411</v>
      </c>
      <c r="I2" s="52" t="s">
        <v>502</v>
      </c>
      <c r="J2" s="145" t="s">
        <v>503</v>
      </c>
    </row>
    <row r="3" spans="1:10" ht="14.25" customHeight="1" x14ac:dyDescent="0.3">
      <c r="A3" s="53" t="s">
        <v>129</v>
      </c>
      <c r="B3" s="54" t="s">
        <v>416</v>
      </c>
      <c r="C3" s="54" t="s">
        <v>417</v>
      </c>
      <c r="D3" s="54" t="s">
        <v>418</v>
      </c>
      <c r="E3" s="54" t="s">
        <v>419</v>
      </c>
      <c r="F3" s="146" t="s">
        <v>504</v>
      </c>
      <c r="G3" s="54" t="s">
        <v>420</v>
      </c>
      <c r="H3" s="54" t="s">
        <v>421</v>
      </c>
      <c r="I3" s="147" t="s">
        <v>505</v>
      </c>
      <c r="J3" s="55" t="s">
        <v>425</v>
      </c>
    </row>
    <row r="4" spans="1:10" ht="14.25" customHeight="1" x14ac:dyDescent="0.3">
      <c r="A4" s="56">
        <v>1</v>
      </c>
      <c r="B4" s="56" t="s">
        <v>426</v>
      </c>
      <c r="C4" s="56"/>
      <c r="D4" s="56" t="s">
        <v>506</v>
      </c>
      <c r="E4" s="56"/>
      <c r="F4" s="134" t="str">
        <f>'M-PrefijoCelular'!C4</f>
        <v>+57</v>
      </c>
      <c r="G4" s="56">
        <v>3234528921</v>
      </c>
      <c r="H4" s="56" t="s">
        <v>65</v>
      </c>
      <c r="I4" s="56" t="s">
        <v>438</v>
      </c>
      <c r="J4" s="56" t="str">
        <f>_xlfn.CONCAT(F4,"-",G4)</f>
        <v>+57-3234528921</v>
      </c>
    </row>
    <row r="5" spans="1:10" ht="14.25" customHeight="1" x14ac:dyDescent="0.3">
      <c r="A5" s="56">
        <v>2</v>
      </c>
      <c r="B5" s="56" t="s">
        <v>507</v>
      </c>
      <c r="C5" s="56" t="s">
        <v>508</v>
      </c>
      <c r="D5" s="56" t="s">
        <v>436</v>
      </c>
      <c r="E5" s="56" t="s">
        <v>440</v>
      </c>
      <c r="F5" s="134" t="str">
        <f>'M-PrefijoCelular'!C4</f>
        <v>+57</v>
      </c>
      <c r="G5" s="56">
        <v>3161657782</v>
      </c>
      <c r="H5" s="56" t="s">
        <v>65</v>
      </c>
      <c r="I5" s="56" t="s">
        <v>438</v>
      </c>
      <c r="J5" s="56" t="str">
        <f>_xlfn.CONCAT(F5,"-",G5)</f>
        <v>+57-3161657782</v>
      </c>
    </row>
    <row r="6" spans="1:10" ht="14.25" customHeight="1" x14ac:dyDescent="0.3">
      <c r="A6" s="56">
        <v>3</v>
      </c>
      <c r="B6" s="56" t="s">
        <v>509</v>
      </c>
      <c r="C6" s="56"/>
      <c r="D6" s="56" t="s">
        <v>510</v>
      </c>
      <c r="E6" s="56" t="s">
        <v>436</v>
      </c>
      <c r="F6" s="134" t="str">
        <f>'M-PrefijoCelular'!C4</f>
        <v>+57</v>
      </c>
      <c r="G6" s="56">
        <v>3119884321</v>
      </c>
      <c r="H6" s="56" t="s">
        <v>65</v>
      </c>
      <c r="I6" s="56" t="s">
        <v>438</v>
      </c>
      <c r="J6" s="56" t="str">
        <f>_xlfn.CONCAT(F6,"-",G6)</f>
        <v>+57-3119884321</v>
      </c>
    </row>
    <row r="7" spans="1:10" ht="14.25" customHeight="1" x14ac:dyDescent="0.3">
      <c r="A7" s="56">
        <v>4</v>
      </c>
      <c r="B7" s="56" t="s">
        <v>511</v>
      </c>
      <c r="C7" s="56"/>
      <c r="D7" s="56" t="s">
        <v>512</v>
      </c>
      <c r="E7" s="56"/>
      <c r="F7" s="134" t="str">
        <f>'M-PrefijoCelular'!C7</f>
        <v>+58</v>
      </c>
      <c r="G7" s="56">
        <v>4127359182</v>
      </c>
      <c r="H7" s="56" t="s">
        <v>65</v>
      </c>
      <c r="I7" s="56" t="s">
        <v>438</v>
      </c>
      <c r="J7" s="56" t="str">
        <f>_xlfn.CONCAT(F7,"-",G7)</f>
        <v>+58-4127359182</v>
      </c>
    </row>
    <row r="8" spans="1:10" ht="14.25" customHeight="1" x14ac:dyDescent="0.3">
      <c r="A8" s="56">
        <v>5</v>
      </c>
      <c r="B8" s="56" t="s">
        <v>513</v>
      </c>
      <c r="C8" s="56" t="s">
        <v>514</v>
      </c>
      <c r="D8" s="56" t="s">
        <v>515</v>
      </c>
      <c r="E8" s="56" t="s">
        <v>516</v>
      </c>
      <c r="F8" s="134" t="str">
        <f>'M-PrefijoCelular'!C4</f>
        <v>+57</v>
      </c>
      <c r="G8" s="56">
        <v>3005544332</v>
      </c>
      <c r="H8" s="56" t="s">
        <v>65</v>
      </c>
      <c r="I8" s="56" t="s">
        <v>253</v>
      </c>
      <c r="J8" s="56" t="str">
        <f>_xlfn.CONCAT(F8,"-",G8)</f>
        <v>+57-3005544332</v>
      </c>
    </row>
    <row r="13" spans="1:10" ht="14.25" customHeight="1" x14ac:dyDescent="0.3">
      <c r="B13" s="60"/>
    </row>
    <row r="14" spans="1:10" ht="28.5" customHeight="1" x14ac:dyDescent="0.3">
      <c r="A14" s="59"/>
      <c r="B14" s="60" t="s">
        <v>139</v>
      </c>
    </row>
    <row r="15" spans="1:10" ht="28.5" customHeight="1" x14ac:dyDescent="0.3">
      <c r="A15" s="61"/>
      <c r="B15" s="60" t="s">
        <v>140</v>
      </c>
    </row>
    <row r="16" spans="1:10" ht="28.5" customHeight="1" x14ac:dyDescent="0.3">
      <c r="A16" s="135"/>
      <c r="B16" s="60" t="s">
        <v>441</v>
      </c>
    </row>
    <row r="17" spans="1:2" ht="28.5" customHeight="1" x14ac:dyDescent="0.3">
      <c r="A17" s="148"/>
      <c r="B17" s="60" t="s">
        <v>517</v>
      </c>
    </row>
    <row r="18" spans="1:2" ht="28.5" customHeight="1" x14ac:dyDescent="0.3">
      <c r="A18" s="62"/>
      <c r="B18" s="60" t="s">
        <v>141</v>
      </c>
    </row>
    <row r="19" spans="1:2" ht="28.5" customHeight="1" x14ac:dyDescent="0.3">
      <c r="A19" s="63"/>
      <c r="B19" s="60" t="s">
        <v>142</v>
      </c>
    </row>
  </sheetData>
  <hyperlinks>
    <hyperlink ref="A1" location="'Modelo de Dominio'!A1" display="&lt;&lt;&lt;&lt; Ir al modulo de dominio" xr:uid="{00000000-0004-0000-1D00-000000000000}"/>
    <hyperlink ref="B1" location="'Objetos de Dominio'!A1" display="&lt;&lt;&lt;&lt; Ir a objetos de dominio" xr:uid="{00000000-0004-0000-1D00-000001000000}"/>
    <hyperlink ref="F3" location="'M-PrefijoCelular'!A1" display="prefijoCelular" xr:uid="{00000000-0004-0000-1D00-000002000000}"/>
    <hyperlink ref="F4" location="'M-PrefijoCelular'!A4" display="#'M-PrefijoCelular'.A4" xr:uid="{00000000-0004-0000-1D00-000003000000}"/>
    <hyperlink ref="F5" location="'M-PrefijoCelular'!A4" display="#'M-PrefijoCelular'.A4" xr:uid="{00000000-0004-0000-1D00-000004000000}"/>
    <hyperlink ref="F6" location="'M-PrefijoCelular'!A4" display="#'M-PrefijoCelular'.A4" xr:uid="{00000000-0004-0000-1D00-000005000000}"/>
    <hyperlink ref="F7" location="'M-PrefijoCelular'!A7" display="#'M-PrefijoCelular'.A7" xr:uid="{00000000-0004-0000-1D00-000006000000}"/>
    <hyperlink ref="F8" location="'M-PrefijoCelular'!A4" display="#'M-PrefijoCelular'.A4" xr:uid="{00000000-0004-0000-1D00-000007000000}"/>
  </hyperlink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X28"/>
  <sheetViews>
    <sheetView zoomScaleNormal="100" workbookViewId="0">
      <selection activeCell="F12" sqref="F12"/>
    </sheetView>
  </sheetViews>
  <sheetFormatPr baseColWidth="10" defaultColWidth="8.6640625" defaultRowHeight="14.4" x14ac:dyDescent="0.3"/>
  <cols>
    <col min="1" max="1" width="26.6640625" customWidth="1"/>
    <col min="2" max="2" width="45" customWidth="1"/>
    <col min="3" max="3" width="35.6640625" customWidth="1"/>
    <col min="4" max="4" width="26.6640625" bestFit="1" customWidth="1"/>
    <col min="5" max="5" width="10.33203125" customWidth="1"/>
    <col min="6" max="6" width="25.44140625" customWidth="1"/>
    <col min="7" max="7" width="25.6640625" customWidth="1"/>
    <col min="8" max="8" width="18" customWidth="1"/>
    <col min="9" max="9" width="21.33203125" customWidth="1"/>
    <col min="10" max="10" width="21.88671875" customWidth="1"/>
    <col min="11" max="11" width="20.33203125" customWidth="1"/>
    <col min="12" max="12" width="17.6640625"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8" customWidth="1"/>
    <col min="22" max="22" width="22" customWidth="1"/>
    <col min="23" max="24" width="24.33203125" customWidth="1"/>
  </cols>
  <sheetData>
    <row r="1" spans="1:24" ht="15" customHeight="1" x14ac:dyDescent="0.3">
      <c r="A1" s="8" t="s">
        <v>1</v>
      </c>
      <c r="B1" s="8" t="s">
        <v>43</v>
      </c>
    </row>
    <row r="2" spans="1:24" ht="15" customHeight="1" x14ac:dyDescent="0.3">
      <c r="A2" s="88" t="s">
        <v>44</v>
      </c>
      <c r="B2" s="88" t="s">
        <v>45</v>
      </c>
      <c r="C2" s="88" t="s">
        <v>46</v>
      </c>
      <c r="D2" s="88" t="s">
        <v>47</v>
      </c>
      <c r="E2" s="88" t="s">
        <v>48</v>
      </c>
      <c r="F2" s="88" t="s">
        <v>49</v>
      </c>
      <c r="G2" s="88" t="s">
        <v>50</v>
      </c>
      <c r="H2" s="88" t="s">
        <v>51</v>
      </c>
      <c r="I2" s="88" t="s">
        <v>52</v>
      </c>
      <c r="J2" s="88" t="s">
        <v>53</v>
      </c>
      <c r="K2" s="88" t="s">
        <v>54</v>
      </c>
      <c r="L2" s="88" t="s">
        <v>55</v>
      </c>
      <c r="M2" s="88" t="s">
        <v>56</v>
      </c>
      <c r="N2" s="88" t="s">
        <v>57</v>
      </c>
      <c r="O2" s="88" t="s">
        <v>58</v>
      </c>
      <c r="P2" s="88" t="s">
        <v>59</v>
      </c>
      <c r="Q2" s="88" t="s">
        <v>60</v>
      </c>
      <c r="R2" s="88" t="s">
        <v>61</v>
      </c>
      <c r="S2" s="88" t="s">
        <v>62</v>
      </c>
      <c r="T2" s="88" t="s">
        <v>63</v>
      </c>
      <c r="U2" s="88" t="s">
        <v>64</v>
      </c>
      <c r="V2" s="89" t="str">
        <f>A21</f>
        <v>definirHorarioBarberia</v>
      </c>
      <c r="W2" s="65" t="str">
        <f>A24</f>
        <v>consultarHorariosBarberia</v>
      </c>
      <c r="X2" s="66" t="str">
        <f>A25</f>
        <v>desactivarHorarioBarberia</v>
      </c>
    </row>
    <row r="3" spans="1:24" ht="45" customHeight="1" x14ac:dyDescent="0.3">
      <c r="A3" s="20" t="str">
        <f>'M-HorarioBarberia'!A3</f>
        <v>id</v>
      </c>
      <c r="B3" s="21" t="str">
        <f>'M-HorarioBarberia'!A2</f>
        <v>Representa un identificador que hará unico cada objeto de dominio de este tipo, no se puede repetir</v>
      </c>
      <c r="C3" s="20" t="s">
        <v>65</v>
      </c>
      <c r="D3" s="20" t="s">
        <v>66</v>
      </c>
      <c r="E3" s="20" t="s">
        <v>65</v>
      </c>
      <c r="F3" s="20" t="s">
        <v>67</v>
      </c>
      <c r="G3" s="20" t="s">
        <v>67</v>
      </c>
      <c r="H3" s="20" t="s">
        <v>67</v>
      </c>
      <c r="I3" s="20" t="s">
        <v>67</v>
      </c>
      <c r="J3" s="20" t="s">
        <v>67</v>
      </c>
      <c r="K3" s="20" t="s">
        <v>67</v>
      </c>
      <c r="L3" s="20" t="s">
        <v>67</v>
      </c>
      <c r="M3" s="21" t="s">
        <v>67</v>
      </c>
      <c r="N3" s="20" t="s">
        <v>68</v>
      </c>
      <c r="O3" s="20" t="s">
        <v>68</v>
      </c>
      <c r="P3" s="20" t="s">
        <v>67</v>
      </c>
      <c r="Q3" s="20" t="s">
        <v>67</v>
      </c>
      <c r="R3" s="20" t="s">
        <v>67</v>
      </c>
      <c r="S3" s="20" t="s">
        <v>68</v>
      </c>
      <c r="T3" s="20" t="s">
        <v>69</v>
      </c>
      <c r="U3" s="20" t="s">
        <v>65</v>
      </c>
      <c r="V3" s="92" t="s">
        <v>147</v>
      </c>
      <c r="W3" s="93" t="s">
        <v>70</v>
      </c>
      <c r="X3" s="94" t="s">
        <v>144</v>
      </c>
    </row>
    <row r="4" spans="1:24" ht="30" customHeight="1" x14ac:dyDescent="0.3">
      <c r="A4" s="20" t="str">
        <f>'M-HorarioBarberia'!B3</f>
        <v>diaDeLaSemana</v>
      </c>
      <c r="B4" s="21" t="str">
        <f>'M-HorarioBarberia'!B2</f>
        <v>Representa el día de la semana en el que la barberia abre</v>
      </c>
      <c r="C4" s="20" t="s">
        <v>68</v>
      </c>
      <c r="D4" s="117" t="s">
        <v>9</v>
      </c>
      <c r="E4" s="20" t="s">
        <v>65</v>
      </c>
      <c r="F4" s="20" t="s">
        <v>67</v>
      </c>
      <c r="G4" s="20" t="s">
        <v>67</v>
      </c>
      <c r="H4" s="20" t="s">
        <v>67</v>
      </c>
      <c r="I4" s="20" t="s">
        <v>67</v>
      </c>
      <c r="J4" s="20" t="s">
        <v>67</v>
      </c>
      <c r="K4" s="20" t="s">
        <v>67</v>
      </c>
      <c r="L4" s="20" t="s">
        <v>67</v>
      </c>
      <c r="M4" s="21" t="s">
        <v>327</v>
      </c>
      <c r="N4" s="20" t="s">
        <v>68</v>
      </c>
      <c r="O4" s="20" t="s">
        <v>68</v>
      </c>
      <c r="P4" s="20" t="s">
        <v>67</v>
      </c>
      <c r="Q4" s="20" t="s">
        <v>67</v>
      </c>
      <c r="R4" s="20" t="s">
        <v>67</v>
      </c>
      <c r="S4" s="20" t="s">
        <v>68</v>
      </c>
      <c r="T4" s="20" t="s">
        <v>69</v>
      </c>
      <c r="U4" s="20" t="s">
        <v>68</v>
      </c>
      <c r="V4" s="92" t="s">
        <v>144</v>
      </c>
      <c r="W4" s="93" t="s">
        <v>74</v>
      </c>
      <c r="X4" s="94" t="s">
        <v>147</v>
      </c>
    </row>
    <row r="5" spans="1:24" ht="27.75" customHeight="1" x14ac:dyDescent="0.3">
      <c r="A5" s="20" t="str">
        <f>'M-HorarioBarberia'!C3</f>
        <v>horaApertura</v>
      </c>
      <c r="B5" s="21" t="str">
        <f>'M-HorarioBarberia'!C2</f>
        <v>Representa la hora a la que abre la barbería</v>
      </c>
      <c r="C5" s="20" t="s">
        <v>68</v>
      </c>
      <c r="D5" s="20" t="s">
        <v>518</v>
      </c>
      <c r="E5" s="20" t="s">
        <v>65</v>
      </c>
      <c r="F5" s="20" t="s">
        <v>67</v>
      </c>
      <c r="G5" s="20" t="s">
        <v>67</v>
      </c>
      <c r="H5" s="20" t="s">
        <v>67</v>
      </c>
      <c r="I5" s="20" t="s">
        <v>67</v>
      </c>
      <c r="J5" s="20" t="s">
        <v>67</v>
      </c>
      <c r="K5" s="20" t="s">
        <v>67</v>
      </c>
      <c r="L5" s="20" t="s">
        <v>67</v>
      </c>
      <c r="M5" s="21" t="s">
        <v>67</v>
      </c>
      <c r="N5" s="20" t="s">
        <v>68</v>
      </c>
      <c r="O5" s="20" t="s">
        <v>68</v>
      </c>
      <c r="P5" s="20" t="s">
        <v>67</v>
      </c>
      <c r="Q5" s="20" t="s">
        <v>67</v>
      </c>
      <c r="R5" s="20" t="s">
        <v>67</v>
      </c>
      <c r="S5" s="20" t="s">
        <v>68</v>
      </c>
      <c r="T5" s="20" t="s">
        <v>519</v>
      </c>
      <c r="U5" s="20" t="s">
        <v>68</v>
      </c>
      <c r="V5" s="92" t="s">
        <v>144</v>
      </c>
      <c r="W5" s="93" t="s">
        <v>74</v>
      </c>
      <c r="X5" s="94" t="s">
        <v>147</v>
      </c>
    </row>
    <row r="6" spans="1:24" ht="27.75" customHeight="1" x14ac:dyDescent="0.3">
      <c r="A6" s="20" t="str">
        <f>'M-HorarioBarberia'!D3</f>
        <v>horaCierre</v>
      </c>
      <c r="B6" s="21" t="str">
        <f>'M-HorarioBarberia'!D2</f>
        <v>Representa la hora a la que cierra la barbería</v>
      </c>
      <c r="C6" s="20" t="s">
        <v>68</v>
      </c>
      <c r="D6" s="20" t="s">
        <v>518</v>
      </c>
      <c r="E6" s="20" t="s">
        <v>65</v>
      </c>
      <c r="F6" s="20" t="s">
        <v>67</v>
      </c>
      <c r="G6" s="20" t="s">
        <v>67</v>
      </c>
      <c r="H6" s="20" t="s">
        <v>67</v>
      </c>
      <c r="I6" s="20" t="s">
        <v>67</v>
      </c>
      <c r="J6" s="20" t="s">
        <v>67</v>
      </c>
      <c r="K6" s="20" t="s">
        <v>67</v>
      </c>
      <c r="L6" s="20" t="s">
        <v>67</v>
      </c>
      <c r="M6" s="21" t="s">
        <v>520</v>
      </c>
      <c r="N6" s="20" t="s">
        <v>68</v>
      </c>
      <c r="O6" s="20" t="s">
        <v>68</v>
      </c>
      <c r="P6" s="20" t="s">
        <v>67</v>
      </c>
      <c r="Q6" s="20" t="s">
        <v>67</v>
      </c>
      <c r="R6" s="20" t="s">
        <v>67</v>
      </c>
      <c r="S6" s="20" t="s">
        <v>68</v>
      </c>
      <c r="T6" s="20" t="s">
        <v>519</v>
      </c>
      <c r="U6" s="20" t="s">
        <v>68</v>
      </c>
      <c r="V6" s="92" t="s">
        <v>144</v>
      </c>
      <c r="W6" s="93" t="s">
        <v>74</v>
      </c>
      <c r="X6" s="94" t="s">
        <v>147</v>
      </c>
    </row>
    <row r="7" spans="1:24" ht="45" customHeight="1" x14ac:dyDescent="0.3">
      <c r="A7" s="20" t="str">
        <f>'M-HorarioBarberia'!E3</f>
        <v>fechaCreacion</v>
      </c>
      <c r="B7" s="21" t="str">
        <f>'M-HorarioBarberia'!E2</f>
        <v>Representa la fecha en el que el dueño definio el horario de la barberia. Es un dato calculado que toma la fecha del sistema en ese momento</v>
      </c>
      <c r="C7" s="20" t="s">
        <v>68</v>
      </c>
      <c r="D7" s="20" t="s">
        <v>521</v>
      </c>
      <c r="E7" s="20" t="s">
        <v>65</v>
      </c>
      <c r="F7" s="20" t="s">
        <v>67</v>
      </c>
      <c r="G7" s="20" t="s">
        <v>67</v>
      </c>
      <c r="H7" s="20" t="s">
        <v>67</v>
      </c>
      <c r="I7" s="20" t="s">
        <v>67</v>
      </c>
      <c r="J7" s="20" t="s">
        <v>67</v>
      </c>
      <c r="K7" s="20" t="s">
        <v>67</v>
      </c>
      <c r="L7" s="20" t="s">
        <v>67</v>
      </c>
      <c r="M7" s="21" t="s">
        <v>67</v>
      </c>
      <c r="N7" s="20" t="s">
        <v>68</v>
      </c>
      <c r="O7" s="20" t="s">
        <v>68</v>
      </c>
      <c r="P7" s="20" t="s">
        <v>67</v>
      </c>
      <c r="Q7" s="20" t="s">
        <v>67</v>
      </c>
      <c r="R7" s="20" t="s">
        <v>67</v>
      </c>
      <c r="S7" s="20" t="s">
        <v>68</v>
      </c>
      <c r="T7" s="20" t="s">
        <v>522</v>
      </c>
      <c r="U7" s="20" t="s">
        <v>65</v>
      </c>
      <c r="V7" s="92" t="s">
        <v>147</v>
      </c>
      <c r="W7" s="93" t="s">
        <v>70</v>
      </c>
      <c r="X7" s="94" t="s">
        <v>147</v>
      </c>
    </row>
    <row r="8" spans="1:24" ht="45" customHeight="1" x14ac:dyDescent="0.3">
      <c r="A8" s="20" t="str">
        <f>'M-HorarioBarberia'!F3</f>
        <v>fechaDesactivacion</v>
      </c>
      <c r="B8" s="21" t="str">
        <f>'M-HorarioBarberia'!F2</f>
        <v>Representa la fecha en la que este horario dejó de estar vigente, dueño. Es un dato calculado que toma la fecha del sistema en ese momento</v>
      </c>
      <c r="C8" s="20" t="s">
        <v>68</v>
      </c>
      <c r="D8" s="20" t="s">
        <v>521</v>
      </c>
      <c r="E8" s="20" t="s">
        <v>68</v>
      </c>
      <c r="F8" s="20" t="s">
        <v>67</v>
      </c>
      <c r="G8" s="20" t="s">
        <v>67</v>
      </c>
      <c r="H8" s="20" t="s">
        <v>67</v>
      </c>
      <c r="I8" s="20" t="s">
        <v>67</v>
      </c>
      <c r="J8" s="20" t="s">
        <v>67</v>
      </c>
      <c r="K8" s="20" t="s">
        <v>67</v>
      </c>
      <c r="L8" s="20" t="s">
        <v>67</v>
      </c>
      <c r="M8" s="21" t="s">
        <v>67</v>
      </c>
      <c r="N8" s="20" t="s">
        <v>68</v>
      </c>
      <c r="O8" s="20" t="s">
        <v>68</v>
      </c>
      <c r="P8" s="20" t="s">
        <v>67</v>
      </c>
      <c r="Q8" s="20" t="s">
        <v>67</v>
      </c>
      <c r="R8" s="20" t="s">
        <v>67</v>
      </c>
      <c r="S8" s="20" t="s">
        <v>68</v>
      </c>
      <c r="T8" s="20" t="s">
        <v>522</v>
      </c>
      <c r="U8" s="20" t="s">
        <v>65</v>
      </c>
      <c r="V8" s="92" t="s">
        <v>147</v>
      </c>
      <c r="W8" s="93" t="s">
        <v>70</v>
      </c>
      <c r="X8" s="94" t="s">
        <v>147</v>
      </c>
    </row>
    <row r="9" spans="1:24" ht="60" customHeight="1" x14ac:dyDescent="0.3">
      <c r="A9" s="20" t="str">
        <f>'M-HorarioBarberia'!G3</f>
        <v>vigente</v>
      </c>
      <c r="B9" s="21" t="str">
        <f>'M-HorarioBarberia'!G2</f>
        <v>Representa si este horario lo sigue o no vigente en la barberia. Una vez que el dueño desactive el horario de la barberia, no se puede volver a cambiar</v>
      </c>
      <c r="C9" s="20" t="s">
        <v>68</v>
      </c>
      <c r="D9" s="149" t="s">
        <v>202</v>
      </c>
      <c r="E9" s="20" t="s">
        <v>65</v>
      </c>
      <c r="F9" s="20" t="s">
        <v>67</v>
      </c>
      <c r="G9" s="20" t="s">
        <v>67</v>
      </c>
      <c r="H9" s="20" t="s">
        <v>67</v>
      </c>
      <c r="I9" s="20" t="s">
        <v>67</v>
      </c>
      <c r="J9" s="20" t="s">
        <v>67</v>
      </c>
      <c r="K9" s="20" t="s">
        <v>67</v>
      </c>
      <c r="L9" s="20" t="s">
        <v>67</v>
      </c>
      <c r="M9" s="21" t="s">
        <v>523</v>
      </c>
      <c r="N9" s="20" t="s">
        <v>68</v>
      </c>
      <c r="O9" s="20" t="s">
        <v>68</v>
      </c>
      <c r="P9" s="20" t="s">
        <v>67</v>
      </c>
      <c r="Q9" s="20" t="s">
        <v>67</v>
      </c>
      <c r="R9" s="20" t="s">
        <v>67</v>
      </c>
      <c r="S9" s="20" t="s">
        <v>68</v>
      </c>
      <c r="T9" s="20" t="s">
        <v>65</v>
      </c>
      <c r="U9" s="20" t="s">
        <v>65</v>
      </c>
      <c r="V9" s="92" t="s">
        <v>147</v>
      </c>
      <c r="W9" s="93" t="s">
        <v>70</v>
      </c>
      <c r="X9" s="94" t="s">
        <v>147</v>
      </c>
    </row>
    <row r="10" spans="1:24" ht="15" customHeight="1" x14ac:dyDescent="0.3">
      <c r="A10" s="9"/>
      <c r="B10" s="9"/>
      <c r="C10" s="9"/>
      <c r="D10" s="9"/>
      <c r="E10" s="9"/>
      <c r="F10" s="9"/>
      <c r="G10" s="9"/>
      <c r="H10" s="9"/>
      <c r="I10" s="9"/>
      <c r="J10" s="9"/>
      <c r="K10" s="9"/>
      <c r="L10" s="9"/>
      <c r="M10" s="9"/>
      <c r="N10" s="9"/>
      <c r="O10" s="9"/>
      <c r="P10" s="9"/>
      <c r="Q10" s="9"/>
      <c r="R10" s="9"/>
      <c r="S10" s="9"/>
      <c r="T10" s="9"/>
      <c r="U10" s="9"/>
    </row>
    <row r="11" spans="1:24" ht="15" customHeight="1" x14ac:dyDescent="0.3">
      <c r="A11" s="23" t="s">
        <v>75</v>
      </c>
      <c r="B11" s="23" t="s">
        <v>76</v>
      </c>
      <c r="C11" s="23" t="s">
        <v>77</v>
      </c>
      <c r="D11" s="96"/>
      <c r="E11" s="96"/>
      <c r="F11" s="96"/>
      <c r="G11" s="96"/>
      <c r="H11" s="96"/>
      <c r="I11" s="96"/>
      <c r="J11" s="96"/>
      <c r="K11" s="96"/>
      <c r="L11" s="96"/>
      <c r="M11" s="96"/>
      <c r="N11" s="96"/>
      <c r="O11" s="96"/>
      <c r="P11" s="96"/>
      <c r="Q11" s="96"/>
      <c r="R11" s="96"/>
      <c r="S11" s="96"/>
      <c r="T11" s="96"/>
      <c r="U11" s="96"/>
    </row>
    <row r="12" spans="1:24" ht="15" customHeight="1" x14ac:dyDescent="0.3">
      <c r="A12" s="300" t="str">
        <f>'M-HorarioBarberia'!H3</f>
        <v>Combinación única</v>
      </c>
      <c r="B12" s="301" t="s">
        <v>524</v>
      </c>
      <c r="C12" s="26" t="str">
        <f>A4</f>
        <v>diaDeLaSemana</v>
      </c>
      <c r="D12" s="9"/>
      <c r="E12" s="9"/>
      <c r="F12" s="9"/>
      <c r="G12" s="9"/>
      <c r="H12" s="9"/>
      <c r="I12" s="9"/>
      <c r="J12" s="9"/>
      <c r="K12" s="9"/>
      <c r="L12" s="9"/>
      <c r="M12" s="9"/>
      <c r="N12" s="9"/>
      <c r="O12" s="9"/>
      <c r="P12" s="9"/>
      <c r="Q12" s="9"/>
      <c r="R12" s="9"/>
      <c r="S12" s="9"/>
      <c r="T12" s="9"/>
      <c r="U12" s="9"/>
    </row>
    <row r="13" spans="1:24" ht="15" customHeight="1" x14ac:dyDescent="0.3">
      <c r="A13" s="300"/>
      <c r="B13" s="301"/>
      <c r="C13" s="26" t="str">
        <f>A5</f>
        <v>horaApertura</v>
      </c>
      <c r="D13" s="9"/>
      <c r="E13" s="9"/>
      <c r="F13" s="9"/>
      <c r="G13" s="9"/>
      <c r="H13" s="9"/>
      <c r="I13" s="9"/>
      <c r="J13" s="9"/>
      <c r="K13" s="9"/>
      <c r="L13" s="9"/>
      <c r="M13" s="9"/>
      <c r="N13" s="9"/>
      <c r="O13" s="9"/>
      <c r="P13" s="9"/>
      <c r="Q13" s="9"/>
      <c r="R13" s="9"/>
      <c r="S13" s="9"/>
      <c r="T13" s="9"/>
      <c r="U13" s="9"/>
    </row>
    <row r="14" spans="1:24" ht="24.6" customHeight="1" x14ac:dyDescent="0.3">
      <c r="A14" s="300"/>
      <c r="B14" s="301"/>
      <c r="C14" s="26" t="str">
        <f>A6</f>
        <v>horaCierre</v>
      </c>
      <c r="D14" s="9"/>
      <c r="E14" s="9"/>
      <c r="F14" s="9"/>
      <c r="G14" s="9"/>
      <c r="H14" s="9"/>
      <c r="I14" s="9"/>
      <c r="J14" s="9"/>
      <c r="K14" s="9"/>
      <c r="L14" s="9"/>
      <c r="M14" s="9"/>
      <c r="N14" s="9"/>
      <c r="O14" s="9"/>
      <c r="P14" s="9"/>
      <c r="Q14" s="9"/>
      <c r="R14" s="9"/>
      <c r="S14" s="9"/>
      <c r="T14" s="9"/>
      <c r="U14" s="9"/>
    </row>
    <row r="15" spans="1:24" ht="15" customHeight="1" x14ac:dyDescent="0.3">
      <c r="A15" s="300"/>
      <c r="B15" s="301"/>
      <c r="C15" s="26" t="str">
        <f>A7</f>
        <v>fechaCreacion</v>
      </c>
    </row>
    <row r="16" spans="1:24" ht="15" customHeight="1" x14ac:dyDescent="0.3">
      <c r="A16" s="300"/>
      <c r="B16" s="301"/>
      <c r="C16" s="26" t="str">
        <f>A8</f>
        <v>fechaDesactivacion</v>
      </c>
    </row>
    <row r="17" spans="1:21" ht="15" customHeight="1" x14ac:dyDescent="0.3">
      <c r="D17" s="97"/>
      <c r="E17" s="97"/>
      <c r="F17" s="97"/>
      <c r="G17" s="97"/>
      <c r="H17" s="97"/>
      <c r="I17" s="97"/>
      <c r="J17" s="97"/>
      <c r="K17" s="97"/>
      <c r="L17" s="97"/>
      <c r="M17" s="97"/>
      <c r="N17" s="97"/>
      <c r="O17" s="97"/>
      <c r="P17" s="97"/>
      <c r="Q17" s="97"/>
      <c r="R17" s="97"/>
      <c r="S17" s="97"/>
      <c r="T17" s="97"/>
      <c r="U17" s="97"/>
    </row>
    <row r="18" spans="1:21" ht="15" customHeight="1" x14ac:dyDescent="0.3">
      <c r="A18" s="84"/>
      <c r="B18" s="84"/>
    </row>
    <row r="19" spans="1:21" ht="15" customHeight="1" x14ac:dyDescent="0.3">
      <c r="A19" s="243" t="s">
        <v>79</v>
      </c>
      <c r="B19" s="243"/>
      <c r="C19" s="239" t="s">
        <v>76</v>
      </c>
      <c r="D19" s="239"/>
      <c r="E19" s="239"/>
      <c r="F19" s="239"/>
      <c r="G19" s="239" t="s">
        <v>80</v>
      </c>
      <c r="H19" s="239"/>
      <c r="I19" s="239"/>
      <c r="J19" s="239" t="s">
        <v>81</v>
      </c>
      <c r="K19" s="239"/>
      <c r="L19" s="239"/>
      <c r="M19" s="239"/>
      <c r="N19" s="239"/>
      <c r="O19" s="239" t="s">
        <v>82</v>
      </c>
      <c r="P19" s="239"/>
      <c r="Q19" s="239" t="s">
        <v>83</v>
      </c>
      <c r="R19" s="239"/>
    </row>
    <row r="20" spans="1:21" ht="15" customHeight="1" x14ac:dyDescent="0.3">
      <c r="A20" s="243"/>
      <c r="B20" s="243"/>
      <c r="C20" s="239"/>
      <c r="D20" s="239"/>
      <c r="E20" s="239"/>
      <c r="F20" s="239"/>
      <c r="G20" s="27" t="s">
        <v>84</v>
      </c>
      <c r="H20" s="27" t="s">
        <v>47</v>
      </c>
      <c r="I20" s="27" t="s">
        <v>76</v>
      </c>
      <c r="J20" s="27" t="s">
        <v>85</v>
      </c>
      <c r="K20" s="240" t="s">
        <v>76</v>
      </c>
      <c r="L20" s="240"/>
      <c r="M20" s="240"/>
      <c r="N20" s="240"/>
      <c r="O20" s="27" t="s">
        <v>86</v>
      </c>
      <c r="P20" s="27" t="s">
        <v>76</v>
      </c>
      <c r="Q20" s="27" t="s">
        <v>87</v>
      </c>
      <c r="R20" s="28" t="s">
        <v>88</v>
      </c>
    </row>
    <row r="21" spans="1:21" ht="76.5" customHeight="1" x14ac:dyDescent="0.3">
      <c r="A21" s="302" t="s">
        <v>525</v>
      </c>
      <c r="B21" s="302"/>
      <c r="C21" s="285" t="s">
        <v>526</v>
      </c>
      <c r="D21" s="285"/>
      <c r="E21" s="285"/>
      <c r="F21" s="285"/>
      <c r="G21" s="285" t="s">
        <v>527</v>
      </c>
      <c r="H21" s="303" t="s">
        <v>27</v>
      </c>
      <c r="I21" s="285" t="s">
        <v>528</v>
      </c>
      <c r="J21" s="304" t="s">
        <v>27</v>
      </c>
      <c r="K21" s="285" t="s">
        <v>529</v>
      </c>
      <c r="L21" s="285"/>
      <c r="M21" s="285"/>
      <c r="N21" s="285"/>
      <c r="O21" s="116" t="str">
        <f>'P-HorarioBarberia'!A6</f>
        <v>P-HBA-0001</v>
      </c>
      <c r="P21" s="31" t="str">
        <f>'P-HorarioBarberia'!B6</f>
        <v>Asegurar que los datos requeridos (día de la semana, hora de apertura, hora de cierre) sean válidos en tipo de dato, obligatoriedad, formato y rango</v>
      </c>
      <c r="Q21" s="31" t="s">
        <v>530</v>
      </c>
      <c r="R21" s="122" t="s">
        <v>164</v>
      </c>
    </row>
    <row r="22" spans="1:21" ht="63.75" customHeight="1" x14ac:dyDescent="0.3">
      <c r="A22" s="302"/>
      <c r="B22" s="302"/>
      <c r="C22" s="285"/>
      <c r="D22" s="285"/>
      <c r="E22" s="285"/>
      <c r="F22" s="285"/>
      <c r="G22" s="285"/>
      <c r="H22" s="285"/>
      <c r="I22" s="285"/>
      <c r="J22" s="285"/>
      <c r="K22" s="285"/>
      <c r="L22" s="285"/>
      <c r="M22" s="285"/>
      <c r="N22" s="285"/>
      <c r="O22" s="116" t="str">
        <f>'P-HorarioBarberia'!A7</f>
        <v>P-HBA-0002</v>
      </c>
      <c r="P22" s="31" t="str">
        <f>'P-HorarioBarberia'!B7</f>
        <v>Asegurar que no exista otro horario vigente definido para el mismo día de la semana, que se cruze con las horas de apertura y cierre</v>
      </c>
      <c r="Q22" s="31" t="s">
        <v>531</v>
      </c>
      <c r="R22" s="122" t="s">
        <v>164</v>
      </c>
    </row>
    <row r="23" spans="1:21" ht="38.25" customHeight="1" x14ac:dyDescent="0.3">
      <c r="A23" s="302"/>
      <c r="B23" s="302"/>
      <c r="C23" s="285"/>
      <c r="D23" s="285"/>
      <c r="E23" s="285"/>
      <c r="F23" s="285"/>
      <c r="G23" s="285"/>
      <c r="H23" s="285"/>
      <c r="I23" s="285"/>
      <c r="J23" s="285"/>
      <c r="K23" s="285"/>
      <c r="L23" s="285"/>
      <c r="M23" s="285"/>
      <c r="N23" s="285"/>
      <c r="O23" s="116" t="str">
        <f>'P-HorarioBarberia'!A12</f>
        <v>P-HBA-0007</v>
      </c>
      <c r="P23" s="31" t="str">
        <f>'P-HorarioBarberia'!B12</f>
        <v>Asegurar que el horario de la barbería que se va a desactivar se encuentre vigente</v>
      </c>
      <c r="Q23" s="31" t="s">
        <v>532</v>
      </c>
      <c r="R23" s="122" t="s">
        <v>164</v>
      </c>
    </row>
    <row r="24" spans="1:21" ht="38.25" customHeight="1" x14ac:dyDescent="0.3">
      <c r="A24" s="323" t="s">
        <v>533</v>
      </c>
      <c r="B24" s="323"/>
      <c r="C24" s="282" t="s">
        <v>534</v>
      </c>
      <c r="D24" s="282"/>
      <c r="E24" s="282"/>
      <c r="F24" s="282"/>
      <c r="G24" s="123"/>
      <c r="H24" s="123"/>
      <c r="I24" s="71"/>
      <c r="J24" s="141" t="s">
        <v>535</v>
      </c>
      <c r="K24" s="322" t="s">
        <v>536</v>
      </c>
      <c r="L24" s="322"/>
      <c r="M24" s="322"/>
      <c r="N24" s="322"/>
      <c r="O24" s="123"/>
      <c r="P24" s="71"/>
      <c r="Q24" s="71"/>
      <c r="R24" s="124"/>
    </row>
    <row r="25" spans="1:21" ht="63.75" customHeight="1" x14ac:dyDescent="0.3">
      <c r="A25" s="307" t="s">
        <v>537</v>
      </c>
      <c r="B25" s="307"/>
      <c r="C25" s="295" t="s">
        <v>538</v>
      </c>
      <c r="D25" s="295"/>
      <c r="E25" s="295"/>
      <c r="F25" s="295"/>
      <c r="G25" s="315" t="s">
        <v>129</v>
      </c>
      <c r="H25" s="315" t="s">
        <v>156</v>
      </c>
      <c r="I25" s="295" t="s">
        <v>539</v>
      </c>
      <c r="J25" s="295" t="s">
        <v>223</v>
      </c>
      <c r="K25" s="295"/>
      <c r="L25" s="295"/>
      <c r="M25" s="295"/>
      <c r="N25" s="295"/>
      <c r="O25" s="126" t="s">
        <v>540</v>
      </c>
      <c r="P25" s="75" t="s">
        <v>541</v>
      </c>
      <c r="Q25" s="75" t="s">
        <v>542</v>
      </c>
      <c r="R25" s="127" t="s">
        <v>164</v>
      </c>
    </row>
    <row r="26" spans="1:21" ht="127.5" customHeight="1" x14ac:dyDescent="0.3">
      <c r="A26" s="307"/>
      <c r="B26" s="307"/>
      <c r="C26" s="295"/>
      <c r="D26" s="295"/>
      <c r="E26" s="295"/>
      <c r="F26" s="295"/>
      <c r="G26" s="315"/>
      <c r="H26" s="315"/>
      <c r="I26" s="315"/>
      <c r="J26" s="295"/>
      <c r="K26" s="295"/>
      <c r="L26" s="295"/>
      <c r="M26" s="295"/>
      <c r="N26" s="295"/>
      <c r="O26" s="126" t="str">
        <f>'P-HorarioBarberia'!A9</f>
        <v>P-HBA-0004</v>
      </c>
      <c r="P26" s="75" t="str">
        <f>'P-HorarioBarberia'!B9</f>
        <v>Asegurar que queden canceladas, en el estado Cancelación por cambio de políticas de la barbería, todas las citas futuras asociadas a las agendas de los horarios de barbero desactivados. Se consideran futuras las citas cuya agenda tenga una fecha posterior a la fecha actual</v>
      </c>
      <c r="Q26" s="75" t="s">
        <v>543</v>
      </c>
      <c r="R26" s="127" t="s">
        <v>164</v>
      </c>
    </row>
    <row r="27" spans="1:21" ht="63.75" customHeight="1" x14ac:dyDescent="0.3">
      <c r="A27" s="307"/>
      <c r="B27" s="307"/>
      <c r="C27" s="295"/>
      <c r="D27" s="295"/>
      <c r="E27" s="295"/>
      <c r="F27" s="295"/>
      <c r="G27" s="315"/>
      <c r="H27" s="315"/>
      <c r="I27" s="315"/>
      <c r="J27" s="295"/>
      <c r="K27" s="295"/>
      <c r="L27" s="295"/>
      <c r="M27" s="295"/>
      <c r="N27" s="295"/>
      <c r="O27" s="126" t="str">
        <f>'P-HorarioBarberia'!A10</f>
        <v>P-HBA-0005</v>
      </c>
      <c r="P27" s="75" t="str">
        <f>'P-HorarioBarberia'!B10</f>
        <v>Asegurar que exista el horario de la barbería con el id enviado</v>
      </c>
      <c r="Q27" s="75" t="s">
        <v>544</v>
      </c>
      <c r="R27" s="127" t="s">
        <v>164</v>
      </c>
    </row>
    <row r="28" spans="1:21" ht="51" customHeight="1" x14ac:dyDescent="0.3">
      <c r="A28" s="307"/>
      <c r="B28" s="307"/>
      <c r="C28" s="295"/>
      <c r="D28" s="295"/>
      <c r="E28" s="295"/>
      <c r="F28" s="295"/>
      <c r="G28" s="315"/>
      <c r="H28" s="315"/>
      <c r="I28" s="315"/>
      <c r="J28" s="295"/>
      <c r="K28" s="295"/>
      <c r="L28" s="295"/>
      <c r="M28" s="295"/>
      <c r="N28" s="295"/>
      <c r="O28" s="126" t="str">
        <f>'P-HorarioBarberia'!A12</f>
        <v>P-HBA-0007</v>
      </c>
      <c r="P28" s="75" t="str">
        <f>'P-HorarioBarberia'!B12</f>
        <v>Asegurar que el horario de la barbería que se va a desactivar se encuentre vigente</v>
      </c>
      <c r="Q28" s="75" t="s">
        <v>545</v>
      </c>
      <c r="R28" s="127" t="s">
        <v>164</v>
      </c>
    </row>
  </sheetData>
  <mergeCells count="25">
    <mergeCell ref="A24:B24"/>
    <mergeCell ref="C24:F24"/>
    <mergeCell ref="K24:N24"/>
    <mergeCell ref="A25:B28"/>
    <mergeCell ref="C25:F28"/>
    <mergeCell ref="G25:G28"/>
    <mergeCell ref="H25:H28"/>
    <mergeCell ref="I25:I28"/>
    <mergeCell ref="J25:N28"/>
    <mergeCell ref="J19:N19"/>
    <mergeCell ref="O19:P19"/>
    <mergeCell ref="Q19:R19"/>
    <mergeCell ref="K20:N20"/>
    <mergeCell ref="A21:B23"/>
    <mergeCell ref="C21:F23"/>
    <mergeCell ref="G21:G23"/>
    <mergeCell ref="H21:H23"/>
    <mergeCell ref="I21:I23"/>
    <mergeCell ref="J21:J23"/>
    <mergeCell ref="K21:N23"/>
    <mergeCell ref="A19:B20"/>
    <mergeCell ref="C19:F20"/>
    <mergeCell ref="G19:I19"/>
    <mergeCell ref="B12:B16"/>
    <mergeCell ref="A12:A16"/>
  </mergeCells>
  <hyperlinks>
    <hyperlink ref="A1" location="'Modelo de Dominio'!A1" display="&lt;&lt;&lt;&lt; Ir al modulo de dominio" xr:uid="{00000000-0004-0000-1E00-000000000000}"/>
    <hyperlink ref="B1" location="'Objetos de Dominio'!A1" display="&lt;&lt;&lt;&lt; Ir a objetos de dominio" xr:uid="{00000000-0004-0000-1E00-000001000000}"/>
    <hyperlink ref="V2" location="'C-HorarioBarberia'!A21" display="#'C-HorarioBarberia'.A21" xr:uid="{00000000-0004-0000-1E00-000002000000}"/>
    <hyperlink ref="W2" location="'C-HorarioBarberia'!A24" display="#'C-HorarioBarberia'.A24" xr:uid="{00000000-0004-0000-1E00-000003000000}"/>
    <hyperlink ref="X2" location="'C-HorarioBarberia'!A25" display="#'C-HorarioBarberia'.A25" xr:uid="{00000000-0004-0000-1E00-000004000000}"/>
    <hyperlink ref="D4" location="'C-DiaSemana'!A1" display="DiaSemana" xr:uid="{00000000-0004-0000-1E00-000005000000}"/>
    <hyperlink ref="A21" location="'C-HorarioBarberia'!V2" display="definirHorarioBarberia" xr:uid="{00000000-0004-0000-1E00-000006000000}"/>
    <hyperlink ref="A24" location="'C-HorarioBarberia'!W2" display="consultarHorariosBarberia" xr:uid="{00000000-0004-0000-1E00-000007000000}"/>
    <hyperlink ref="A25" location="'C-HorarioBarberia'!X2" display="desactivarHorarioBarberia" xr:uid="{00000000-0004-0000-1E00-000008000000}"/>
  </hyperlink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6"/>
  <sheetViews>
    <sheetView showGridLines="0" zoomScaleNormal="100" workbookViewId="0">
      <selection activeCell="B1" sqref="B1"/>
    </sheetView>
  </sheetViews>
  <sheetFormatPr baseColWidth="10" defaultColWidth="8.6640625" defaultRowHeight="14.4" x14ac:dyDescent="0.3"/>
  <cols>
    <col min="1" max="1" width="21.33203125" customWidth="1"/>
    <col min="2" max="2" width="29.109375" customWidth="1"/>
    <col min="3" max="3" width="35.5546875" customWidth="1"/>
    <col min="4" max="4" width="37.109375" customWidth="1"/>
    <col min="5" max="5" width="36.66406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Dominio'!A10</f>
        <v>HorarioBarberia</v>
      </c>
      <c r="C2" s="244"/>
      <c r="D2" s="244"/>
      <c r="E2" s="244"/>
    </row>
    <row r="3" spans="1:5" ht="30" customHeight="1" x14ac:dyDescent="0.3">
      <c r="A3" s="35" t="s">
        <v>99</v>
      </c>
      <c r="B3" s="245" t="str">
        <f>'Objetos de Dominio'!B10</f>
        <v>Representa, día por día, a qué hora abre y cierra el negocio; es el límite dentro del cual debe caber el horario de cualquier barbero.</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49.5" customHeight="1" x14ac:dyDescent="0.3">
      <c r="A6" s="36" t="s">
        <v>546</v>
      </c>
      <c r="B6" s="296" t="s">
        <v>547</v>
      </c>
      <c r="C6" s="296"/>
      <c r="D6" s="37" t="s">
        <v>27</v>
      </c>
      <c r="E6" s="37"/>
    </row>
    <row r="7" spans="1:5" ht="30" customHeight="1" x14ac:dyDescent="0.3">
      <c r="A7" s="36" t="s">
        <v>548</v>
      </c>
      <c r="B7" s="296" t="s">
        <v>549</v>
      </c>
      <c r="C7" s="296"/>
      <c r="D7" s="37" t="s">
        <v>27</v>
      </c>
      <c r="E7" s="37"/>
    </row>
    <row r="8" spans="1:5" ht="30" customHeight="1" x14ac:dyDescent="0.3">
      <c r="A8" s="36" t="s">
        <v>540</v>
      </c>
      <c r="B8" s="296" t="s">
        <v>541</v>
      </c>
      <c r="C8" s="296"/>
      <c r="D8" s="37" t="s">
        <v>33</v>
      </c>
      <c r="E8" s="37"/>
    </row>
    <row r="9" spans="1:5" ht="58.5" customHeight="1" x14ac:dyDescent="0.3">
      <c r="A9" s="36" t="s">
        <v>550</v>
      </c>
      <c r="B9" s="296" t="s">
        <v>551</v>
      </c>
      <c r="C9" s="296"/>
      <c r="D9" s="37" t="s">
        <v>37</v>
      </c>
      <c r="E9" s="37"/>
    </row>
    <row r="10" spans="1:5" ht="30" customHeight="1" x14ac:dyDescent="0.3">
      <c r="A10" s="36" t="s">
        <v>552</v>
      </c>
      <c r="B10" s="296" t="s">
        <v>553</v>
      </c>
      <c r="C10" s="296"/>
      <c r="D10" s="37" t="s">
        <v>27</v>
      </c>
      <c r="E10" s="37"/>
    </row>
    <row r="11" spans="1:5" ht="30" customHeight="1" x14ac:dyDescent="0.3">
      <c r="A11" s="36" t="s">
        <v>554</v>
      </c>
      <c r="B11" s="296" t="s">
        <v>555</v>
      </c>
      <c r="C11" s="296"/>
      <c r="D11" s="37" t="s">
        <v>27</v>
      </c>
      <c r="E11" s="37"/>
    </row>
    <row r="12" spans="1:5" ht="27.75" customHeight="1" x14ac:dyDescent="0.3">
      <c r="A12" s="36" t="s">
        <v>556</v>
      </c>
      <c r="B12" s="296" t="s">
        <v>557</v>
      </c>
      <c r="C12" s="296"/>
      <c r="D12" s="37" t="s">
        <v>27</v>
      </c>
      <c r="E12" s="37"/>
    </row>
    <row r="14" spans="1:5" ht="14.25" customHeight="1" x14ac:dyDescent="0.3"/>
    <row r="15" spans="1:5" ht="14.25" customHeight="1" x14ac:dyDescent="0.3"/>
    <row r="16" spans="1:5" ht="14.25" customHeight="1" x14ac:dyDescent="0.3"/>
  </sheetData>
  <mergeCells count="13">
    <mergeCell ref="B11:C11"/>
    <mergeCell ref="B12:C12"/>
    <mergeCell ref="B6:C6"/>
    <mergeCell ref="B7:C7"/>
    <mergeCell ref="B8:C8"/>
    <mergeCell ref="B9:C9"/>
    <mergeCell ref="B10:C10"/>
    <mergeCell ref="B2:E2"/>
    <mergeCell ref="B3:E3"/>
    <mergeCell ref="A4:A5"/>
    <mergeCell ref="B4:C5"/>
    <mergeCell ref="D4:D5"/>
    <mergeCell ref="E4:E5"/>
  </mergeCells>
  <hyperlinks>
    <hyperlink ref="A1" location="'Modelo de Dominio'!A1" display="&lt;&lt; Ir al modelo de dominio" xr:uid="{00000000-0004-0000-1F00-000000000000}"/>
    <hyperlink ref="B1" location="'Objetos de Dominio'!A1" display="&lt;&lt; Ir al listado de objetos de dominio" xr:uid="{00000000-0004-0000-1F00-000001000000}"/>
    <hyperlink ref="C1" location="'C-HorarioBarberia'!A1" display="&lt;&lt; Ir a la caracterización del objeto de dominio" xr:uid="{00000000-0004-0000-1F00-000002000000}"/>
    <hyperlink ref="D1" location="'M-HorarioBarberia'!A1" display="Ir al muestreo de datos del objeto de dominio &gt;&gt;" xr:uid="{00000000-0004-0000-1F00-000003000000}"/>
    <hyperlink ref="E1" location="'E-HorarioBarberia'!A1" display="Ir al event storming del objeto de dominio &gt;&gt;" xr:uid="{00000000-0004-0000-1F00-000004000000}"/>
  </hyperlink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6"/>
  <sheetViews>
    <sheetView showGridLines="0" topLeftCell="A4" zoomScaleNormal="100" workbookViewId="0">
      <selection sqref="A1:B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7.33203125" customWidth="1"/>
    <col min="8" max="8" width="51.332031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150" t="s">
        <v>98</v>
      </c>
      <c r="B2" s="324" t="str">
        <f>'Objetos de Dominio'!A10</f>
        <v>HorarioBarberia</v>
      </c>
      <c r="C2" s="324"/>
      <c r="D2" s="324"/>
      <c r="E2" s="324"/>
      <c r="F2" s="324"/>
      <c r="G2" s="324"/>
      <c r="H2" s="324"/>
      <c r="I2" s="324"/>
      <c r="J2" s="324"/>
      <c r="K2" s="324"/>
    </row>
    <row r="3" spans="1:11" ht="30" customHeight="1" x14ac:dyDescent="0.3">
      <c r="A3" s="151" t="s">
        <v>99</v>
      </c>
      <c r="B3" s="325" t="str">
        <f>'Objetos de Dominio'!B10</f>
        <v>Representa, día por día, a qué hora abre y cierra el negocio; es el límite dentro del cual debe caber el horario de cualquier barbero.</v>
      </c>
      <c r="C3" s="325"/>
      <c r="D3" s="325"/>
      <c r="E3" s="325"/>
      <c r="F3" s="325"/>
      <c r="G3" s="325"/>
      <c r="H3" s="325"/>
      <c r="I3" s="325"/>
      <c r="J3" s="325"/>
      <c r="K3" s="325"/>
    </row>
    <row r="4" spans="1:11" ht="34.5" customHeight="1" x14ac:dyDescent="0.3">
      <c r="A4" s="5" t="s">
        <v>105</v>
      </c>
      <c r="B4" s="326" t="s">
        <v>106</v>
      </c>
      <c r="C4" s="326"/>
      <c r="D4" s="4" t="s">
        <v>107</v>
      </c>
      <c r="E4" s="327" t="s">
        <v>108</v>
      </c>
      <c r="F4" s="327"/>
      <c r="G4" s="328" t="s">
        <v>109</v>
      </c>
      <c r="H4" s="328"/>
      <c r="I4" s="152" t="s">
        <v>110</v>
      </c>
      <c r="J4" s="3" t="s">
        <v>111</v>
      </c>
      <c r="K4" s="153" t="s">
        <v>112</v>
      </c>
    </row>
    <row r="5" spans="1:11" ht="15" customHeight="1" x14ac:dyDescent="0.3">
      <c r="A5" s="329" t="s">
        <v>105</v>
      </c>
      <c r="B5" s="326" t="s">
        <v>113</v>
      </c>
      <c r="C5" s="326" t="s">
        <v>76</v>
      </c>
      <c r="D5" s="330" t="s">
        <v>114</v>
      </c>
      <c r="E5" s="327" t="s">
        <v>115</v>
      </c>
      <c r="F5" s="327"/>
      <c r="G5" s="328" t="s">
        <v>116</v>
      </c>
      <c r="H5" s="328"/>
      <c r="I5" s="331" t="s">
        <v>117</v>
      </c>
      <c r="J5" s="332" t="s">
        <v>118</v>
      </c>
      <c r="K5" s="333" t="s">
        <v>119</v>
      </c>
    </row>
    <row r="6" spans="1:11" ht="15" customHeight="1" x14ac:dyDescent="0.3">
      <c r="A6" s="329"/>
      <c r="B6" s="329"/>
      <c r="C6" s="329"/>
      <c r="D6" s="329"/>
      <c r="E6" s="6" t="s">
        <v>120</v>
      </c>
      <c r="F6" s="6" t="s">
        <v>76</v>
      </c>
      <c r="G6" s="154" t="s">
        <v>121</v>
      </c>
      <c r="H6" s="154" t="s">
        <v>76</v>
      </c>
      <c r="I6" s="331"/>
      <c r="J6" s="331"/>
      <c r="K6" s="331"/>
    </row>
    <row r="7" spans="1:11" ht="57" customHeight="1" x14ac:dyDescent="0.3">
      <c r="A7" s="334" t="s">
        <v>122</v>
      </c>
      <c r="B7" s="334" t="s">
        <v>558</v>
      </c>
      <c r="C7" s="334" t="s">
        <v>526</v>
      </c>
      <c r="D7" s="334" t="str">
        <f>$B$2</f>
        <v>HorarioBarberia</v>
      </c>
      <c r="E7" s="334"/>
      <c r="F7" s="334"/>
      <c r="G7" s="155" t="str">
        <f>'P-HorarioBarberia'!A6</f>
        <v>P-HBA-0001</v>
      </c>
      <c r="H7" s="156" t="str">
        <f>'P-HorarioBarberia'!B6</f>
        <v>Asegurar que los datos requeridos (día de la semana, hora de apertura, hora de cierre) sean válidos en tipo de dato, obligatoriedad, formato y rango</v>
      </c>
      <c r="I7" s="334"/>
      <c r="J7" s="334" t="s">
        <v>559</v>
      </c>
      <c r="K7" s="335"/>
    </row>
    <row r="8" spans="1:11" ht="42.75" customHeight="1" x14ac:dyDescent="0.3">
      <c r="A8" s="334"/>
      <c r="B8" s="334"/>
      <c r="C8" s="334"/>
      <c r="D8" s="334"/>
      <c r="E8" s="334"/>
      <c r="F8" s="334"/>
      <c r="G8" s="155" t="str">
        <f>'P-HorarioBarberia'!A7</f>
        <v>P-HBA-0002</v>
      </c>
      <c r="H8" s="156" t="str">
        <f>'P-HorarioBarberia'!B7</f>
        <v>Asegurar que no exista otro horario vigente definido para el mismo día de la semana, que se cruze con las horas de apertura y cierre</v>
      </c>
      <c r="I8" s="334"/>
      <c r="J8" s="334"/>
      <c r="K8" s="335"/>
    </row>
    <row r="9" spans="1:11" ht="42.75" customHeight="1" x14ac:dyDescent="0.3">
      <c r="A9" s="334"/>
      <c r="B9" s="334"/>
      <c r="C9" s="334"/>
      <c r="D9" s="334"/>
      <c r="E9" s="334"/>
      <c r="F9" s="334"/>
      <c r="G9" s="155" t="str">
        <f>'P-HorarioBarberia'!A11</f>
        <v>P-HBA-0006</v>
      </c>
      <c r="H9" s="156" t="str">
        <f>'P-HorarioBarberia'!B11</f>
        <v>Asegurar que la hora de cierre sea mayor a la hora de apertura</v>
      </c>
      <c r="I9" s="157"/>
      <c r="J9" s="334"/>
      <c r="K9" s="157"/>
    </row>
    <row r="10" spans="1:11" ht="30" customHeight="1" x14ac:dyDescent="0.3">
      <c r="A10" s="2" t="s">
        <v>122</v>
      </c>
      <c r="B10" s="1" t="s">
        <v>560</v>
      </c>
      <c r="C10" s="1" t="s">
        <v>534</v>
      </c>
      <c r="D10" s="2" t="str">
        <f>$B$2</f>
        <v>HorarioBarberia</v>
      </c>
      <c r="E10" s="1"/>
      <c r="F10" s="1"/>
      <c r="G10" s="2"/>
      <c r="H10" s="158"/>
      <c r="I10" s="2"/>
      <c r="J10" s="1" t="s">
        <v>561</v>
      </c>
      <c r="K10" s="1"/>
    </row>
    <row r="11" spans="1:11" ht="30" customHeight="1" x14ac:dyDescent="0.3">
      <c r="A11" s="2" t="s">
        <v>23</v>
      </c>
      <c r="B11" s="1" t="s">
        <v>560</v>
      </c>
      <c r="C11" s="1" t="s">
        <v>562</v>
      </c>
      <c r="D11" s="2" t="str">
        <f>$B$2</f>
        <v>HorarioBarberia</v>
      </c>
      <c r="E11" s="1"/>
      <c r="F11" s="1"/>
      <c r="G11" s="2"/>
      <c r="H11" s="158"/>
      <c r="I11" s="2"/>
      <c r="J11" s="1" t="s">
        <v>561</v>
      </c>
      <c r="K11" s="1"/>
    </row>
    <row r="12" spans="1:11" ht="30" customHeight="1" x14ac:dyDescent="0.3">
      <c r="A12" s="2" t="s">
        <v>25</v>
      </c>
      <c r="B12" s="1" t="s">
        <v>560</v>
      </c>
      <c r="C12" s="1" t="s">
        <v>563</v>
      </c>
      <c r="D12" s="2" t="str">
        <f>$B$2</f>
        <v>HorarioBarberia</v>
      </c>
      <c r="E12" s="1"/>
      <c r="F12" s="1"/>
      <c r="G12" s="2"/>
      <c r="H12" s="158"/>
      <c r="I12" s="2"/>
      <c r="J12" s="1" t="s">
        <v>561</v>
      </c>
      <c r="K12" s="1"/>
    </row>
    <row r="13" spans="1:11" ht="30" customHeight="1" x14ac:dyDescent="0.3">
      <c r="A13" s="338" t="s">
        <v>122</v>
      </c>
      <c r="B13" s="340" t="s">
        <v>564</v>
      </c>
      <c r="C13" s="340" t="s">
        <v>538</v>
      </c>
      <c r="D13" s="340" t="str">
        <f>$B$2</f>
        <v>HorarioBarberia</v>
      </c>
      <c r="E13" s="1" t="s">
        <v>33</v>
      </c>
      <c r="F13" s="1" t="s">
        <v>565</v>
      </c>
      <c r="G13" s="155" t="s">
        <v>540</v>
      </c>
      <c r="H13" s="159" t="s">
        <v>541</v>
      </c>
      <c r="I13" s="340"/>
      <c r="J13" s="340" t="s">
        <v>566</v>
      </c>
      <c r="K13" s="340"/>
    </row>
    <row r="14" spans="1:11" ht="54" customHeight="1" x14ac:dyDescent="0.3">
      <c r="A14" s="343"/>
      <c r="B14" s="341"/>
      <c r="C14" s="341"/>
      <c r="D14" s="341"/>
      <c r="E14" s="1" t="s">
        <v>35</v>
      </c>
      <c r="F14" s="1" t="s">
        <v>567</v>
      </c>
      <c r="G14" s="336" t="s">
        <v>552</v>
      </c>
      <c r="H14" s="338" t="s">
        <v>551</v>
      </c>
      <c r="I14" s="341"/>
      <c r="J14" s="341"/>
      <c r="K14" s="341"/>
    </row>
    <row r="15" spans="1:11" ht="27" customHeight="1" x14ac:dyDescent="0.3">
      <c r="A15" s="343"/>
      <c r="B15" s="341"/>
      <c r="C15" s="341"/>
      <c r="D15" s="341"/>
      <c r="E15" s="1" t="s">
        <v>37</v>
      </c>
      <c r="F15" s="1" t="s">
        <v>568</v>
      </c>
      <c r="G15" s="337"/>
      <c r="H15" s="339"/>
      <c r="I15" s="341"/>
      <c r="J15" s="341"/>
      <c r="K15" s="341"/>
    </row>
    <row r="16" spans="1:11" ht="27.6" x14ac:dyDescent="0.3">
      <c r="A16" s="339"/>
      <c r="B16" s="342"/>
      <c r="C16" s="342"/>
      <c r="D16" s="342"/>
      <c r="E16" s="1" t="s">
        <v>15</v>
      </c>
      <c r="F16" s="1" t="s">
        <v>569</v>
      </c>
      <c r="G16" s="155" t="str">
        <f>'P-HorarioBarberia'!A12</f>
        <v>P-HBA-0007</v>
      </c>
      <c r="H16" s="159" t="str">
        <f>'P-HorarioBarberia'!B12</f>
        <v>Asegurar que el horario de la barbería que se va a desactivar se encuentre vigente</v>
      </c>
      <c r="I16" s="342"/>
      <c r="J16" s="342"/>
      <c r="K16" s="342"/>
    </row>
  </sheetData>
  <mergeCells count="36">
    <mergeCell ref="A13:A16"/>
    <mergeCell ref="B13:B16"/>
    <mergeCell ref="C13:C16"/>
    <mergeCell ref="D13:D16"/>
    <mergeCell ref="J13:J16"/>
    <mergeCell ref="I13:I16"/>
    <mergeCell ref="F7:F9"/>
    <mergeCell ref="I7:I8"/>
    <mergeCell ref="J7:J9"/>
    <mergeCell ref="K7:K8"/>
    <mergeCell ref="G14:G15"/>
    <mergeCell ref="H14:H15"/>
    <mergeCell ref="K13:K16"/>
    <mergeCell ref="A7:A9"/>
    <mergeCell ref="B7:B9"/>
    <mergeCell ref="C7:C9"/>
    <mergeCell ref="D7:D9"/>
    <mergeCell ref="E7:E9"/>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2000-000000000000}"/>
    <hyperlink ref="C1" location="'Objetos de Dominio'!A1" display="&lt;&lt; Ir al listado de objetos de dominio" xr:uid="{00000000-0004-0000-2000-000001000000}"/>
    <hyperlink ref="F1" location="'C-HorarioBarberia'!A1" display="&lt;&lt; Ir a la caracterización del objeto de dominio" xr:uid="{00000000-0004-0000-2000-000002000000}"/>
    <hyperlink ref="J1" location="'M-HorarioBarberia'!A1" display="Ir al muestreo de datos del objeto de dominio &gt;&gt;" xr:uid="{00000000-0004-0000-2000-000003000000}"/>
    <hyperlink ref="G7" location="'P-HorarioBarberia'!A6" display="#'P-HorarioBarberia'.A6" xr:uid="{00000000-0004-0000-2000-000004000000}"/>
    <hyperlink ref="G8" location="'P-HorarioBarberia'!A7" display="#'P-HorarioBarberia'.A7" xr:uid="{00000000-0004-0000-2000-000005000000}"/>
    <hyperlink ref="G9" location="'P-HorarioBarberia'!A11" display="#'P-HorarioBarberia'.A11" xr:uid="{00000000-0004-0000-2000-000006000000}"/>
  </hyperlink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22"/>
  <sheetViews>
    <sheetView topLeftCell="B1" zoomScaleNormal="100" workbookViewId="0">
      <selection activeCell="H3" sqref="H3"/>
    </sheetView>
  </sheetViews>
  <sheetFormatPr baseColWidth="10" defaultColWidth="8.6640625" defaultRowHeight="14.4" x14ac:dyDescent="0.3"/>
  <cols>
    <col min="1" max="1" width="27" customWidth="1"/>
    <col min="2" max="2" width="26.109375" customWidth="1"/>
    <col min="3" max="3" width="15.6640625" customWidth="1"/>
    <col min="4" max="4" width="17.44140625" customWidth="1"/>
    <col min="5" max="5" width="24.88671875" customWidth="1"/>
    <col min="6" max="6" width="38.6640625" customWidth="1"/>
    <col min="7" max="7" width="24.44140625" customWidth="1"/>
    <col min="8" max="8" width="40.88671875" customWidth="1"/>
  </cols>
  <sheetData>
    <row r="1" spans="1:8" ht="14.25" customHeight="1" x14ac:dyDescent="0.3">
      <c r="A1" s="8" t="s">
        <v>1</v>
      </c>
      <c r="B1" s="8" t="s">
        <v>43</v>
      </c>
    </row>
    <row r="2" spans="1:8" ht="42" customHeight="1" x14ac:dyDescent="0.3">
      <c r="A2" s="52" t="s">
        <v>126</v>
      </c>
      <c r="B2" s="52" t="s">
        <v>570</v>
      </c>
      <c r="C2" s="52" t="s">
        <v>571</v>
      </c>
      <c r="D2" s="52" t="s">
        <v>572</v>
      </c>
      <c r="E2" s="51" t="s">
        <v>573</v>
      </c>
      <c r="F2" s="51" t="s">
        <v>574</v>
      </c>
      <c r="G2" s="51" t="s">
        <v>575</v>
      </c>
      <c r="H2" s="52" t="s">
        <v>1100</v>
      </c>
    </row>
    <row r="3" spans="1:8" ht="23.25" customHeight="1" x14ac:dyDescent="0.3">
      <c r="A3" s="53" t="s">
        <v>129</v>
      </c>
      <c r="B3" s="146" t="s">
        <v>576</v>
      </c>
      <c r="C3" s="160" t="s">
        <v>577</v>
      </c>
      <c r="D3" s="54" t="s">
        <v>578</v>
      </c>
      <c r="E3" s="133" t="s">
        <v>579</v>
      </c>
      <c r="F3" s="133" t="s">
        <v>580</v>
      </c>
      <c r="G3" s="133" t="s">
        <v>422</v>
      </c>
      <c r="H3" s="55" t="s">
        <v>319</v>
      </c>
    </row>
    <row r="4" spans="1:8" ht="14.25" customHeight="1" x14ac:dyDescent="0.3">
      <c r="A4" s="56">
        <v>1</v>
      </c>
      <c r="B4" s="161" t="str">
        <f>'M-DiaSemana'!C4</f>
        <v>Lunes</v>
      </c>
      <c r="C4" s="162">
        <v>0.375</v>
      </c>
      <c r="D4" s="162">
        <v>0.79166666666666696</v>
      </c>
      <c r="E4" s="163">
        <v>45242</v>
      </c>
      <c r="F4" s="162" t="s">
        <v>522</v>
      </c>
      <c r="G4" s="162" t="s">
        <v>65</v>
      </c>
      <c r="H4" s="56" t="str">
        <f>_xlfn.CONCAT(B4,"-",TEXT(C4,"hh:mm"),"-",TEXT(D4,"hh:mm"),"-",TEXT(E4,"dd/mm/yyyy"),"-",TEXT(F4,"dd/mm/yyyy"))</f>
        <v>Lunes-09:00-19:00-12/11/2023-1/01/1000</v>
      </c>
    </row>
    <row r="5" spans="1:8" ht="14.25" customHeight="1" x14ac:dyDescent="0.3">
      <c r="A5" s="56">
        <v>2</v>
      </c>
      <c r="B5" s="161" t="str">
        <f>'M-DiaSemana'!C5</f>
        <v>Martes</v>
      </c>
      <c r="C5" s="162">
        <v>0.375</v>
      </c>
      <c r="D5" s="162">
        <v>0.79166666666666696</v>
      </c>
      <c r="E5" s="163">
        <v>45242</v>
      </c>
      <c r="F5" s="162" t="s">
        <v>522</v>
      </c>
      <c r="G5" s="162" t="s">
        <v>65</v>
      </c>
      <c r="H5" s="56" t="str">
        <f t="shared" ref="H5:H10" si="0">_xlfn.CONCAT(B5,"-",TEXT(C5,"hh:mm"),"-",TEXT(D5,"hh:mm"),"-",TEXT(E5,"dd/mm/yyyy"),"-",TEXT(F5,"dd/mm/yyyy"))</f>
        <v>Martes-09:00-19:00-12/11/2023-1/01/1000</v>
      </c>
    </row>
    <row r="6" spans="1:8" ht="14.25" customHeight="1" x14ac:dyDescent="0.3">
      <c r="A6" s="56">
        <v>3</v>
      </c>
      <c r="B6" s="161" t="str">
        <f>'M-DiaSemana'!C6</f>
        <v>Miércoles</v>
      </c>
      <c r="C6" s="162">
        <v>0.375</v>
      </c>
      <c r="D6" s="162">
        <v>0.79166666666666696</v>
      </c>
      <c r="E6" s="163">
        <v>45242</v>
      </c>
      <c r="F6" s="162" t="s">
        <v>522</v>
      </c>
      <c r="G6" s="162" t="s">
        <v>65</v>
      </c>
      <c r="H6" s="56" t="str">
        <f t="shared" si="0"/>
        <v>Miércoles-09:00-19:00-12/11/2023-1/01/1000</v>
      </c>
    </row>
    <row r="7" spans="1:8" ht="14.25" customHeight="1" x14ac:dyDescent="0.3">
      <c r="A7" s="56">
        <v>4</v>
      </c>
      <c r="B7" s="161" t="str">
        <f>'M-DiaSemana'!C7</f>
        <v>Jueves</v>
      </c>
      <c r="C7" s="162">
        <v>0.375</v>
      </c>
      <c r="D7" s="162">
        <v>0.79166666666666696</v>
      </c>
      <c r="E7" s="163">
        <v>45242</v>
      </c>
      <c r="F7" s="162" t="s">
        <v>522</v>
      </c>
      <c r="G7" s="162" t="s">
        <v>65</v>
      </c>
      <c r="H7" s="56" t="str">
        <f t="shared" si="0"/>
        <v>Jueves-09:00-19:00-12/11/2023-1/01/1000</v>
      </c>
    </row>
    <row r="8" spans="1:8" ht="14.25" customHeight="1" x14ac:dyDescent="0.3">
      <c r="A8" s="56">
        <v>5</v>
      </c>
      <c r="B8" s="161" t="str">
        <f>'M-DiaSemana'!C8</f>
        <v>Viernes</v>
      </c>
      <c r="C8" s="162">
        <v>0.375</v>
      </c>
      <c r="D8" s="162">
        <v>0.79166666666666696</v>
      </c>
      <c r="E8" s="163">
        <v>45242</v>
      </c>
      <c r="F8" s="162" t="s">
        <v>522</v>
      </c>
      <c r="G8" s="162" t="s">
        <v>65</v>
      </c>
      <c r="H8" s="56" t="str">
        <f t="shared" si="0"/>
        <v>Viernes-09:00-19:00-12/11/2023-1/01/1000</v>
      </c>
    </row>
    <row r="9" spans="1:8" ht="14.25" customHeight="1" x14ac:dyDescent="0.3">
      <c r="A9" s="56">
        <v>6</v>
      </c>
      <c r="B9" s="161" t="str">
        <f>'M-DiaSemana'!C9</f>
        <v>Sábado</v>
      </c>
      <c r="C9" s="164">
        <v>0.33333333333333298</v>
      </c>
      <c r="D9" s="162">
        <v>0.875</v>
      </c>
      <c r="E9" s="163">
        <v>45638</v>
      </c>
      <c r="F9" s="162" t="s">
        <v>522</v>
      </c>
      <c r="G9" s="162" t="s">
        <v>65</v>
      </c>
      <c r="H9" s="56" t="str">
        <f t="shared" si="0"/>
        <v>Sábado-08:00-21:00-12/12/2024-1/01/1000</v>
      </c>
    </row>
    <row r="10" spans="1:8" ht="14.25" customHeight="1" x14ac:dyDescent="0.3">
      <c r="A10" s="56">
        <v>7</v>
      </c>
      <c r="B10" s="161" t="str">
        <f>'M-DiaSemana'!C11</f>
        <v>Festivo</v>
      </c>
      <c r="C10" s="162">
        <v>0.41666666666666702</v>
      </c>
      <c r="D10" s="162">
        <v>0.625</v>
      </c>
      <c r="E10" s="163">
        <v>45638</v>
      </c>
      <c r="F10" s="162" t="s">
        <v>522</v>
      </c>
      <c r="G10" s="162" t="s">
        <v>65</v>
      </c>
      <c r="H10" s="56" t="str">
        <f t="shared" si="0"/>
        <v>Festivo-10:00-15:00-12/12/2024-1/01/1000</v>
      </c>
    </row>
    <row r="16" spans="1:8" ht="28.5" customHeight="1" x14ac:dyDescent="0.3">
      <c r="A16" s="59"/>
      <c r="B16" s="60" t="s">
        <v>139</v>
      </c>
    </row>
    <row r="17" spans="1:2" ht="28.5" customHeight="1" x14ac:dyDescent="0.3">
      <c r="A17" s="61"/>
      <c r="B17" s="60" t="s">
        <v>140</v>
      </c>
    </row>
    <row r="18" spans="1:2" ht="28.5" customHeight="1" x14ac:dyDescent="0.3">
      <c r="A18" s="135"/>
      <c r="B18" s="60" t="s">
        <v>441</v>
      </c>
    </row>
    <row r="19" spans="1:2" ht="45" customHeight="1" x14ac:dyDescent="0.3">
      <c r="A19" s="136"/>
      <c r="B19" s="60" t="s">
        <v>442</v>
      </c>
    </row>
    <row r="20" spans="1:2" ht="28.5" customHeight="1" x14ac:dyDescent="0.3">
      <c r="A20" s="165"/>
      <c r="B20" s="60" t="s">
        <v>141</v>
      </c>
    </row>
    <row r="21" spans="1:2" ht="28.5" customHeight="1" x14ac:dyDescent="0.3">
      <c r="A21" s="166"/>
      <c r="B21" s="60" t="s">
        <v>142</v>
      </c>
    </row>
    <row r="22" spans="1:2" x14ac:dyDescent="0.3">
      <c r="B22" s="60"/>
    </row>
  </sheetData>
  <hyperlinks>
    <hyperlink ref="A1" location="'Modelo de Dominio'!A1" display="&lt;&lt;&lt;&lt; Ir al modulo de dominio" xr:uid="{00000000-0004-0000-2100-000000000000}"/>
    <hyperlink ref="B1" location="'Objetos de Dominio'!A1" display="&lt;&lt;&lt;&lt; Ir a objetos de dominio" xr:uid="{00000000-0004-0000-2100-000001000000}"/>
    <hyperlink ref="B3" location="'M-DiaSemana'!A1" display="diaDeLaSemana" xr:uid="{00000000-0004-0000-2100-000002000000}"/>
    <hyperlink ref="B4" location="'M-DiaSemana'!A4" display="#'M-DiaSemana'.A4" xr:uid="{00000000-0004-0000-2100-000003000000}"/>
    <hyperlink ref="B5" location="'M-DiaSemana'!A5" display="#'M-DiaSemana'.A5" xr:uid="{00000000-0004-0000-2100-000004000000}"/>
    <hyperlink ref="B6" location="'M-DiaSemana'!A6" display="#'M-DiaSemana'.A6" xr:uid="{00000000-0004-0000-2100-000005000000}"/>
    <hyperlink ref="B7" location="'M-DiaSemana'!A7" display="#'M-DiaSemana'.A7" xr:uid="{00000000-0004-0000-2100-000006000000}"/>
    <hyperlink ref="B8" location="'M-DiaSemana'!A8" display="#'M-DiaSemana'.A8" xr:uid="{00000000-0004-0000-2100-000007000000}"/>
    <hyperlink ref="B9" location="'M-DiaSemana'!A9" display="#'M-DiaSemana'.A9" xr:uid="{00000000-0004-0000-2100-000008000000}"/>
    <hyperlink ref="B10" location="'M-DiaSemana'!A11" display="#'M-DiaSemana'.A11" xr:uid="{00000000-0004-0000-2100-000009000000}"/>
  </hyperlink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A25"/>
  <sheetViews>
    <sheetView topLeftCell="M1" zoomScale="115" zoomScaleNormal="115" workbookViewId="0">
      <selection activeCell="R8" sqref="R8"/>
    </sheetView>
  </sheetViews>
  <sheetFormatPr baseColWidth="10" defaultColWidth="8.6640625" defaultRowHeight="14.4" x14ac:dyDescent="0.3"/>
  <cols>
    <col min="1" max="1" width="26.6640625" customWidth="1"/>
    <col min="2" max="2" width="45" customWidth="1"/>
    <col min="3" max="3" width="21.5546875" customWidth="1"/>
    <col min="4" max="4" width="24.33203125" customWidth="1"/>
    <col min="5" max="5" width="18" customWidth="1"/>
    <col min="6" max="6" width="9.44140625" customWidth="1"/>
    <col min="7" max="7" width="25.109375" customWidth="1"/>
    <col min="8" max="8" width="13" customWidth="1"/>
    <col min="9" max="9" width="20.88671875" customWidth="1"/>
    <col min="10" max="10" width="17.88671875" customWidth="1"/>
    <col min="11" max="11" width="13" customWidth="1"/>
    <col min="12" max="12" width="9.88671875" customWidth="1"/>
    <col min="13" max="13" width="40" customWidth="1"/>
    <col min="14" max="14" width="18" customWidth="1"/>
    <col min="15" max="15" width="13" customWidth="1"/>
    <col min="16" max="16" width="22.109375" customWidth="1"/>
    <col min="17" max="17" width="18.33203125" customWidth="1"/>
    <col min="18" max="18" width="20.88671875" customWidth="1"/>
    <col min="20" max="20" width="17.44140625" customWidth="1"/>
    <col min="21" max="21" width="11.44140625" customWidth="1"/>
    <col min="22" max="23" width="22" customWidth="1"/>
    <col min="24" max="24" width="17" customWidth="1"/>
    <col min="25" max="25" width="24.44140625" customWidth="1"/>
    <col min="26" max="26" width="13" customWidth="1"/>
    <col min="27" max="27" width="15.44140625" customWidth="1"/>
  </cols>
  <sheetData>
    <row r="1" spans="1:27" ht="15" customHeight="1" x14ac:dyDescent="0.3">
      <c r="A1" s="8" t="s">
        <v>1</v>
      </c>
      <c r="B1" s="8" t="s">
        <v>43</v>
      </c>
    </row>
    <row r="2" spans="1:27" ht="45" customHeight="1" x14ac:dyDescent="0.3">
      <c r="A2" s="167" t="s">
        <v>44</v>
      </c>
      <c r="B2" s="167" t="s">
        <v>45</v>
      </c>
      <c r="C2" s="167" t="s">
        <v>46</v>
      </c>
      <c r="D2" s="167" t="s">
        <v>47</v>
      </c>
      <c r="E2" s="167" t="s">
        <v>48</v>
      </c>
      <c r="F2" s="167" t="s">
        <v>49</v>
      </c>
      <c r="G2" s="167" t="s">
        <v>50</v>
      </c>
      <c r="H2" s="167" t="s">
        <v>51</v>
      </c>
      <c r="I2" s="167" t="s">
        <v>52</v>
      </c>
      <c r="J2" s="167" t="s">
        <v>53</v>
      </c>
      <c r="K2" s="167" t="s">
        <v>54</v>
      </c>
      <c r="L2" s="167" t="s">
        <v>55</v>
      </c>
      <c r="M2" s="167" t="s">
        <v>56</v>
      </c>
      <c r="N2" s="167" t="s">
        <v>57</v>
      </c>
      <c r="O2" s="167" t="s">
        <v>58</v>
      </c>
      <c r="P2" s="167" t="s">
        <v>59</v>
      </c>
      <c r="Q2" s="167" t="s">
        <v>60</v>
      </c>
      <c r="R2" s="167" t="s">
        <v>61</v>
      </c>
      <c r="S2" s="167" t="s">
        <v>62</v>
      </c>
      <c r="T2" s="167" t="s">
        <v>63</v>
      </c>
      <c r="U2" s="167" t="s">
        <v>64</v>
      </c>
      <c r="V2" s="89" t="str">
        <f>A15</f>
        <v>definirBloqueo</v>
      </c>
      <c r="W2" s="90" t="str">
        <f>A19</f>
        <v>eliminarBloqueo</v>
      </c>
      <c r="X2" s="91" t="str">
        <f>A21</f>
        <v>consultarBloqueosPorFecha</v>
      </c>
      <c r="Y2" s="89" t="str">
        <f>A22</f>
        <v>consultarBloqueoPorFechaHora</v>
      </c>
      <c r="Z2" s="275" t="str">
        <f>A23</f>
        <v>editarBloqueo</v>
      </c>
      <c r="AA2" s="275"/>
    </row>
    <row r="3" spans="1:27" ht="28.5" customHeight="1" x14ac:dyDescent="0.3">
      <c r="A3" s="118" t="str">
        <f>'M-Bloqueo'!A3</f>
        <v>id</v>
      </c>
      <c r="B3" s="168" t="str">
        <f>'M-Bloqueo'!A2</f>
        <v>Representa un identificador que hará unico cada objeto de dominio de este tipo, no se puede repetir</v>
      </c>
      <c r="C3" s="118" t="s">
        <v>65</v>
      </c>
      <c r="D3" s="118" t="s">
        <v>66</v>
      </c>
      <c r="E3" s="118" t="s">
        <v>65</v>
      </c>
      <c r="F3" s="118" t="s">
        <v>67</v>
      </c>
      <c r="G3" s="118" t="s">
        <v>67</v>
      </c>
      <c r="H3" s="118" t="s">
        <v>67</v>
      </c>
      <c r="I3" s="118" t="s">
        <v>67</v>
      </c>
      <c r="J3" s="118" t="s">
        <v>67</v>
      </c>
      <c r="K3" s="118" t="s">
        <v>67</v>
      </c>
      <c r="L3" s="118" t="s">
        <v>67</v>
      </c>
      <c r="M3" s="118" t="s">
        <v>67</v>
      </c>
      <c r="N3" s="118" t="s">
        <v>68</v>
      </c>
      <c r="O3" s="118" t="s">
        <v>68</v>
      </c>
      <c r="P3" s="118" t="s">
        <v>67</v>
      </c>
      <c r="Q3" s="118" t="s">
        <v>68</v>
      </c>
      <c r="R3" s="118" t="s">
        <v>68</v>
      </c>
      <c r="S3" s="118" t="s">
        <v>68</v>
      </c>
      <c r="T3" s="118" t="s">
        <v>69</v>
      </c>
      <c r="U3" s="118" t="s">
        <v>65</v>
      </c>
      <c r="V3" s="92" t="s">
        <v>147</v>
      </c>
      <c r="W3" s="93" t="s">
        <v>144</v>
      </c>
      <c r="X3" s="94" t="s">
        <v>70</v>
      </c>
      <c r="Y3" s="92" t="s">
        <v>70</v>
      </c>
      <c r="Z3" s="93" t="s">
        <v>144</v>
      </c>
      <c r="AA3" s="93" t="s">
        <v>145</v>
      </c>
    </row>
    <row r="4" spans="1:27" ht="15" customHeight="1" x14ac:dyDescent="0.3">
      <c r="A4" s="118" t="str">
        <f>'M-Bloqueo'!B3</f>
        <v>barbero</v>
      </c>
      <c r="B4" s="168" t="str">
        <f>'M-Bloqueo'!B2</f>
        <v>Referencia a qué barbero le pertence este bloqueo</v>
      </c>
      <c r="C4" s="118" t="s">
        <v>68</v>
      </c>
      <c r="D4" s="169" t="s">
        <v>23</v>
      </c>
      <c r="E4" s="118" t="s">
        <v>65</v>
      </c>
      <c r="F4" s="118" t="s">
        <v>67</v>
      </c>
      <c r="G4" s="118" t="s">
        <v>67</v>
      </c>
      <c r="H4" s="118" t="s">
        <v>67</v>
      </c>
      <c r="I4" s="118" t="s">
        <v>67</v>
      </c>
      <c r="J4" s="118" t="s">
        <v>67</v>
      </c>
      <c r="K4" s="118" t="s">
        <v>67</v>
      </c>
      <c r="L4" s="118" t="s">
        <v>67</v>
      </c>
      <c r="M4" s="118" t="s">
        <v>327</v>
      </c>
      <c r="N4" s="118" t="s">
        <v>68</v>
      </c>
      <c r="O4" s="118" t="s">
        <v>67</v>
      </c>
      <c r="P4" s="118" t="s">
        <v>67</v>
      </c>
      <c r="Q4" s="118" t="s">
        <v>67</v>
      </c>
      <c r="R4" s="118" t="s">
        <v>67</v>
      </c>
      <c r="S4" s="118" t="s">
        <v>68</v>
      </c>
      <c r="T4" s="118" t="s">
        <v>69</v>
      </c>
      <c r="U4" s="118" t="s">
        <v>68</v>
      </c>
      <c r="V4" s="92" t="s">
        <v>144</v>
      </c>
      <c r="W4" s="93" t="s">
        <v>147</v>
      </c>
      <c r="X4" s="94" t="s">
        <v>70</v>
      </c>
      <c r="Y4" s="92" t="s">
        <v>70</v>
      </c>
      <c r="Z4" s="93" t="s">
        <v>147</v>
      </c>
      <c r="AA4" s="93" t="s">
        <v>145</v>
      </c>
    </row>
    <row r="5" spans="1:27" ht="28.5" customHeight="1" x14ac:dyDescent="0.3">
      <c r="A5" s="118" t="str">
        <f>'M-Bloqueo'!C3</f>
        <v>fechaHoraInicio</v>
      </c>
      <c r="B5" s="168" t="str">
        <f>'M-Bloqueo'!C2</f>
        <v>Representa la fecha y hora en el que el barbero empieza a no estar disponible para atender las citas</v>
      </c>
      <c r="C5" s="118" t="s">
        <v>68</v>
      </c>
      <c r="D5" s="118" t="s">
        <v>581</v>
      </c>
      <c r="E5" s="118" t="s">
        <v>65</v>
      </c>
      <c r="F5" s="118" t="s">
        <v>67</v>
      </c>
      <c r="G5" s="118" t="s">
        <v>67</v>
      </c>
      <c r="H5" s="118" t="s">
        <v>67</v>
      </c>
      <c r="I5" s="118" t="s">
        <v>67</v>
      </c>
      <c r="J5" s="118" t="s">
        <v>67</v>
      </c>
      <c r="K5" s="118" t="s">
        <v>67</v>
      </c>
      <c r="L5" s="118" t="s">
        <v>67</v>
      </c>
      <c r="M5" s="118" t="s">
        <v>67</v>
      </c>
      <c r="N5" s="118" t="s">
        <v>68</v>
      </c>
      <c r="O5" s="118" t="s">
        <v>67</v>
      </c>
      <c r="P5" s="118" t="s">
        <v>67</v>
      </c>
      <c r="Q5" s="118" t="s">
        <v>67</v>
      </c>
      <c r="R5" s="118" t="s">
        <v>67</v>
      </c>
      <c r="S5" s="118" t="s">
        <v>68</v>
      </c>
      <c r="T5" s="118" t="s">
        <v>582</v>
      </c>
      <c r="U5" s="118" t="s">
        <v>68</v>
      </c>
      <c r="V5" s="92" t="s">
        <v>144</v>
      </c>
      <c r="W5" s="93" t="s">
        <v>147</v>
      </c>
      <c r="X5" s="94" t="s">
        <v>74</v>
      </c>
      <c r="Y5" s="92" t="s">
        <v>74</v>
      </c>
      <c r="Z5" s="93" t="s">
        <v>144</v>
      </c>
      <c r="AA5" s="93" t="s">
        <v>149</v>
      </c>
    </row>
    <row r="6" spans="1:27" ht="42.75" customHeight="1" x14ac:dyDescent="0.3">
      <c r="A6" s="118" t="str">
        <f>'M-Bloqueo'!D3</f>
        <v>fechaHoraFinal</v>
      </c>
      <c r="B6" s="168" t="str">
        <f>'M-Bloqueo'!D2</f>
        <v>Representa la fecha y hora en el que el barbero empieza estar disponible nuevamente para atender las citas</v>
      </c>
      <c r="C6" s="118" t="s">
        <v>68</v>
      </c>
      <c r="D6" s="118" t="s">
        <v>581</v>
      </c>
      <c r="E6" s="118" t="s">
        <v>65</v>
      </c>
      <c r="F6" s="118" t="s">
        <v>67</v>
      </c>
      <c r="G6" s="118" t="s">
        <v>67</v>
      </c>
      <c r="H6" s="118" t="s">
        <v>67</v>
      </c>
      <c r="I6" s="118" t="s">
        <v>67</v>
      </c>
      <c r="J6" s="118" t="s">
        <v>67</v>
      </c>
      <c r="K6" s="118" t="s">
        <v>67</v>
      </c>
      <c r="L6" s="118" t="s">
        <v>67</v>
      </c>
      <c r="M6" s="118" t="s">
        <v>583</v>
      </c>
      <c r="N6" s="118" t="s">
        <v>68</v>
      </c>
      <c r="O6" s="118" t="s">
        <v>67</v>
      </c>
      <c r="P6" s="118" t="s">
        <v>67</v>
      </c>
      <c r="Q6" s="118" t="s">
        <v>67</v>
      </c>
      <c r="R6" s="118" t="s">
        <v>67</v>
      </c>
      <c r="S6" s="118" t="s">
        <v>68</v>
      </c>
      <c r="T6" s="118" t="s">
        <v>582</v>
      </c>
      <c r="U6" s="118" t="s">
        <v>68</v>
      </c>
      <c r="V6" s="92" t="s">
        <v>144</v>
      </c>
      <c r="W6" s="93" t="s">
        <v>147</v>
      </c>
      <c r="X6" s="94" t="s">
        <v>74</v>
      </c>
      <c r="Y6" s="92" t="s">
        <v>74</v>
      </c>
      <c r="Z6" s="93" t="s">
        <v>144</v>
      </c>
      <c r="AA6" s="93" t="s">
        <v>149</v>
      </c>
    </row>
    <row r="8" spans="1:27" ht="15" customHeight="1" x14ac:dyDescent="0.3">
      <c r="A8" s="170" t="s">
        <v>75</v>
      </c>
      <c r="B8" s="170" t="s">
        <v>76</v>
      </c>
      <c r="C8" s="170" t="s">
        <v>77</v>
      </c>
    </row>
    <row r="9" spans="1:27" ht="15" customHeight="1" x14ac:dyDescent="0.3">
      <c r="A9" s="300" t="str">
        <f>'M-Bloqueo'!E3</f>
        <v>Combinación única</v>
      </c>
      <c r="B9" s="344" t="str">
        <f>'M-Bloqueo'!E2</f>
        <v>Combinación única que indica que un mismo barbero no puede tener dos bloqueos con la misma fecha y hora de inicio y la misma fecha y hora final</v>
      </c>
      <c r="C9" s="171" t="str">
        <f>A4</f>
        <v>barbero</v>
      </c>
    </row>
    <row r="10" spans="1:27" ht="15" customHeight="1" x14ac:dyDescent="0.3">
      <c r="A10" s="300"/>
      <c r="B10" s="300"/>
      <c r="C10" s="171" t="str">
        <f>A5</f>
        <v>fechaHoraInicio</v>
      </c>
    </row>
    <row r="11" spans="1:27" ht="15" customHeight="1" x14ac:dyDescent="0.3">
      <c r="A11" s="300"/>
      <c r="B11" s="300"/>
      <c r="C11" s="171" t="str">
        <f>A6</f>
        <v>fechaHoraFinal</v>
      </c>
    </row>
    <row r="12" spans="1:27" ht="30" customHeight="1" x14ac:dyDescent="0.3"/>
    <row r="13" spans="1:27" x14ac:dyDescent="0.3">
      <c r="A13" s="243" t="s">
        <v>79</v>
      </c>
      <c r="B13" s="243"/>
      <c r="C13" s="239" t="s">
        <v>76</v>
      </c>
      <c r="D13" s="239"/>
      <c r="E13" s="239"/>
      <c r="F13" s="239"/>
      <c r="G13" s="239" t="s">
        <v>80</v>
      </c>
      <c r="H13" s="239"/>
      <c r="I13" s="239"/>
      <c r="J13" s="239" t="s">
        <v>81</v>
      </c>
      <c r="K13" s="239"/>
      <c r="L13" s="239"/>
      <c r="M13" s="239"/>
      <c r="N13" s="239"/>
      <c r="O13" s="239" t="s">
        <v>82</v>
      </c>
      <c r="P13" s="239"/>
      <c r="Q13" s="239" t="s">
        <v>83</v>
      </c>
      <c r="R13" s="239"/>
    </row>
    <row r="14" spans="1:27" x14ac:dyDescent="0.3">
      <c r="A14" s="243"/>
      <c r="B14" s="243"/>
      <c r="C14" s="239"/>
      <c r="D14" s="239"/>
      <c r="E14" s="239"/>
      <c r="F14" s="239"/>
      <c r="G14" s="27" t="s">
        <v>84</v>
      </c>
      <c r="H14" s="27" t="s">
        <v>47</v>
      </c>
      <c r="I14" s="27" t="s">
        <v>76</v>
      </c>
      <c r="J14" s="27" t="s">
        <v>85</v>
      </c>
      <c r="K14" s="240" t="s">
        <v>76</v>
      </c>
      <c r="L14" s="240"/>
      <c r="M14" s="240"/>
      <c r="N14" s="240"/>
      <c r="O14" s="27" t="s">
        <v>86</v>
      </c>
      <c r="P14" s="27" t="s">
        <v>76</v>
      </c>
      <c r="Q14" s="27" t="s">
        <v>87</v>
      </c>
      <c r="R14" s="28" t="s">
        <v>88</v>
      </c>
    </row>
    <row r="15" spans="1:27" ht="81.75" customHeight="1" x14ac:dyDescent="0.3">
      <c r="A15" s="311" t="s">
        <v>584</v>
      </c>
      <c r="B15" s="311"/>
      <c r="C15" s="285" t="s">
        <v>585</v>
      </c>
      <c r="D15" s="285"/>
      <c r="E15" s="285"/>
      <c r="F15" s="285"/>
      <c r="G15" s="285" t="s">
        <v>586</v>
      </c>
      <c r="H15" s="303" t="s">
        <v>29</v>
      </c>
      <c r="I15" s="285" t="s">
        <v>587</v>
      </c>
      <c r="J15" s="304" t="s">
        <v>29</v>
      </c>
      <c r="K15" s="285" t="s">
        <v>588</v>
      </c>
      <c r="L15" s="285"/>
      <c r="M15" s="285"/>
      <c r="N15" s="285"/>
      <c r="O15" s="116" t="str">
        <f>'P-Bloqueo'!A6</f>
        <v>P-BLO-0001</v>
      </c>
      <c r="P15" s="31" t="str">
        <f>'P-Bloqueo'!B6</f>
        <v>Asegurar que los datos requeridos (fecha y hora de inicio, fecha y hora de fin) sean válidos en tipo de dato, obligatoriedad, formato y rango</v>
      </c>
      <c r="Q15" s="31" t="s">
        <v>589</v>
      </c>
      <c r="R15" s="122" t="s">
        <v>164</v>
      </c>
    </row>
    <row r="16" spans="1:27" ht="89.25" customHeight="1" x14ac:dyDescent="0.3">
      <c r="A16" s="311"/>
      <c r="B16" s="311"/>
      <c r="C16" s="285"/>
      <c r="D16" s="285"/>
      <c r="E16" s="285"/>
      <c r="F16" s="285"/>
      <c r="G16" s="285"/>
      <c r="H16" s="285"/>
      <c r="I16" s="285"/>
      <c r="J16" s="285"/>
      <c r="K16" s="285"/>
      <c r="L16" s="285"/>
      <c r="M16" s="285"/>
      <c r="N16" s="285"/>
      <c r="O16" s="116" t="str">
        <f>'P-Bloqueo'!A7</f>
        <v>P-BLO-0002</v>
      </c>
      <c r="P16" s="31" t="str">
        <f>'P-Bloqueo'!B7</f>
        <v>Rechazar el bloqueo si ya existen citas agendadas dentro de ese mismo rango elegido</v>
      </c>
      <c r="Q16" s="31" t="s">
        <v>590</v>
      </c>
      <c r="R16" s="122" t="s">
        <v>164</v>
      </c>
    </row>
    <row r="17" spans="1:18" ht="55.5" customHeight="1" x14ac:dyDescent="0.3">
      <c r="A17" s="311"/>
      <c r="B17" s="311"/>
      <c r="C17" s="285"/>
      <c r="D17" s="285"/>
      <c r="E17" s="285"/>
      <c r="F17" s="285"/>
      <c r="G17" s="285"/>
      <c r="H17" s="285"/>
      <c r="I17" s="285"/>
      <c r="J17" s="285"/>
      <c r="K17" s="285"/>
      <c r="L17" s="285"/>
      <c r="M17" s="285"/>
      <c r="N17" s="285"/>
      <c r="O17" s="116" t="str">
        <f>'P-Bloqueo'!A10</f>
        <v>P-BLO-0005</v>
      </c>
      <c r="P17" s="31" t="str">
        <f>'P-Bloqueo'!B10</f>
        <v>Asegurar que el bloqueo no se cruze con otro bloqueo suyo</v>
      </c>
      <c r="Q17" s="31" t="s">
        <v>591</v>
      </c>
      <c r="R17" s="122" t="s">
        <v>164</v>
      </c>
    </row>
    <row r="18" spans="1:18" ht="77.25" customHeight="1" x14ac:dyDescent="0.3">
      <c r="A18" s="311"/>
      <c r="B18" s="311"/>
      <c r="C18" s="285"/>
      <c r="D18" s="285"/>
      <c r="E18" s="285"/>
      <c r="F18" s="285"/>
      <c r="G18" s="285"/>
      <c r="H18" s="285"/>
      <c r="I18" s="285"/>
      <c r="J18" s="285"/>
      <c r="K18" s="285"/>
      <c r="L18" s="285"/>
      <c r="M18" s="285"/>
      <c r="N18" s="285"/>
      <c r="O18" s="116" t="str">
        <f>'P-Bloqueo'!A12</f>
        <v>P-BLO-0007</v>
      </c>
      <c r="P18" s="31" t="str">
        <f>'P-Bloqueo'!B12</f>
        <v>Asegurar que la fecha y hora de fin sea mayor a la fecha y hora de inicio</v>
      </c>
      <c r="Q18" s="31" t="s">
        <v>592</v>
      </c>
      <c r="R18" s="122" t="s">
        <v>164</v>
      </c>
    </row>
    <row r="19" spans="1:18" ht="89.25" customHeight="1" x14ac:dyDescent="0.3">
      <c r="A19" s="323" t="s">
        <v>593</v>
      </c>
      <c r="B19" s="323"/>
      <c r="C19" s="322" t="s">
        <v>594</v>
      </c>
      <c r="D19" s="322"/>
      <c r="E19" s="322"/>
      <c r="F19" s="322"/>
      <c r="G19" s="345" t="s">
        <v>129</v>
      </c>
      <c r="H19" s="345" t="s">
        <v>156</v>
      </c>
      <c r="I19" s="347" t="s">
        <v>595</v>
      </c>
      <c r="J19" s="349" t="s">
        <v>223</v>
      </c>
      <c r="K19" s="350"/>
      <c r="L19" s="350"/>
      <c r="M19" s="350"/>
      <c r="N19" s="351"/>
      <c r="O19" s="123" t="str">
        <f>'P-Bloqueo'!A9</f>
        <v>P-BLO-0004</v>
      </c>
      <c r="P19" s="71" t="str">
        <f>'P-Bloqueo'!B9</f>
        <v>Asegurar que el bloqueo que se va a editar o eliminar le pertenezca al mismo barbero que hace la solicitud</v>
      </c>
      <c r="Q19" s="71" t="s">
        <v>597</v>
      </c>
      <c r="R19" s="124" t="s">
        <v>164</v>
      </c>
    </row>
    <row r="20" spans="1:18" ht="96.75" customHeight="1" x14ac:dyDescent="0.3">
      <c r="A20" s="323"/>
      <c r="B20" s="323"/>
      <c r="C20" s="322"/>
      <c r="D20" s="322"/>
      <c r="E20" s="322"/>
      <c r="F20" s="322"/>
      <c r="G20" s="346"/>
      <c r="H20" s="346"/>
      <c r="I20" s="348"/>
      <c r="J20" s="352"/>
      <c r="K20" s="353"/>
      <c r="L20" s="353"/>
      <c r="M20" s="353"/>
      <c r="N20" s="354"/>
      <c r="O20" s="123" t="str">
        <f>'P-Bloqueo'!A11</f>
        <v>P-BLO-0006</v>
      </c>
      <c r="P20" s="71" t="str">
        <f>'P-Bloqueo'!B11</f>
        <v>Asegurar que exista el bloqueo con el id enviado</v>
      </c>
      <c r="Q20" s="71" t="s">
        <v>596</v>
      </c>
      <c r="R20" s="124" t="s">
        <v>164</v>
      </c>
    </row>
    <row r="21" spans="1:18" ht="51" customHeight="1" x14ac:dyDescent="0.3">
      <c r="A21" s="307" t="s">
        <v>598</v>
      </c>
      <c r="B21" s="307"/>
      <c r="C21" s="319" t="s">
        <v>599</v>
      </c>
      <c r="D21" s="319"/>
      <c r="E21" s="319"/>
      <c r="F21" s="319"/>
      <c r="G21" s="126" t="s">
        <v>600</v>
      </c>
      <c r="H21" s="126" t="s">
        <v>29</v>
      </c>
      <c r="I21" s="75" t="s">
        <v>601</v>
      </c>
      <c r="J21" s="140" t="s">
        <v>602</v>
      </c>
      <c r="K21" s="319" t="s">
        <v>603</v>
      </c>
      <c r="L21" s="319"/>
      <c r="M21" s="319"/>
      <c r="N21" s="319"/>
      <c r="O21" s="126"/>
      <c r="P21" s="126"/>
      <c r="Q21" s="126"/>
      <c r="R21" s="127"/>
    </row>
    <row r="22" spans="1:18" ht="51" customHeight="1" x14ac:dyDescent="0.3">
      <c r="A22" s="311" t="s">
        <v>604</v>
      </c>
      <c r="B22" s="311"/>
      <c r="C22" s="312" t="s">
        <v>605</v>
      </c>
      <c r="D22" s="312"/>
      <c r="E22" s="312"/>
      <c r="F22" s="312"/>
      <c r="G22" s="116" t="s">
        <v>606</v>
      </c>
      <c r="H22" s="116" t="s">
        <v>29</v>
      </c>
      <c r="I22" s="31" t="s">
        <v>607</v>
      </c>
      <c r="J22" s="128" t="s">
        <v>29</v>
      </c>
      <c r="K22" s="312" t="s">
        <v>608</v>
      </c>
      <c r="L22" s="312"/>
      <c r="M22" s="312"/>
      <c r="N22" s="312"/>
      <c r="O22" s="116"/>
      <c r="P22" s="31"/>
      <c r="Q22" s="31"/>
      <c r="R22" s="122"/>
    </row>
    <row r="23" spans="1:18" ht="89.25" customHeight="1" x14ac:dyDescent="0.3">
      <c r="A23" s="323" t="s">
        <v>609</v>
      </c>
      <c r="B23" s="323"/>
      <c r="C23" s="282" t="s">
        <v>610</v>
      </c>
      <c r="D23" s="282"/>
      <c r="E23" s="282"/>
      <c r="F23" s="282"/>
      <c r="G23" s="123" t="s">
        <v>129</v>
      </c>
      <c r="H23" s="123" t="s">
        <v>156</v>
      </c>
      <c r="I23" s="71" t="s">
        <v>611</v>
      </c>
      <c r="J23" s="310" t="s">
        <v>29</v>
      </c>
      <c r="K23" s="282" t="s">
        <v>612</v>
      </c>
      <c r="L23" s="282"/>
      <c r="M23" s="282"/>
      <c r="N23" s="282"/>
      <c r="O23" s="123" t="str">
        <f>'P-Bloqueo'!A11</f>
        <v>P-BLO-0006</v>
      </c>
      <c r="P23" s="71" t="str">
        <f>'P-Bloqueo'!B11</f>
        <v>Asegurar que exista el bloqueo con el id enviado</v>
      </c>
      <c r="Q23" s="71" t="s">
        <v>596</v>
      </c>
      <c r="R23" s="124" t="s">
        <v>164</v>
      </c>
    </row>
    <row r="24" spans="1:18" ht="114.75" customHeight="1" x14ac:dyDescent="0.3">
      <c r="A24" s="323"/>
      <c r="B24" s="323"/>
      <c r="C24" s="282"/>
      <c r="D24" s="282"/>
      <c r="E24" s="282"/>
      <c r="F24" s="282"/>
      <c r="G24" s="347" t="s">
        <v>613</v>
      </c>
      <c r="H24" s="345" t="s">
        <v>29</v>
      </c>
      <c r="I24" s="347" t="s">
        <v>614</v>
      </c>
      <c r="J24" s="310"/>
      <c r="K24" s="282"/>
      <c r="L24" s="282"/>
      <c r="M24" s="282"/>
      <c r="N24" s="282"/>
      <c r="O24" s="123" t="str">
        <f>'P-Bloqueo'!A8</f>
        <v>P-BLO-0003</v>
      </c>
      <c r="P24" s="71" t="str">
        <f>'P-Bloqueo'!B8</f>
        <v>Asegurar que los datos requeridos para editar el bloqueo (fecha y hora de inicio, fecha y hora de fin) sean válidos en tipo de dato, obligatoriedad, formato y rango, y que la fecha y hora de fin sea mayor a la de inicio</v>
      </c>
      <c r="Q24" s="71" t="s">
        <v>615</v>
      </c>
      <c r="R24" s="124" t="s">
        <v>164</v>
      </c>
    </row>
    <row r="25" spans="1:18" ht="89.25" customHeight="1" x14ac:dyDescent="0.3">
      <c r="A25" s="323"/>
      <c r="B25" s="323"/>
      <c r="C25" s="282"/>
      <c r="D25" s="282"/>
      <c r="E25" s="282"/>
      <c r="F25" s="282"/>
      <c r="G25" s="348"/>
      <c r="H25" s="346"/>
      <c r="I25" s="348"/>
      <c r="J25" s="310"/>
      <c r="K25" s="282"/>
      <c r="L25" s="282"/>
      <c r="M25" s="282"/>
      <c r="N25" s="282"/>
      <c r="O25" s="123" t="str">
        <f>'P-Bloqueo'!A7</f>
        <v>P-BLO-0002</v>
      </c>
      <c r="P25" s="71" t="str">
        <f>'P-Bloqueo'!B7</f>
        <v>Rechazar el bloqueo si ya existen citas agendadas dentro de ese mismo rango elegido</v>
      </c>
      <c r="Q25" s="71" t="s">
        <v>616</v>
      </c>
      <c r="R25" s="124" t="s">
        <v>164</v>
      </c>
    </row>
  </sheetData>
  <mergeCells count="36">
    <mergeCell ref="A23:B25"/>
    <mergeCell ref="C23:F25"/>
    <mergeCell ref="J23:J25"/>
    <mergeCell ref="K23:N25"/>
    <mergeCell ref="G19:G20"/>
    <mergeCell ref="H19:H20"/>
    <mergeCell ref="I19:I20"/>
    <mergeCell ref="J19:N20"/>
    <mergeCell ref="G24:G25"/>
    <mergeCell ref="H24:H25"/>
    <mergeCell ref="I24:I25"/>
    <mergeCell ref="A21:B21"/>
    <mergeCell ref="C21:F21"/>
    <mergeCell ref="K21:N21"/>
    <mergeCell ref="A22:B22"/>
    <mergeCell ref="C22:F22"/>
    <mergeCell ref="K22:N22"/>
    <mergeCell ref="J15:J18"/>
    <mergeCell ref="K15:N18"/>
    <mergeCell ref="A19:B20"/>
    <mergeCell ref="C19:F20"/>
    <mergeCell ref="A15:B18"/>
    <mergeCell ref="C15:F18"/>
    <mergeCell ref="G15:G18"/>
    <mergeCell ref="H15:H18"/>
    <mergeCell ref="I15:I18"/>
    <mergeCell ref="Z2:AA2"/>
    <mergeCell ref="A9:A11"/>
    <mergeCell ref="B9:B11"/>
    <mergeCell ref="A13:B14"/>
    <mergeCell ref="C13:F14"/>
    <mergeCell ref="G13:I13"/>
    <mergeCell ref="J13:N13"/>
    <mergeCell ref="O13:P13"/>
    <mergeCell ref="Q13:R13"/>
    <mergeCell ref="K14:N14"/>
  </mergeCells>
  <hyperlinks>
    <hyperlink ref="A1" location="'Modelo de Dominio'!A1" display="&lt;&lt;&lt;&lt; Ir al modulo de dominio" xr:uid="{00000000-0004-0000-2200-000000000000}"/>
    <hyperlink ref="B1" location="'Objetos de Dominio'!A1" display="&lt;&lt;&lt;&lt; Ir a objetos de dominio" xr:uid="{00000000-0004-0000-2200-000001000000}"/>
    <hyperlink ref="V2" location="'C-Bloqueo'!A15" display="#'C-Bloqueo'.A15" xr:uid="{00000000-0004-0000-2200-000002000000}"/>
    <hyperlink ref="W2" location="'C-Bloqueo'!A18" display="#'C-Bloqueo'.A18" xr:uid="{00000000-0004-0000-2200-000003000000}"/>
    <hyperlink ref="X2" location="'C-Bloqueo'!A20" display="#'C-Bloqueo'.A20" xr:uid="{00000000-0004-0000-2200-000004000000}"/>
    <hyperlink ref="Y2" location="'C-Bloqueo'!A21" display="#'C-Bloqueo'.A21" xr:uid="{00000000-0004-0000-2200-000005000000}"/>
    <hyperlink ref="Z2" location="'C-Bloqueo'!A22" display="#'C-Bloqueo'.A22" xr:uid="{00000000-0004-0000-2200-000006000000}"/>
    <hyperlink ref="D4" location="'C-Barbero'!A1" display="Barbero" xr:uid="{00000000-0004-0000-2200-000007000000}"/>
    <hyperlink ref="A15" location="'C-Bloqueo'!V2" display="definirBloqueo" xr:uid="{00000000-0004-0000-2200-000008000000}"/>
    <hyperlink ref="A19" location="'C-Bloqueo'!W2" display="eliminarBloqueo" xr:uid="{00000000-0004-0000-2200-000009000000}"/>
    <hyperlink ref="A21" location="'C-Bloqueo'!X2" display="consultarBloqueosPorFecha" xr:uid="{00000000-0004-0000-2200-00000A000000}"/>
    <hyperlink ref="A22" location="'C-Bloqueo'!Y2" display="consultarBloqueoPorFechaHora" xr:uid="{00000000-0004-0000-2200-00000B000000}"/>
    <hyperlink ref="A23" location="'C-Bloqueo'!Z2" display="editarBloqueo" xr:uid="{00000000-0004-0000-2200-00000C000000}"/>
  </hyperlink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2"/>
  <sheetViews>
    <sheetView showGridLines="0" zoomScale="110" zoomScaleNormal="110" workbookViewId="0">
      <selection activeCell="B1" sqref="B1"/>
    </sheetView>
  </sheetViews>
  <sheetFormatPr baseColWidth="10" defaultColWidth="8.6640625" defaultRowHeight="14.4" x14ac:dyDescent="0.3"/>
  <cols>
    <col min="1" max="1" width="22.44140625" customWidth="1"/>
    <col min="2" max="2" width="30.88671875" customWidth="1"/>
    <col min="3" max="3" width="39" customWidth="1"/>
    <col min="4" max="4" width="39.88671875" customWidth="1"/>
    <col min="5" max="5" width="37.554687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Dominio'!A11</f>
        <v>Bloqueo</v>
      </c>
      <c r="C2" s="244"/>
      <c r="D2" s="244"/>
      <c r="E2" s="244"/>
    </row>
    <row r="3" spans="1:5" ht="30" customHeight="1" x14ac:dyDescent="0.3">
      <c r="A3" s="35" t="s">
        <v>99</v>
      </c>
      <c r="B3" s="245" t="str">
        <f>'Objetos de Dominio'!B11</f>
        <v>Representa los momentos en que el barbero no esta disponible para atender sus citas, el barbero establece la hora y la fecha en que empieza y termina ese estado de no disponible.</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2.25" customHeight="1" x14ac:dyDescent="0.3">
      <c r="A6" s="36" t="s">
        <v>617</v>
      </c>
      <c r="B6" s="355" t="s">
        <v>618</v>
      </c>
      <c r="C6" s="355"/>
      <c r="D6" s="37" t="s">
        <v>29</v>
      </c>
      <c r="E6" s="37"/>
    </row>
    <row r="7" spans="1:5" ht="30" customHeight="1" x14ac:dyDescent="0.3">
      <c r="A7" s="36" t="s">
        <v>619</v>
      </c>
      <c r="B7" s="296" t="s">
        <v>1027</v>
      </c>
      <c r="C7" s="296"/>
      <c r="D7" s="37" t="s">
        <v>37</v>
      </c>
      <c r="E7" s="37"/>
    </row>
    <row r="8" spans="1:5" ht="43.5" customHeight="1" x14ac:dyDescent="0.3">
      <c r="A8" s="36" t="s">
        <v>620</v>
      </c>
      <c r="B8" s="296" t="s">
        <v>621</v>
      </c>
      <c r="C8" s="296"/>
      <c r="D8" s="36" t="s">
        <v>29</v>
      </c>
      <c r="E8" s="36"/>
    </row>
    <row r="9" spans="1:5" ht="43.5" customHeight="1" x14ac:dyDescent="0.3">
      <c r="A9" s="36" t="s">
        <v>622</v>
      </c>
      <c r="B9" s="296" t="s">
        <v>623</v>
      </c>
      <c r="C9" s="296"/>
      <c r="D9" s="36" t="s">
        <v>29</v>
      </c>
      <c r="E9" s="36"/>
    </row>
    <row r="10" spans="1:5" ht="43.5" customHeight="1" x14ac:dyDescent="0.3">
      <c r="A10" s="36" t="s">
        <v>624</v>
      </c>
      <c r="B10" s="355" t="s">
        <v>625</v>
      </c>
      <c r="C10" s="355"/>
      <c r="D10" s="36" t="s">
        <v>33</v>
      </c>
      <c r="E10" s="36"/>
    </row>
    <row r="11" spans="1:5" ht="43.5" customHeight="1" x14ac:dyDescent="0.3">
      <c r="A11" s="36" t="s">
        <v>626</v>
      </c>
      <c r="B11" s="296" t="s">
        <v>627</v>
      </c>
      <c r="C11" s="296"/>
      <c r="D11" s="36" t="s">
        <v>29</v>
      </c>
      <c r="E11" s="36"/>
    </row>
    <row r="12" spans="1:5" ht="15" customHeight="1" x14ac:dyDescent="0.3">
      <c r="A12" s="36" t="s">
        <v>628</v>
      </c>
      <c r="B12" s="355" t="s">
        <v>629</v>
      </c>
      <c r="C12" s="355"/>
      <c r="D12" s="36" t="s">
        <v>29</v>
      </c>
      <c r="E12" s="36"/>
    </row>
  </sheetData>
  <mergeCells count="13">
    <mergeCell ref="B11:C11"/>
    <mergeCell ref="B12:C12"/>
    <mergeCell ref="B6:C6"/>
    <mergeCell ref="B7:C7"/>
    <mergeCell ref="B8:C8"/>
    <mergeCell ref="B9:C9"/>
    <mergeCell ref="B10:C10"/>
    <mergeCell ref="B2:E2"/>
    <mergeCell ref="B3:E3"/>
    <mergeCell ref="A4:A5"/>
    <mergeCell ref="B4:C5"/>
    <mergeCell ref="D4:D5"/>
    <mergeCell ref="E4:E5"/>
  </mergeCells>
  <hyperlinks>
    <hyperlink ref="A1" location="'Modelo de Dominio'!A1" display="&lt;&lt; Ir al modelo de dominio" xr:uid="{00000000-0004-0000-2300-000000000000}"/>
    <hyperlink ref="B1" location="'Objetos de Dominio'!A1" display="&lt;&lt; Ir al listado de objetos de dominio" xr:uid="{00000000-0004-0000-2300-000001000000}"/>
    <hyperlink ref="C1" location="'C-Bloqueo'!A1" display="&lt;&lt; Ir a la caracterización del objeto de dominio" xr:uid="{00000000-0004-0000-2300-000002000000}"/>
    <hyperlink ref="D1" location="'M-Bloqueo'!A1" display="Ir al muestreo de datos del objeto de dominio &gt;&gt;" xr:uid="{00000000-0004-0000-2300-000003000000}"/>
    <hyperlink ref="E1" location="'E-Bloqueo'!A1" display="Ir al event storming del objeto de dominio &gt;&gt;" xr:uid="{00000000-0004-0000-2300-000004000000}"/>
  </hyperlink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8"/>
  <sheetViews>
    <sheetView showGridLines="0" topLeftCell="A13" zoomScaleNormal="100" workbookViewId="0">
      <selection activeCell="E21" sqref="E2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1.44140625" customWidth="1"/>
    <col min="8" max="8" width="55.332031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150" t="s">
        <v>98</v>
      </c>
      <c r="B2" s="324" t="str">
        <f>'Objetos de Dominio'!A11</f>
        <v>Bloqueo</v>
      </c>
      <c r="C2" s="324"/>
      <c r="D2" s="324"/>
      <c r="E2" s="324"/>
      <c r="F2" s="324"/>
      <c r="G2" s="324"/>
      <c r="H2" s="324"/>
      <c r="I2" s="324"/>
      <c r="J2" s="324"/>
      <c r="K2" s="324"/>
    </row>
    <row r="3" spans="1:11" ht="30" customHeight="1" x14ac:dyDescent="0.3">
      <c r="A3" s="151" t="s">
        <v>99</v>
      </c>
      <c r="B3" s="325" t="str">
        <f>'Objetos de Dominio'!B11</f>
        <v>Representa los momentos en que el barbero no esta disponible para atender sus citas, el barbero establece la hora y la fecha en que empieza y termina ese estado de no disponible.</v>
      </c>
      <c r="C3" s="325"/>
      <c r="D3" s="325"/>
      <c r="E3" s="325"/>
      <c r="F3" s="325"/>
      <c r="G3" s="325"/>
      <c r="H3" s="325"/>
      <c r="I3" s="325"/>
      <c r="J3" s="325"/>
      <c r="K3" s="325"/>
    </row>
    <row r="4" spans="1:11" ht="34.5" customHeight="1" x14ac:dyDescent="0.3">
      <c r="A4" s="5" t="s">
        <v>105</v>
      </c>
      <c r="B4" s="326" t="s">
        <v>106</v>
      </c>
      <c r="C4" s="326"/>
      <c r="D4" s="4" t="s">
        <v>107</v>
      </c>
      <c r="E4" s="327" t="s">
        <v>108</v>
      </c>
      <c r="F4" s="327"/>
      <c r="G4" s="328" t="s">
        <v>109</v>
      </c>
      <c r="H4" s="328"/>
      <c r="I4" s="152" t="s">
        <v>110</v>
      </c>
      <c r="J4" s="3" t="s">
        <v>111</v>
      </c>
      <c r="K4" s="153" t="s">
        <v>112</v>
      </c>
    </row>
    <row r="5" spans="1:11" ht="15" customHeight="1" x14ac:dyDescent="0.3">
      <c r="A5" s="329" t="s">
        <v>105</v>
      </c>
      <c r="B5" s="326" t="s">
        <v>113</v>
      </c>
      <c r="C5" s="326" t="s">
        <v>76</v>
      </c>
      <c r="D5" s="330" t="s">
        <v>114</v>
      </c>
      <c r="E5" s="327" t="s">
        <v>115</v>
      </c>
      <c r="F5" s="327"/>
      <c r="G5" s="328" t="s">
        <v>116</v>
      </c>
      <c r="H5" s="328"/>
      <c r="I5" s="331" t="s">
        <v>117</v>
      </c>
      <c r="J5" s="332" t="s">
        <v>118</v>
      </c>
      <c r="K5" s="333" t="s">
        <v>119</v>
      </c>
    </row>
    <row r="6" spans="1:11" ht="15" customHeight="1" x14ac:dyDescent="0.3">
      <c r="A6" s="329"/>
      <c r="B6" s="329"/>
      <c r="C6" s="329"/>
      <c r="D6" s="329"/>
      <c r="E6" s="6" t="s">
        <v>120</v>
      </c>
      <c r="F6" s="6" t="s">
        <v>76</v>
      </c>
      <c r="G6" s="154" t="s">
        <v>121</v>
      </c>
      <c r="H6" s="154" t="s">
        <v>76</v>
      </c>
      <c r="I6" s="331"/>
      <c r="J6" s="331"/>
      <c r="K6" s="331"/>
    </row>
    <row r="7" spans="1:11" ht="41.25" customHeight="1" x14ac:dyDescent="0.3">
      <c r="A7" s="334" t="s">
        <v>23</v>
      </c>
      <c r="B7" s="335" t="s">
        <v>630</v>
      </c>
      <c r="C7" s="335" t="s">
        <v>631</v>
      </c>
      <c r="D7" s="334" t="str">
        <f>$B$2</f>
        <v>Bloqueo</v>
      </c>
      <c r="E7" s="1" t="s">
        <v>33</v>
      </c>
      <c r="F7" s="1" t="s">
        <v>632</v>
      </c>
      <c r="G7" s="155" t="str">
        <f>'P-Bloqueo'!A6</f>
        <v>P-BLO-0001</v>
      </c>
      <c r="H7" s="172" t="str">
        <f>'P-Bloqueo'!B6</f>
        <v>Asegurar que los datos requeridos (fecha y hora de inicio, fecha y hora de fin) sean válidos en tipo de dato, obligatoriedad, formato y rango</v>
      </c>
      <c r="I7" s="334"/>
      <c r="J7" s="335" t="s">
        <v>633</v>
      </c>
      <c r="K7" s="335"/>
    </row>
    <row r="8" spans="1:11" ht="41.25" customHeight="1" x14ac:dyDescent="0.3">
      <c r="A8" s="334"/>
      <c r="B8" s="334"/>
      <c r="C8" s="334"/>
      <c r="D8" s="334"/>
      <c r="E8" s="1" t="s">
        <v>35</v>
      </c>
      <c r="F8" s="1" t="s">
        <v>634</v>
      </c>
      <c r="G8" s="155" t="str">
        <f>'P-Bloqueo'!A7</f>
        <v>P-BLO-0002</v>
      </c>
      <c r="H8" s="172" t="str">
        <f>'P-Bloqueo'!B7</f>
        <v>Rechazar el bloqueo si ya existen citas agendadas dentro de ese mismo rango elegido</v>
      </c>
      <c r="I8" s="334"/>
      <c r="J8" s="334"/>
      <c r="K8" s="334"/>
    </row>
    <row r="9" spans="1:11" ht="41.25" customHeight="1" x14ac:dyDescent="0.3">
      <c r="A9" s="334"/>
      <c r="B9" s="334"/>
      <c r="C9" s="334"/>
      <c r="D9" s="334"/>
      <c r="E9" s="1" t="s">
        <v>37</v>
      </c>
      <c r="F9" s="1" t="s">
        <v>635</v>
      </c>
      <c r="G9" s="155" t="str">
        <f>'P-Bloqueo'!A10</f>
        <v>P-BLO-0005</v>
      </c>
      <c r="H9" s="172" t="str">
        <f>'P-Bloqueo'!B10</f>
        <v>Asegurar que el bloqueo no se cruze con otro bloqueo suyo</v>
      </c>
      <c r="I9" s="334"/>
      <c r="J9" s="334"/>
      <c r="K9" s="334"/>
    </row>
    <row r="10" spans="1:11" ht="41.25" customHeight="1" x14ac:dyDescent="0.3">
      <c r="A10" s="334"/>
      <c r="B10" s="334"/>
      <c r="C10" s="334"/>
      <c r="D10" s="334"/>
      <c r="E10" s="1" t="s">
        <v>15</v>
      </c>
      <c r="F10" s="1" t="s">
        <v>636</v>
      </c>
      <c r="G10" s="155" t="str">
        <f>'P-Bloqueo'!A12</f>
        <v>P-BLO-0007</v>
      </c>
      <c r="H10" s="172" t="str">
        <f>'P-Bloqueo'!B12</f>
        <v>Asegurar que la fecha y hora de fin sea mayor a la fecha y hora de inicio</v>
      </c>
      <c r="I10" s="334"/>
      <c r="J10" s="334"/>
      <c r="K10" s="334"/>
    </row>
    <row r="11" spans="1:11" ht="41.25" customHeight="1" x14ac:dyDescent="0.3">
      <c r="A11" s="2" t="s">
        <v>23</v>
      </c>
      <c r="B11" s="1" t="s">
        <v>637</v>
      </c>
      <c r="C11" s="1" t="s">
        <v>594</v>
      </c>
      <c r="D11" s="2" t="str">
        <f>$B$2</f>
        <v>Bloqueo</v>
      </c>
      <c r="E11" s="1"/>
      <c r="F11" s="1"/>
      <c r="G11" s="155" t="str">
        <f>'P-Bloqueo'!A9</f>
        <v>P-BLO-0004</v>
      </c>
      <c r="H11" s="172" t="str">
        <f>'P-Bloqueo'!B9</f>
        <v>Asegurar que el bloqueo que se va a editar o eliminar le pertenezca al mismo barbero que hace la solicitud</v>
      </c>
      <c r="I11" s="2"/>
      <c r="J11" s="1" t="s">
        <v>638</v>
      </c>
      <c r="K11" s="1"/>
    </row>
    <row r="12" spans="1:11" ht="41.25" customHeight="1" x14ac:dyDescent="0.3">
      <c r="A12" s="2" t="s">
        <v>23</v>
      </c>
      <c r="B12" s="1" t="s">
        <v>639</v>
      </c>
      <c r="C12" s="1" t="s">
        <v>599</v>
      </c>
      <c r="D12" s="2" t="str">
        <f>$B$2</f>
        <v>Bloqueo</v>
      </c>
      <c r="E12" s="1"/>
      <c r="F12" s="1"/>
      <c r="G12" s="155"/>
      <c r="H12" s="172"/>
      <c r="I12" s="2"/>
      <c r="J12" s="1" t="s">
        <v>640</v>
      </c>
      <c r="K12" s="1"/>
    </row>
    <row r="13" spans="1:11" ht="53.25" customHeight="1" x14ac:dyDescent="0.3">
      <c r="A13" s="2" t="s">
        <v>493</v>
      </c>
      <c r="B13" s="1" t="s">
        <v>641</v>
      </c>
      <c r="C13" s="1" t="s">
        <v>1029</v>
      </c>
      <c r="D13" s="2" t="str">
        <f>$B$2</f>
        <v>Bloqueo</v>
      </c>
      <c r="E13" s="1"/>
      <c r="F13" s="1"/>
      <c r="G13" s="155"/>
      <c r="H13" s="172"/>
      <c r="I13" s="2"/>
      <c r="J13" s="1" t="s">
        <v>642</v>
      </c>
      <c r="K13" s="1"/>
    </row>
    <row r="14" spans="1:11" ht="53.25" customHeight="1" x14ac:dyDescent="0.3">
      <c r="A14" s="2" t="s">
        <v>23</v>
      </c>
      <c r="B14" s="1" t="s">
        <v>641</v>
      </c>
      <c r="C14" s="1" t="s">
        <v>1028</v>
      </c>
      <c r="D14" s="2" t="str">
        <f>$B$2</f>
        <v>Bloqueo</v>
      </c>
      <c r="E14" s="1"/>
      <c r="F14" s="1"/>
      <c r="G14" s="155"/>
      <c r="H14" s="172"/>
      <c r="I14" s="2"/>
      <c r="J14" s="1" t="s">
        <v>642</v>
      </c>
      <c r="K14" s="1"/>
    </row>
    <row r="15" spans="1:11" ht="41.25" customHeight="1" x14ac:dyDescent="0.3">
      <c r="A15" s="334" t="s">
        <v>23</v>
      </c>
      <c r="B15" s="335" t="s">
        <v>643</v>
      </c>
      <c r="C15" s="335" t="s">
        <v>610</v>
      </c>
      <c r="D15" s="334" t="str">
        <f>$B$2</f>
        <v>Bloqueo</v>
      </c>
      <c r="E15" s="1" t="s">
        <v>33</v>
      </c>
      <c r="F15" s="1" t="s">
        <v>632</v>
      </c>
      <c r="G15" s="356" t="str">
        <f>'P-Bloqueo'!A7</f>
        <v>P-BLO-0002</v>
      </c>
      <c r="H15" s="357" t="str">
        <f>'P-Bloqueo'!B7</f>
        <v>Rechazar el bloqueo si ya existen citas agendadas dentro de ese mismo rango elegido</v>
      </c>
      <c r="I15" s="334"/>
      <c r="J15" s="335" t="s">
        <v>644</v>
      </c>
      <c r="K15" s="335"/>
    </row>
    <row r="16" spans="1:11" ht="41.25" customHeight="1" x14ac:dyDescent="0.3">
      <c r="A16" s="334"/>
      <c r="B16" s="334"/>
      <c r="C16" s="334"/>
      <c r="D16" s="334"/>
      <c r="E16" s="1" t="s">
        <v>35</v>
      </c>
      <c r="F16" s="1" t="s">
        <v>634</v>
      </c>
      <c r="G16" s="356"/>
      <c r="H16" s="357"/>
      <c r="I16" s="334"/>
      <c r="J16" s="334"/>
      <c r="K16" s="334"/>
    </row>
    <row r="17" spans="1:11" ht="27.6" x14ac:dyDescent="0.3">
      <c r="A17" s="334"/>
      <c r="B17" s="334"/>
      <c r="C17" s="334"/>
      <c r="D17" s="334"/>
      <c r="E17" s="1" t="s">
        <v>37</v>
      </c>
      <c r="F17" s="1" t="s">
        <v>645</v>
      </c>
      <c r="G17" s="336" t="str">
        <f>'P-Bloqueo'!A8</f>
        <v>P-BLO-0003</v>
      </c>
      <c r="H17" s="358" t="str">
        <f>'P-Bloqueo'!B8</f>
        <v>Asegurar que los datos requeridos para editar el bloqueo (fecha y hora de inicio, fecha y hora de fin) sean válidos en tipo de dato, obligatoriedad, formato y rango, y que la fecha y hora de fin sea mayor a la de inicio</v>
      </c>
      <c r="I17" s="334"/>
      <c r="J17" s="334"/>
      <c r="K17" s="334"/>
    </row>
    <row r="18" spans="1:11" ht="27.6" x14ac:dyDescent="0.3">
      <c r="A18" s="334"/>
      <c r="B18" s="334"/>
      <c r="C18" s="334"/>
      <c r="D18" s="334"/>
      <c r="E18" s="1" t="s">
        <v>15</v>
      </c>
      <c r="F18" s="1" t="s">
        <v>636</v>
      </c>
      <c r="G18" s="337"/>
      <c r="H18" s="359"/>
      <c r="I18" s="334"/>
      <c r="J18" s="334"/>
      <c r="K18" s="334"/>
    </row>
  </sheetData>
  <mergeCells count="36">
    <mergeCell ref="A15:A18"/>
    <mergeCell ref="B15:B18"/>
    <mergeCell ref="C15:C18"/>
    <mergeCell ref="D15:D18"/>
    <mergeCell ref="I15:I18"/>
    <mergeCell ref="J15:J18"/>
    <mergeCell ref="K15:K18"/>
    <mergeCell ref="G15:G16"/>
    <mergeCell ref="H15:H16"/>
    <mergeCell ref="G17:G18"/>
    <mergeCell ref="H17:H18"/>
    <mergeCell ref="B3:K3"/>
    <mergeCell ref="B4:C4"/>
    <mergeCell ref="E4:F4"/>
    <mergeCell ref="G4:H4"/>
    <mergeCell ref="G5:H5"/>
    <mergeCell ref="I5:I6"/>
    <mergeCell ref="J5:J6"/>
    <mergeCell ref="K5:K6"/>
    <mergeCell ref="J7:J10"/>
    <mergeCell ref="K7:K10"/>
    <mergeCell ref="A5:A6"/>
    <mergeCell ref="B5:B6"/>
    <mergeCell ref="C5:C6"/>
    <mergeCell ref="D5:D6"/>
    <mergeCell ref="E5:F5"/>
    <mergeCell ref="A7:A10"/>
    <mergeCell ref="B7:B10"/>
    <mergeCell ref="C7:C10"/>
    <mergeCell ref="D7:D10"/>
    <mergeCell ref="I7:I10"/>
    <mergeCell ref="A1:B1"/>
    <mergeCell ref="C1:E1"/>
    <mergeCell ref="F1:I1"/>
    <mergeCell ref="J1:K1"/>
    <mergeCell ref="B2:K2"/>
  </mergeCells>
  <hyperlinks>
    <hyperlink ref="A1" location="'Modelo de Dominio'!A1" display="&lt;&lt; Ir al modelo de dominio" xr:uid="{00000000-0004-0000-2400-000000000000}"/>
    <hyperlink ref="C1" location="'Objetos de Dominio'!A1" display="&lt;&lt; Ir al listado de objetos de dominio" xr:uid="{00000000-0004-0000-2400-000001000000}"/>
    <hyperlink ref="F1" location="'C-Bloqueo'!A1" display="&lt;&lt; Ir a la caracterización del objeto de dominio" xr:uid="{00000000-0004-0000-2400-000002000000}"/>
    <hyperlink ref="J1" location="'M-Bloqueo'!A1" display="Ir al muestreo de datos del objeto de dominio &gt;&gt;" xr:uid="{00000000-0004-0000-2400-000003000000}"/>
    <hyperlink ref="G7" location="'P-Bloqueo'!A6" display="#'P-Bloqueo'.A6" xr:uid="{00000000-0004-0000-2400-000004000000}"/>
    <hyperlink ref="G8" location="'P-Bloqueo'!A7" display="#'P-Bloqueo'.A7" xr:uid="{00000000-0004-0000-2400-000005000000}"/>
    <hyperlink ref="G10" location="'P-Bloqueo'!A9" display="#'P-Bloqueo'.A9" xr:uid="{00000000-0004-0000-2400-000006000000}"/>
  </hyperlink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8"/>
  <sheetViews>
    <sheetView zoomScale="130" zoomScaleNormal="130" workbookViewId="0">
      <selection activeCell="E9" sqref="E9"/>
    </sheetView>
  </sheetViews>
  <sheetFormatPr baseColWidth="10" defaultColWidth="8.6640625" defaultRowHeight="14.4" x14ac:dyDescent="0.3"/>
  <cols>
    <col min="1" max="1" width="27" customWidth="1"/>
    <col min="2" max="2" width="26.109375" customWidth="1"/>
    <col min="3" max="3" width="24.44140625" customWidth="1"/>
    <col min="4" max="4" width="20.33203125" customWidth="1"/>
    <col min="5" max="5" width="41.44140625" customWidth="1"/>
  </cols>
  <sheetData>
    <row r="1" spans="1:5" ht="14.25" customHeight="1" x14ac:dyDescent="0.3">
      <c r="A1" s="8" t="s">
        <v>1</v>
      </c>
      <c r="B1" s="8" t="s">
        <v>43</v>
      </c>
      <c r="C1" s="8"/>
      <c r="D1" s="8"/>
    </row>
    <row r="2" spans="1:5" ht="44.25" customHeight="1" x14ac:dyDescent="0.3">
      <c r="A2" s="51" t="s">
        <v>126</v>
      </c>
      <c r="B2" s="51" t="s">
        <v>646</v>
      </c>
      <c r="C2" s="51" t="s">
        <v>647</v>
      </c>
      <c r="D2" s="51" t="s">
        <v>648</v>
      </c>
      <c r="E2" s="108" t="s">
        <v>649</v>
      </c>
    </row>
    <row r="3" spans="1:5" ht="14.25" customHeight="1" x14ac:dyDescent="0.3">
      <c r="A3" s="53" t="s">
        <v>129</v>
      </c>
      <c r="B3" s="132" t="s">
        <v>650</v>
      </c>
      <c r="C3" s="54" t="s">
        <v>651</v>
      </c>
      <c r="D3" s="54" t="s">
        <v>652</v>
      </c>
      <c r="E3" s="55" t="s">
        <v>319</v>
      </c>
    </row>
    <row r="4" spans="1:5" ht="28.5" customHeight="1" x14ac:dyDescent="0.3">
      <c r="A4" s="56">
        <v>1</v>
      </c>
      <c r="B4" s="173" t="str">
        <f>'M-Barbero'!L4</f>
        <v>+57-3245627890</v>
      </c>
      <c r="C4" s="174">
        <v>46188.5</v>
      </c>
      <c r="D4" s="174">
        <v>46188.541666666701</v>
      </c>
      <c r="E4" s="86" t="str">
        <f>_xlfn.CONCAT(B4,"-",TEXT(C4,"dd/mm/yyyy hh:mm"),"-",TEXT(D4,"dd/mm/yyyy hh:mm"))</f>
        <v>+57-3245627890-15/06/2026 12:00-15/06/2026 13:00</v>
      </c>
    </row>
    <row r="5" spans="1:5" ht="28.5" customHeight="1" x14ac:dyDescent="0.3">
      <c r="A5" s="56">
        <v>2</v>
      </c>
      <c r="B5" s="173" t="str">
        <f>'M-Barbero'!L5</f>
        <v>+57-3124518923</v>
      </c>
      <c r="C5" s="174">
        <v>46189.416666666701</v>
      </c>
      <c r="D5" s="174">
        <v>46189.4375</v>
      </c>
      <c r="E5" s="86" t="str">
        <f>_xlfn.CONCAT(B5,"-",TEXT(C5,"dd/mm/yyyy hh:mm"),"-",TEXT(D5,"dd/mm/yyyy hh:mm"))</f>
        <v>+57-3124518923-16/06/2026 10:00-16/06/2026 10:30</v>
      </c>
    </row>
    <row r="6" spans="1:5" ht="28.5" customHeight="1" x14ac:dyDescent="0.3">
      <c r="A6" s="56">
        <v>3</v>
      </c>
      <c r="B6" s="173" t="str">
        <f>'M-Barbero'!L6</f>
        <v>+57-3214533321</v>
      </c>
      <c r="C6" s="174">
        <v>46191.583333333299</v>
      </c>
      <c r="D6" s="174">
        <v>46191.625</v>
      </c>
      <c r="E6" s="86" t="str">
        <f>_xlfn.CONCAT(B6,"-",TEXT(C6,"dd/mm/yyyy hh:mm"),"-",TEXT(D6,"dd/mm/yyyy hh:mm"))</f>
        <v>+57-3214533321-18/06/2026 14:00-18/06/2026 15:00</v>
      </c>
    </row>
    <row r="7" spans="1:5" ht="28.5" customHeight="1" x14ac:dyDescent="0.3">
      <c r="A7" s="56">
        <v>4</v>
      </c>
      <c r="B7" s="173" t="str">
        <f>'M-Barbero'!L7</f>
        <v>+91-9876543210</v>
      </c>
      <c r="C7" s="174">
        <v>46193.375</v>
      </c>
      <c r="D7" s="174">
        <v>46193.395833333299</v>
      </c>
      <c r="E7" s="86" t="str">
        <f>_xlfn.CONCAT(B7,"-",TEXT(C7,"dd/mm/yyyy hh:mm"),"-",TEXT(D7,"dd/mm/yyyy hh:mm"))</f>
        <v>+91-9876543210-20/06/2026 09:00-20/06/2026 09:30</v>
      </c>
    </row>
    <row r="8" spans="1:5" ht="28.5" customHeight="1" x14ac:dyDescent="0.3">
      <c r="A8" s="56">
        <v>5</v>
      </c>
      <c r="B8" s="173" t="str">
        <f>'M-Barbero'!L7</f>
        <v>+91-9876543210</v>
      </c>
      <c r="C8" s="174">
        <v>46195.666666666701</v>
      </c>
      <c r="D8" s="174">
        <v>46195.697916666701</v>
      </c>
      <c r="E8" s="86" t="str">
        <f>_xlfn.CONCAT(B8,"-",TEXT(C8,"dd/mm/yyyy hh:mm"),"-",TEXT(D8,"dd/mm/yyyy hh:mm"))</f>
        <v>+91-9876543210-22/06/2026 16:00-22/06/2026 16:45</v>
      </c>
    </row>
    <row r="10" spans="1:5" ht="14.25" customHeight="1" x14ac:dyDescent="0.3"/>
    <row r="12" spans="1:5" ht="15" customHeight="1" x14ac:dyDescent="0.3">
      <c r="E12" s="175"/>
    </row>
    <row r="14" spans="1:5" ht="28.5" customHeight="1" x14ac:dyDescent="0.3">
      <c r="A14" s="59"/>
      <c r="B14" s="60" t="s">
        <v>139</v>
      </c>
    </row>
    <row r="15" spans="1:5" ht="28.5" customHeight="1" x14ac:dyDescent="0.3">
      <c r="A15" s="61"/>
      <c r="B15" s="60" t="s">
        <v>140</v>
      </c>
    </row>
    <row r="16" spans="1:5" ht="28.5" customHeight="1" x14ac:dyDescent="0.3">
      <c r="A16" s="135"/>
      <c r="B16" s="60" t="s">
        <v>441</v>
      </c>
    </row>
    <row r="17" spans="1:2" ht="28.5" customHeight="1" x14ac:dyDescent="0.3">
      <c r="A17" s="62"/>
      <c r="B17" s="60" t="s">
        <v>141</v>
      </c>
    </row>
    <row r="18" spans="1:2" ht="28.5" customHeight="1" x14ac:dyDescent="0.3">
      <c r="A18" s="63"/>
      <c r="B18" s="60" t="s">
        <v>142</v>
      </c>
    </row>
  </sheetData>
  <hyperlinks>
    <hyperlink ref="A1" location="'Modelo de Dominio'!A1" display="&lt;&lt;&lt;&lt; Ir al modulo de dominio" xr:uid="{00000000-0004-0000-2500-000000000000}"/>
    <hyperlink ref="B1" location="'Objetos de Dominio'!A1" display="&lt;&lt;&lt;&lt; Ir a objetos de dominio" xr:uid="{00000000-0004-0000-2500-000001000000}"/>
    <hyperlink ref="B3" location="'M-Barbero'!A1" display="barbero" xr:uid="{00000000-0004-0000-2500-000002000000}"/>
    <hyperlink ref="B4" location="'M-Barbero'!A4" display="#'M-Barbero'.A4" xr:uid="{00000000-0004-0000-2500-000003000000}"/>
    <hyperlink ref="B5" location="'M-Barbero'!A5" display="#'M-Barbero'.A5" xr:uid="{00000000-0004-0000-2500-000004000000}"/>
    <hyperlink ref="B6" location="'M-Barbero'!A6" display="#'M-Barbero'.A6" xr:uid="{00000000-0004-0000-2500-000005000000}"/>
    <hyperlink ref="B7" location="'M-Barbero'!A7" display="#'M-Barbero'.A7" xr:uid="{00000000-0004-0000-2500-000006000000}"/>
    <hyperlink ref="B8" location="'M-Barbero'!A7" display="#'M-Barbero'.A7" xr:uid="{00000000-0004-0000-2500-000007000000}"/>
  </hyperlink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B28"/>
  <sheetViews>
    <sheetView topLeftCell="A3" zoomScaleNormal="100" workbookViewId="0">
      <selection activeCell="E10" sqref="E10"/>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5" width="18" customWidth="1"/>
    <col min="6" max="6" width="9.44140625" bestFit="1" customWidth="1"/>
    <col min="7" max="7" width="24.33203125" customWidth="1"/>
    <col min="8" max="8" width="17.109375" customWidth="1"/>
    <col min="9" max="9" width="19" customWidth="1"/>
    <col min="10" max="10" width="19.109375" bestFit="1" customWidth="1"/>
    <col min="11" max="11" width="13" customWidth="1"/>
    <col min="13" max="13" width="40" customWidth="1"/>
    <col min="14" max="14" width="18" customWidth="1"/>
    <col min="15" max="15" width="13" customWidth="1"/>
    <col min="16" max="16" width="21.6640625" customWidth="1"/>
    <col min="17" max="17" width="18.5546875" customWidth="1"/>
    <col min="18" max="18" width="16.33203125" customWidth="1"/>
    <col min="20" max="20" width="10.44140625" bestFit="1" customWidth="1"/>
    <col min="22" max="22" width="23.5546875" customWidth="1"/>
    <col min="23" max="23" width="13" customWidth="1"/>
    <col min="24" max="24" width="15.44140625" customWidth="1"/>
    <col min="25" max="25" width="25.33203125" customWidth="1"/>
    <col min="26" max="26" width="27" customWidth="1"/>
    <col min="27" max="27" width="25.33203125" customWidth="1"/>
    <col min="28" max="28" width="24.109375" customWidth="1"/>
  </cols>
  <sheetData>
    <row r="1" spans="1:28" ht="15" customHeight="1" x14ac:dyDescent="0.3">
      <c r="A1" s="8" t="s">
        <v>1</v>
      </c>
      <c r="B1" s="8" t="s">
        <v>43</v>
      </c>
    </row>
    <row r="2" spans="1:28" ht="45" customHeight="1" x14ac:dyDescent="0.3">
      <c r="A2" s="167" t="s">
        <v>44</v>
      </c>
      <c r="B2" s="167" t="s">
        <v>45</v>
      </c>
      <c r="C2" s="167" t="s">
        <v>46</v>
      </c>
      <c r="D2" s="167" t="s">
        <v>47</v>
      </c>
      <c r="E2" s="167" t="s">
        <v>48</v>
      </c>
      <c r="F2" s="167" t="s">
        <v>49</v>
      </c>
      <c r="G2" s="167" t="s">
        <v>50</v>
      </c>
      <c r="H2" s="167" t="s">
        <v>51</v>
      </c>
      <c r="I2" s="167" t="s">
        <v>52</v>
      </c>
      <c r="J2" s="167" t="s">
        <v>53</v>
      </c>
      <c r="K2" s="167" t="s">
        <v>54</v>
      </c>
      <c r="L2" s="167" t="s">
        <v>55</v>
      </c>
      <c r="M2" s="167" t="s">
        <v>56</v>
      </c>
      <c r="N2" s="167" t="s">
        <v>57</v>
      </c>
      <c r="O2" s="167" t="s">
        <v>58</v>
      </c>
      <c r="P2" s="167" t="s">
        <v>59</v>
      </c>
      <c r="Q2" s="167" t="s">
        <v>60</v>
      </c>
      <c r="R2" s="167" t="s">
        <v>61</v>
      </c>
      <c r="S2" s="167" t="s">
        <v>62</v>
      </c>
      <c r="T2" s="167" t="s">
        <v>63</v>
      </c>
      <c r="U2" s="167" t="s">
        <v>64</v>
      </c>
      <c r="V2" s="89" t="str">
        <f>A17</f>
        <v>habilitarServicioBarbero</v>
      </c>
      <c r="W2" s="275" t="str">
        <f>A20</f>
        <v>ajustarTiemposServicioBarbero</v>
      </c>
      <c r="X2" s="275"/>
      <c r="Y2" s="91" t="str">
        <f>A23</f>
        <v>consultarServiciosElegidos</v>
      </c>
      <c r="Z2" s="89" t="str">
        <f>A24</f>
        <v>consultarServiciosDeBarbero</v>
      </c>
      <c r="AA2" s="90" t="str">
        <f>A25</f>
        <v>desactivarServicioBarbero</v>
      </c>
      <c r="AB2" s="74" t="str">
        <f>A27</f>
        <v>reactivarServicioBarbero</v>
      </c>
    </row>
    <row r="3" spans="1:28" ht="45" customHeight="1" x14ac:dyDescent="0.3">
      <c r="A3" s="118" t="str">
        <f>'M-BarberoServicio'!A3</f>
        <v>id</v>
      </c>
      <c r="B3" s="168" t="str">
        <f>'M-BarberoServicio'!A2</f>
        <v>Representa un identificador que hará unico cada objeto de dominio de este tipo, no se puede repetir</v>
      </c>
      <c r="C3" s="118" t="s">
        <v>65</v>
      </c>
      <c r="D3" s="118" t="s">
        <v>66</v>
      </c>
      <c r="E3" s="118" t="s">
        <v>65</v>
      </c>
      <c r="F3" s="118" t="s">
        <v>67</v>
      </c>
      <c r="G3" s="118" t="s">
        <v>67</v>
      </c>
      <c r="H3" s="118" t="s">
        <v>67</v>
      </c>
      <c r="I3" s="118" t="s">
        <v>67</v>
      </c>
      <c r="J3" s="118" t="s">
        <v>67</v>
      </c>
      <c r="K3" s="118" t="s">
        <v>67</v>
      </c>
      <c r="L3" s="118" t="s">
        <v>67</v>
      </c>
      <c r="M3" s="118" t="s">
        <v>67</v>
      </c>
      <c r="N3" s="118" t="s">
        <v>68</v>
      </c>
      <c r="O3" s="118" t="s">
        <v>67</v>
      </c>
      <c r="P3" s="118" t="s">
        <v>67</v>
      </c>
      <c r="Q3" s="118" t="s">
        <v>67</v>
      </c>
      <c r="R3" s="118" t="s">
        <v>67</v>
      </c>
      <c r="S3" s="118" t="s">
        <v>68</v>
      </c>
      <c r="T3" s="118" t="s">
        <v>69</v>
      </c>
      <c r="U3" s="118" t="s">
        <v>65</v>
      </c>
      <c r="V3" s="92" t="s">
        <v>147</v>
      </c>
      <c r="W3" s="93" t="s">
        <v>144</v>
      </c>
      <c r="X3" s="93" t="s">
        <v>145</v>
      </c>
      <c r="Y3" s="94" t="s">
        <v>70</v>
      </c>
      <c r="Z3" s="92" t="s">
        <v>70</v>
      </c>
      <c r="AA3" s="93" t="s">
        <v>144</v>
      </c>
      <c r="AB3" s="74" t="s">
        <v>144</v>
      </c>
    </row>
    <row r="4" spans="1:28" ht="27.75" customHeight="1" x14ac:dyDescent="0.3">
      <c r="A4" s="118" t="str">
        <f>'M-BarberoServicio'!B3</f>
        <v>barbero</v>
      </c>
      <c r="B4" s="168" t="str">
        <f>'M-BarberoServicio'!B2</f>
        <v>Representa el nombre y apellidos del barbero</v>
      </c>
      <c r="C4" s="118" t="s">
        <v>68</v>
      </c>
      <c r="D4" s="169" t="s">
        <v>23</v>
      </c>
      <c r="E4" s="118" t="s">
        <v>65</v>
      </c>
      <c r="F4" s="118" t="s">
        <v>67</v>
      </c>
      <c r="G4" s="118" t="s">
        <v>67</v>
      </c>
      <c r="H4" s="118" t="s">
        <v>67</v>
      </c>
      <c r="I4" s="118" t="s">
        <v>67</v>
      </c>
      <c r="J4" s="118" t="s">
        <v>67</v>
      </c>
      <c r="K4" s="118" t="s">
        <v>67</v>
      </c>
      <c r="L4" s="118" t="s">
        <v>67</v>
      </c>
      <c r="M4" s="21" t="s">
        <v>327</v>
      </c>
      <c r="N4" s="118" t="s">
        <v>68</v>
      </c>
      <c r="O4" s="118" t="s">
        <v>67</v>
      </c>
      <c r="P4" s="118" t="s">
        <v>67</v>
      </c>
      <c r="Q4" s="118" t="s">
        <v>67</v>
      </c>
      <c r="R4" s="118" t="s">
        <v>67</v>
      </c>
      <c r="S4" s="118" t="s">
        <v>68</v>
      </c>
      <c r="T4" s="118" t="s">
        <v>69</v>
      </c>
      <c r="U4" s="118" t="s">
        <v>68</v>
      </c>
      <c r="V4" s="92" t="s">
        <v>144</v>
      </c>
      <c r="W4" s="93" t="s">
        <v>147</v>
      </c>
      <c r="X4" s="93" t="s">
        <v>145</v>
      </c>
      <c r="Y4" s="94" t="s">
        <v>70</v>
      </c>
      <c r="Z4" s="92" t="s">
        <v>74</v>
      </c>
      <c r="AA4" s="93" t="s">
        <v>147</v>
      </c>
      <c r="AB4" s="74" t="s">
        <v>147</v>
      </c>
    </row>
    <row r="5" spans="1:28" ht="27.75" customHeight="1" x14ac:dyDescent="0.3">
      <c r="A5" s="118" t="str">
        <f>'M-BarberoServicio'!C3</f>
        <v>servicio</v>
      </c>
      <c r="B5" s="168" t="str">
        <f>'M-BarberoServicio'!C2</f>
        <v xml:space="preserve">Representa el nombre del servicio de la barberia </v>
      </c>
      <c r="C5" s="118" t="s">
        <v>68</v>
      </c>
      <c r="D5" s="169" t="s">
        <v>17</v>
      </c>
      <c r="E5" s="118" t="s">
        <v>65</v>
      </c>
      <c r="F5" s="118" t="s">
        <v>67</v>
      </c>
      <c r="G5" s="118" t="s">
        <v>67</v>
      </c>
      <c r="H5" s="118" t="s">
        <v>67</v>
      </c>
      <c r="I5" s="118" t="s">
        <v>67</v>
      </c>
      <c r="J5" s="118" t="s">
        <v>67</v>
      </c>
      <c r="K5" s="118" t="s">
        <v>67</v>
      </c>
      <c r="L5" s="118" t="s">
        <v>67</v>
      </c>
      <c r="M5" s="21" t="s">
        <v>327</v>
      </c>
      <c r="N5" s="118" t="s">
        <v>68</v>
      </c>
      <c r="O5" s="118" t="s">
        <v>67</v>
      </c>
      <c r="P5" s="118" t="s">
        <v>67</v>
      </c>
      <c r="Q5" s="118" t="s">
        <v>67</v>
      </c>
      <c r="R5" s="118" t="s">
        <v>67</v>
      </c>
      <c r="S5" s="118" t="s">
        <v>68</v>
      </c>
      <c r="T5" s="118" t="s">
        <v>69</v>
      </c>
      <c r="U5" s="118" t="s">
        <v>68</v>
      </c>
      <c r="V5" s="92" t="s">
        <v>144</v>
      </c>
      <c r="W5" s="93" t="s">
        <v>147</v>
      </c>
      <c r="X5" s="93" t="s">
        <v>145</v>
      </c>
      <c r="Y5" s="94" t="s">
        <v>74</v>
      </c>
      <c r="Z5" s="92" t="s">
        <v>74</v>
      </c>
      <c r="AA5" s="93" t="s">
        <v>147</v>
      </c>
      <c r="AB5" s="74" t="s">
        <v>147</v>
      </c>
    </row>
    <row r="6" spans="1:28" ht="60" customHeight="1" x14ac:dyDescent="0.3">
      <c r="A6" s="118" t="str">
        <f>'M-BarberoServicio'!D3</f>
        <v>duracionEnHoras</v>
      </c>
      <c r="B6" s="168" t="str">
        <f>'M-BarberoServicio'!D2</f>
        <v>Representa la cantidad de horas que un barbero tarda en realizar un servicio, esta duracion el barbero debe de ser consiente de cuanto se demora en realizarlo</v>
      </c>
      <c r="C6" s="118" t="s">
        <v>68</v>
      </c>
      <c r="D6" s="178" t="s">
        <v>201</v>
      </c>
      <c r="E6" s="118" t="s">
        <v>65</v>
      </c>
      <c r="F6" s="118" t="s">
        <v>67</v>
      </c>
      <c r="G6" s="118" t="s">
        <v>67</v>
      </c>
      <c r="H6" s="118" t="s">
        <v>67</v>
      </c>
      <c r="I6" s="118" t="s">
        <v>67</v>
      </c>
      <c r="J6" s="118">
        <v>0</v>
      </c>
      <c r="K6" s="118">
        <v>3</v>
      </c>
      <c r="L6" s="118" t="s">
        <v>67</v>
      </c>
      <c r="M6" s="118" t="s">
        <v>67</v>
      </c>
      <c r="N6" s="118" t="s">
        <v>68</v>
      </c>
      <c r="O6" s="118" t="s">
        <v>67</v>
      </c>
      <c r="P6" s="118" t="s">
        <v>67</v>
      </c>
      <c r="Q6" s="118" t="s">
        <v>67</v>
      </c>
      <c r="R6" s="118" t="s">
        <v>67</v>
      </c>
      <c r="S6" s="118" t="s">
        <v>68</v>
      </c>
      <c r="T6" s="179">
        <v>0</v>
      </c>
      <c r="U6" s="118" t="s">
        <v>68</v>
      </c>
      <c r="V6" s="92" t="s">
        <v>144</v>
      </c>
      <c r="W6" s="93" t="s">
        <v>144</v>
      </c>
      <c r="X6" s="93" t="s">
        <v>149</v>
      </c>
      <c r="Y6" s="94" t="s">
        <v>74</v>
      </c>
      <c r="Z6" s="92" t="s">
        <v>70</v>
      </c>
      <c r="AA6" s="93" t="s">
        <v>147</v>
      </c>
      <c r="AB6" s="74" t="s">
        <v>147</v>
      </c>
    </row>
    <row r="7" spans="1:28" ht="60" customHeight="1" x14ac:dyDescent="0.3">
      <c r="A7" s="118" t="str">
        <f>'M-BarberoServicio'!E3</f>
        <v>duracionEnMinutos</v>
      </c>
      <c r="B7" s="168" t="str">
        <f>'M-BarberoServicio'!E2</f>
        <v>Representa la cantidad de minutos que un barbero tarda en realizar un servicio, esta duracion el barbero debe de ser consiente de cuanto se demora en realizarlo</v>
      </c>
      <c r="C7" s="118" t="s">
        <v>68</v>
      </c>
      <c r="D7" s="118" t="s">
        <v>201</v>
      </c>
      <c r="E7" s="118" t="s">
        <v>65</v>
      </c>
      <c r="F7" s="118" t="s">
        <v>67</v>
      </c>
      <c r="G7" s="118" t="s">
        <v>67</v>
      </c>
      <c r="H7" s="118" t="s">
        <v>67</v>
      </c>
      <c r="I7" s="118" t="s">
        <v>67</v>
      </c>
      <c r="J7" s="118">
        <v>0</v>
      </c>
      <c r="K7" s="118">
        <v>59</v>
      </c>
      <c r="L7" s="118" t="s">
        <v>67</v>
      </c>
      <c r="M7" s="118" t="s">
        <v>67</v>
      </c>
      <c r="N7" s="118" t="s">
        <v>68</v>
      </c>
      <c r="O7" s="118" t="s">
        <v>67</v>
      </c>
      <c r="P7" s="118" t="s">
        <v>67</v>
      </c>
      <c r="Q7" s="118" t="s">
        <v>67</v>
      </c>
      <c r="R7" s="118" t="s">
        <v>67</v>
      </c>
      <c r="S7" s="118" t="s">
        <v>68</v>
      </c>
      <c r="T7" s="118" t="s">
        <v>329</v>
      </c>
      <c r="U7" s="118" t="s">
        <v>68</v>
      </c>
      <c r="V7" s="92" t="s">
        <v>144</v>
      </c>
      <c r="W7" s="93" t="s">
        <v>144</v>
      </c>
      <c r="X7" s="93" t="s">
        <v>149</v>
      </c>
      <c r="Y7" s="94" t="s">
        <v>74</v>
      </c>
      <c r="Z7" s="92" t="s">
        <v>70</v>
      </c>
      <c r="AA7" s="93" t="s">
        <v>147</v>
      </c>
      <c r="AB7" s="74" t="s">
        <v>147</v>
      </c>
    </row>
    <row r="8" spans="1:28" ht="90" customHeight="1" x14ac:dyDescent="0.3">
      <c r="A8" s="118" t="str">
        <f>'M-BarberoServicio'!F3</f>
        <v>tiempoExtra</v>
      </c>
      <c r="B8" s="168" t="str">
        <f>'M-BarberoServicio'!F2</f>
        <v>Representa la cantidad de minutos que un barbero pone de tiempo extra en las citas de su agenda, cada barbero usa este tiempo porque hay ocaciones que la cita se puede demorar más de lo previsto. Este tiempo les ayuda a evitar que se les retrase la agenda</v>
      </c>
      <c r="C8" s="118" t="s">
        <v>68</v>
      </c>
      <c r="D8" s="118" t="s">
        <v>201</v>
      </c>
      <c r="E8" s="118" t="s">
        <v>68</v>
      </c>
      <c r="F8" s="118" t="s">
        <v>67</v>
      </c>
      <c r="G8" s="118" t="s">
        <v>67</v>
      </c>
      <c r="H8" s="118" t="s">
        <v>67</v>
      </c>
      <c r="I8" s="118" t="s">
        <v>67</v>
      </c>
      <c r="J8" s="118">
        <v>0</v>
      </c>
      <c r="K8" s="118">
        <v>59</v>
      </c>
      <c r="L8" s="118" t="s">
        <v>67</v>
      </c>
      <c r="M8" s="118" t="s">
        <v>67</v>
      </c>
      <c r="N8" s="118" t="s">
        <v>68</v>
      </c>
      <c r="O8" s="118" t="s">
        <v>67</v>
      </c>
      <c r="P8" s="118" t="s">
        <v>67</v>
      </c>
      <c r="Q8" s="118" t="s">
        <v>67</v>
      </c>
      <c r="R8" s="118" t="s">
        <v>67</v>
      </c>
      <c r="S8" s="118" t="s">
        <v>68</v>
      </c>
      <c r="T8" s="118" t="s">
        <v>329</v>
      </c>
      <c r="U8" s="118" t="s">
        <v>68</v>
      </c>
      <c r="V8" s="92" t="s">
        <v>144</v>
      </c>
      <c r="W8" s="93" t="s">
        <v>144</v>
      </c>
      <c r="X8" s="93" t="s">
        <v>149</v>
      </c>
      <c r="Y8" s="94" t="s">
        <v>74</v>
      </c>
      <c r="Z8" s="92" t="s">
        <v>70</v>
      </c>
      <c r="AA8" s="93" t="s">
        <v>147</v>
      </c>
      <c r="AB8" s="74" t="s">
        <v>147</v>
      </c>
    </row>
    <row r="9" spans="1:28" ht="30" customHeight="1" x14ac:dyDescent="0.3">
      <c r="A9" s="118" t="str">
        <f>'M-BarberoServicio'!G3</f>
        <v>vigente</v>
      </c>
      <c r="B9" s="168" t="str">
        <f>'M-BarberoServicio'!G2</f>
        <v>Representa si el barbero sigue o no presentando el servicio en la barbería</v>
      </c>
      <c r="C9" s="118" t="s">
        <v>68</v>
      </c>
      <c r="D9" s="118" t="s">
        <v>202</v>
      </c>
      <c r="E9" s="118" t="s">
        <v>65</v>
      </c>
      <c r="F9" s="118" t="s">
        <v>67</v>
      </c>
      <c r="G9" s="118" t="s">
        <v>67</v>
      </c>
      <c r="H9" s="118" t="s">
        <v>67</v>
      </c>
      <c r="I9" s="118" t="s">
        <v>67</v>
      </c>
      <c r="J9" s="118" t="s">
        <v>67</v>
      </c>
      <c r="K9" s="118" t="s">
        <v>67</v>
      </c>
      <c r="L9" s="118" t="s">
        <v>67</v>
      </c>
      <c r="M9" s="118" t="s">
        <v>67</v>
      </c>
      <c r="N9" s="118" t="s">
        <v>68</v>
      </c>
      <c r="O9" s="118" t="s">
        <v>67</v>
      </c>
      <c r="P9" s="118" t="s">
        <v>67</v>
      </c>
      <c r="Q9" s="118" t="s">
        <v>67</v>
      </c>
      <c r="R9" s="118" t="s">
        <v>67</v>
      </c>
      <c r="S9" s="118" t="s">
        <v>68</v>
      </c>
      <c r="T9" s="118" t="s">
        <v>65</v>
      </c>
      <c r="U9" s="118" t="s">
        <v>68</v>
      </c>
      <c r="V9" s="92" t="s">
        <v>147</v>
      </c>
      <c r="W9" s="93" t="s">
        <v>147</v>
      </c>
      <c r="X9" s="93" t="s">
        <v>145</v>
      </c>
      <c r="Y9" s="94" t="s">
        <v>70</v>
      </c>
      <c r="Z9" s="92" t="s">
        <v>70</v>
      </c>
      <c r="AA9" s="93" t="s">
        <v>147</v>
      </c>
      <c r="AB9" s="74" t="s">
        <v>147</v>
      </c>
    </row>
    <row r="10" spans="1:28" ht="15" customHeight="1" x14ac:dyDescent="0.3"/>
    <row r="11" spans="1:28" ht="15" customHeight="1" x14ac:dyDescent="0.3">
      <c r="A11" s="23" t="s">
        <v>75</v>
      </c>
      <c r="B11" s="23" t="s">
        <v>76</v>
      </c>
      <c r="C11" s="23" t="s">
        <v>77</v>
      </c>
    </row>
    <row r="12" spans="1:28" ht="18" customHeight="1" x14ac:dyDescent="0.3">
      <c r="A12" s="300" t="str">
        <f>'M-BarberoServicio'!H3</f>
        <v>Combinación única</v>
      </c>
      <c r="B12" s="301" t="str">
        <f>'M-BarberoServicio'!H2</f>
        <v>Combinación única que indica que un mismo barbero no puede aparecer dos veces ofreciendo el mismo servicio</v>
      </c>
      <c r="C12" s="24" t="s">
        <v>650</v>
      </c>
    </row>
    <row r="13" spans="1:28" ht="30" customHeight="1" x14ac:dyDescent="0.3">
      <c r="A13" s="300"/>
      <c r="B13" s="300"/>
      <c r="C13" s="24" t="s">
        <v>653</v>
      </c>
    </row>
    <row r="15" spans="1:28" x14ac:dyDescent="0.3">
      <c r="A15" s="243" t="s">
        <v>79</v>
      </c>
      <c r="B15" s="243"/>
      <c r="C15" s="239" t="s">
        <v>76</v>
      </c>
      <c r="D15" s="239"/>
      <c r="E15" s="239"/>
      <c r="F15" s="239"/>
      <c r="G15" s="239" t="s">
        <v>80</v>
      </c>
      <c r="H15" s="239"/>
      <c r="I15" s="239"/>
      <c r="J15" s="239" t="s">
        <v>81</v>
      </c>
      <c r="K15" s="239"/>
      <c r="L15" s="239"/>
      <c r="M15" s="239"/>
      <c r="N15" s="239"/>
      <c r="O15" s="239" t="s">
        <v>82</v>
      </c>
      <c r="P15" s="239"/>
      <c r="Q15" s="239" t="s">
        <v>83</v>
      </c>
      <c r="R15" s="239"/>
    </row>
    <row r="16" spans="1:28" x14ac:dyDescent="0.3">
      <c r="A16" s="243"/>
      <c r="B16" s="243"/>
      <c r="C16" s="239"/>
      <c r="D16" s="239"/>
      <c r="E16" s="239"/>
      <c r="F16" s="239"/>
      <c r="G16" s="27" t="s">
        <v>84</v>
      </c>
      <c r="H16" s="27" t="s">
        <v>47</v>
      </c>
      <c r="I16" s="27" t="s">
        <v>76</v>
      </c>
      <c r="J16" s="27" t="s">
        <v>85</v>
      </c>
      <c r="K16" s="240" t="s">
        <v>76</v>
      </c>
      <c r="L16" s="240"/>
      <c r="M16" s="240"/>
      <c r="N16" s="240"/>
      <c r="O16" s="27" t="s">
        <v>86</v>
      </c>
      <c r="P16" s="27" t="s">
        <v>76</v>
      </c>
      <c r="Q16" s="27" t="s">
        <v>87</v>
      </c>
      <c r="R16" s="28" t="s">
        <v>88</v>
      </c>
    </row>
    <row r="17" spans="1:18" ht="96.6" x14ac:dyDescent="0.3">
      <c r="A17" s="381" t="s">
        <v>654</v>
      </c>
      <c r="B17" s="382"/>
      <c r="C17" s="363" t="s">
        <v>655</v>
      </c>
      <c r="D17" s="364"/>
      <c r="E17" s="364"/>
      <c r="F17" s="365"/>
      <c r="G17" s="387" t="s">
        <v>656</v>
      </c>
      <c r="H17" s="390" t="s">
        <v>31</v>
      </c>
      <c r="I17" s="387" t="s">
        <v>657</v>
      </c>
      <c r="J17" s="360" t="s">
        <v>31</v>
      </c>
      <c r="K17" s="363" t="s">
        <v>658</v>
      </c>
      <c r="L17" s="364"/>
      <c r="M17" s="364"/>
      <c r="N17" s="365"/>
      <c r="O17" s="116" t="str">
        <f>'P-BarberoServicio'!A6</f>
        <v>P-BSE-0001</v>
      </c>
      <c r="P17" s="31" t="str">
        <f>'P-BarberoServicio'!B6</f>
        <v>Asegurar que los datos requeridos (duración en horas, duración en minutos, tiempo extra) sean válidos en tipo de dato, obligatoriedad y rango</v>
      </c>
      <c r="Q17" s="31" t="s">
        <v>1038</v>
      </c>
      <c r="R17" s="122" t="s">
        <v>164</v>
      </c>
    </row>
    <row r="18" spans="1:18" ht="69" x14ac:dyDescent="0.3">
      <c r="A18" s="383"/>
      <c r="B18" s="384"/>
      <c r="C18" s="366"/>
      <c r="D18" s="367"/>
      <c r="E18" s="367"/>
      <c r="F18" s="368"/>
      <c r="G18" s="388"/>
      <c r="H18" s="391"/>
      <c r="I18" s="388"/>
      <c r="J18" s="361"/>
      <c r="K18" s="366"/>
      <c r="L18" s="367"/>
      <c r="M18" s="367"/>
      <c r="N18" s="368"/>
      <c r="O18" s="116" t="str">
        <f>'P-BarberoServicio'!A7</f>
        <v>P-BSE-0002</v>
      </c>
      <c r="P18" s="31" t="str">
        <f>'P-BarberoServicio'!B7</f>
        <v>Asegurar que el barbero no tenga ya definido ese mismo servicio</v>
      </c>
      <c r="Q18" s="31" t="s">
        <v>1039</v>
      </c>
      <c r="R18" s="122" t="s">
        <v>164</v>
      </c>
    </row>
    <row r="19" spans="1:18" ht="128.25" customHeight="1" x14ac:dyDescent="0.3">
      <c r="A19" s="385"/>
      <c r="B19" s="386"/>
      <c r="C19" s="369"/>
      <c r="D19" s="370"/>
      <c r="E19" s="370"/>
      <c r="F19" s="371"/>
      <c r="G19" s="389"/>
      <c r="H19" s="392"/>
      <c r="I19" s="389"/>
      <c r="J19" s="362"/>
      <c r="K19" s="369"/>
      <c r="L19" s="370"/>
      <c r="M19" s="370"/>
      <c r="N19" s="371"/>
      <c r="O19" s="116" t="str">
        <f>'P-BarberoServicio'!A9</f>
        <v>P-BSE-0004</v>
      </c>
      <c r="P19" s="31" t="str">
        <f>'P-BarberoServicio'!B9</f>
        <v>Asegurar que la suma del tiempo en horas y minutos de la realizacion del servicio por el barbero sea mayor a cero</v>
      </c>
      <c r="Q19" s="31" t="s">
        <v>1040</v>
      </c>
      <c r="R19" s="122" t="s">
        <v>164</v>
      </c>
    </row>
    <row r="20" spans="1:18" ht="110.4" x14ac:dyDescent="0.3">
      <c r="A20" s="372" t="s">
        <v>659</v>
      </c>
      <c r="B20" s="373"/>
      <c r="C20" s="349" t="s">
        <v>660</v>
      </c>
      <c r="D20" s="350"/>
      <c r="E20" s="350"/>
      <c r="F20" s="351"/>
      <c r="G20" s="123" t="s">
        <v>129</v>
      </c>
      <c r="H20" s="123" t="s">
        <v>156</v>
      </c>
      <c r="I20" s="71" t="s">
        <v>661</v>
      </c>
      <c r="J20" s="393" t="s">
        <v>31</v>
      </c>
      <c r="K20" s="349" t="s">
        <v>662</v>
      </c>
      <c r="L20" s="350"/>
      <c r="M20" s="350"/>
      <c r="N20" s="351"/>
      <c r="O20" s="125" t="str">
        <f>'P-BarberoServicio'!A8</f>
        <v>P-BSE-0003</v>
      </c>
      <c r="P20" s="99" t="str">
        <f>'P-BarberoServicio'!B8</f>
        <v>Asegurar que exista el servicio definido del barbero con el id enviado</v>
      </c>
      <c r="Q20" s="99" t="s">
        <v>663</v>
      </c>
      <c r="R20" s="214" t="s">
        <v>164</v>
      </c>
    </row>
    <row r="21" spans="1:18" ht="96.6" x14ac:dyDescent="0.3">
      <c r="A21" s="374"/>
      <c r="B21" s="375"/>
      <c r="C21" s="378"/>
      <c r="D21" s="379"/>
      <c r="E21" s="379"/>
      <c r="F21" s="380"/>
      <c r="G21" s="347" t="s">
        <v>664</v>
      </c>
      <c r="H21" s="345" t="s">
        <v>31</v>
      </c>
      <c r="I21" s="347" t="s">
        <v>665</v>
      </c>
      <c r="J21" s="394"/>
      <c r="K21" s="378"/>
      <c r="L21" s="379"/>
      <c r="M21" s="379"/>
      <c r="N21" s="380"/>
      <c r="O21" s="99" t="str">
        <f>'P-BarberoServicio'!A6</f>
        <v>P-BSE-0001</v>
      </c>
      <c r="P21" s="99" t="str">
        <f>'P-BarberoServicio'!B6</f>
        <v>Asegurar que los datos requeridos (duración en horas, duración en minutos, tiempo extra) sean válidos en tipo de dato, obligatoriedad y rango</v>
      </c>
      <c r="Q21" s="99" t="s">
        <v>1038</v>
      </c>
      <c r="R21" s="214" t="s">
        <v>164</v>
      </c>
    </row>
    <row r="22" spans="1:18" ht="129" customHeight="1" x14ac:dyDescent="0.3">
      <c r="A22" s="376"/>
      <c r="B22" s="377"/>
      <c r="C22" s="352"/>
      <c r="D22" s="353"/>
      <c r="E22" s="353"/>
      <c r="F22" s="354"/>
      <c r="G22" s="348"/>
      <c r="H22" s="346"/>
      <c r="I22" s="348"/>
      <c r="J22" s="395"/>
      <c r="K22" s="352"/>
      <c r="L22" s="353"/>
      <c r="M22" s="353"/>
      <c r="N22" s="354"/>
      <c r="O22" s="99" t="str">
        <f>'P-BarberoServicio'!A9</f>
        <v>P-BSE-0004</v>
      </c>
      <c r="P22" s="99" t="str">
        <f>'P-BarberoServicio'!B9</f>
        <v>Asegurar que la suma del tiempo en horas y minutos de la realizacion del servicio por el barbero sea mayor a cero</v>
      </c>
      <c r="Q22" s="99" t="s">
        <v>1040</v>
      </c>
      <c r="R22" s="214" t="s">
        <v>164</v>
      </c>
    </row>
    <row r="23" spans="1:18" ht="68.25" customHeight="1" x14ac:dyDescent="0.3">
      <c r="A23" s="396" t="s">
        <v>666</v>
      </c>
      <c r="B23" s="397"/>
      <c r="C23" s="398" t="s">
        <v>1049</v>
      </c>
      <c r="D23" s="399"/>
      <c r="E23" s="399"/>
      <c r="F23" s="400"/>
      <c r="G23" s="126" t="s">
        <v>668</v>
      </c>
      <c r="H23" s="126" t="s">
        <v>31</v>
      </c>
      <c r="I23" s="75" t="s">
        <v>669</v>
      </c>
      <c r="J23" s="140" t="s">
        <v>670</v>
      </c>
      <c r="K23" s="319" t="s">
        <v>671</v>
      </c>
      <c r="L23" s="319"/>
      <c r="M23" s="319"/>
      <c r="N23" s="319"/>
      <c r="O23" s="126"/>
      <c r="P23" s="75"/>
      <c r="Q23" s="75"/>
      <c r="R23" s="127"/>
    </row>
    <row r="24" spans="1:18" ht="68.25" customHeight="1" x14ac:dyDescent="0.3">
      <c r="A24" s="311" t="s">
        <v>672</v>
      </c>
      <c r="B24" s="311"/>
      <c r="C24" s="312" t="s">
        <v>673</v>
      </c>
      <c r="D24" s="312"/>
      <c r="E24" s="312"/>
      <c r="F24" s="312"/>
      <c r="G24" s="116" t="s">
        <v>668</v>
      </c>
      <c r="H24" s="116" t="s">
        <v>31</v>
      </c>
      <c r="I24" s="31" t="s">
        <v>674</v>
      </c>
      <c r="J24" s="128" t="s">
        <v>670</v>
      </c>
      <c r="K24" s="312" t="s">
        <v>675</v>
      </c>
      <c r="L24" s="312"/>
      <c r="M24" s="312"/>
      <c r="N24" s="312"/>
      <c r="O24" s="116"/>
      <c r="P24" s="31"/>
      <c r="Q24" s="31"/>
      <c r="R24" s="122"/>
    </row>
    <row r="25" spans="1:18" ht="110.4" x14ac:dyDescent="0.3">
      <c r="A25" s="372" t="s">
        <v>1032</v>
      </c>
      <c r="B25" s="373"/>
      <c r="C25" s="349" t="s">
        <v>676</v>
      </c>
      <c r="D25" s="350"/>
      <c r="E25" s="350"/>
      <c r="F25" s="351"/>
      <c r="G25" s="345" t="s">
        <v>129</v>
      </c>
      <c r="H25" s="345" t="s">
        <v>156</v>
      </c>
      <c r="I25" s="347" t="s">
        <v>677</v>
      </c>
      <c r="J25" s="349" t="s">
        <v>223</v>
      </c>
      <c r="K25" s="350"/>
      <c r="L25" s="350"/>
      <c r="M25" s="350"/>
      <c r="N25" s="351"/>
      <c r="O25" s="123" t="str">
        <f>'P-BarberoServicio'!A8</f>
        <v>P-BSE-0003</v>
      </c>
      <c r="P25" s="71" t="str">
        <f>'P-BarberoServicio'!B8</f>
        <v>Asegurar que exista el servicio definido del barbero con el id enviado</v>
      </c>
      <c r="Q25" s="71" t="s">
        <v>663</v>
      </c>
      <c r="R25" s="124" t="s">
        <v>164</v>
      </c>
    </row>
    <row r="26" spans="1:18" ht="69" x14ac:dyDescent="0.3">
      <c r="A26" s="376"/>
      <c r="B26" s="377"/>
      <c r="C26" s="352"/>
      <c r="D26" s="353"/>
      <c r="E26" s="353"/>
      <c r="F26" s="354"/>
      <c r="G26" s="346"/>
      <c r="H26" s="346"/>
      <c r="I26" s="348"/>
      <c r="J26" s="352"/>
      <c r="K26" s="353"/>
      <c r="L26" s="353"/>
      <c r="M26" s="353"/>
      <c r="N26" s="354"/>
      <c r="O26" s="123" t="str">
        <f>'P-BarberoServicio'!A10</f>
        <v>P-BSE-0005</v>
      </c>
      <c r="P26" s="71" t="str">
        <f>'P-BarberoServicio'!B10</f>
        <v>Asegurar que el estado de BarberoServicio este vigente</v>
      </c>
      <c r="Q26" s="71" t="s">
        <v>1047</v>
      </c>
      <c r="R26" s="124" t="s">
        <v>164</v>
      </c>
    </row>
    <row r="27" spans="1:18" ht="110.4" x14ac:dyDescent="0.3">
      <c r="A27" s="314" t="s">
        <v>1033</v>
      </c>
      <c r="B27" s="314"/>
      <c r="C27" s="295" t="s">
        <v>1037</v>
      </c>
      <c r="D27" s="295"/>
      <c r="E27" s="295"/>
      <c r="F27" s="295"/>
      <c r="G27" s="315" t="s">
        <v>129</v>
      </c>
      <c r="H27" s="315" t="s">
        <v>156</v>
      </c>
      <c r="I27" s="295" t="s">
        <v>677</v>
      </c>
      <c r="J27" s="295" t="s">
        <v>223</v>
      </c>
      <c r="K27" s="295"/>
      <c r="L27" s="295"/>
      <c r="M27" s="295"/>
      <c r="N27" s="295"/>
      <c r="O27" s="126" t="str">
        <f>'P-BarberoServicio'!A8</f>
        <v>P-BSE-0003</v>
      </c>
      <c r="P27" s="75" t="str">
        <f>'P-BarberoServicio'!B8</f>
        <v>Asegurar que exista el servicio definido del barbero con el id enviado</v>
      </c>
      <c r="Q27" s="75" t="s">
        <v>663</v>
      </c>
      <c r="R27" s="127" t="s">
        <v>164</v>
      </c>
    </row>
    <row r="28" spans="1:18" ht="55.2" x14ac:dyDescent="0.3">
      <c r="A28" s="314"/>
      <c r="B28" s="314"/>
      <c r="C28" s="295"/>
      <c r="D28" s="295"/>
      <c r="E28" s="295"/>
      <c r="F28" s="295"/>
      <c r="G28" s="315"/>
      <c r="H28" s="315"/>
      <c r="I28" s="295"/>
      <c r="J28" s="295"/>
      <c r="K28" s="295"/>
      <c r="L28" s="295"/>
      <c r="M28" s="295"/>
      <c r="N28" s="295"/>
      <c r="O28" s="126" t="str">
        <f>'P-BarberoServicio'!A11</f>
        <v>P-BSE-0006</v>
      </c>
      <c r="P28" s="75" t="str">
        <f>'P-BarberoServicio'!B11</f>
        <v>Asegurar que el estado del BarberoServicio no este vigente</v>
      </c>
      <c r="Q28" s="75" t="s">
        <v>1048</v>
      </c>
      <c r="R28" s="127" t="s">
        <v>164</v>
      </c>
    </row>
  </sheetData>
  <mergeCells count="42">
    <mergeCell ref="J25:N26"/>
    <mergeCell ref="A27:B28"/>
    <mergeCell ref="H21:H22"/>
    <mergeCell ref="I21:I22"/>
    <mergeCell ref="K20:N22"/>
    <mergeCell ref="J20:J22"/>
    <mergeCell ref="A25:B26"/>
    <mergeCell ref="C25:F26"/>
    <mergeCell ref="G25:G26"/>
    <mergeCell ref="H25:H26"/>
    <mergeCell ref="I25:I26"/>
    <mergeCell ref="A23:B23"/>
    <mergeCell ref="C23:F23"/>
    <mergeCell ref="K23:N23"/>
    <mergeCell ref="A24:B24"/>
    <mergeCell ref="C24:F24"/>
    <mergeCell ref="K24:N24"/>
    <mergeCell ref="J17:J19"/>
    <mergeCell ref="K17:N19"/>
    <mergeCell ref="A20:B22"/>
    <mergeCell ref="C20:F22"/>
    <mergeCell ref="G21:G22"/>
    <mergeCell ref="A17:B19"/>
    <mergeCell ref="C17:F19"/>
    <mergeCell ref="G17:G19"/>
    <mergeCell ref="H17:H19"/>
    <mergeCell ref="I17:I19"/>
    <mergeCell ref="W2:X2"/>
    <mergeCell ref="A12:A13"/>
    <mergeCell ref="B12:B13"/>
    <mergeCell ref="A15:B16"/>
    <mergeCell ref="C15:F16"/>
    <mergeCell ref="G15:I15"/>
    <mergeCell ref="J15:N15"/>
    <mergeCell ref="O15:P15"/>
    <mergeCell ref="Q15:R15"/>
    <mergeCell ref="K16:N16"/>
    <mergeCell ref="C27:F28"/>
    <mergeCell ref="G27:G28"/>
    <mergeCell ref="H27:H28"/>
    <mergeCell ref="I27:I28"/>
    <mergeCell ref="J27:N28"/>
  </mergeCells>
  <hyperlinks>
    <hyperlink ref="A1" location="'Modelo de Dominio'!A1" display="&lt;&lt;&lt;&lt; Ir al modulo de dominio" xr:uid="{00000000-0004-0000-2600-000000000000}"/>
    <hyperlink ref="B1" location="'Objetos de Dominio'!A1" display="&lt;&lt;&lt;&lt; Ir a objetos de dominio" xr:uid="{00000000-0004-0000-2600-000001000000}"/>
    <hyperlink ref="V2" location="'C-BarberoServicio'!A17" display="#'C-BarberoServicio'.A17" xr:uid="{00000000-0004-0000-2600-000002000000}"/>
    <hyperlink ref="W2" location="'C-BarberoServicio'!A19" display="#'C-BarberoServicio'.A19" xr:uid="{00000000-0004-0000-2600-000003000000}"/>
    <hyperlink ref="Y2" location="'C-BarberoServicio'!A21" display="#'C-BarberoServicio'.A21" xr:uid="{00000000-0004-0000-2600-000004000000}"/>
    <hyperlink ref="Z2" location="'C-BarberoServicio'!A22" display="#'C-BarberoServicio'.A22" xr:uid="{00000000-0004-0000-2600-000005000000}"/>
    <hyperlink ref="AA2" location="'C-BarberoServicio'!A23" display="#'C-BarberoServicio'.A23" xr:uid="{00000000-0004-0000-2600-000006000000}"/>
    <hyperlink ref="D4" location="'C-Barbero'!A1" display="Barbero" xr:uid="{00000000-0004-0000-2600-000007000000}"/>
    <hyperlink ref="D5" location="'C-Servicio'!A1" display="Servicio" xr:uid="{00000000-0004-0000-2600-000008000000}"/>
    <hyperlink ref="A17" location="'C-BarberoServicio'!V2" display="habilitarServicioBarbero" xr:uid="{00000000-0004-0000-2600-000009000000}"/>
    <hyperlink ref="A20" location="'C-BarberoServicio'!W2" display="ajustarTiemposServicioBarbero" xr:uid="{00000000-0004-0000-2600-00000A000000}"/>
    <hyperlink ref="A23" location="'C-BarberoServicio'!Y2" display="consultarServiciosElegidos" xr:uid="{00000000-0004-0000-2600-00000B000000}"/>
    <hyperlink ref="A24" location="'C-BarberoServicio'!Z2" display="consultarServiciosDeBarbero" xr:uid="{00000000-0004-0000-2600-00000C000000}"/>
    <hyperlink ref="A25" location="'C-BarberoServicio'!AA2" display="darBajaServicioBarbero" xr:uid="{00000000-0004-0000-2600-00000D000000}"/>
  </hyperlink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1"/>
  <sheetViews>
    <sheetView showGridLines="0" zoomScaleNormal="100" workbookViewId="0">
      <selection activeCell="B10" sqref="B10:C10"/>
    </sheetView>
  </sheetViews>
  <sheetFormatPr baseColWidth="10" defaultColWidth="8.6640625" defaultRowHeight="14.4" x14ac:dyDescent="0.3"/>
  <cols>
    <col min="1" max="1" width="20.6640625" bestFit="1" customWidth="1"/>
    <col min="2" max="2" width="28.5546875" customWidth="1"/>
    <col min="3" max="3" width="35.5546875" customWidth="1"/>
    <col min="4" max="4" width="37.109375" customWidth="1"/>
    <col min="5" max="5" width="36.66406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Dominio'!A12</f>
        <v>BarberoServicio</v>
      </c>
      <c r="C2" s="244"/>
      <c r="D2" s="244"/>
      <c r="E2" s="244"/>
    </row>
    <row r="3" spans="1:5" ht="30" customHeight="1" x14ac:dyDescent="0.3">
      <c r="A3" s="35" t="s">
        <v>99</v>
      </c>
      <c r="B3" s="245" t="str">
        <f>'Objetos de Dominio'!B12</f>
        <v>Representa qué servicios sabe hacer cada barbero, cuánto se demora en realizarlos y cuánto tiempo extra usa de colchón, ya que no todos los barberos ofrecen los mismos servicios que están en la barbería.</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48" customHeight="1" x14ac:dyDescent="0.3">
      <c r="A6" s="36" t="s">
        <v>678</v>
      </c>
      <c r="B6" s="296" t="s">
        <v>679</v>
      </c>
      <c r="C6" s="296"/>
      <c r="D6" s="37" t="s">
        <v>31</v>
      </c>
      <c r="E6" s="37"/>
    </row>
    <row r="7" spans="1:5" ht="30" customHeight="1" x14ac:dyDescent="0.3">
      <c r="A7" s="36" t="s">
        <v>680</v>
      </c>
      <c r="B7" s="296" t="s">
        <v>1035</v>
      </c>
      <c r="C7" s="296"/>
      <c r="D7" s="37" t="s">
        <v>31</v>
      </c>
      <c r="E7" s="37"/>
    </row>
    <row r="8" spans="1:5" ht="30" customHeight="1" x14ac:dyDescent="0.3">
      <c r="A8" s="36" t="s">
        <v>681</v>
      </c>
      <c r="B8" s="401" t="s">
        <v>1036</v>
      </c>
      <c r="C8" s="402"/>
      <c r="D8" s="37" t="s">
        <v>31</v>
      </c>
      <c r="E8" s="37"/>
    </row>
    <row r="9" spans="1:5" ht="30.75" customHeight="1" x14ac:dyDescent="0.3">
      <c r="A9" s="36" t="s">
        <v>1030</v>
      </c>
      <c r="B9" s="401" t="s">
        <v>1031</v>
      </c>
      <c r="C9" s="402"/>
      <c r="D9" s="37" t="s">
        <v>31</v>
      </c>
      <c r="E9" s="37"/>
    </row>
    <row r="10" spans="1:5" x14ac:dyDescent="0.3">
      <c r="A10" s="36" t="s">
        <v>1041</v>
      </c>
      <c r="B10" s="401" t="s">
        <v>1043</v>
      </c>
      <c r="C10" s="402"/>
      <c r="D10" s="37" t="s">
        <v>31</v>
      </c>
      <c r="E10" s="37"/>
    </row>
    <row r="11" spans="1:5" ht="15" customHeight="1" x14ac:dyDescent="0.3">
      <c r="A11" s="36" t="s">
        <v>1042</v>
      </c>
      <c r="B11" s="401" t="s">
        <v>1044</v>
      </c>
      <c r="C11" s="402"/>
      <c r="D11" s="37" t="s">
        <v>31</v>
      </c>
      <c r="E11" s="37"/>
    </row>
  </sheetData>
  <mergeCells count="12">
    <mergeCell ref="B11:C11"/>
    <mergeCell ref="B6:C6"/>
    <mergeCell ref="B7:C7"/>
    <mergeCell ref="B8:C8"/>
    <mergeCell ref="B9:C9"/>
    <mergeCell ref="B10:C10"/>
    <mergeCell ref="B2:E2"/>
    <mergeCell ref="B3:E3"/>
    <mergeCell ref="A4:A5"/>
    <mergeCell ref="B4:C5"/>
    <mergeCell ref="D4:D5"/>
    <mergeCell ref="E4:E5"/>
  </mergeCells>
  <phoneticPr fontId="36" type="noConversion"/>
  <hyperlinks>
    <hyperlink ref="A1" location="'Modelo de Dominio'!A1" display="&lt;&lt; Ir al modelo de dominio" xr:uid="{00000000-0004-0000-2700-000000000000}"/>
    <hyperlink ref="B1" location="'Objetos de Dominio'!A1" display="&lt;&lt; Ir al listado de objetos de dominio" xr:uid="{00000000-0004-0000-2700-000001000000}"/>
    <hyperlink ref="C1" location="'C-BarberoServicio'!A1" display="&lt;&lt; Ir a la caracterización del objeto de dominio" xr:uid="{00000000-0004-0000-2700-000002000000}"/>
    <hyperlink ref="D1" location="'M-BarberoServicio'!A1" display="Ir al muestreo de datos del objeto de dominio &gt;&gt;" xr:uid="{00000000-0004-0000-2700-000003000000}"/>
    <hyperlink ref="E1" location="'E-BarberoServicio'!A1" display="Ir al event storming del objeto de dominio &gt;&gt;" xr:uid="{00000000-0004-0000-2700-000004000000}"/>
  </hyperlink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5"/>
  <sheetViews>
    <sheetView showGridLines="0" zoomScaleNormal="100" workbookViewId="0">
      <selection activeCell="H14" sqref="H14"/>
    </sheetView>
  </sheetViews>
  <sheetFormatPr baseColWidth="10" defaultColWidth="8.6640625" defaultRowHeight="14.4" x14ac:dyDescent="0.3"/>
  <cols>
    <col min="1" max="1" width="20" customWidth="1"/>
    <col min="2" max="2" width="30" customWidth="1"/>
    <col min="3" max="3" width="42" customWidth="1"/>
    <col min="4" max="4" width="15.6640625"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150" t="s">
        <v>98</v>
      </c>
      <c r="B2" s="324" t="str">
        <f>'Objetos de Dominio'!A12</f>
        <v>BarberoServicio</v>
      </c>
      <c r="C2" s="324"/>
      <c r="D2" s="324"/>
      <c r="E2" s="324"/>
      <c r="F2" s="324"/>
      <c r="G2" s="324"/>
      <c r="H2" s="324"/>
      <c r="I2" s="324"/>
      <c r="J2" s="324"/>
      <c r="K2" s="324"/>
    </row>
    <row r="3" spans="1:11" ht="30" customHeight="1" x14ac:dyDescent="0.3">
      <c r="A3" s="151" t="s">
        <v>99</v>
      </c>
      <c r="B3" s="325" t="str">
        <f>'Objetos de Dominio'!B12</f>
        <v>Representa qué servicios sabe hacer cada barbero, cuánto se demora en realizarlos y cuánto tiempo extra usa de colchón, ya que no todos los barberos ofrecen los mismos servicios que están en la barbería.</v>
      </c>
      <c r="C3" s="325"/>
      <c r="D3" s="325"/>
      <c r="E3" s="325"/>
      <c r="F3" s="325"/>
      <c r="G3" s="325"/>
      <c r="H3" s="325"/>
      <c r="I3" s="325"/>
      <c r="J3" s="325"/>
      <c r="K3" s="325"/>
    </row>
    <row r="4" spans="1:11" ht="34.5" customHeight="1" x14ac:dyDescent="0.3">
      <c r="A4" s="5" t="s">
        <v>105</v>
      </c>
      <c r="B4" s="326" t="s">
        <v>106</v>
      </c>
      <c r="C4" s="326"/>
      <c r="D4" s="4" t="s">
        <v>107</v>
      </c>
      <c r="E4" s="327" t="s">
        <v>108</v>
      </c>
      <c r="F4" s="327"/>
      <c r="G4" s="328" t="s">
        <v>109</v>
      </c>
      <c r="H4" s="328"/>
      <c r="I4" s="152" t="s">
        <v>110</v>
      </c>
      <c r="J4" s="3" t="s">
        <v>111</v>
      </c>
      <c r="K4" s="153" t="s">
        <v>112</v>
      </c>
    </row>
    <row r="5" spans="1:11" ht="15" customHeight="1" x14ac:dyDescent="0.3">
      <c r="A5" s="329" t="s">
        <v>105</v>
      </c>
      <c r="B5" s="326" t="s">
        <v>113</v>
      </c>
      <c r="C5" s="326" t="s">
        <v>76</v>
      </c>
      <c r="D5" s="330" t="s">
        <v>114</v>
      </c>
      <c r="E5" s="327" t="s">
        <v>115</v>
      </c>
      <c r="F5" s="327"/>
      <c r="G5" s="328" t="s">
        <v>116</v>
      </c>
      <c r="H5" s="328"/>
      <c r="I5" s="331" t="s">
        <v>117</v>
      </c>
      <c r="J5" s="332" t="s">
        <v>118</v>
      </c>
      <c r="K5" s="333" t="s">
        <v>119</v>
      </c>
    </row>
    <row r="6" spans="1:11" ht="15" customHeight="1" x14ac:dyDescent="0.3">
      <c r="A6" s="329"/>
      <c r="B6" s="329"/>
      <c r="C6" s="329"/>
      <c r="D6" s="329"/>
      <c r="E6" s="6" t="s">
        <v>120</v>
      </c>
      <c r="F6" s="6" t="s">
        <v>76</v>
      </c>
      <c r="G6" s="154" t="s">
        <v>121</v>
      </c>
      <c r="H6" s="154" t="s">
        <v>76</v>
      </c>
      <c r="I6" s="331"/>
      <c r="J6" s="331"/>
      <c r="K6" s="331"/>
    </row>
    <row r="7" spans="1:11" ht="30" customHeight="1" x14ac:dyDescent="0.3">
      <c r="A7" s="340" t="s">
        <v>23</v>
      </c>
      <c r="B7" s="340" t="s">
        <v>1034</v>
      </c>
      <c r="C7" s="340" t="s">
        <v>655</v>
      </c>
      <c r="D7" s="340" t="str">
        <f>$B$2</f>
        <v>BarberoServicio</v>
      </c>
      <c r="E7" s="340"/>
      <c r="F7" s="340"/>
      <c r="G7" s="155" t="str">
        <f>'P-BarberoServicio'!A6</f>
        <v>P-BSE-0001</v>
      </c>
      <c r="H7" s="182" t="s">
        <v>235</v>
      </c>
      <c r="I7" s="340"/>
      <c r="J7" s="340" t="s">
        <v>682</v>
      </c>
      <c r="K7" s="340"/>
    </row>
    <row r="8" spans="1:11" ht="30" customHeight="1" x14ac:dyDescent="0.3">
      <c r="A8" s="341"/>
      <c r="B8" s="341"/>
      <c r="C8" s="341"/>
      <c r="D8" s="341"/>
      <c r="E8" s="341"/>
      <c r="F8" s="341"/>
      <c r="G8" s="155" t="str">
        <f>'P-BarberoServicio'!A7</f>
        <v>P-BSE-0002</v>
      </c>
      <c r="H8" s="182" t="s">
        <v>235</v>
      </c>
      <c r="I8" s="341"/>
      <c r="J8" s="341"/>
      <c r="K8" s="341"/>
    </row>
    <row r="9" spans="1:11" ht="30" customHeight="1" x14ac:dyDescent="0.3">
      <c r="A9" s="342"/>
      <c r="B9" s="342"/>
      <c r="C9" s="342"/>
      <c r="D9" s="342"/>
      <c r="E9" s="342"/>
      <c r="F9" s="342"/>
      <c r="G9" s="155" t="str">
        <f>'P-BarberoServicio'!A9</f>
        <v>P-BSE-0004</v>
      </c>
      <c r="H9" s="182" t="s">
        <v>235</v>
      </c>
      <c r="I9" s="342"/>
      <c r="J9" s="342"/>
      <c r="K9" s="342"/>
    </row>
    <row r="10" spans="1:11" ht="30" customHeight="1" x14ac:dyDescent="0.3">
      <c r="A10" s="340" t="s">
        <v>23</v>
      </c>
      <c r="B10" s="340" t="s">
        <v>683</v>
      </c>
      <c r="C10" s="340" t="s">
        <v>660</v>
      </c>
      <c r="D10" s="340" t="str">
        <f>$B$2</f>
        <v>BarberoServicio</v>
      </c>
      <c r="E10" s="340"/>
      <c r="F10" s="340"/>
      <c r="G10" s="155" t="str">
        <f>'P-BarberoServicio'!A6</f>
        <v>P-BSE-0001</v>
      </c>
      <c r="H10" s="182" t="s">
        <v>235</v>
      </c>
      <c r="I10" s="340"/>
      <c r="J10" s="340" t="s">
        <v>684</v>
      </c>
      <c r="K10" s="340"/>
    </row>
    <row r="11" spans="1:11" ht="30" customHeight="1" x14ac:dyDescent="0.3">
      <c r="A11" s="342"/>
      <c r="B11" s="342"/>
      <c r="C11" s="342"/>
      <c r="D11" s="342"/>
      <c r="E11" s="342"/>
      <c r="F11" s="342"/>
      <c r="G11" s="155" t="str">
        <f>'P-BarberoServicio'!A9</f>
        <v>P-BSE-0004</v>
      </c>
      <c r="H11" s="182" t="s">
        <v>235</v>
      </c>
      <c r="I11" s="342"/>
      <c r="J11" s="342"/>
      <c r="K11" s="342"/>
    </row>
    <row r="12" spans="1:11" ht="30" customHeight="1" x14ac:dyDescent="0.3">
      <c r="A12" s="2" t="s">
        <v>23</v>
      </c>
      <c r="B12" s="1" t="s">
        <v>685</v>
      </c>
      <c r="C12" s="1" t="s">
        <v>667</v>
      </c>
      <c r="D12" s="2" t="str">
        <f>$B$2</f>
        <v>BarberoServicio</v>
      </c>
      <c r="E12" s="1"/>
      <c r="F12" s="1"/>
      <c r="G12" s="2"/>
      <c r="H12" s="183"/>
      <c r="I12" s="2"/>
      <c r="J12" s="1" t="s">
        <v>686</v>
      </c>
      <c r="K12" s="1"/>
    </row>
    <row r="13" spans="1:11" ht="30" customHeight="1" x14ac:dyDescent="0.3">
      <c r="A13" s="2" t="s">
        <v>25</v>
      </c>
      <c r="B13" s="1" t="s">
        <v>687</v>
      </c>
      <c r="C13" s="1" t="s">
        <v>673</v>
      </c>
      <c r="D13" s="2" t="str">
        <f>$B$2</f>
        <v>BarberoServicio</v>
      </c>
      <c r="E13" s="1"/>
      <c r="F13" s="1"/>
      <c r="G13" s="2"/>
      <c r="H13" s="183"/>
      <c r="I13" s="2"/>
      <c r="J13" s="1" t="s">
        <v>686</v>
      </c>
      <c r="K13" s="1"/>
    </row>
    <row r="14" spans="1:11" ht="30" customHeight="1" x14ac:dyDescent="0.3">
      <c r="A14" s="2" t="s">
        <v>23</v>
      </c>
      <c r="B14" s="1" t="s">
        <v>688</v>
      </c>
      <c r="C14" s="1" t="s">
        <v>676</v>
      </c>
      <c r="D14" s="2" t="str">
        <f>$B$2</f>
        <v>BarberoServicio</v>
      </c>
      <c r="E14" s="1"/>
      <c r="F14" s="1"/>
      <c r="G14" s="155" t="str">
        <f>'P-BarberoServicio'!A10</f>
        <v>P-BSE-0005</v>
      </c>
      <c r="H14" s="182" t="s">
        <v>235</v>
      </c>
      <c r="I14" s="2"/>
      <c r="J14" s="1" t="s">
        <v>689</v>
      </c>
      <c r="K14" s="1"/>
    </row>
    <row r="15" spans="1:11" ht="27.6" x14ac:dyDescent="0.3">
      <c r="A15" s="2" t="s">
        <v>23</v>
      </c>
      <c r="B15" s="1" t="s">
        <v>1046</v>
      </c>
      <c r="C15" s="1" t="s">
        <v>676</v>
      </c>
      <c r="D15" s="2" t="str">
        <f>$B$2</f>
        <v>BarberoServicio</v>
      </c>
      <c r="E15" s="1"/>
      <c r="F15" s="1"/>
      <c r="G15" s="155" t="str">
        <f>'P-BarberoServicio'!A11</f>
        <v>P-BSE-0006</v>
      </c>
      <c r="H15" s="182" t="s">
        <v>235</v>
      </c>
      <c r="I15" s="2"/>
      <c r="J15" s="1" t="s">
        <v>1045</v>
      </c>
      <c r="K15" s="1"/>
    </row>
  </sheetData>
  <mergeCells count="36">
    <mergeCell ref="F10:F11"/>
    <mergeCell ref="I10:I11"/>
    <mergeCell ref="J10:J11"/>
    <mergeCell ref="K10:K11"/>
    <mergeCell ref="A10:A11"/>
    <mergeCell ref="B10:B11"/>
    <mergeCell ref="C10:C11"/>
    <mergeCell ref="D10:D11"/>
    <mergeCell ref="E10:E11"/>
    <mergeCell ref="A7:A9"/>
    <mergeCell ref="B7:B9"/>
    <mergeCell ref="C7:C9"/>
    <mergeCell ref="D7:D9"/>
    <mergeCell ref="E7:E9"/>
    <mergeCell ref="F7:F9"/>
    <mergeCell ref="I7:I9"/>
    <mergeCell ref="J7:J9"/>
    <mergeCell ref="K7:K9"/>
    <mergeCell ref="B3:K3"/>
    <mergeCell ref="B4:C4"/>
    <mergeCell ref="E4:F4"/>
    <mergeCell ref="G4:H4"/>
    <mergeCell ref="G5:H5"/>
    <mergeCell ref="I5:I6"/>
    <mergeCell ref="J5:J6"/>
    <mergeCell ref="K5:K6"/>
    <mergeCell ref="A5:A6"/>
    <mergeCell ref="B5:B6"/>
    <mergeCell ref="C5:C6"/>
    <mergeCell ref="D5:D6"/>
    <mergeCell ref="E5:F5"/>
    <mergeCell ref="A1:B1"/>
    <mergeCell ref="C1:E1"/>
    <mergeCell ref="F1:I1"/>
    <mergeCell ref="J1:K1"/>
    <mergeCell ref="B2:K2"/>
  </mergeCells>
  <hyperlinks>
    <hyperlink ref="A1" location="'Modelo de Dominio'!A1" display="&lt;&lt; Ir al modelo de dominio" xr:uid="{00000000-0004-0000-2800-000000000000}"/>
    <hyperlink ref="C1" location="'Objetos de Dominio'!A1" display="&lt;&lt; Ir al listado de objetos de dominio" xr:uid="{00000000-0004-0000-2800-000001000000}"/>
    <hyperlink ref="F1" location="'C-BarberoServicio'!A1" display="&lt;&lt; Ir a la caracterización del objeto de dominio" xr:uid="{00000000-0004-0000-2800-000002000000}"/>
    <hyperlink ref="J1" location="'M-BarberoServicio'!A1" display="Ir al muestreo de datos del objeto de dominio &gt;&gt;" xr:uid="{00000000-0004-0000-2800-000003000000}"/>
    <hyperlink ref="G7" location="'P-BarberoServicio'!A6" display="#'P-BarberoServicio'.A6" xr:uid="{00000000-0004-0000-2800-000004000000}"/>
    <hyperlink ref="H7" location="'P-BarberoServicio'!B6" display="aquí" xr:uid="{00000000-0004-0000-2800-000005000000}"/>
    <hyperlink ref="G8" location="'P-BarberoServicio'!A7" display="#'P-BarberoServicio'.A7" xr:uid="{00000000-0004-0000-2800-000006000000}"/>
    <hyperlink ref="H8" location="'P-BarberoServicio'!B7" display="aquí" xr:uid="{00000000-0004-0000-2800-000007000000}"/>
    <hyperlink ref="G10" location="'P-BarberoServicio'!A6" display="#'P-BarberoServicio'.A6" xr:uid="{00000000-0004-0000-2800-000008000000}"/>
    <hyperlink ref="H10" location="'P-BarberoServicio'!B6" display="aquí" xr:uid="{00000000-0004-0000-2800-000009000000}"/>
    <hyperlink ref="H9" location="'P-BarberoServicio'!B9" display="aquí" xr:uid="{C619FF05-D8E6-4525-A3FD-5F9FD8A6FD63}"/>
    <hyperlink ref="G9" location="'P-BarberoServicio'!A9" display="'P-BarberoServicio'!A9" xr:uid="{6BE248EC-5E16-4E70-ABDA-29D413D093F9}"/>
    <hyperlink ref="H11" location="'P-BarberoServicio'!B9" display="aquí" xr:uid="{9D78FE5B-F4F8-443D-A2E7-82C008D7E6F7}"/>
    <hyperlink ref="G11" location="'P-BarberoServicio'!A9" display="'P-BarberoServicio'!A9" xr:uid="{D74ED804-01E9-444B-BBAA-D091CF0C0E57}"/>
    <hyperlink ref="H14" location="'P-BarberoServicio'!B10" display="aquí" xr:uid="{26DA25F7-F4A2-4BE7-BC60-52617AB1A013}"/>
    <hyperlink ref="H15" location="'P-BarberoServicio'!B11" display="aquí" xr:uid="{40B02D42-24E9-4CFE-8106-D72D5BC525E3}"/>
    <hyperlink ref="G14" location="'P-BarberoServicio'!A10" display="'P-BarberoServicio'!A10" xr:uid="{657946DB-22FC-49AC-9D52-C70B72649F7B}"/>
    <hyperlink ref="G15" location="'P-BarberoServicio'!A11" display="'P-BarberoServicio'!A11" xr:uid="{70738B28-D60B-41AA-99FB-1D41C45ECA5C}"/>
  </hyperlink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19"/>
  <sheetViews>
    <sheetView topLeftCell="C1" zoomScaleNormal="100" workbookViewId="0">
      <selection activeCell="G3" sqref="G3"/>
    </sheetView>
  </sheetViews>
  <sheetFormatPr baseColWidth="10" defaultColWidth="8.6640625" defaultRowHeight="14.4" x14ac:dyDescent="0.3"/>
  <cols>
    <col min="1" max="1" width="27" customWidth="1"/>
    <col min="2" max="2" width="26.109375" customWidth="1"/>
    <col min="3" max="4" width="42" customWidth="1"/>
    <col min="5" max="5" width="40.33203125" customWidth="1"/>
    <col min="6" max="6" width="35.6640625" customWidth="1"/>
    <col min="7" max="7" width="11.5546875" customWidth="1"/>
    <col min="8" max="8" width="56.88671875" customWidth="1"/>
  </cols>
  <sheetData>
    <row r="1" spans="1:8" ht="14.25" customHeight="1" x14ac:dyDescent="0.3">
      <c r="A1" s="8" t="s">
        <v>1</v>
      </c>
      <c r="B1" s="8" t="s">
        <v>43</v>
      </c>
    </row>
    <row r="2" spans="1:8" ht="51.75" customHeight="1" x14ac:dyDescent="0.3">
      <c r="A2" s="51" t="s">
        <v>126</v>
      </c>
      <c r="B2" s="184" t="s">
        <v>690</v>
      </c>
      <c r="C2" s="51" t="s">
        <v>691</v>
      </c>
      <c r="D2" s="51" t="s">
        <v>692</v>
      </c>
      <c r="E2" s="51" t="s">
        <v>693</v>
      </c>
      <c r="F2" s="51" t="s">
        <v>694</v>
      </c>
      <c r="G2" s="51" t="s">
        <v>695</v>
      </c>
      <c r="H2" s="108" t="s">
        <v>696</v>
      </c>
    </row>
    <row r="3" spans="1:8" ht="14.25" customHeight="1" x14ac:dyDescent="0.3">
      <c r="A3" s="53" t="s">
        <v>129</v>
      </c>
      <c r="B3" s="132" t="s">
        <v>650</v>
      </c>
      <c r="C3" s="132" t="s">
        <v>653</v>
      </c>
      <c r="D3" s="54" t="s">
        <v>697</v>
      </c>
      <c r="E3" s="54" t="s">
        <v>698</v>
      </c>
      <c r="F3" s="54" t="s">
        <v>699</v>
      </c>
      <c r="G3" s="133" t="s">
        <v>422</v>
      </c>
      <c r="H3" s="55" t="s">
        <v>319</v>
      </c>
    </row>
    <row r="4" spans="1:8" ht="14.25" customHeight="1" x14ac:dyDescent="0.3">
      <c r="A4" s="56">
        <v>1</v>
      </c>
      <c r="B4" s="134" t="str">
        <f>_xlfn.CONCAT('M-Barbero'!B4," ",'M-Barbero'!D4)</f>
        <v>Juan García</v>
      </c>
      <c r="C4" s="134" t="str">
        <f>'M-Servicio'!B4</f>
        <v>Motilada</v>
      </c>
      <c r="D4" s="185">
        <v>0</v>
      </c>
      <c r="E4" s="185">
        <v>45</v>
      </c>
      <c r="F4" s="185">
        <v>15</v>
      </c>
      <c r="G4" s="185" t="s">
        <v>253</v>
      </c>
      <c r="H4" s="56" t="str">
        <f t="shared" ref="H4:H12" si="0">_xlfn.CONCAT(B4,"-",C4)</f>
        <v>Juan García-Motilada</v>
      </c>
    </row>
    <row r="5" spans="1:8" ht="14.25" customHeight="1" x14ac:dyDescent="0.3">
      <c r="A5" s="56">
        <v>2</v>
      </c>
      <c r="B5" s="134" t="str">
        <f>_xlfn.CONCAT('M-Barbero'!B5," ",'M-Barbero'!D5)</f>
        <v>Juan Ortiz</v>
      </c>
      <c r="C5" s="134" t="str">
        <f>'M-Servicio'!B5</f>
        <v>Corte de barba</v>
      </c>
      <c r="D5" s="185">
        <v>0</v>
      </c>
      <c r="E5" s="185">
        <v>10</v>
      </c>
      <c r="F5" s="185">
        <v>5</v>
      </c>
      <c r="G5" s="185" t="s">
        <v>253</v>
      </c>
      <c r="H5" s="56" t="str">
        <f t="shared" si="0"/>
        <v>Juan Ortiz-Corte de barba</v>
      </c>
    </row>
    <row r="6" spans="1:8" ht="14.25" customHeight="1" x14ac:dyDescent="0.3">
      <c r="A6" s="56">
        <v>3</v>
      </c>
      <c r="B6" s="134" t="str">
        <f>_xlfn.CONCAT('M-Barbero'!B6," ",'M-Barbero'!D6)</f>
        <v>Carlos Arbeladez</v>
      </c>
      <c r="C6" s="134" t="str">
        <f>'M-Servicio'!B6</f>
        <v>Perfilada de barba</v>
      </c>
      <c r="D6" s="185">
        <v>0</v>
      </c>
      <c r="E6" s="185">
        <v>15</v>
      </c>
      <c r="F6" s="185">
        <v>5</v>
      </c>
      <c r="G6" s="185" t="s">
        <v>253</v>
      </c>
      <c r="H6" s="56" t="str">
        <f t="shared" si="0"/>
        <v>Carlos Arbeladez-Perfilada de barba</v>
      </c>
    </row>
    <row r="7" spans="1:8" ht="14.25" customHeight="1" x14ac:dyDescent="0.3">
      <c r="A7" s="56">
        <v>4</v>
      </c>
      <c r="B7" s="134" t="str">
        <f>_xlfn.CONCAT('M-Barbero'!B7," ",'M-Barbero'!D7)</f>
        <v>Andres Ramirez</v>
      </c>
      <c r="C7" s="134" t="str">
        <f>'M-Servicio'!B7</f>
        <v>Arreglo completo de barba con toalla caliente</v>
      </c>
      <c r="D7" s="185">
        <v>0</v>
      </c>
      <c r="E7" s="185">
        <v>40</v>
      </c>
      <c r="F7" s="185">
        <v>10</v>
      </c>
      <c r="G7" s="185" t="s">
        <v>253</v>
      </c>
      <c r="H7" s="56" t="str">
        <f t="shared" si="0"/>
        <v>Andres Ramirez-Arreglo completo de barba con toalla caliente</v>
      </c>
    </row>
    <row r="8" spans="1:8" ht="14.25" customHeight="1" x14ac:dyDescent="0.3">
      <c r="A8" s="56">
        <v>5</v>
      </c>
      <c r="B8" s="134" t="str">
        <f>_xlfn.CONCAT('M-Barbero'!B5," ",'M-Barbero'!D5)</f>
        <v>Juan Ortiz</v>
      </c>
      <c r="C8" s="134" t="str">
        <f>'M-Servicio'!B4</f>
        <v>Motilada</v>
      </c>
      <c r="D8" s="185">
        <v>0</v>
      </c>
      <c r="E8" s="185">
        <v>40</v>
      </c>
      <c r="F8" s="185">
        <v>10</v>
      </c>
      <c r="G8" s="185" t="s">
        <v>253</v>
      </c>
      <c r="H8" s="56" t="str">
        <f t="shared" si="0"/>
        <v>Juan Ortiz-Motilada</v>
      </c>
    </row>
    <row r="9" spans="1:8" ht="14.25" customHeight="1" x14ac:dyDescent="0.3">
      <c r="A9" s="56">
        <v>6</v>
      </c>
      <c r="B9" s="134" t="str">
        <f>_xlfn.CONCAT('M-Barbero'!B6," ",'M-Barbero'!D6)</f>
        <v>Carlos Arbeladez</v>
      </c>
      <c r="C9" s="134" t="str">
        <f>'M-Servicio'!B5</f>
        <v>Corte de barba</v>
      </c>
      <c r="D9" s="185">
        <v>0</v>
      </c>
      <c r="E9" s="185">
        <v>15</v>
      </c>
      <c r="F9" s="185">
        <v>5</v>
      </c>
      <c r="G9" s="185" t="s">
        <v>253</v>
      </c>
      <c r="H9" s="56" t="str">
        <f t="shared" si="0"/>
        <v>Carlos Arbeladez-Corte de barba</v>
      </c>
    </row>
    <row r="10" spans="1:8" ht="14.25" customHeight="1" x14ac:dyDescent="0.3">
      <c r="A10" s="56">
        <v>7</v>
      </c>
      <c r="B10" s="134" t="str">
        <f>_xlfn.CONCAT('M-Barbero'!B4," ",'M-Barbero'!D4)</f>
        <v>Juan García</v>
      </c>
      <c r="C10" s="134" t="str">
        <f>'M-Servicio'!B6</f>
        <v>Perfilada de barba</v>
      </c>
      <c r="D10" s="185">
        <v>0</v>
      </c>
      <c r="E10" s="185">
        <v>20</v>
      </c>
      <c r="F10" s="185">
        <v>5</v>
      </c>
      <c r="G10" s="185" t="s">
        <v>253</v>
      </c>
      <c r="H10" s="56" t="str">
        <f t="shared" si="0"/>
        <v>Juan García-Perfilada de barba</v>
      </c>
    </row>
    <row r="11" spans="1:8" ht="14.25" customHeight="1" x14ac:dyDescent="0.3">
      <c r="A11" s="56">
        <v>8</v>
      </c>
      <c r="B11" s="134" t="str">
        <f>_xlfn.CONCAT('M-Barbero'!B7," ",'M-Barbero'!D7)</f>
        <v>Andres Ramirez</v>
      </c>
      <c r="C11" s="134" t="str">
        <f>'M-Servicio'!B4</f>
        <v>Motilada</v>
      </c>
      <c r="D11" s="185">
        <v>0</v>
      </c>
      <c r="E11" s="185">
        <v>50</v>
      </c>
      <c r="F11" s="185">
        <v>15</v>
      </c>
      <c r="G11" s="185" t="s">
        <v>253</v>
      </c>
      <c r="H11" s="56" t="str">
        <f t="shared" si="0"/>
        <v>Andres Ramirez-Motilada</v>
      </c>
    </row>
    <row r="12" spans="1:8" ht="14.25" customHeight="1" x14ac:dyDescent="0.3">
      <c r="A12" s="56">
        <v>9</v>
      </c>
      <c r="B12" s="134" t="str">
        <f>_xlfn.CONCAT('M-Barbero'!B8," ",'M-Barbero'!D8)</f>
        <v>Juan Zambrano</v>
      </c>
      <c r="C12" s="134" t="str">
        <f>'M-Servicio'!B5</f>
        <v>Corte de barba</v>
      </c>
      <c r="D12" s="185">
        <v>0</v>
      </c>
      <c r="E12" s="185">
        <v>12</v>
      </c>
      <c r="F12" s="185">
        <v>5</v>
      </c>
      <c r="G12" s="185" t="s">
        <v>253</v>
      </c>
      <c r="H12" s="56" t="str">
        <f t="shared" si="0"/>
        <v>Juan Zambrano-Corte de barba</v>
      </c>
    </row>
    <row r="14" spans="1:8" ht="28.8" x14ac:dyDescent="0.3">
      <c r="A14" s="59"/>
      <c r="B14" s="60" t="s">
        <v>139</v>
      </c>
    </row>
    <row r="15" spans="1:8" ht="28.8" x14ac:dyDescent="0.3">
      <c r="A15" s="61"/>
      <c r="B15" s="60" t="s">
        <v>140</v>
      </c>
    </row>
    <row r="16" spans="1:8" ht="28.8" x14ac:dyDescent="0.3">
      <c r="A16" s="135"/>
      <c r="B16" s="60" t="s">
        <v>441</v>
      </c>
    </row>
    <row r="17" spans="1:2" ht="28.8" x14ac:dyDescent="0.3">
      <c r="A17" s="62"/>
      <c r="B17" s="60" t="s">
        <v>141</v>
      </c>
    </row>
    <row r="18" spans="1:2" ht="28.8" x14ac:dyDescent="0.3">
      <c r="A18" s="136"/>
      <c r="B18" s="60" t="s">
        <v>442</v>
      </c>
    </row>
    <row r="19" spans="1:2" ht="28.8" x14ac:dyDescent="0.3">
      <c r="A19" s="63"/>
      <c r="B19" s="60" t="s">
        <v>142</v>
      </c>
    </row>
  </sheetData>
  <hyperlinks>
    <hyperlink ref="A1" location="'Modelo de Dominio'!A1" display="&lt;&lt;&lt;&lt; Ir al modulo de dominio" xr:uid="{00000000-0004-0000-2900-000000000000}"/>
    <hyperlink ref="B1" location="'Objetos de Dominio'!A1" display="&lt;&lt;&lt;&lt; Ir a objetos de dominio" xr:uid="{00000000-0004-0000-2900-000001000000}"/>
    <hyperlink ref="B3" location="'M-Barbero'!A1" display="barbero" xr:uid="{00000000-0004-0000-2900-000002000000}"/>
    <hyperlink ref="C3" location="'M-Servicio'!A1" display="servicio" xr:uid="{00000000-0004-0000-2900-000003000000}"/>
    <hyperlink ref="B4" location="'M-Barbero'!A4" display="#'M-Barbero'.A4" xr:uid="{00000000-0004-0000-2900-000004000000}"/>
    <hyperlink ref="C4" location="'M-Servicio'!A4" display="#'M-Servicio'.A4" xr:uid="{00000000-0004-0000-2900-000005000000}"/>
    <hyperlink ref="B5" location="'M-Barbero'!A5" display="#'M-Barbero'.A5" xr:uid="{00000000-0004-0000-2900-000006000000}"/>
    <hyperlink ref="C5" location="'M-Servicio'!A5" display="#'M-Servicio'.A5" xr:uid="{00000000-0004-0000-2900-000007000000}"/>
    <hyperlink ref="B6" location="'M-Barbero'!A6" display="#'M-Barbero'.A6" xr:uid="{00000000-0004-0000-2900-000008000000}"/>
    <hyperlink ref="C6" location="'M-Servicio'!A6" display="#'M-Servicio'.A6" xr:uid="{00000000-0004-0000-2900-000009000000}"/>
    <hyperlink ref="B7" location="'M-Barbero'!A7" display="#'M-Barbero'.A7" xr:uid="{00000000-0004-0000-2900-00000A000000}"/>
    <hyperlink ref="C7" location="'M-Servicio'!A7" display="#'M-Servicio'.A7" xr:uid="{00000000-0004-0000-2900-00000B000000}"/>
    <hyperlink ref="B8" location="'M-Barbero'!A5" display="#'M-Barbero'.A5" xr:uid="{00000000-0004-0000-2900-00000C000000}"/>
    <hyperlink ref="C8" location="'M-Servicio'!A4" display="#'M-Servicio'.A4" xr:uid="{00000000-0004-0000-2900-00000D000000}"/>
    <hyperlink ref="B9" location="'M-Barbero'!A6" display="#'M-Barbero'.A6" xr:uid="{00000000-0004-0000-2900-00000E000000}"/>
    <hyperlink ref="C9" location="'M-Servicio'!A5" display="#'M-Servicio'.A5" xr:uid="{00000000-0004-0000-2900-00000F000000}"/>
    <hyperlink ref="B10" location="'M-Barbero'!A4" display="#'M-Barbero'.A4" xr:uid="{00000000-0004-0000-2900-000010000000}"/>
    <hyperlink ref="C10" location="'M-Servicio'!A6" display="#'M-Servicio'.A6" xr:uid="{00000000-0004-0000-2900-000011000000}"/>
    <hyperlink ref="B11" location="'M-Barbero'!A7" display="#'M-Barbero'.A7" xr:uid="{00000000-0004-0000-2900-000012000000}"/>
    <hyperlink ref="C11" location="'M-Servicio'!A4" display="#'M-Servicio'.A4" xr:uid="{00000000-0004-0000-2900-000013000000}"/>
    <hyperlink ref="B12" location="'M-Barbero'!A8" display="#'M-Barbero'.A8" xr:uid="{00000000-0004-0000-2900-000014000000}"/>
    <hyperlink ref="C12" location="'M-Servicio'!A5" display="#'M-Servicio'.A5" xr:uid="{00000000-0004-0000-2900-000015000000}"/>
  </hyperlink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Y29"/>
  <sheetViews>
    <sheetView topLeftCell="A6" zoomScaleNormal="100" workbookViewId="0">
      <selection activeCell="C17" sqref="C17"/>
    </sheetView>
  </sheetViews>
  <sheetFormatPr baseColWidth="10" defaultColWidth="8.6640625" defaultRowHeight="14.4" x14ac:dyDescent="0.3"/>
  <cols>
    <col min="1" max="1" width="26.6640625" customWidth="1"/>
    <col min="2" max="2" width="51.88671875" customWidth="1"/>
    <col min="3" max="3" width="43" customWidth="1"/>
    <col min="4" max="4" width="26.6640625" bestFit="1" customWidth="1"/>
    <col min="5" max="5" width="18" customWidth="1"/>
    <col min="6" max="6" width="14.33203125" customWidth="1"/>
    <col min="7" max="7" width="20.33203125" customWidth="1"/>
    <col min="8" max="8" width="15.33203125" customWidth="1"/>
    <col min="9" max="9" width="28.109375" customWidth="1"/>
    <col min="10" max="10" width="22" customWidth="1"/>
    <col min="11" max="11" width="13" customWidth="1"/>
    <col min="12" max="12" width="12.44140625" bestFit="1" customWidth="1"/>
    <col min="13" max="13" width="40" customWidth="1"/>
    <col min="14" max="14" width="18" customWidth="1"/>
    <col min="15" max="15" width="11.6640625" customWidth="1"/>
    <col min="16" max="16" width="23.6640625" customWidth="1"/>
    <col min="17" max="17" width="22.5546875" customWidth="1"/>
    <col min="18" max="18" width="20" customWidth="1"/>
    <col min="20" max="20" width="13" customWidth="1"/>
    <col min="21" max="21" width="10.6640625" customWidth="1"/>
    <col min="22" max="22" width="24.33203125" customWidth="1"/>
    <col min="23" max="23" width="25.44140625" bestFit="1" customWidth="1"/>
    <col min="24" max="24" width="25.88671875" bestFit="1" customWidth="1"/>
    <col min="25" max="25" width="35.5546875" bestFit="1" customWidth="1"/>
  </cols>
  <sheetData>
    <row r="1" spans="1:25" ht="15" customHeight="1" x14ac:dyDescent="0.3">
      <c r="A1" s="8" t="s">
        <v>1</v>
      </c>
      <c r="B1" s="8" t="s">
        <v>43</v>
      </c>
    </row>
    <row r="2" spans="1:25" ht="45" customHeight="1" x14ac:dyDescent="0.3">
      <c r="A2" s="167" t="s">
        <v>44</v>
      </c>
      <c r="B2" s="167" t="s">
        <v>45</v>
      </c>
      <c r="C2" s="167" t="s">
        <v>46</v>
      </c>
      <c r="D2" s="167" t="s">
        <v>47</v>
      </c>
      <c r="E2" s="167" t="s">
        <v>48</v>
      </c>
      <c r="F2" s="167" t="s">
        <v>49</v>
      </c>
      <c r="G2" s="167" t="s">
        <v>50</v>
      </c>
      <c r="H2" s="167" t="s">
        <v>51</v>
      </c>
      <c r="I2" s="167" t="s">
        <v>52</v>
      </c>
      <c r="J2" s="167" t="s">
        <v>53</v>
      </c>
      <c r="K2" s="167" t="s">
        <v>54</v>
      </c>
      <c r="L2" s="167" t="s">
        <v>55</v>
      </c>
      <c r="M2" s="167" t="s">
        <v>56</v>
      </c>
      <c r="N2" s="167" t="s">
        <v>57</v>
      </c>
      <c r="O2" s="167" t="s">
        <v>58</v>
      </c>
      <c r="P2" s="167" t="s">
        <v>59</v>
      </c>
      <c r="Q2" s="167" t="s">
        <v>60</v>
      </c>
      <c r="R2" s="167" t="s">
        <v>61</v>
      </c>
      <c r="S2" s="167" t="s">
        <v>62</v>
      </c>
      <c r="T2" s="167" t="s">
        <v>63</v>
      </c>
      <c r="U2" s="167" t="s">
        <v>64</v>
      </c>
      <c r="V2" s="89" t="str">
        <f>A22</f>
        <v>definirHorarioDeTrabajo</v>
      </c>
      <c r="W2" s="220" t="str">
        <f>A25</f>
        <v>consultarHorariosDefinidos</v>
      </c>
      <c r="X2" s="221" t="str">
        <f>A26</f>
        <v>desactivarHorarioDeTrabajo</v>
      </c>
      <c r="Y2" s="89" t="str">
        <f>A29</f>
        <v>consultarHorariosDeTrabajoDeBarbero</v>
      </c>
    </row>
    <row r="3" spans="1:25" ht="30" customHeight="1" x14ac:dyDescent="0.3">
      <c r="A3" s="118" t="str">
        <f>'M-HorarioBarbero'!A3</f>
        <v>id</v>
      </c>
      <c r="B3" s="168" t="str">
        <f>'M-HorarioBarbero'!A2</f>
        <v>Representa un identificador que hará unico cada objeto de dominio de este tipo, no se puede repetir</v>
      </c>
      <c r="C3" s="118" t="s">
        <v>65</v>
      </c>
      <c r="D3" s="118" t="s">
        <v>66</v>
      </c>
      <c r="E3" s="118" t="s">
        <v>65</v>
      </c>
      <c r="F3" s="118" t="s">
        <v>67</v>
      </c>
      <c r="G3" s="118" t="s">
        <v>67</v>
      </c>
      <c r="H3" s="118" t="s">
        <v>67</v>
      </c>
      <c r="I3" s="118" t="s">
        <v>67</v>
      </c>
      <c r="J3" s="118" t="s">
        <v>67</v>
      </c>
      <c r="K3" s="118" t="s">
        <v>67</v>
      </c>
      <c r="L3" s="118" t="s">
        <v>67</v>
      </c>
      <c r="M3" s="118" t="s">
        <v>67</v>
      </c>
      <c r="N3" s="118" t="s">
        <v>68</v>
      </c>
      <c r="O3" s="118" t="s">
        <v>68</v>
      </c>
      <c r="P3" s="118" t="s">
        <v>67</v>
      </c>
      <c r="Q3" s="118" t="s">
        <v>68</v>
      </c>
      <c r="R3" s="118" t="s">
        <v>68</v>
      </c>
      <c r="S3" s="118" t="s">
        <v>68</v>
      </c>
      <c r="T3" s="118" t="s">
        <v>69</v>
      </c>
      <c r="U3" s="118" t="s">
        <v>65</v>
      </c>
      <c r="V3" s="92" t="s">
        <v>147</v>
      </c>
      <c r="W3" s="93" t="s">
        <v>70</v>
      </c>
      <c r="X3" s="94" t="s">
        <v>144</v>
      </c>
      <c r="Y3" s="92" t="s">
        <v>70</v>
      </c>
    </row>
    <row r="4" spans="1:25" ht="27.75" customHeight="1" x14ac:dyDescent="0.3">
      <c r="A4" s="118" t="str">
        <f>'M-HorarioBarbero'!B3</f>
        <v>barbero</v>
      </c>
      <c r="B4" s="168" t="str">
        <f>'M-HorarioBarbero'!B2</f>
        <v>Referencia a que barbero va a ser dueño de este horario</v>
      </c>
      <c r="C4" s="118" t="s">
        <v>68</v>
      </c>
      <c r="D4" s="169" t="s">
        <v>23</v>
      </c>
      <c r="E4" s="118" t="s">
        <v>65</v>
      </c>
      <c r="F4" s="118" t="s">
        <v>67</v>
      </c>
      <c r="G4" s="118" t="s">
        <v>67</v>
      </c>
      <c r="H4" s="118" t="s">
        <v>67</v>
      </c>
      <c r="I4" s="118" t="s">
        <v>67</v>
      </c>
      <c r="J4" s="118" t="s">
        <v>67</v>
      </c>
      <c r="K4" s="118" t="s">
        <v>67</v>
      </c>
      <c r="L4" s="118" t="s">
        <v>67</v>
      </c>
      <c r="M4" s="21" t="s">
        <v>327</v>
      </c>
      <c r="N4" s="118" t="s">
        <v>68</v>
      </c>
      <c r="O4" s="118" t="s">
        <v>67</v>
      </c>
      <c r="P4" s="118" t="s">
        <v>67</v>
      </c>
      <c r="Q4" s="118" t="s">
        <v>67</v>
      </c>
      <c r="R4" s="118" t="s">
        <v>67</v>
      </c>
      <c r="S4" s="118" t="s">
        <v>68</v>
      </c>
      <c r="T4" s="118" t="s">
        <v>69</v>
      </c>
      <c r="U4" s="118" t="s">
        <v>68</v>
      </c>
      <c r="V4" s="92" t="s">
        <v>144</v>
      </c>
      <c r="W4" s="93" t="s">
        <v>70</v>
      </c>
      <c r="X4" s="94" t="s">
        <v>147</v>
      </c>
      <c r="Y4" s="92" t="s">
        <v>74</v>
      </c>
    </row>
    <row r="5" spans="1:25" ht="30" customHeight="1" x14ac:dyDescent="0.3">
      <c r="A5" s="118" t="str">
        <f>'M-HorarioBarbero'!C3</f>
        <v>horarioDeLaBarberia</v>
      </c>
      <c r="B5" s="168" t="str">
        <f>'M-HorarioBarbero'!C2</f>
        <v>Hace referencia a la agenda del barbero en la que queda guardado este horario de trabajo</v>
      </c>
      <c r="C5" s="118" t="s">
        <v>68</v>
      </c>
      <c r="D5" s="169" t="s">
        <v>27</v>
      </c>
      <c r="E5" s="118" t="s">
        <v>65</v>
      </c>
      <c r="F5" s="118" t="s">
        <v>67</v>
      </c>
      <c r="G5" s="118" t="s">
        <v>67</v>
      </c>
      <c r="H5" s="118" t="s">
        <v>67</v>
      </c>
      <c r="I5" s="118" t="s">
        <v>67</v>
      </c>
      <c r="J5" s="118" t="s">
        <v>67</v>
      </c>
      <c r="K5" s="118" t="s">
        <v>67</v>
      </c>
      <c r="L5" s="118" t="s">
        <v>67</v>
      </c>
      <c r="M5" s="21" t="s">
        <v>327</v>
      </c>
      <c r="N5" s="118" t="s">
        <v>68</v>
      </c>
      <c r="O5" s="118" t="s">
        <v>67</v>
      </c>
      <c r="P5" s="118" t="s">
        <v>67</v>
      </c>
      <c r="Q5" s="118" t="s">
        <v>67</v>
      </c>
      <c r="R5" s="118" t="s">
        <v>67</v>
      </c>
      <c r="S5" s="118" t="s">
        <v>68</v>
      </c>
      <c r="T5" s="118" t="s">
        <v>69</v>
      </c>
      <c r="U5" s="118" t="s">
        <v>68</v>
      </c>
      <c r="V5" s="92" t="s">
        <v>144</v>
      </c>
      <c r="W5" s="93" t="s">
        <v>74</v>
      </c>
      <c r="X5" s="94" t="s">
        <v>147</v>
      </c>
      <c r="Y5" s="92" t="s">
        <v>74</v>
      </c>
    </row>
    <row r="6" spans="1:25" ht="30" customHeight="1" x14ac:dyDescent="0.3">
      <c r="A6" s="118" t="str">
        <f>'M-HorarioBarbero'!D3</f>
        <v>horaInicio</v>
      </c>
      <c r="B6" s="168" t="str">
        <f>'M-HorarioBarbero'!D2</f>
        <v>Representa la hora en la que el barbero empieza a estar disponible ese dia</v>
      </c>
      <c r="C6" s="118" t="s">
        <v>68</v>
      </c>
      <c r="D6" s="118" t="s">
        <v>518</v>
      </c>
      <c r="E6" s="118" t="s">
        <v>65</v>
      </c>
      <c r="F6" s="118" t="s">
        <v>67</v>
      </c>
      <c r="G6" s="118" t="s">
        <v>67</v>
      </c>
      <c r="H6" s="118" t="s">
        <v>67</v>
      </c>
      <c r="I6" s="118" t="s">
        <v>67</v>
      </c>
      <c r="J6" s="118" t="s">
        <v>67</v>
      </c>
      <c r="K6" s="118" t="s">
        <v>67</v>
      </c>
      <c r="L6" s="118" t="s">
        <v>67</v>
      </c>
      <c r="M6" s="168" t="s">
        <v>700</v>
      </c>
      <c r="N6" s="118" t="s">
        <v>68</v>
      </c>
      <c r="O6" s="118" t="s">
        <v>67</v>
      </c>
      <c r="P6" s="118" t="s">
        <v>67</v>
      </c>
      <c r="Q6" s="118" t="s">
        <v>67</v>
      </c>
      <c r="R6" s="118" t="s">
        <v>67</v>
      </c>
      <c r="S6" s="118" t="s">
        <v>68</v>
      </c>
      <c r="T6" s="118" t="s">
        <v>519</v>
      </c>
      <c r="U6" s="118" t="s">
        <v>68</v>
      </c>
      <c r="V6" s="92" t="s">
        <v>144</v>
      </c>
      <c r="W6" s="93" t="s">
        <v>74</v>
      </c>
      <c r="X6" s="94" t="s">
        <v>147</v>
      </c>
      <c r="Y6" s="92" t="s">
        <v>74</v>
      </c>
    </row>
    <row r="7" spans="1:25" ht="28.5" customHeight="1" x14ac:dyDescent="0.3">
      <c r="A7" s="118" t="str">
        <f>'M-HorarioBarbero'!E3</f>
        <v>horaFinal</v>
      </c>
      <c r="B7" s="168" t="str">
        <f>'M-HorarioBarbero'!E2</f>
        <v>Representa la hora en la que el barbero deja de estar disponible ese día.</v>
      </c>
      <c r="C7" s="118" t="s">
        <v>68</v>
      </c>
      <c r="D7" s="118" t="s">
        <v>518</v>
      </c>
      <c r="E7" s="118" t="s">
        <v>65</v>
      </c>
      <c r="F7" s="118" t="s">
        <v>67</v>
      </c>
      <c r="G7" s="118" t="s">
        <v>67</v>
      </c>
      <c r="H7" s="118" t="s">
        <v>67</v>
      </c>
      <c r="I7" s="118" t="s">
        <v>67</v>
      </c>
      <c r="J7" s="118" t="s">
        <v>67</v>
      </c>
      <c r="K7" s="118" t="s">
        <v>67</v>
      </c>
      <c r="L7" s="118" t="s">
        <v>67</v>
      </c>
      <c r="M7" s="168" t="s">
        <v>701</v>
      </c>
      <c r="N7" s="118" t="s">
        <v>68</v>
      </c>
      <c r="O7" s="118" t="s">
        <v>67</v>
      </c>
      <c r="P7" s="118" t="s">
        <v>67</v>
      </c>
      <c r="Q7" s="118" t="s">
        <v>67</v>
      </c>
      <c r="R7" s="118" t="s">
        <v>67</v>
      </c>
      <c r="S7" s="118" t="s">
        <v>68</v>
      </c>
      <c r="T7" s="118" t="s">
        <v>519</v>
      </c>
      <c r="U7" s="118" t="s">
        <v>68</v>
      </c>
      <c r="V7" s="92" t="s">
        <v>144</v>
      </c>
      <c r="W7" s="93" t="s">
        <v>74</v>
      </c>
      <c r="X7" s="94" t="s">
        <v>147</v>
      </c>
      <c r="Y7" s="92" t="s">
        <v>74</v>
      </c>
    </row>
    <row r="8" spans="1:25" ht="45" customHeight="1" x14ac:dyDescent="0.3">
      <c r="A8" s="118" t="str">
        <f>'M-HorarioBarbero'!F3</f>
        <v>fechaCreacion</v>
      </c>
      <c r="B8" s="168" t="str">
        <f>'M-HorarioBarbero'!F2</f>
        <v>Representa la fecha en el que el barbero creo su horario. Es un dato calculado que toma la fecha de hoy cuando el barbero la crea</v>
      </c>
      <c r="C8" s="118" t="s">
        <v>68</v>
      </c>
      <c r="D8" s="118" t="s">
        <v>521</v>
      </c>
      <c r="E8" s="118" t="s">
        <v>65</v>
      </c>
      <c r="F8" s="118" t="s">
        <v>67</v>
      </c>
      <c r="G8" s="118" t="s">
        <v>67</v>
      </c>
      <c r="H8" s="118" t="s">
        <v>67</v>
      </c>
      <c r="I8" s="118" t="s">
        <v>67</v>
      </c>
      <c r="J8" s="118" t="s">
        <v>67</v>
      </c>
      <c r="K8" s="118" t="s">
        <v>67</v>
      </c>
      <c r="L8" s="118" t="s">
        <v>67</v>
      </c>
      <c r="M8" s="168" t="s">
        <v>702</v>
      </c>
      <c r="N8" s="118" t="s">
        <v>65</v>
      </c>
      <c r="O8" s="118" t="s">
        <v>67</v>
      </c>
      <c r="P8" s="118" t="s">
        <v>67</v>
      </c>
      <c r="Q8" s="118" t="s">
        <v>67</v>
      </c>
      <c r="R8" s="118" t="s">
        <v>67</v>
      </c>
      <c r="S8" s="118" t="s">
        <v>68</v>
      </c>
      <c r="T8" s="118" t="s">
        <v>703</v>
      </c>
      <c r="U8" s="118" t="s">
        <v>65</v>
      </c>
      <c r="V8" s="92" t="s">
        <v>147</v>
      </c>
      <c r="W8" s="93" t="s">
        <v>74</v>
      </c>
      <c r="X8" s="94" t="s">
        <v>147</v>
      </c>
      <c r="Y8" s="92" t="s">
        <v>70</v>
      </c>
    </row>
    <row r="9" spans="1:25" ht="60" customHeight="1" x14ac:dyDescent="0.3">
      <c r="A9" s="118" t="str">
        <f>'M-HorarioBarbero'!G3</f>
        <v>fechaDesactivacion</v>
      </c>
      <c r="B9" s="168" t="str">
        <f>'M-HorarioBarbero'!G2</f>
        <v>Representa la fecha en la que este horario dejó de estar vigente, ya sea porque el barbero lo retiró o porque se desactivó el horario de la barbería del que depende. Es un dato calculado que toma la fecha del sistema en ese momento.</v>
      </c>
      <c r="C9" s="186" t="s">
        <v>68</v>
      </c>
      <c r="D9" s="186" t="s">
        <v>521</v>
      </c>
      <c r="E9" s="186" t="s">
        <v>68</v>
      </c>
      <c r="F9" s="186" t="s">
        <v>67</v>
      </c>
      <c r="G9" s="186" t="s">
        <v>67</v>
      </c>
      <c r="H9" s="186" t="s">
        <v>67</v>
      </c>
      <c r="I9" s="186" t="s">
        <v>67</v>
      </c>
      <c r="J9" s="186" t="s">
        <v>67</v>
      </c>
      <c r="K9" s="186" t="s">
        <v>67</v>
      </c>
      <c r="L9" s="118" t="s">
        <v>67</v>
      </c>
      <c r="M9" s="186" t="s">
        <v>704</v>
      </c>
      <c r="N9" s="186" t="s">
        <v>65</v>
      </c>
      <c r="O9" s="186" t="s">
        <v>67</v>
      </c>
      <c r="P9" s="186" t="s">
        <v>67</v>
      </c>
      <c r="Q9" s="186" t="s">
        <v>67</v>
      </c>
      <c r="R9" s="186" t="s">
        <v>67</v>
      </c>
      <c r="S9" s="186" t="s">
        <v>68</v>
      </c>
      <c r="T9" s="186" t="s">
        <v>703</v>
      </c>
      <c r="U9" s="118" t="s">
        <v>65</v>
      </c>
      <c r="V9" s="92" t="s">
        <v>147</v>
      </c>
      <c r="W9" s="93" t="s">
        <v>74</v>
      </c>
      <c r="X9" s="94" t="s">
        <v>147</v>
      </c>
      <c r="Y9" s="92" t="s">
        <v>70</v>
      </c>
    </row>
    <row r="10" spans="1:25" ht="45" customHeight="1" x14ac:dyDescent="0.3">
      <c r="A10" s="118" t="str">
        <f>'M-HorarioBarbero'!H3</f>
        <v>vigente</v>
      </c>
      <c r="B10" s="168" t="str">
        <f>'M-HorarioBarbero'!H2</f>
        <v>Representa si este horario lo sigue o no usando el barbero. Una vez que el barbero cambie este estado a no vigente, no se puede volver a cambiar</v>
      </c>
      <c r="C10" s="118" t="s">
        <v>68</v>
      </c>
      <c r="D10" s="118" t="s">
        <v>202</v>
      </c>
      <c r="E10" s="118" t="s">
        <v>65</v>
      </c>
      <c r="F10" s="118" t="s">
        <v>67</v>
      </c>
      <c r="G10" s="118" t="s">
        <v>67</v>
      </c>
      <c r="H10" s="118" t="s">
        <v>67</v>
      </c>
      <c r="I10" s="118" t="s">
        <v>67</v>
      </c>
      <c r="J10" s="118" t="s">
        <v>67</v>
      </c>
      <c r="K10" s="118" t="s">
        <v>67</v>
      </c>
      <c r="L10" s="118" t="s">
        <v>67</v>
      </c>
      <c r="M10" s="168" t="s">
        <v>705</v>
      </c>
      <c r="N10" s="118" t="s">
        <v>68</v>
      </c>
      <c r="O10" s="118" t="s">
        <v>67</v>
      </c>
      <c r="P10" s="118" t="s">
        <v>67</v>
      </c>
      <c r="Q10" s="118" t="s">
        <v>67</v>
      </c>
      <c r="R10" s="118" t="s">
        <v>67</v>
      </c>
      <c r="S10" s="118" t="s">
        <v>68</v>
      </c>
      <c r="T10" s="118" t="s">
        <v>65</v>
      </c>
      <c r="U10" s="118" t="s">
        <v>65</v>
      </c>
      <c r="V10" s="92" t="s">
        <v>147</v>
      </c>
      <c r="W10" s="93" t="s">
        <v>74</v>
      </c>
      <c r="X10" s="94" t="s">
        <v>147</v>
      </c>
      <c r="Y10" s="92" t="s">
        <v>70</v>
      </c>
    </row>
    <row r="12" spans="1:25" ht="15" customHeight="1" x14ac:dyDescent="0.3">
      <c r="A12" s="23" t="s">
        <v>75</v>
      </c>
      <c r="B12" s="23" t="s">
        <v>76</v>
      </c>
      <c r="C12" s="23" t="s">
        <v>77</v>
      </c>
    </row>
    <row r="13" spans="1:25" ht="15" customHeight="1" x14ac:dyDescent="0.3">
      <c r="A13" s="300" t="str">
        <f>'M-HorarioBarbero'!I3</f>
        <v>Combinación única</v>
      </c>
      <c r="B13" s="301" t="str">
        <f>'M-HorarioBarbero'!I2</f>
        <v>Combinación única que indica que un mismo barbero no puede tener dos horarios con el mismo día de la barbería, la misma hora de inicio, la misma hora final, misma fecha de creacion y de desactivacion</v>
      </c>
      <c r="C13" s="24" t="str">
        <f>A4</f>
        <v>barbero</v>
      </c>
    </row>
    <row r="14" spans="1:25" ht="15" customHeight="1" x14ac:dyDescent="0.3">
      <c r="A14" s="300"/>
      <c r="B14" s="301"/>
      <c r="C14" s="24" t="str">
        <f>A5</f>
        <v>horarioDeLaBarberia</v>
      </c>
    </row>
    <row r="15" spans="1:25" ht="15" customHeight="1" x14ac:dyDescent="0.3">
      <c r="A15" s="300"/>
      <c r="B15" s="301"/>
      <c r="C15" s="24" t="str">
        <f>A6</f>
        <v>horaInicio</v>
      </c>
    </row>
    <row r="16" spans="1:25" ht="15" customHeight="1" x14ac:dyDescent="0.3">
      <c r="A16" s="300"/>
      <c r="B16" s="301"/>
      <c r="C16" s="24" t="str">
        <f>A7</f>
        <v>horaFinal</v>
      </c>
    </row>
    <row r="17" spans="1:18" ht="15" customHeight="1" x14ac:dyDescent="0.3">
      <c r="A17" s="300"/>
      <c r="B17" s="301"/>
      <c r="C17" s="24" t="str">
        <f>'C-HorarioBarbero'!A8</f>
        <v>fechaCreacion</v>
      </c>
    </row>
    <row r="18" spans="1:18" ht="15" customHeight="1" x14ac:dyDescent="0.3">
      <c r="A18" s="300"/>
      <c r="B18" s="301"/>
      <c r="C18" s="24" t="str">
        <f>A9</f>
        <v>fechaDesactivacion</v>
      </c>
    </row>
    <row r="20" spans="1:18" x14ac:dyDescent="0.3">
      <c r="A20" s="243" t="s">
        <v>79</v>
      </c>
      <c r="B20" s="243"/>
      <c r="C20" s="239" t="s">
        <v>76</v>
      </c>
      <c r="D20" s="239"/>
      <c r="E20" s="239"/>
      <c r="F20" s="239"/>
      <c r="G20" s="239" t="s">
        <v>80</v>
      </c>
      <c r="H20" s="239"/>
      <c r="I20" s="239"/>
      <c r="J20" s="239" t="s">
        <v>81</v>
      </c>
      <c r="K20" s="239"/>
      <c r="L20" s="239"/>
      <c r="M20" s="239"/>
      <c r="N20" s="239"/>
      <c r="O20" s="239" t="s">
        <v>82</v>
      </c>
      <c r="P20" s="239"/>
      <c r="Q20" s="239" t="s">
        <v>83</v>
      </c>
      <c r="R20" s="239"/>
    </row>
    <row r="21" spans="1:18" x14ac:dyDescent="0.3">
      <c r="A21" s="243"/>
      <c r="B21" s="243"/>
      <c r="C21" s="239"/>
      <c r="D21" s="239"/>
      <c r="E21" s="239"/>
      <c r="F21" s="239"/>
      <c r="G21" s="27" t="s">
        <v>84</v>
      </c>
      <c r="H21" s="27" t="s">
        <v>47</v>
      </c>
      <c r="I21" s="27" t="s">
        <v>76</v>
      </c>
      <c r="J21" s="27" t="s">
        <v>85</v>
      </c>
      <c r="K21" s="403" t="s">
        <v>76</v>
      </c>
      <c r="L21" s="404"/>
      <c r="M21" s="404"/>
      <c r="N21" s="405"/>
      <c r="O21" s="27" t="s">
        <v>86</v>
      </c>
      <c r="P21" s="27" t="s">
        <v>76</v>
      </c>
      <c r="Q21" s="27" t="s">
        <v>87</v>
      </c>
      <c r="R21" s="28" t="s">
        <v>88</v>
      </c>
    </row>
    <row r="22" spans="1:18" ht="82.8" x14ac:dyDescent="0.3">
      <c r="A22" s="381" t="s">
        <v>706</v>
      </c>
      <c r="B22" s="382"/>
      <c r="C22" s="363" t="s">
        <v>707</v>
      </c>
      <c r="D22" s="364"/>
      <c r="E22" s="364"/>
      <c r="F22" s="365"/>
      <c r="G22" s="387" t="s">
        <v>708</v>
      </c>
      <c r="H22" s="390" t="s">
        <v>33</v>
      </c>
      <c r="I22" s="387" t="s">
        <v>709</v>
      </c>
      <c r="J22" s="360" t="s">
        <v>33</v>
      </c>
      <c r="K22" s="363" t="s">
        <v>710</v>
      </c>
      <c r="L22" s="364"/>
      <c r="M22" s="364"/>
      <c r="N22" s="365"/>
      <c r="O22" s="116" t="str">
        <f>'P-HorarioBarbero'!A6</f>
        <v>P-HBO-0001</v>
      </c>
      <c r="P22" s="31" t="str">
        <f>'P-HorarioBarbero'!B6</f>
        <v>Asegurar que los datos requeridos (día de la semana, hora de inicio, hora de fin) sean válidos en tipo de dato, obligatoriedad, formato y rango</v>
      </c>
      <c r="Q22" s="31" t="s">
        <v>1038</v>
      </c>
      <c r="R22" s="122" t="s">
        <v>164</v>
      </c>
    </row>
    <row r="23" spans="1:18" ht="82.8" x14ac:dyDescent="0.3">
      <c r="A23" s="383"/>
      <c r="B23" s="384"/>
      <c r="C23" s="366"/>
      <c r="D23" s="367"/>
      <c r="E23" s="367"/>
      <c r="F23" s="368"/>
      <c r="G23" s="388"/>
      <c r="H23" s="391"/>
      <c r="I23" s="388"/>
      <c r="J23" s="361"/>
      <c r="K23" s="366"/>
      <c r="L23" s="367"/>
      <c r="M23" s="367"/>
      <c r="N23" s="368"/>
      <c r="O23" s="116" t="str">
        <f>'P-HorarioBarbero'!A7</f>
        <v>P-HBO-0002</v>
      </c>
      <c r="P23" s="31" t="str">
        <f>'P-HorarioBarbero'!B7</f>
        <v>Asegurar que el horario de trabajo esté dentro del horario de apertura y cierre de la barbería para ese día</v>
      </c>
      <c r="Q23" s="31" t="s">
        <v>711</v>
      </c>
      <c r="R23" s="122" t="s">
        <v>164</v>
      </c>
    </row>
    <row r="24" spans="1:18" ht="55.2" x14ac:dyDescent="0.3">
      <c r="A24" s="385"/>
      <c r="B24" s="386"/>
      <c r="C24" s="369"/>
      <c r="D24" s="370"/>
      <c r="E24" s="370"/>
      <c r="F24" s="371"/>
      <c r="G24" s="389"/>
      <c r="H24" s="392"/>
      <c r="I24" s="389"/>
      <c r="J24" s="362"/>
      <c r="K24" s="369"/>
      <c r="L24" s="370"/>
      <c r="M24" s="370"/>
      <c r="N24" s="371"/>
      <c r="O24" s="116" t="str">
        <f>'P-HorarioBarbero'!A10</f>
        <v>P-HBO-0006</v>
      </c>
      <c r="P24" s="31" t="str">
        <f>'P-HorarioBarbero'!B10</f>
        <v>Asegurar que la hora de fin sea mayor a la hora de inicio</v>
      </c>
      <c r="Q24" s="31" t="s">
        <v>1054</v>
      </c>
      <c r="R24" s="122" t="s">
        <v>164</v>
      </c>
    </row>
    <row r="25" spans="1:18" ht="68.25" customHeight="1" x14ac:dyDescent="0.3">
      <c r="A25" s="323" t="s">
        <v>712</v>
      </c>
      <c r="B25" s="323"/>
      <c r="C25" s="282" t="s">
        <v>713</v>
      </c>
      <c r="D25" s="282"/>
      <c r="E25" s="282"/>
      <c r="F25" s="282"/>
      <c r="G25" s="123" t="s">
        <v>668</v>
      </c>
      <c r="H25" s="123" t="s">
        <v>33</v>
      </c>
      <c r="I25" s="71" t="s">
        <v>714</v>
      </c>
      <c r="J25" s="141" t="s">
        <v>715</v>
      </c>
      <c r="K25" s="322" t="s">
        <v>716</v>
      </c>
      <c r="L25" s="322"/>
      <c r="M25" s="322"/>
      <c r="N25" s="322"/>
      <c r="O25" s="123"/>
      <c r="P25" s="71"/>
      <c r="Q25" s="71"/>
      <c r="R25" s="124"/>
    </row>
    <row r="26" spans="1:18" ht="124.2" x14ac:dyDescent="0.3">
      <c r="A26" s="307" t="s">
        <v>717</v>
      </c>
      <c r="B26" s="307"/>
      <c r="C26" s="295" t="s">
        <v>1055</v>
      </c>
      <c r="D26" s="295"/>
      <c r="E26" s="295"/>
      <c r="F26" s="295"/>
      <c r="G26" s="315" t="s">
        <v>129</v>
      </c>
      <c r="H26" s="315" t="s">
        <v>156</v>
      </c>
      <c r="I26" s="295" t="s">
        <v>718</v>
      </c>
      <c r="J26" s="308"/>
      <c r="K26" s="295" t="s">
        <v>223</v>
      </c>
      <c r="L26" s="295"/>
      <c r="M26" s="295"/>
      <c r="N26" s="295"/>
      <c r="O26" s="126" t="str">
        <f>'P-HorarioBarbero'!A8</f>
        <v>P-HBO-0004</v>
      </c>
      <c r="P26" s="75" t="str">
        <f>'P-HorarioBarbero'!B8</f>
        <v>Asegurar que queden canceladas, en el estado Cancelación, todas las citas futuras asociadas a las agendas generadas a partir de ese horario de trabajo. Se consideran futuras las citas cuya agenda tenga una fecha posterior a la fecha actual</v>
      </c>
      <c r="Q26" s="75" t="s">
        <v>543</v>
      </c>
      <c r="R26" s="127" t="s">
        <v>164</v>
      </c>
    </row>
    <row r="27" spans="1:18" ht="82.8" x14ac:dyDescent="0.3">
      <c r="A27" s="307"/>
      <c r="B27" s="307"/>
      <c r="C27" s="295"/>
      <c r="D27" s="295"/>
      <c r="E27" s="295"/>
      <c r="F27" s="295"/>
      <c r="G27" s="315"/>
      <c r="H27" s="315"/>
      <c r="I27" s="315"/>
      <c r="J27" s="315"/>
      <c r="K27" s="295"/>
      <c r="L27" s="295"/>
      <c r="M27" s="295"/>
      <c r="N27" s="295"/>
      <c r="O27" s="126" t="str">
        <f>'P-HorarioBarbero'!A9</f>
        <v>P-HBO-0005</v>
      </c>
      <c r="P27" s="75" t="str">
        <f>'P-HorarioBarbero'!B9</f>
        <v>Asegurar que exista el horario de trabajo del barbero con el id enviado</v>
      </c>
      <c r="Q27" s="75" t="s">
        <v>719</v>
      </c>
      <c r="R27" s="127" t="s">
        <v>164</v>
      </c>
    </row>
    <row r="28" spans="1:18" ht="82.8" x14ac:dyDescent="0.3">
      <c r="A28" s="307"/>
      <c r="B28" s="307"/>
      <c r="C28" s="295"/>
      <c r="D28" s="295"/>
      <c r="E28" s="295"/>
      <c r="F28" s="295"/>
      <c r="G28" s="315"/>
      <c r="H28" s="315"/>
      <c r="I28" s="315"/>
      <c r="J28" s="315"/>
      <c r="K28" s="295"/>
      <c r="L28" s="295"/>
      <c r="M28" s="295"/>
      <c r="N28" s="295"/>
      <c r="O28" s="126" t="str">
        <f>'P-HorarioBarbero'!A11</f>
        <v>P-HBO-0007</v>
      </c>
      <c r="P28" s="75" t="str">
        <f>'P-HorarioBarbero'!B11</f>
        <v>Asegurar que el horario de trabajo que se va a desactivar se encuentre vigente</v>
      </c>
      <c r="Q28" s="75" t="s">
        <v>1056</v>
      </c>
      <c r="R28" s="127" t="s">
        <v>164</v>
      </c>
    </row>
    <row r="29" spans="1:18" ht="68.25" customHeight="1" x14ac:dyDescent="0.3">
      <c r="A29" s="311" t="s">
        <v>721</v>
      </c>
      <c r="B29" s="311"/>
      <c r="C29" s="285" t="s">
        <v>722</v>
      </c>
      <c r="D29" s="285"/>
      <c r="E29" s="285"/>
      <c r="F29" s="285"/>
      <c r="G29" s="116" t="s">
        <v>668</v>
      </c>
      <c r="H29" s="116" t="s">
        <v>33</v>
      </c>
      <c r="I29" s="31" t="s">
        <v>714</v>
      </c>
      <c r="J29" s="128" t="s">
        <v>715</v>
      </c>
      <c r="K29" s="312" t="s">
        <v>723</v>
      </c>
      <c r="L29" s="312"/>
      <c r="M29" s="312"/>
      <c r="N29" s="312"/>
      <c r="O29" s="116"/>
      <c r="P29" s="31"/>
      <c r="Q29" s="31"/>
      <c r="R29" s="122"/>
    </row>
  </sheetData>
  <mergeCells count="29">
    <mergeCell ref="A29:B29"/>
    <mergeCell ref="C29:F29"/>
    <mergeCell ref="K29:N29"/>
    <mergeCell ref="A25:B25"/>
    <mergeCell ref="C25:F25"/>
    <mergeCell ref="K25:N25"/>
    <mergeCell ref="A26:B28"/>
    <mergeCell ref="C26:F28"/>
    <mergeCell ref="G26:G28"/>
    <mergeCell ref="H26:H28"/>
    <mergeCell ref="I26:I28"/>
    <mergeCell ref="J26:J28"/>
    <mergeCell ref="K26:N28"/>
    <mergeCell ref="O20:P20"/>
    <mergeCell ref="Q20:R20"/>
    <mergeCell ref="K21:N21"/>
    <mergeCell ref="A22:B24"/>
    <mergeCell ref="C22:F24"/>
    <mergeCell ref="G22:G24"/>
    <mergeCell ref="H22:H24"/>
    <mergeCell ref="I22:I24"/>
    <mergeCell ref="J22:J24"/>
    <mergeCell ref="K22:N24"/>
    <mergeCell ref="J20:N20"/>
    <mergeCell ref="A20:B21"/>
    <mergeCell ref="C20:F21"/>
    <mergeCell ref="G20:I20"/>
    <mergeCell ref="B13:B18"/>
    <mergeCell ref="A13:A18"/>
  </mergeCells>
  <hyperlinks>
    <hyperlink ref="A1" location="'Modelo de Dominio'!A1" display="&lt;&lt;&lt;&lt; Ir al modulo de dominio" xr:uid="{00000000-0004-0000-2A00-000000000000}"/>
    <hyperlink ref="B1" location="'Objetos de Dominio'!A1" display="&lt;&lt;&lt;&lt; Ir a objetos de dominio" xr:uid="{00000000-0004-0000-2A00-000001000000}"/>
    <hyperlink ref="V2" location="'C-HorarioBarbero'!A21" display="#'C-HorarioBarbero'.A21" xr:uid="{00000000-0004-0000-2A00-000002000000}"/>
    <hyperlink ref="W2" location="'C-HorarioBarbero'!A24" display="consultarHorariosDefinidos" xr:uid="{00000000-0004-0000-2A00-000003000000}"/>
    <hyperlink ref="X2" location="'C-HorarioBarbero'!A25" display="desactivarHorarioDeTrabajo" xr:uid="{00000000-0004-0000-2A00-000004000000}"/>
    <hyperlink ref="Y2" location="'C-HorarioBarbero'!A28" display="'C-HorarioBarbero'!A28" xr:uid="{00000000-0004-0000-2A00-000005000000}"/>
    <hyperlink ref="D4" location="'C-Barbero'!A1" display="Barbero" xr:uid="{00000000-0004-0000-2A00-000006000000}"/>
    <hyperlink ref="D5" location="'C-HorarioBarberia'!A1" display="HorarioBarberia" xr:uid="{00000000-0004-0000-2A00-000007000000}"/>
    <hyperlink ref="A13" location="'M-HorarioBarbero'!A3" display="#'M-HorarioBarbero'.A3" xr:uid="{00000000-0004-0000-2A00-000008000000}"/>
    <hyperlink ref="B13" location="'M-HorarioBarbero'!A2" display="#'M-HorarioBarbero'.A2" xr:uid="{00000000-0004-0000-2A00-000009000000}"/>
    <hyperlink ref="A22" location="'C-HorarioBarbero'!V2" display="definirHorarioDeTrabajo" xr:uid="{00000000-0004-0000-2A00-00000A000000}"/>
    <hyperlink ref="A25" location="'C-HorarioBarbero'!W2" display="consultarHorariosDefinidos" xr:uid="{00000000-0004-0000-2A00-00000B000000}"/>
    <hyperlink ref="A26" location="'C-HorarioBarbero'!X2" display="desactivarHorarioDeTrabajo" xr:uid="{00000000-0004-0000-2A00-00000C000000}"/>
    <hyperlink ref="A29" location="'C-HorarioBarbero'!Y2" display="consultarHorariosDeTrabajoDeBarbero" xr:uid="{00000000-0004-0000-2A00-00000D000000}"/>
  </hyperlinks>
  <pageMargins left="0.75" right="0.75" top="1" bottom="1" header="0.511811023622047" footer="0.511811023622047"/>
  <pageSetup paperSize="9" orientation="portrait" horizontalDpi="300" verticalDpi="300"/>
  <ignoredErrors>
    <ignoredError sqref="C17" formula="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1"/>
  <sheetViews>
    <sheetView showGridLines="0" zoomScaleNormal="100" workbookViewId="0">
      <selection activeCell="C17" sqref="C17"/>
    </sheetView>
  </sheetViews>
  <sheetFormatPr baseColWidth="10" defaultColWidth="8.6640625" defaultRowHeight="14.4" x14ac:dyDescent="0.3"/>
  <cols>
    <col min="1" max="1" width="21.33203125" customWidth="1"/>
    <col min="2" max="2" width="29.109375" customWidth="1"/>
    <col min="3" max="3" width="36.33203125" customWidth="1"/>
    <col min="4" max="4" width="37.6640625" customWidth="1"/>
    <col min="5" max="5" width="36.332031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Dominio'!A13</f>
        <v>HorarioBarbero</v>
      </c>
      <c r="C2" s="244"/>
      <c r="D2" s="244"/>
      <c r="E2" s="244"/>
    </row>
    <row r="3" spans="1:5" ht="30" customHeight="1" x14ac:dyDescent="0.3">
      <c r="A3" s="35" t="s">
        <v>99</v>
      </c>
      <c r="B3" s="245" t="str">
        <f>'Objetos de Dominio'!B13</f>
        <v>Representa el día de la semana en que trabaja un barbero, junto con la hora en la que empieza y termina su jornada de trabajo.</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1.5" customHeight="1" x14ac:dyDescent="0.3">
      <c r="A6" s="36" t="s">
        <v>724</v>
      </c>
      <c r="B6" s="296" t="s">
        <v>1052</v>
      </c>
      <c r="C6" s="296"/>
      <c r="D6" s="37" t="s">
        <v>33</v>
      </c>
      <c r="E6" s="37"/>
    </row>
    <row r="7" spans="1:5" ht="30" customHeight="1" x14ac:dyDescent="0.3">
      <c r="A7" s="36" t="s">
        <v>725</v>
      </c>
      <c r="B7" s="296" t="s">
        <v>726</v>
      </c>
      <c r="C7" s="296"/>
      <c r="D7" s="37" t="s">
        <v>27</v>
      </c>
      <c r="E7" s="37"/>
    </row>
    <row r="8" spans="1:5" ht="60" customHeight="1" x14ac:dyDescent="0.3">
      <c r="A8" s="36" t="s">
        <v>727</v>
      </c>
      <c r="B8" s="296" t="s">
        <v>1059</v>
      </c>
      <c r="C8" s="296"/>
      <c r="D8" s="37" t="s">
        <v>37</v>
      </c>
      <c r="E8" s="37"/>
    </row>
    <row r="9" spans="1:5" ht="36" customHeight="1" x14ac:dyDescent="0.3">
      <c r="A9" s="36" t="s">
        <v>728</v>
      </c>
      <c r="B9" s="296" t="s">
        <v>730</v>
      </c>
      <c r="C9" s="296"/>
      <c r="D9" s="37" t="s">
        <v>33</v>
      </c>
      <c r="E9" s="37"/>
    </row>
    <row r="10" spans="1:5" ht="33.75" customHeight="1" x14ac:dyDescent="0.3">
      <c r="A10" s="36" t="s">
        <v>729</v>
      </c>
      <c r="B10" s="401" t="s">
        <v>1051</v>
      </c>
      <c r="C10" s="402"/>
      <c r="D10" s="37" t="s">
        <v>33</v>
      </c>
      <c r="E10" s="37"/>
    </row>
    <row r="11" spans="1:5" ht="30" customHeight="1" x14ac:dyDescent="0.3">
      <c r="A11" s="36" t="s">
        <v>1050</v>
      </c>
      <c r="B11" s="401" t="s">
        <v>1053</v>
      </c>
      <c r="C11" s="402"/>
      <c r="D11" s="37" t="s">
        <v>33</v>
      </c>
      <c r="E11" s="37"/>
    </row>
  </sheetData>
  <mergeCells count="12">
    <mergeCell ref="B11:C11"/>
    <mergeCell ref="B6:C6"/>
    <mergeCell ref="B7:C7"/>
    <mergeCell ref="B8:C8"/>
    <mergeCell ref="B9:C9"/>
    <mergeCell ref="B10:C10"/>
    <mergeCell ref="B2:E2"/>
    <mergeCell ref="B3:E3"/>
    <mergeCell ref="A4:A5"/>
    <mergeCell ref="B4:C5"/>
    <mergeCell ref="D4:D5"/>
    <mergeCell ref="E4:E5"/>
  </mergeCells>
  <phoneticPr fontId="36" type="noConversion"/>
  <hyperlinks>
    <hyperlink ref="A1" location="'Modelo de Dominio'!A1" display="&lt;&lt; Ir al modelo de dominio" xr:uid="{00000000-0004-0000-2B00-000000000000}"/>
    <hyperlink ref="B1" location="'Objetos de Dominio'!A1" display="&lt;&lt; Ir al listado de objetos de dominio" xr:uid="{00000000-0004-0000-2B00-000001000000}"/>
    <hyperlink ref="C1" location="'C-HorarioBarbero'!A1" display="&lt;&lt; Ir a la caracterización del objeto de dominio" xr:uid="{00000000-0004-0000-2B00-000002000000}"/>
    <hyperlink ref="D1" location="'M-HorarioBarbero'!A1" display="Ir al muestreo de datos del objeto de dominio &gt;&gt;" xr:uid="{00000000-0004-0000-2B00-000003000000}"/>
    <hyperlink ref="E1" location="'E-HorarioBarbero'!A1" display="Ir al event storming del objeto de dominio &gt;&gt;" xr:uid="{00000000-0004-0000-2B00-000004000000}"/>
  </hyperlink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15"/>
  <sheetViews>
    <sheetView showGridLines="0" zoomScaleNormal="100" workbookViewId="0">
      <selection activeCell="C1" sqref="C1:E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5.332031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150" t="s">
        <v>98</v>
      </c>
      <c r="B2" s="324" t="str">
        <f>'Objetos de Dominio'!A13</f>
        <v>HorarioBarbero</v>
      </c>
      <c r="C2" s="324"/>
      <c r="D2" s="324"/>
      <c r="E2" s="324"/>
      <c r="F2" s="324"/>
      <c r="G2" s="324"/>
      <c r="H2" s="324"/>
      <c r="I2" s="324"/>
      <c r="J2" s="324"/>
      <c r="K2" s="324"/>
    </row>
    <row r="3" spans="1:11" ht="30" customHeight="1" x14ac:dyDescent="0.3">
      <c r="A3" s="151" t="s">
        <v>99</v>
      </c>
      <c r="B3" s="325" t="str">
        <f>'Objetos de Dominio'!B13</f>
        <v>Representa el día de la semana en que trabaja un barbero, junto con la hora en la que empieza y termina su jornada de trabajo.</v>
      </c>
      <c r="C3" s="325"/>
      <c r="D3" s="325"/>
      <c r="E3" s="325"/>
      <c r="F3" s="325"/>
      <c r="G3" s="325"/>
      <c r="H3" s="325"/>
      <c r="I3" s="325"/>
      <c r="J3" s="325"/>
      <c r="K3" s="325"/>
    </row>
    <row r="4" spans="1:11" ht="34.5" customHeight="1" x14ac:dyDescent="0.3">
      <c r="A4" s="5" t="s">
        <v>105</v>
      </c>
      <c r="B4" s="326" t="s">
        <v>106</v>
      </c>
      <c r="C4" s="326"/>
      <c r="D4" s="4" t="s">
        <v>107</v>
      </c>
      <c r="E4" s="327" t="s">
        <v>108</v>
      </c>
      <c r="F4" s="327"/>
      <c r="G4" s="328" t="s">
        <v>109</v>
      </c>
      <c r="H4" s="328"/>
      <c r="I4" s="152" t="s">
        <v>110</v>
      </c>
      <c r="J4" s="3" t="s">
        <v>111</v>
      </c>
      <c r="K4" s="153" t="s">
        <v>112</v>
      </c>
    </row>
    <row r="5" spans="1:11" ht="15" customHeight="1" x14ac:dyDescent="0.3">
      <c r="A5" s="329" t="s">
        <v>105</v>
      </c>
      <c r="B5" s="326" t="s">
        <v>113</v>
      </c>
      <c r="C5" s="326" t="s">
        <v>76</v>
      </c>
      <c r="D5" s="330" t="s">
        <v>114</v>
      </c>
      <c r="E5" s="327" t="s">
        <v>115</v>
      </c>
      <c r="F5" s="327"/>
      <c r="G5" s="328" t="s">
        <v>116</v>
      </c>
      <c r="H5" s="328"/>
      <c r="I5" s="331" t="s">
        <v>117</v>
      </c>
      <c r="J5" s="332" t="s">
        <v>118</v>
      </c>
      <c r="K5" s="333" t="s">
        <v>119</v>
      </c>
    </row>
    <row r="6" spans="1:11" ht="15" customHeight="1" x14ac:dyDescent="0.3">
      <c r="A6" s="329"/>
      <c r="B6" s="329"/>
      <c r="C6" s="329"/>
      <c r="D6" s="329"/>
      <c r="E6" s="6" t="s">
        <v>120</v>
      </c>
      <c r="F6" s="6" t="s">
        <v>76</v>
      </c>
      <c r="G6" s="154" t="s">
        <v>121</v>
      </c>
      <c r="H6" s="154" t="s">
        <v>76</v>
      </c>
      <c r="I6" s="331"/>
      <c r="J6" s="331"/>
      <c r="K6" s="331"/>
    </row>
    <row r="7" spans="1:11" ht="55.2" x14ac:dyDescent="0.3">
      <c r="A7" s="340" t="s">
        <v>23</v>
      </c>
      <c r="B7" s="340" t="s">
        <v>731</v>
      </c>
      <c r="C7" s="340" t="s">
        <v>707</v>
      </c>
      <c r="D7" s="340" t="str">
        <f>$B$2</f>
        <v>HorarioBarbero</v>
      </c>
      <c r="E7" s="340"/>
      <c r="F7" s="340"/>
      <c r="G7" s="155" t="str">
        <f>'P-HorarioBarbero'!A6</f>
        <v>P-HBO-0001</v>
      </c>
      <c r="H7" s="172" t="str">
        <f>'P-HorarioBarbero'!B6</f>
        <v>Asegurar que los datos requeridos (día de la semana, hora de inicio, hora de fin) sean válidos en tipo de dato, obligatoriedad, formato y rango</v>
      </c>
      <c r="I7" s="340"/>
      <c r="J7" s="340" t="s">
        <v>732</v>
      </c>
      <c r="K7" s="340"/>
    </row>
    <row r="8" spans="1:11" ht="41.4" x14ac:dyDescent="0.3">
      <c r="A8" s="341"/>
      <c r="B8" s="341"/>
      <c r="C8" s="341"/>
      <c r="D8" s="341"/>
      <c r="E8" s="341"/>
      <c r="F8" s="341"/>
      <c r="G8" s="155" t="str">
        <f>'P-HorarioBarbero'!A7</f>
        <v>P-HBO-0002</v>
      </c>
      <c r="H8" s="172" t="str">
        <f>'P-HorarioBarbero'!B7</f>
        <v>Asegurar que el horario de trabajo esté dentro del horario de apertura y cierre de la barbería para ese día</v>
      </c>
      <c r="I8" s="341"/>
      <c r="J8" s="341"/>
      <c r="K8" s="341"/>
    </row>
    <row r="9" spans="1:11" ht="30" customHeight="1" x14ac:dyDescent="0.3">
      <c r="A9" s="342"/>
      <c r="B9" s="342"/>
      <c r="C9" s="342"/>
      <c r="D9" s="342"/>
      <c r="E9" s="342"/>
      <c r="F9" s="342"/>
      <c r="G9" s="218" t="str">
        <f>'P-HorarioBarbero'!A10</f>
        <v>P-HBO-0006</v>
      </c>
      <c r="H9" s="172" t="str">
        <f>'P-HorarioBarbero'!B10</f>
        <v>Asegurar que la hora de fin sea mayor a la hora de inicio</v>
      </c>
      <c r="I9" s="342"/>
      <c r="J9" s="342"/>
      <c r="K9" s="342"/>
    </row>
    <row r="10" spans="1:11" ht="30" customHeight="1" x14ac:dyDescent="0.3">
      <c r="A10" s="2" t="s">
        <v>23</v>
      </c>
      <c r="B10" s="1" t="s">
        <v>733</v>
      </c>
      <c r="C10" s="1" t="s">
        <v>713</v>
      </c>
      <c r="D10" s="2" t="str">
        <f>$B$2</f>
        <v>HorarioBarbero</v>
      </c>
      <c r="E10" s="1"/>
      <c r="F10" s="1"/>
      <c r="G10" s="2"/>
      <c r="H10" s="172"/>
      <c r="I10" s="2"/>
      <c r="J10" s="1" t="s">
        <v>734</v>
      </c>
      <c r="K10" s="1"/>
    </row>
    <row r="11" spans="1:11" ht="52.5" customHeight="1" x14ac:dyDescent="0.3">
      <c r="A11" s="334" t="s">
        <v>23</v>
      </c>
      <c r="B11" s="335" t="s">
        <v>735</v>
      </c>
      <c r="C11" s="335" t="s">
        <v>1055</v>
      </c>
      <c r="D11" s="334" t="str">
        <f>$B$2</f>
        <v>HorarioBarbero</v>
      </c>
      <c r="E11" s="1" t="s">
        <v>35</v>
      </c>
      <c r="F11" s="1" t="s">
        <v>1057</v>
      </c>
      <c r="G11" s="406" t="str">
        <f>'P-HorarioBarbero'!A8</f>
        <v>P-HBO-0004</v>
      </c>
      <c r="H11" s="357" t="str">
        <f>'P-HorarioBarbero'!B8</f>
        <v>Asegurar que queden canceladas, en el estado Cancelación, todas las citas futuras asociadas a las agendas generadas a partir de ese horario de trabajo. Se consideran futuras las citas cuya agenda tenga una fecha posterior a la fecha actual</v>
      </c>
      <c r="I11" s="334"/>
      <c r="J11" s="335" t="s">
        <v>736</v>
      </c>
      <c r="K11" s="335" t="s">
        <v>1058</v>
      </c>
    </row>
    <row r="12" spans="1:11" ht="33.75" customHeight="1" x14ac:dyDescent="0.3">
      <c r="A12" s="334"/>
      <c r="B12" s="334"/>
      <c r="C12" s="334"/>
      <c r="D12" s="334"/>
      <c r="E12" s="1" t="s">
        <v>37</v>
      </c>
      <c r="F12" s="1" t="s">
        <v>568</v>
      </c>
      <c r="G12" s="406"/>
      <c r="H12" s="357"/>
      <c r="I12" s="334"/>
      <c r="J12" s="334"/>
      <c r="K12" s="334"/>
    </row>
    <row r="13" spans="1:11" ht="27.6" x14ac:dyDescent="0.3">
      <c r="A13" s="334"/>
      <c r="B13" s="334"/>
      <c r="C13" s="334"/>
      <c r="D13" s="334"/>
      <c r="E13" s="334" t="s">
        <v>15</v>
      </c>
      <c r="F13" s="334" t="s">
        <v>569</v>
      </c>
      <c r="G13" s="219" t="str">
        <f>'P-HorarioBarbero'!A9</f>
        <v>P-HBO-0005</v>
      </c>
      <c r="H13" s="172" t="str">
        <f>'P-HorarioBarbero'!B9</f>
        <v>Asegurar que exista el horario de trabajo del barbero con el id enviado</v>
      </c>
      <c r="I13" s="334"/>
      <c r="J13" s="334"/>
      <c r="K13" s="334"/>
    </row>
    <row r="14" spans="1:11" ht="30" customHeight="1" x14ac:dyDescent="0.3">
      <c r="A14" s="334"/>
      <c r="B14" s="334"/>
      <c r="C14" s="334"/>
      <c r="D14" s="334"/>
      <c r="E14" s="334"/>
      <c r="F14" s="334"/>
      <c r="G14" s="219" t="str">
        <f>'P-HorarioBarbero'!A11</f>
        <v>P-HBO-0007</v>
      </c>
      <c r="H14" s="172" t="str">
        <f>'P-HorarioBarbero'!B11</f>
        <v>Asegurar que el horario de trabajo que se va a desactivar se encuentre vigente</v>
      </c>
      <c r="I14" s="334"/>
      <c r="J14" s="334"/>
      <c r="K14" s="334"/>
    </row>
    <row r="15" spans="1:11" ht="27" customHeight="1" x14ac:dyDescent="0.3">
      <c r="A15" s="2" t="s">
        <v>25</v>
      </c>
      <c r="B15" s="1" t="s">
        <v>737</v>
      </c>
      <c r="C15" s="1" t="s">
        <v>722</v>
      </c>
      <c r="D15" s="2" t="str">
        <f>$B$2</f>
        <v>HorarioBarbero</v>
      </c>
      <c r="E15" s="1"/>
      <c r="F15" s="1"/>
      <c r="G15" s="2"/>
      <c r="H15" s="183"/>
      <c r="I15" s="2"/>
      <c r="J15" s="1" t="s">
        <v>734</v>
      </c>
      <c r="K15" s="1"/>
    </row>
  </sheetData>
  <mergeCells count="38">
    <mergeCell ref="J7:J9"/>
    <mergeCell ref="K7:K9"/>
    <mergeCell ref="A7:A9"/>
    <mergeCell ref="B7:B9"/>
    <mergeCell ref="C7:C9"/>
    <mergeCell ref="D7:D9"/>
    <mergeCell ref="E7:E9"/>
    <mergeCell ref="A11:A14"/>
    <mergeCell ref="B11:B14"/>
    <mergeCell ref="C11:C14"/>
    <mergeCell ref="D11:D14"/>
    <mergeCell ref="I11:I14"/>
    <mergeCell ref="J11:J14"/>
    <mergeCell ref="K11:K14"/>
    <mergeCell ref="B3:K3"/>
    <mergeCell ref="B4:C4"/>
    <mergeCell ref="E4:F4"/>
    <mergeCell ref="G4:H4"/>
    <mergeCell ref="G5:H5"/>
    <mergeCell ref="I5:I6"/>
    <mergeCell ref="J5:J6"/>
    <mergeCell ref="K5:K6"/>
    <mergeCell ref="G11:G12"/>
    <mergeCell ref="H11:H12"/>
    <mergeCell ref="E13:E14"/>
    <mergeCell ref="F13:F14"/>
    <mergeCell ref="F7:F9"/>
    <mergeCell ref="I7:I9"/>
    <mergeCell ref="A5:A6"/>
    <mergeCell ref="B5:B6"/>
    <mergeCell ref="C5:C6"/>
    <mergeCell ref="D5:D6"/>
    <mergeCell ref="E5:F5"/>
    <mergeCell ref="A1:B1"/>
    <mergeCell ref="C1:E1"/>
    <mergeCell ref="F1:I1"/>
    <mergeCell ref="J1:K1"/>
    <mergeCell ref="B2:K2"/>
  </mergeCells>
  <hyperlinks>
    <hyperlink ref="A1" location="'Modelo de Dominio'!A1" display="&lt;&lt; Ir al modelo de dominio" xr:uid="{00000000-0004-0000-2C00-000000000000}"/>
    <hyperlink ref="C1" location="'Objetos de Dominio'!A1" display="&lt;&lt; Ir al listado de objetos de dominio" xr:uid="{00000000-0004-0000-2C00-000001000000}"/>
    <hyperlink ref="F1" location="'C-HorarioBarbero'!A1" display="&lt;&lt; Ir a la caracterización del objeto de dominio" xr:uid="{00000000-0004-0000-2C00-000002000000}"/>
    <hyperlink ref="J1" location="'M-HorarioBarbero'!A1" display="Ir al muestreo de datos del objeto de dominio &gt;&gt;" xr:uid="{00000000-0004-0000-2C00-000003000000}"/>
    <hyperlink ref="G7" location="'P-HorarioBarbero'!A6" display="#'P-HorarioBarbero'.A6" xr:uid="{00000000-0004-0000-2C00-000004000000}"/>
    <hyperlink ref="G8" location="'P-HorarioBarbero'!A7" display="#'P-HorarioBarbero'.A7" xr:uid="{00000000-0004-0000-2C00-000006000000}"/>
  </hyperlinks>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21"/>
  <sheetViews>
    <sheetView zoomScaleNormal="100" workbookViewId="0">
      <selection activeCell="I3" sqref="I3"/>
    </sheetView>
  </sheetViews>
  <sheetFormatPr baseColWidth="10" defaultColWidth="8.6640625" defaultRowHeight="14.4" x14ac:dyDescent="0.3"/>
  <cols>
    <col min="1" max="1" width="27" customWidth="1"/>
    <col min="2" max="2" width="26.109375" customWidth="1"/>
    <col min="3" max="3" width="20.5546875" customWidth="1"/>
    <col min="4" max="4" width="24.44140625" customWidth="1"/>
    <col min="5" max="5" width="38.44140625" customWidth="1"/>
    <col min="6" max="6" width="26.44140625" customWidth="1"/>
    <col min="7" max="7" width="34" customWidth="1"/>
    <col min="8" max="8" width="26" customWidth="1"/>
    <col min="9" max="9" width="42.5546875" customWidth="1"/>
  </cols>
  <sheetData>
    <row r="1" spans="1:9" ht="14.25" customHeight="1" x14ac:dyDescent="0.3">
      <c r="A1" s="8" t="s">
        <v>1</v>
      </c>
      <c r="B1" s="8" t="s">
        <v>43</v>
      </c>
      <c r="C1" s="8"/>
      <c r="D1" s="8"/>
      <c r="E1" s="8"/>
      <c r="F1" s="8"/>
      <c r="G1" s="8"/>
      <c r="H1" s="8"/>
    </row>
    <row r="2" spans="1:9" ht="41.25" customHeight="1" x14ac:dyDescent="0.3">
      <c r="A2" s="51" t="s">
        <v>126</v>
      </c>
      <c r="B2" s="51" t="s">
        <v>738</v>
      </c>
      <c r="C2" s="51" t="s">
        <v>739</v>
      </c>
      <c r="D2" s="51" t="s">
        <v>740</v>
      </c>
      <c r="E2" s="51" t="s">
        <v>741</v>
      </c>
      <c r="F2" s="51" t="s">
        <v>742</v>
      </c>
      <c r="G2" s="51" t="s">
        <v>743</v>
      </c>
      <c r="H2" s="51" t="s">
        <v>744</v>
      </c>
      <c r="I2" s="108" t="s">
        <v>1099</v>
      </c>
    </row>
    <row r="3" spans="1:9" ht="14.25" customHeight="1" x14ac:dyDescent="0.3">
      <c r="A3" s="53" t="s">
        <v>129</v>
      </c>
      <c r="B3" s="132" t="s">
        <v>650</v>
      </c>
      <c r="C3" s="132" t="s">
        <v>745</v>
      </c>
      <c r="D3" s="54" t="s">
        <v>746</v>
      </c>
      <c r="E3" s="54" t="s">
        <v>747</v>
      </c>
      <c r="F3" s="133" t="s">
        <v>579</v>
      </c>
      <c r="G3" s="133" t="s">
        <v>580</v>
      </c>
      <c r="H3" s="133" t="s">
        <v>422</v>
      </c>
      <c r="I3" s="55" t="s">
        <v>319</v>
      </c>
    </row>
    <row r="4" spans="1:9" ht="28.5" customHeight="1" x14ac:dyDescent="0.3">
      <c r="A4" s="56">
        <v>1</v>
      </c>
      <c r="B4" s="173" t="str">
        <f>'M-Barbero'!L4</f>
        <v>+57-3245627890</v>
      </c>
      <c r="C4" s="173" t="str">
        <f>'M-HorarioBarberia'!H4</f>
        <v>Lunes-09:00-19:00-12/11/2023-1/01/1000</v>
      </c>
      <c r="D4" s="162">
        <v>0.41666666666666702</v>
      </c>
      <c r="E4" s="162">
        <v>0.66666666666666696</v>
      </c>
      <c r="F4" s="215">
        <v>45780</v>
      </c>
      <c r="G4" s="216" t="s">
        <v>522</v>
      </c>
      <c r="H4" s="162" t="s">
        <v>253</v>
      </c>
      <c r="I4" s="86" t="str">
        <f>_xlfn.CONCAT(B4,"-",C4,"-",TEXT(D4,"hh:mm"),"-",TEXT(E4,"hh:mm"))</f>
        <v>+57-3245627890-Lunes-09:00-19:00-12/11/2023-1/01/1000-10:00-16:00</v>
      </c>
    </row>
    <row r="5" spans="1:9" ht="28.5" customHeight="1" x14ac:dyDescent="0.3">
      <c r="A5" s="56">
        <v>2</v>
      </c>
      <c r="B5" s="173" t="str">
        <f>'M-Barbero'!L5</f>
        <v>+57-3124518923</v>
      </c>
      <c r="C5" s="173" t="str">
        <f>'M-HorarioBarberia'!H5</f>
        <v>Martes-09:00-19:00-12/11/2023-1/01/1000</v>
      </c>
      <c r="D5" s="162">
        <v>0.375</v>
      </c>
      <c r="E5" s="162">
        <v>0.625</v>
      </c>
      <c r="F5" s="215">
        <v>45718</v>
      </c>
      <c r="G5" s="216" t="s">
        <v>522</v>
      </c>
      <c r="H5" s="162" t="s">
        <v>253</v>
      </c>
      <c r="I5" s="86" t="str">
        <f>_xlfn.CONCAT(B5,"-",C5,"-",TEXT(D5,"hh:mm"),"-",TEXT(E5,"hh:mm"))</f>
        <v>+57-3124518923-Martes-09:00-19:00-12/11/2023-1/01/1000-09:00-15:00</v>
      </c>
    </row>
    <row r="6" spans="1:9" ht="28.5" customHeight="1" x14ac:dyDescent="0.3">
      <c r="A6" s="56">
        <v>3</v>
      </c>
      <c r="B6" s="173" t="str">
        <f>'M-Barbero'!L6</f>
        <v>+57-3214533321</v>
      </c>
      <c r="C6" s="173" t="str">
        <f>'M-HorarioBarberia'!H7</f>
        <v>Jueves-09:00-19:00-12/11/2023-1/01/1000</v>
      </c>
      <c r="D6" s="162">
        <v>0.54166666666666696</v>
      </c>
      <c r="E6" s="162">
        <v>0.79166666666666696</v>
      </c>
      <c r="F6" s="215">
        <v>44917</v>
      </c>
      <c r="G6" s="215" t="s">
        <v>522</v>
      </c>
      <c r="H6" s="162" t="s">
        <v>253</v>
      </c>
      <c r="I6" s="86" t="str">
        <f>_xlfn.CONCAT(B6,"-",C6,"-",TEXT(D6,"hh:mm"),"-",TEXT(E6,"hh:mm"))</f>
        <v>+57-3214533321-Jueves-09:00-19:00-12/11/2023-1/01/1000-13:00-19:00</v>
      </c>
    </row>
    <row r="7" spans="1:9" ht="28.5" customHeight="1" x14ac:dyDescent="0.3">
      <c r="A7" s="56">
        <v>4</v>
      </c>
      <c r="B7" s="173" t="str">
        <f>'M-Barbero'!L7</f>
        <v>+91-9876543210</v>
      </c>
      <c r="C7" s="173" t="str">
        <f>'M-HorarioBarberia'!H9</f>
        <v>Sábado-08:00-21:00-12/12/2024-1/01/1000</v>
      </c>
      <c r="D7" s="162">
        <v>0.33333333333333298</v>
      </c>
      <c r="E7" s="162">
        <v>0.58333333333333304</v>
      </c>
      <c r="F7" s="215">
        <v>45915</v>
      </c>
      <c r="G7" s="216">
        <v>46023</v>
      </c>
      <c r="H7" s="187" t="s">
        <v>438</v>
      </c>
      <c r="I7" s="86" t="str">
        <f>_xlfn.CONCAT(B7,"-",C7,"-",TEXT(D7,"hh:mm"),"-",TEXT(E7,"hh:mm"))</f>
        <v>+91-9876543210-Sábado-08:00-21:00-12/12/2024-1/01/1000-08:00-14:00</v>
      </c>
    </row>
    <row r="8" spans="1:9" ht="28.5" customHeight="1" x14ac:dyDescent="0.3">
      <c r="A8" s="56">
        <v>5</v>
      </c>
      <c r="B8" s="173" t="str">
        <f>'M-Barbero'!L7</f>
        <v>+91-9876543210</v>
      </c>
      <c r="C8" s="173" t="str">
        <f>'M-HorarioBarberia'!H10</f>
        <v>Festivo-10:00-15:00-12/12/2024-1/01/1000</v>
      </c>
      <c r="D8" s="162">
        <v>0.5</v>
      </c>
      <c r="E8" s="162">
        <v>0.625</v>
      </c>
      <c r="F8" s="216">
        <v>46054</v>
      </c>
      <c r="G8" s="216">
        <v>46083</v>
      </c>
      <c r="H8" s="187" t="s">
        <v>438</v>
      </c>
      <c r="I8" s="86" t="str">
        <f>_xlfn.CONCAT(B8,"-",C8,"-",TEXT(D8,"hh:mm"),"-",TEXT(E8,"hh:mm"))</f>
        <v>+91-9876543210-Festivo-10:00-15:00-12/12/2024-1/01/1000-12:00-15:00</v>
      </c>
    </row>
    <row r="10" spans="1:9" ht="14.25" customHeight="1" x14ac:dyDescent="0.3">
      <c r="G10" s="188"/>
    </row>
    <row r="14" spans="1:9" ht="28.5" customHeight="1" x14ac:dyDescent="0.3">
      <c r="A14" s="59"/>
      <c r="B14" s="60" t="s">
        <v>139</v>
      </c>
      <c r="C14" s="60"/>
    </row>
    <row r="15" spans="1:9" ht="28.5" customHeight="1" x14ac:dyDescent="0.3">
      <c r="A15" s="61"/>
      <c r="B15" s="60" t="s">
        <v>140</v>
      </c>
      <c r="C15" s="60"/>
    </row>
    <row r="16" spans="1:9" ht="28.5" customHeight="1" x14ac:dyDescent="0.3">
      <c r="A16" s="135"/>
      <c r="B16" s="60" t="s">
        <v>441</v>
      </c>
      <c r="C16" s="60"/>
    </row>
    <row r="17" spans="1:3" ht="28.8" x14ac:dyDescent="0.3">
      <c r="A17" s="136"/>
      <c r="B17" s="60" t="s">
        <v>442</v>
      </c>
      <c r="C17" s="60"/>
    </row>
    <row r="18" spans="1:3" ht="28.5" customHeight="1" x14ac:dyDescent="0.3">
      <c r="A18" s="62"/>
      <c r="B18" s="60" t="s">
        <v>141</v>
      </c>
      <c r="C18" s="60"/>
    </row>
    <row r="19" spans="1:3" ht="28.5" customHeight="1" x14ac:dyDescent="0.3">
      <c r="A19" s="166"/>
      <c r="B19" s="60" t="s">
        <v>142</v>
      </c>
      <c r="C19" s="60"/>
    </row>
    <row r="20" spans="1:3" ht="28.5" customHeight="1" x14ac:dyDescent="0.3">
      <c r="B20" s="60"/>
      <c r="C20" s="60"/>
    </row>
    <row r="21" spans="1:3" ht="28.5" customHeight="1" x14ac:dyDescent="0.3">
      <c r="B21" s="60"/>
      <c r="C21" s="60"/>
    </row>
  </sheetData>
  <hyperlinks>
    <hyperlink ref="A1" location="'Modelo de Dominio'!A1" display="&lt;&lt;&lt;&lt; Ir al modulo de dominio" xr:uid="{00000000-0004-0000-2D00-000000000000}"/>
    <hyperlink ref="B1" location="'Objetos de Dominio'!A1" display="&lt;&lt;&lt;&lt; Ir a objetos de dominio" xr:uid="{00000000-0004-0000-2D00-000001000000}"/>
    <hyperlink ref="B3" location="'M-Barbero'!A1" display="barbero" xr:uid="{00000000-0004-0000-2D00-000002000000}"/>
    <hyperlink ref="C3" location="'M-HorarioBarberia'!A1" display="horarioDeLaBarberia" xr:uid="{00000000-0004-0000-2D00-000003000000}"/>
    <hyperlink ref="B4" location="'M-Barbero'!A4" display="#'M-Barbero'.A4" xr:uid="{00000000-0004-0000-2D00-000004000000}"/>
    <hyperlink ref="C4" location="'M-HorarioBarberia'!A4" display="#'M-HorarioBarberia'.A4" xr:uid="{00000000-0004-0000-2D00-000005000000}"/>
    <hyperlink ref="B5" location="'M-Barbero'!A5" display="#'M-Barbero'.A5" xr:uid="{00000000-0004-0000-2D00-000006000000}"/>
    <hyperlink ref="C5" location="'M-HorarioBarberia'!A5" display="#'M-HorarioBarberia'.A5" xr:uid="{00000000-0004-0000-2D00-000007000000}"/>
    <hyperlink ref="B6" location="'M-Barbero'!A6" display="#'M-Barbero'.A6" xr:uid="{00000000-0004-0000-2D00-000008000000}"/>
    <hyperlink ref="C6" location="'M-HorarioBarberia'!A7" display="#'M-HorarioBarberia'.A7" xr:uid="{00000000-0004-0000-2D00-000009000000}"/>
    <hyperlink ref="B7" location="'M-Barbero'!A7" display="#'M-Barbero'.A7" xr:uid="{00000000-0004-0000-2D00-00000A000000}"/>
    <hyperlink ref="C7" location="'M-HorarioBarberia'!A9" display="#'M-HorarioBarberia'.A9" xr:uid="{00000000-0004-0000-2D00-00000B000000}"/>
    <hyperlink ref="B8" location="'M-Barbero'!A7" display="#'M-Barbero'.A7" xr:uid="{00000000-0004-0000-2D00-00000C000000}"/>
    <hyperlink ref="C8" location="'M-HorarioBarberia'!A10" display="#'M-HorarioBarberia'.A10" xr:uid="{00000000-0004-0000-2D00-00000D000000}"/>
  </hyperlink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Y17"/>
  <sheetViews>
    <sheetView zoomScaleNormal="100" workbookViewId="0">
      <selection activeCell="W13" sqref="W13"/>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5" width="17.44140625" customWidth="1"/>
    <col min="6" max="6" width="14.44140625" customWidth="1"/>
    <col min="7" max="7" width="43.88671875" bestFit="1" customWidth="1"/>
    <col min="8" max="11" width="13" customWidth="1"/>
    <col min="12" max="12" width="12" customWidth="1"/>
    <col min="13" max="13" width="40.6640625" customWidth="1"/>
    <col min="14" max="14" width="18" customWidth="1"/>
    <col min="15" max="15" width="14.44140625" customWidth="1"/>
    <col min="16" max="16" width="15.109375" customWidth="1"/>
    <col min="17" max="17" width="20" customWidth="1"/>
    <col min="18" max="18" width="17.6640625" bestFit="1" customWidth="1"/>
    <col min="20" max="20" width="14.33203125" customWidth="1"/>
    <col min="21" max="21" width="13" customWidth="1"/>
    <col min="22" max="23" width="22" customWidth="1"/>
    <col min="24" max="24" width="25" customWidth="1"/>
    <col min="25" max="25" width="16.44140625" customWidth="1"/>
  </cols>
  <sheetData>
    <row r="1" spans="1:25" ht="15" customHeight="1" x14ac:dyDescent="0.3">
      <c r="A1" s="8" t="s">
        <v>1</v>
      </c>
      <c r="B1" s="8" t="s">
        <v>43</v>
      </c>
    </row>
    <row r="2" spans="1:25" ht="45" customHeight="1" x14ac:dyDescent="0.3">
      <c r="A2" s="167" t="s">
        <v>44</v>
      </c>
      <c r="B2" s="167" t="s">
        <v>45</v>
      </c>
      <c r="C2" s="167" t="s">
        <v>46</v>
      </c>
      <c r="D2" s="167" t="s">
        <v>47</v>
      </c>
      <c r="E2" s="167" t="s">
        <v>48</v>
      </c>
      <c r="F2" s="167" t="s">
        <v>49</v>
      </c>
      <c r="G2" s="167" t="s">
        <v>50</v>
      </c>
      <c r="H2" s="167" t="s">
        <v>51</v>
      </c>
      <c r="I2" s="167" t="s">
        <v>52</v>
      </c>
      <c r="J2" s="167" t="s">
        <v>53</v>
      </c>
      <c r="K2" s="167" t="s">
        <v>54</v>
      </c>
      <c r="L2" s="167" t="s">
        <v>55</v>
      </c>
      <c r="M2" s="167" t="s">
        <v>56</v>
      </c>
      <c r="N2" s="167" t="s">
        <v>57</v>
      </c>
      <c r="O2" s="167" t="s">
        <v>58</v>
      </c>
      <c r="P2" s="167" t="s">
        <v>59</v>
      </c>
      <c r="Q2" s="167" t="s">
        <v>60</v>
      </c>
      <c r="R2" s="167" t="s">
        <v>61</v>
      </c>
      <c r="S2" s="167" t="s">
        <v>62</v>
      </c>
      <c r="T2" s="167" t="s">
        <v>63</v>
      </c>
      <c r="U2" s="167" t="s">
        <v>64</v>
      </c>
      <c r="V2" s="89" t="str">
        <f>A13</f>
        <v>crearAgendaBarbero</v>
      </c>
      <c r="W2" s="90" t="str">
        <f>A15</f>
        <v>consultarDisponibilidadBarbero</v>
      </c>
      <c r="X2" s="91" t="str">
        <f>A16</f>
        <v>consultarCitasDeAgenda</v>
      </c>
      <c r="Y2" s="227" t="s">
        <v>748</v>
      </c>
    </row>
    <row r="3" spans="1:25" ht="45" customHeight="1" x14ac:dyDescent="0.3">
      <c r="A3" s="118" t="str">
        <f>'M-Agenda'!A3</f>
        <v>id</v>
      </c>
      <c r="B3" s="168" t="str">
        <f>'M-Agenda'!A2</f>
        <v>Representa un identificador que hará unico cada objeto de dominio de este tipo, no se puede repetir</v>
      </c>
      <c r="C3" s="118" t="s">
        <v>65</v>
      </c>
      <c r="D3" s="118" t="s">
        <v>66</v>
      </c>
      <c r="E3" s="118" t="s">
        <v>65</v>
      </c>
      <c r="F3" s="118" t="s">
        <v>67</v>
      </c>
      <c r="G3" s="118" t="s">
        <v>67</v>
      </c>
      <c r="H3" s="118" t="s">
        <v>67</v>
      </c>
      <c r="I3" s="118" t="s">
        <v>67</v>
      </c>
      <c r="J3" s="118" t="s">
        <v>67</v>
      </c>
      <c r="K3" s="118" t="s">
        <v>67</v>
      </c>
      <c r="L3" s="118" t="s">
        <v>67</v>
      </c>
      <c r="M3" s="118" t="s">
        <v>67</v>
      </c>
      <c r="N3" s="118" t="s">
        <v>68</v>
      </c>
      <c r="O3" s="118" t="s">
        <v>68</v>
      </c>
      <c r="P3" s="118" t="s">
        <v>67</v>
      </c>
      <c r="Q3" s="118" t="s">
        <v>68</v>
      </c>
      <c r="R3" s="118" t="s">
        <v>68</v>
      </c>
      <c r="S3" s="118" t="s">
        <v>68</v>
      </c>
      <c r="T3" s="118" t="s">
        <v>69</v>
      </c>
      <c r="U3" s="118" t="s">
        <v>65</v>
      </c>
      <c r="V3" s="92" t="s">
        <v>147</v>
      </c>
      <c r="W3" s="93" t="s">
        <v>70</v>
      </c>
      <c r="X3" s="94" t="s">
        <v>70</v>
      </c>
      <c r="Y3" s="228" t="s">
        <v>70</v>
      </c>
    </row>
    <row r="4" spans="1:25" ht="45" customHeight="1" x14ac:dyDescent="0.3">
      <c r="A4" s="118" t="str">
        <f>'M-Agenda'!B3</f>
        <v>horarioDelBarbero</v>
      </c>
      <c r="B4" s="168" t="str">
        <f>'M-Agenda'!B2</f>
        <v>Hace referencia al horario de trabajo del barbero (día de la semana, hora de inicio y hora final) al que pertenece esta agenda</v>
      </c>
      <c r="C4" s="118" t="s">
        <v>68</v>
      </c>
      <c r="D4" s="169" t="s">
        <v>33</v>
      </c>
      <c r="E4" s="118" t="s">
        <v>65</v>
      </c>
      <c r="F4" s="118" t="s">
        <v>67</v>
      </c>
      <c r="G4" s="118" t="s">
        <v>67</v>
      </c>
      <c r="H4" s="118" t="s">
        <v>67</v>
      </c>
      <c r="I4" s="118" t="s">
        <v>67</v>
      </c>
      <c r="J4" s="118" t="s">
        <v>67</v>
      </c>
      <c r="K4" s="118" t="s">
        <v>67</v>
      </c>
      <c r="L4" s="118" t="s">
        <v>67</v>
      </c>
      <c r="M4" s="21" t="s">
        <v>327</v>
      </c>
      <c r="N4" s="118" t="s">
        <v>68</v>
      </c>
      <c r="O4" s="118" t="s">
        <v>67</v>
      </c>
      <c r="P4" s="118" t="s">
        <v>67</v>
      </c>
      <c r="Q4" s="118" t="s">
        <v>67</v>
      </c>
      <c r="R4" s="118" t="s">
        <v>67</v>
      </c>
      <c r="S4" s="118" t="s">
        <v>68</v>
      </c>
      <c r="T4" s="118" t="s">
        <v>69</v>
      </c>
      <c r="U4" s="118" t="s">
        <v>68</v>
      </c>
      <c r="V4" s="92" t="s">
        <v>144</v>
      </c>
      <c r="W4" s="93" t="s">
        <v>70</v>
      </c>
      <c r="X4" s="94" t="s">
        <v>74</v>
      </c>
      <c r="Y4" s="228" t="s">
        <v>74</v>
      </c>
    </row>
    <row r="5" spans="1:25" ht="30" customHeight="1" x14ac:dyDescent="0.3">
      <c r="A5" s="118" t="str">
        <f>'M-Agenda'!C3</f>
        <v>fecha</v>
      </c>
      <c r="B5" s="168" t="str">
        <f>'M-Agenda'!C2</f>
        <v>Representa la fecha específica en el que la agenda va a guardar las citas de ese barbero</v>
      </c>
      <c r="C5" s="118" t="s">
        <v>68</v>
      </c>
      <c r="D5" s="178" t="s">
        <v>521</v>
      </c>
      <c r="E5" s="118" t="s">
        <v>65</v>
      </c>
      <c r="F5" s="118" t="s">
        <v>67</v>
      </c>
      <c r="G5" s="118" t="s">
        <v>67</v>
      </c>
      <c r="H5" s="118" t="s">
        <v>67</v>
      </c>
      <c r="I5" s="118" t="s">
        <v>67</v>
      </c>
      <c r="J5" s="118" t="s">
        <v>67</v>
      </c>
      <c r="K5" s="118" t="s">
        <v>67</v>
      </c>
      <c r="L5" s="118" t="s">
        <v>67</v>
      </c>
      <c r="M5" s="21" t="s">
        <v>67</v>
      </c>
      <c r="N5" s="118" t="s">
        <v>68</v>
      </c>
      <c r="O5" s="118" t="s">
        <v>67</v>
      </c>
      <c r="P5" s="118" t="s">
        <v>67</v>
      </c>
      <c r="Q5" s="118" t="s">
        <v>67</v>
      </c>
      <c r="R5" s="118" t="s">
        <v>67</v>
      </c>
      <c r="S5" s="118" t="s">
        <v>68</v>
      </c>
      <c r="T5" s="118" t="s">
        <v>703</v>
      </c>
      <c r="U5" s="118" t="s">
        <v>65</v>
      </c>
      <c r="V5" s="92" t="s">
        <v>144</v>
      </c>
      <c r="W5" s="93" t="s">
        <v>74</v>
      </c>
      <c r="X5" s="94" t="s">
        <v>74</v>
      </c>
      <c r="Y5" s="228" t="s">
        <v>74</v>
      </c>
    </row>
    <row r="7" spans="1:25" ht="15" customHeight="1" x14ac:dyDescent="0.3">
      <c r="A7" s="23" t="s">
        <v>75</v>
      </c>
      <c r="B7" s="23" t="s">
        <v>76</v>
      </c>
      <c r="C7" s="23" t="s">
        <v>77</v>
      </c>
    </row>
    <row r="8" spans="1:25" ht="21" customHeight="1" x14ac:dyDescent="0.3">
      <c r="A8" s="300" t="str">
        <f>'M-Agenda'!D3</f>
        <v xml:space="preserve">Combinación única </v>
      </c>
      <c r="B8" s="301" t="str">
        <f>'M-Agenda'!D2</f>
        <v>Combinación única que indica que un mismo horario de barbero no puede tener más de una agenda para el mismo día</v>
      </c>
      <c r="C8" s="24" t="str">
        <f>A4</f>
        <v>horarioDelBarbero</v>
      </c>
    </row>
    <row r="9" spans="1:25" ht="21.75" customHeight="1" x14ac:dyDescent="0.3">
      <c r="A9" s="300"/>
      <c r="B9" s="300"/>
      <c r="C9" s="24" t="str">
        <f>A5</f>
        <v>fecha</v>
      </c>
    </row>
    <row r="11" spans="1:25" x14ac:dyDescent="0.3">
      <c r="A11" s="243" t="s">
        <v>79</v>
      </c>
      <c r="B11" s="243"/>
      <c r="C11" s="239" t="s">
        <v>76</v>
      </c>
      <c r="D11" s="239"/>
      <c r="E11" s="239"/>
      <c r="F11" s="239"/>
      <c r="G11" s="239" t="s">
        <v>80</v>
      </c>
      <c r="H11" s="239"/>
      <c r="I11" s="239"/>
      <c r="J11" s="239" t="s">
        <v>81</v>
      </c>
      <c r="K11" s="239"/>
      <c r="L11" s="239"/>
      <c r="M11" s="239"/>
      <c r="N11" s="239"/>
      <c r="O11" s="239" t="s">
        <v>82</v>
      </c>
      <c r="P11" s="239"/>
      <c r="Q11" s="239" t="s">
        <v>83</v>
      </c>
      <c r="R11" s="239"/>
    </row>
    <row r="12" spans="1:25" x14ac:dyDescent="0.3">
      <c r="A12" s="243"/>
      <c r="B12" s="243"/>
      <c r="C12" s="239"/>
      <c r="D12" s="239"/>
      <c r="E12" s="239"/>
      <c r="F12" s="239"/>
      <c r="G12" s="27" t="s">
        <v>84</v>
      </c>
      <c r="H12" s="27" t="s">
        <v>47</v>
      </c>
      <c r="I12" s="27" t="s">
        <v>76</v>
      </c>
      <c r="J12" s="27" t="s">
        <v>85</v>
      </c>
      <c r="K12" s="240" t="s">
        <v>76</v>
      </c>
      <c r="L12" s="240"/>
      <c r="M12" s="240"/>
      <c r="N12" s="240"/>
      <c r="O12" s="27" t="s">
        <v>86</v>
      </c>
      <c r="P12" s="27" t="s">
        <v>76</v>
      </c>
      <c r="Q12" s="27" t="s">
        <v>87</v>
      </c>
      <c r="R12" s="28" t="s">
        <v>88</v>
      </c>
    </row>
    <row r="13" spans="1:25" ht="86.4" x14ac:dyDescent="0.3">
      <c r="A13" s="283" t="s">
        <v>1062</v>
      </c>
      <c r="B13" s="283"/>
      <c r="C13" s="277" t="s">
        <v>749</v>
      </c>
      <c r="D13" s="277"/>
      <c r="E13" s="277"/>
      <c r="F13" s="277"/>
      <c r="G13" s="284" t="s">
        <v>750</v>
      </c>
      <c r="H13" s="284" t="s">
        <v>35</v>
      </c>
      <c r="I13" s="285" t="s">
        <v>751</v>
      </c>
      <c r="J13" s="292" t="s">
        <v>35</v>
      </c>
      <c r="K13" s="277" t="s">
        <v>752</v>
      </c>
      <c r="L13" s="277"/>
      <c r="M13" s="277"/>
      <c r="N13" s="277"/>
      <c r="O13" s="30" t="str">
        <f>'P-Agenda'!A6</f>
        <v>P-AGE-0001</v>
      </c>
      <c r="P13" s="29" t="str">
        <f>'P-Agenda'!B6</f>
        <v>Asegurar que no exista ya una agenda para ese mismo horario de barbero y esa misma fecha</v>
      </c>
      <c r="Q13" s="29" t="s">
        <v>753</v>
      </c>
      <c r="R13" s="22" t="s">
        <v>164</v>
      </c>
    </row>
    <row r="14" spans="1:25" ht="86.4" x14ac:dyDescent="0.3">
      <c r="A14" s="283"/>
      <c r="B14" s="283"/>
      <c r="C14" s="277"/>
      <c r="D14" s="277"/>
      <c r="E14" s="277"/>
      <c r="F14" s="277"/>
      <c r="G14" s="284"/>
      <c r="H14" s="284"/>
      <c r="I14" s="284"/>
      <c r="J14" s="284"/>
      <c r="K14" s="277"/>
      <c r="L14" s="277"/>
      <c r="M14" s="277"/>
      <c r="N14" s="277"/>
      <c r="O14" s="30" t="str">
        <f>'P-Agenda'!A7</f>
        <v>P-AGE-0002</v>
      </c>
      <c r="P14" s="29" t="str">
        <f>'P-Agenda'!B7</f>
        <v>Asegurar que el barbero esté vigente antes de abrirle una nueva agenda</v>
      </c>
      <c r="Q14" s="29" t="s">
        <v>754</v>
      </c>
      <c r="R14" s="22" t="s">
        <v>164</v>
      </c>
    </row>
    <row r="15" spans="1:25" ht="175.5" customHeight="1" x14ac:dyDescent="0.3">
      <c r="A15" s="409" t="s">
        <v>755</v>
      </c>
      <c r="B15" s="409"/>
      <c r="C15" s="266" t="s">
        <v>756</v>
      </c>
      <c r="D15" s="266"/>
      <c r="E15" s="266"/>
      <c r="F15" s="266"/>
      <c r="G15" s="67" t="s">
        <v>600</v>
      </c>
      <c r="H15" s="67" t="s">
        <v>35</v>
      </c>
      <c r="I15" s="71" t="s">
        <v>757</v>
      </c>
      <c r="J15" s="181" t="s">
        <v>758</v>
      </c>
      <c r="K15" s="266" t="s">
        <v>759</v>
      </c>
      <c r="L15" s="266"/>
      <c r="M15" s="266"/>
      <c r="N15" s="266"/>
      <c r="O15" s="67" t="str">
        <f>'P-Agenda'!A8</f>
        <v>P-AGE-0003</v>
      </c>
      <c r="P15" s="70" t="str">
        <f>'P-Agenda'!B8</f>
        <v>Al consultar la disponibilidad de una agenda, descontar de la jornada del barbero las horas que ya tienen una cita y las que están cubiertas por un bloqueo</v>
      </c>
      <c r="Q15" s="70" t="s">
        <v>760</v>
      </c>
      <c r="R15" s="101" t="s">
        <v>164</v>
      </c>
    </row>
    <row r="16" spans="1:25" ht="82.8" x14ac:dyDescent="0.3">
      <c r="A16" s="286" t="s">
        <v>761</v>
      </c>
      <c r="B16" s="286"/>
      <c r="C16" s="269" t="s">
        <v>762</v>
      </c>
      <c r="D16" s="269"/>
      <c r="E16" s="269"/>
      <c r="F16" s="269"/>
      <c r="G16" s="68" t="s">
        <v>600</v>
      </c>
      <c r="H16" s="68" t="s">
        <v>35</v>
      </c>
      <c r="I16" s="75" t="s">
        <v>763</v>
      </c>
      <c r="J16" s="180" t="s">
        <v>764</v>
      </c>
      <c r="K16" s="269" t="s">
        <v>765</v>
      </c>
      <c r="L16" s="269"/>
      <c r="M16" s="269"/>
      <c r="N16" s="269"/>
      <c r="O16" s="68"/>
      <c r="P16" s="74"/>
      <c r="Q16" s="74"/>
      <c r="R16" s="103"/>
    </row>
    <row r="17" spans="1:18" ht="96.6" x14ac:dyDescent="0.3">
      <c r="A17" s="407" t="s">
        <v>748</v>
      </c>
      <c r="B17" s="407"/>
      <c r="C17" s="408" t="s">
        <v>766</v>
      </c>
      <c r="D17" s="408"/>
      <c r="E17" s="408"/>
      <c r="F17" s="408"/>
      <c r="G17" s="223" t="s">
        <v>767</v>
      </c>
      <c r="H17" s="223" t="s">
        <v>35</v>
      </c>
      <c r="I17" s="224" t="s">
        <v>768</v>
      </c>
      <c r="J17" s="225" t="s">
        <v>764</v>
      </c>
      <c r="K17" s="408" t="s">
        <v>769</v>
      </c>
      <c r="L17" s="408"/>
      <c r="M17" s="408"/>
      <c r="N17" s="408"/>
      <c r="O17" s="223"/>
      <c r="P17" s="222"/>
      <c r="Q17" s="222"/>
      <c r="R17" s="226"/>
    </row>
  </sheetData>
  <mergeCells count="25">
    <mergeCell ref="A17:B17"/>
    <mergeCell ref="C17:F17"/>
    <mergeCell ref="K17:N17"/>
    <mergeCell ref="A15:B15"/>
    <mergeCell ref="C15:F15"/>
    <mergeCell ref="K15:N15"/>
    <mergeCell ref="A16:B16"/>
    <mergeCell ref="C16:F16"/>
    <mergeCell ref="K16:N16"/>
    <mergeCell ref="J11:N11"/>
    <mergeCell ref="O11:P11"/>
    <mergeCell ref="Q11:R11"/>
    <mergeCell ref="K12:N12"/>
    <mergeCell ref="A13:B14"/>
    <mergeCell ref="C13:F14"/>
    <mergeCell ref="G13:G14"/>
    <mergeCell ref="H13:H14"/>
    <mergeCell ref="I13:I14"/>
    <mergeCell ref="J13:J14"/>
    <mergeCell ref="K13:N14"/>
    <mergeCell ref="A8:A9"/>
    <mergeCell ref="B8:B9"/>
    <mergeCell ref="A11:B12"/>
    <mergeCell ref="C11:F12"/>
    <mergeCell ref="G11:I11"/>
  </mergeCells>
  <hyperlinks>
    <hyperlink ref="A1" location="'Modelo de Dominio'!A1" display="&lt;&lt;&lt;&lt; Ir al modulo de dominio" xr:uid="{00000000-0004-0000-2E00-000000000000}"/>
    <hyperlink ref="B1" location="'Objetos de Dominio'!A1" display="&lt;&lt;&lt;&lt; Ir a objetos de dominio" xr:uid="{00000000-0004-0000-2E00-000001000000}"/>
    <hyperlink ref="V2" location="'C-Agenda'!A13" display="#'C-Agenda'.A13" xr:uid="{00000000-0004-0000-2E00-000002000000}"/>
    <hyperlink ref="W2" location="'C-Agenda'!A15" display="#'C-Agenda'.A15" xr:uid="{00000000-0004-0000-2E00-000003000000}"/>
    <hyperlink ref="X2" location="'C-Agenda'!A16" display="#'C-Agenda'.A16" xr:uid="{00000000-0004-0000-2E00-000004000000}"/>
    <hyperlink ref="A3" location="'M-Agenda'!A3" display="#'M-Agenda'.A3" xr:uid="{00000000-0004-0000-2E00-000005000000}"/>
    <hyperlink ref="B3" location="'M-Agenda'!A2" display="#'M-Agenda'.A2" xr:uid="{00000000-0004-0000-2E00-000006000000}"/>
    <hyperlink ref="A4" location="'M-Agenda'!A3" display="#'M-Agenda'.A3" xr:uid="{00000000-0004-0000-2E00-000007000000}"/>
    <hyperlink ref="B4" location="'M-Agenda'!A2" display="#'M-Agenda'.A2" xr:uid="{00000000-0004-0000-2E00-000008000000}"/>
    <hyperlink ref="D4" location="'C-HorarioBarbero'!A1" display="HorarioBarbero" xr:uid="{00000000-0004-0000-2E00-000009000000}"/>
    <hyperlink ref="A5" location="'M-Agenda'!A3" display="#'M-Agenda'.A3" xr:uid="{00000000-0004-0000-2E00-00000A000000}"/>
    <hyperlink ref="B5" location="'M-Agenda'!A2" display="#'M-Agenda'.A2" xr:uid="{00000000-0004-0000-2E00-00000B000000}"/>
    <hyperlink ref="A8" location="'M-Agenda'!A3" display="#'M-Agenda'.A3" xr:uid="{00000000-0004-0000-2E00-00000C000000}"/>
    <hyperlink ref="B8" location="'M-Agenda'!A2" display="#'M-Agenda'.A2" xr:uid="{00000000-0004-0000-2E00-00000D000000}"/>
    <hyperlink ref="A13" location="'C-Agenda'!V2" display="abrirAgendaBarbero" xr:uid="{00000000-0004-0000-2E00-00000E000000}"/>
    <hyperlink ref="A15" location="'C-Agenda'!W2" display="consultarDisponibilidadBarbero" xr:uid="{00000000-0004-0000-2E00-00000F000000}"/>
    <hyperlink ref="A16" location="'C-Agenda'!X2" display="consultarCitasDeAgenda" xr:uid="{00000000-0004-0000-2E00-000010000000}"/>
  </hyperlink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8"/>
  <sheetViews>
    <sheetView showGridLines="0" zoomScaleNormal="100" workbookViewId="0">
      <selection activeCell="B8" sqref="B8:C8"/>
    </sheetView>
  </sheetViews>
  <sheetFormatPr baseColWidth="10" defaultColWidth="8.6640625" defaultRowHeight="14.4" x14ac:dyDescent="0.3"/>
  <cols>
    <col min="1" max="1" width="21.33203125" customWidth="1"/>
    <col min="2" max="2" width="29.109375" customWidth="1"/>
    <col min="3" max="3" width="36.33203125" customWidth="1"/>
    <col min="4" max="4" width="37.6640625" customWidth="1"/>
    <col min="5" max="5" width="36.332031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Dominio'!A14</f>
        <v>Agenda</v>
      </c>
      <c r="C2" s="244"/>
      <c r="D2" s="244"/>
      <c r="E2" s="244"/>
    </row>
    <row r="3" spans="1:5" ht="30" customHeight="1" x14ac:dyDescent="0.3">
      <c r="A3" s="35" t="s">
        <v>99</v>
      </c>
      <c r="B3" s="245" t="str">
        <f>'Objetos de Dominio'!B14</f>
        <v>Representa una fecha puntual en donde el barbero ve todas las citas que debe de atender ese día.</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0" customHeight="1" x14ac:dyDescent="0.3">
      <c r="A6" s="36" t="s">
        <v>770</v>
      </c>
      <c r="B6" s="296" t="s">
        <v>771</v>
      </c>
      <c r="C6" s="296"/>
      <c r="D6" s="37" t="s">
        <v>35</v>
      </c>
      <c r="E6" s="37"/>
    </row>
    <row r="7" spans="1:5" ht="30" customHeight="1" x14ac:dyDescent="0.3">
      <c r="A7" s="36" t="s">
        <v>772</v>
      </c>
      <c r="B7" s="296" t="s">
        <v>773</v>
      </c>
      <c r="C7" s="296"/>
      <c r="D7" s="37" t="s">
        <v>23</v>
      </c>
      <c r="E7" s="37"/>
    </row>
    <row r="8" spans="1:5" ht="45" customHeight="1" x14ac:dyDescent="0.3">
      <c r="A8" s="36" t="s">
        <v>774</v>
      </c>
      <c r="B8" s="296" t="s">
        <v>775</v>
      </c>
      <c r="C8" s="296"/>
      <c r="D8" s="37" t="s">
        <v>35</v>
      </c>
      <c r="E8" s="37"/>
    </row>
  </sheetData>
  <mergeCells count="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2F00-000000000000}"/>
    <hyperlink ref="B1" location="'Objetos de Dominio'!A1" display="&lt;&lt; Ir al listado de objetos de dominio" xr:uid="{00000000-0004-0000-2F00-000001000000}"/>
    <hyperlink ref="C1" location="'C-Agenda'!A1" display="&lt;&lt; Ir a la caracterización del objeto de dominio" xr:uid="{00000000-0004-0000-2F00-000002000000}"/>
    <hyperlink ref="D1" location="'M-Agenda'!A1" display="Ir al muestreo de datos del objeto de dominio &gt;&gt;" xr:uid="{00000000-0004-0000-2F00-000003000000}"/>
    <hyperlink ref="E1" location="'E-Agenda'!A1" display="Ir al event storming del objeto de dominio &gt;&gt;" xr:uid="{00000000-0004-0000-2F00-000004000000}"/>
  </hyperlink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14"/>
  <sheetViews>
    <sheetView showGridLines="0" topLeftCell="A6" zoomScaleNormal="100" workbookViewId="0">
      <selection activeCell="C16" sqref="C16"/>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1.441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150" t="s">
        <v>98</v>
      </c>
      <c r="B2" s="324" t="str">
        <f>'Objetos de Dominio'!A14</f>
        <v>Agenda</v>
      </c>
      <c r="C2" s="324"/>
      <c r="D2" s="324"/>
      <c r="E2" s="324"/>
      <c r="F2" s="324"/>
      <c r="G2" s="324"/>
      <c r="H2" s="324"/>
      <c r="I2" s="324"/>
      <c r="J2" s="324"/>
      <c r="K2" s="324"/>
    </row>
    <row r="3" spans="1:11" ht="30" customHeight="1" x14ac:dyDescent="0.3">
      <c r="A3" s="151" t="s">
        <v>99</v>
      </c>
      <c r="B3" s="325" t="str">
        <f>'Objetos de Dominio'!B14</f>
        <v>Representa una fecha puntual en donde el barbero ve todas las citas que debe de atender ese día.</v>
      </c>
      <c r="C3" s="325"/>
      <c r="D3" s="325"/>
      <c r="E3" s="325"/>
      <c r="F3" s="325"/>
      <c r="G3" s="325"/>
      <c r="H3" s="325"/>
      <c r="I3" s="325"/>
      <c r="J3" s="325"/>
      <c r="K3" s="325"/>
    </row>
    <row r="4" spans="1:11" ht="34.5" customHeight="1" x14ac:dyDescent="0.3">
      <c r="A4" s="5" t="s">
        <v>105</v>
      </c>
      <c r="B4" s="326" t="s">
        <v>106</v>
      </c>
      <c r="C4" s="326"/>
      <c r="D4" s="4" t="s">
        <v>107</v>
      </c>
      <c r="E4" s="327" t="s">
        <v>108</v>
      </c>
      <c r="F4" s="327"/>
      <c r="G4" s="328" t="s">
        <v>109</v>
      </c>
      <c r="H4" s="328"/>
      <c r="I4" s="152" t="s">
        <v>110</v>
      </c>
      <c r="J4" s="3" t="s">
        <v>111</v>
      </c>
      <c r="K4" s="153" t="s">
        <v>112</v>
      </c>
    </row>
    <row r="5" spans="1:11" ht="15" customHeight="1" x14ac:dyDescent="0.3">
      <c r="A5" s="329" t="s">
        <v>105</v>
      </c>
      <c r="B5" s="326" t="s">
        <v>113</v>
      </c>
      <c r="C5" s="326" t="s">
        <v>76</v>
      </c>
      <c r="D5" s="330" t="s">
        <v>114</v>
      </c>
      <c r="E5" s="327" t="s">
        <v>115</v>
      </c>
      <c r="F5" s="327"/>
      <c r="G5" s="328" t="s">
        <v>116</v>
      </c>
      <c r="H5" s="328"/>
      <c r="I5" s="331" t="s">
        <v>117</v>
      </c>
      <c r="J5" s="332" t="s">
        <v>118</v>
      </c>
      <c r="K5" s="333" t="s">
        <v>119</v>
      </c>
    </row>
    <row r="6" spans="1:11" ht="15" customHeight="1" x14ac:dyDescent="0.3">
      <c r="A6" s="329"/>
      <c r="B6" s="329"/>
      <c r="C6" s="329"/>
      <c r="D6" s="329"/>
      <c r="E6" s="6" t="s">
        <v>120</v>
      </c>
      <c r="F6" s="6" t="s">
        <v>76</v>
      </c>
      <c r="G6" s="154" t="s">
        <v>121</v>
      </c>
      <c r="H6" s="154" t="s">
        <v>76</v>
      </c>
      <c r="I6" s="331"/>
      <c r="J6" s="331"/>
      <c r="K6" s="331"/>
    </row>
    <row r="7" spans="1:11" ht="41.25" customHeight="1" x14ac:dyDescent="0.3">
      <c r="A7" s="334" t="s">
        <v>493</v>
      </c>
      <c r="B7" s="335" t="s">
        <v>1060</v>
      </c>
      <c r="C7" s="335" t="s">
        <v>749</v>
      </c>
      <c r="D7" s="334" t="str">
        <f>$B$2</f>
        <v>Agenda</v>
      </c>
      <c r="E7" s="1" t="s">
        <v>23</v>
      </c>
      <c r="F7" s="1" t="s">
        <v>776</v>
      </c>
      <c r="G7" s="155" t="str">
        <f>'P-Agenda'!A6</f>
        <v>P-AGE-0001</v>
      </c>
      <c r="H7" s="172" t="str">
        <f>'P-Agenda'!B6</f>
        <v>Asegurar que no exista ya una agenda para ese mismo horario de barbero y esa misma fecha</v>
      </c>
      <c r="I7" s="334"/>
      <c r="J7" s="335" t="s">
        <v>1061</v>
      </c>
      <c r="K7" s="335"/>
    </row>
    <row r="8" spans="1:11" ht="27" customHeight="1" x14ac:dyDescent="0.3">
      <c r="A8" s="334"/>
      <c r="B8" s="334"/>
      <c r="C8" s="334"/>
      <c r="D8" s="334"/>
      <c r="E8" s="189" t="s">
        <v>33</v>
      </c>
      <c r="F8" s="156" t="s">
        <v>777</v>
      </c>
      <c r="G8" s="155" t="str">
        <f>'P-Agenda'!A7</f>
        <v>P-AGE-0002</v>
      </c>
      <c r="H8" s="172" t="str">
        <f>'P-Agenda'!B7</f>
        <v>Asegurar que el barbero esté vigente antes de abrirle una nueva agenda</v>
      </c>
      <c r="I8" s="334"/>
      <c r="J8" s="334"/>
      <c r="K8" s="334"/>
    </row>
    <row r="9" spans="1:11" ht="59.25" customHeight="1" x14ac:dyDescent="0.3">
      <c r="A9" s="334" t="s">
        <v>25</v>
      </c>
      <c r="B9" s="335" t="s">
        <v>778</v>
      </c>
      <c r="C9" s="335" t="s">
        <v>756</v>
      </c>
      <c r="D9" s="334" t="str">
        <f>$B$2</f>
        <v>Agenda</v>
      </c>
      <c r="E9" s="1" t="s">
        <v>37</v>
      </c>
      <c r="F9" s="1" t="s">
        <v>779</v>
      </c>
      <c r="G9" s="410" t="str">
        <f>'P-Agenda'!A8</f>
        <v>P-AGE-0003</v>
      </c>
      <c r="H9" s="358" t="str">
        <f>'P-Agenda'!B8</f>
        <v>Al consultar la disponibilidad de una agenda, descontar de la jornada del barbero las horas que ya tienen una cita y las que están cubiertas por un bloqueo</v>
      </c>
      <c r="I9" s="334"/>
      <c r="J9" s="335" t="s">
        <v>780</v>
      </c>
      <c r="K9" s="335"/>
    </row>
    <row r="10" spans="1:11" ht="30" customHeight="1" x14ac:dyDescent="0.3">
      <c r="A10" s="334"/>
      <c r="B10" s="334"/>
      <c r="C10" s="334"/>
      <c r="D10" s="334"/>
      <c r="E10" s="1" t="s">
        <v>29</v>
      </c>
      <c r="F10" s="1" t="s">
        <v>781</v>
      </c>
      <c r="G10" s="411"/>
      <c r="H10" s="359"/>
      <c r="I10" s="334"/>
      <c r="J10" s="334"/>
      <c r="K10" s="334"/>
    </row>
    <row r="11" spans="1:11" ht="30" customHeight="1" x14ac:dyDescent="0.3">
      <c r="A11" s="2" t="s">
        <v>23</v>
      </c>
      <c r="B11" s="1" t="s">
        <v>782</v>
      </c>
      <c r="C11" s="1" t="s">
        <v>762</v>
      </c>
      <c r="D11" s="2" t="str">
        <f>$B$2</f>
        <v>Agenda</v>
      </c>
      <c r="E11" s="1"/>
      <c r="F11" s="1"/>
      <c r="G11" s="2"/>
      <c r="H11" s="183"/>
      <c r="I11" s="2"/>
      <c r="J11" s="1" t="s">
        <v>783</v>
      </c>
      <c r="K11" s="1"/>
    </row>
    <row r="12" spans="1:11" ht="27" customHeight="1" x14ac:dyDescent="0.3">
      <c r="A12" s="2" t="s">
        <v>25</v>
      </c>
      <c r="B12" s="1" t="s">
        <v>782</v>
      </c>
      <c r="C12" s="1" t="s">
        <v>762</v>
      </c>
      <c r="D12" s="2" t="str">
        <f>$B$2</f>
        <v>Agenda</v>
      </c>
      <c r="E12" s="1"/>
      <c r="F12" s="1"/>
      <c r="G12" s="2"/>
      <c r="H12" s="183"/>
      <c r="I12" s="2"/>
      <c r="J12" s="1" t="s">
        <v>783</v>
      </c>
      <c r="K12" s="1"/>
    </row>
    <row r="13" spans="1:11" ht="59.25" customHeight="1" x14ac:dyDescent="0.3">
      <c r="A13" s="334" t="s">
        <v>493</v>
      </c>
      <c r="B13" s="335" t="s">
        <v>784</v>
      </c>
      <c r="C13" s="335" t="s">
        <v>766</v>
      </c>
      <c r="D13" s="334" t="str">
        <f>$B$2</f>
        <v>Agenda</v>
      </c>
      <c r="E13" s="1" t="s">
        <v>37</v>
      </c>
      <c r="F13" s="1" t="s">
        <v>785</v>
      </c>
      <c r="G13" s="190"/>
      <c r="H13" s="172"/>
      <c r="I13" s="334"/>
      <c r="J13" s="335" t="s">
        <v>786</v>
      </c>
      <c r="K13" s="335"/>
    </row>
    <row r="14" spans="1:11" ht="59.25" customHeight="1" x14ac:dyDescent="0.3">
      <c r="A14" s="334"/>
      <c r="B14" s="334"/>
      <c r="C14" s="334"/>
      <c r="D14" s="334"/>
      <c r="E14" s="1" t="s">
        <v>15</v>
      </c>
      <c r="F14" s="1" t="s">
        <v>787</v>
      </c>
      <c r="G14" s="190"/>
      <c r="H14" s="172"/>
      <c r="I14" s="334"/>
      <c r="J14" s="334"/>
      <c r="K14" s="334"/>
    </row>
  </sheetData>
  <mergeCells count="41">
    <mergeCell ref="J13:J14"/>
    <mergeCell ref="K13:K14"/>
    <mergeCell ref="A13:A14"/>
    <mergeCell ref="B13:B14"/>
    <mergeCell ref="C13:C14"/>
    <mergeCell ref="D13:D14"/>
    <mergeCell ref="I13:I14"/>
    <mergeCell ref="J7:J8"/>
    <mergeCell ref="K7:K8"/>
    <mergeCell ref="A9:A10"/>
    <mergeCell ref="B9:B10"/>
    <mergeCell ref="C9:C10"/>
    <mergeCell ref="D9:D10"/>
    <mergeCell ref="I9:I10"/>
    <mergeCell ref="J9:J10"/>
    <mergeCell ref="K9:K10"/>
    <mergeCell ref="A7:A8"/>
    <mergeCell ref="B7:B8"/>
    <mergeCell ref="C7:C8"/>
    <mergeCell ref="D7:D8"/>
    <mergeCell ref="I7:I8"/>
    <mergeCell ref="G9:G10"/>
    <mergeCell ref="H9:H10"/>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3000-000000000000}"/>
    <hyperlink ref="C1" location="'Objetos de Dominio'!A1" display="&lt;&lt; Ir al listado de objetos de dominio" xr:uid="{00000000-0004-0000-3000-000001000000}"/>
    <hyperlink ref="F1" location="'C-Agenda'!A1" display="&lt;&lt; Ir a la caracterización del objeto de dominio" xr:uid="{00000000-0004-0000-3000-000002000000}"/>
    <hyperlink ref="J1" location="'M-Agenda'!A1" display="Ir al muestreo de datos del objeto de dominio &gt;&gt;" xr:uid="{00000000-0004-0000-3000-000003000000}"/>
    <hyperlink ref="G7" location="'P-Agenda'!A6" display="#'P-Agenda'.A6" xr:uid="{00000000-0004-0000-3000-000004000000}"/>
    <hyperlink ref="G8" location="'P-Agenda'!A7" display="#'P-Agenda'.A7" xr:uid="{00000000-0004-0000-3000-000005000000}"/>
    <hyperlink ref="G9" location="'P-Agenda'!A8" display="#'P-Agenda'.A8" xr:uid="{00000000-0004-0000-3000-000006000000}"/>
  </hyperlink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D22"/>
  <sheetViews>
    <sheetView zoomScale="115" zoomScaleNormal="115" workbookViewId="0">
      <selection activeCell="A3" sqref="A3"/>
    </sheetView>
  </sheetViews>
  <sheetFormatPr baseColWidth="10" defaultColWidth="8.6640625" defaultRowHeight="14.4" x14ac:dyDescent="0.3"/>
  <cols>
    <col min="1" max="1" width="27" customWidth="1"/>
    <col min="2" max="2" width="69.109375" customWidth="1"/>
    <col min="3" max="3" width="33.6640625" customWidth="1"/>
    <col min="4" max="4" width="80.88671875" customWidth="1"/>
  </cols>
  <sheetData>
    <row r="1" spans="1:4" ht="14.25" customHeight="1" x14ac:dyDescent="0.3">
      <c r="A1" s="8" t="s">
        <v>1</v>
      </c>
      <c r="B1" s="8" t="s">
        <v>43</v>
      </c>
      <c r="C1" s="84"/>
    </row>
    <row r="2" spans="1:4" ht="36" customHeight="1" x14ac:dyDescent="0.3">
      <c r="A2" s="51" t="s">
        <v>126</v>
      </c>
      <c r="B2" s="51" t="s">
        <v>788</v>
      </c>
      <c r="C2" s="51" t="s">
        <v>789</v>
      </c>
      <c r="D2" s="52" t="s">
        <v>790</v>
      </c>
    </row>
    <row r="3" spans="1:4" ht="14.25" customHeight="1" x14ac:dyDescent="0.3">
      <c r="A3" s="53" t="s">
        <v>129</v>
      </c>
      <c r="B3" s="132" t="s">
        <v>791</v>
      </c>
      <c r="C3" s="217" t="s">
        <v>792</v>
      </c>
      <c r="D3" s="55" t="s">
        <v>130</v>
      </c>
    </row>
    <row r="4" spans="1:4" ht="14.25" customHeight="1" x14ac:dyDescent="0.3">
      <c r="A4" s="56">
        <v>1</v>
      </c>
      <c r="B4" s="134" t="str">
        <f>'M-HorarioBarbero'!I4</f>
        <v>+57-3245627890-Lunes-09:00-19:00-12/11/2023-1/01/1000-10:00-16:00</v>
      </c>
      <c r="C4" s="191">
        <v>46265</v>
      </c>
      <c r="D4" s="56" t="str">
        <f t="shared" ref="D4:D12" si="0">_xlfn.CONCAT(B4,"-",TEXT(C4,"dd/mm/yyyy"))</f>
        <v>+57-3245627890-Lunes-09:00-19:00-12/11/2023-1/01/1000-10:00-16:00-31/08/2026</v>
      </c>
    </row>
    <row r="5" spans="1:4" ht="14.25" customHeight="1" x14ac:dyDescent="0.3">
      <c r="A5" s="56">
        <v>2</v>
      </c>
      <c r="B5" s="134" t="str">
        <f>'M-HorarioBarbero'!I5</f>
        <v>+57-3124518923-Martes-09:00-19:00-12/11/2023-1/01/1000-09:00-15:00</v>
      </c>
      <c r="C5" s="191">
        <v>46091</v>
      </c>
      <c r="D5" s="56" t="str">
        <f t="shared" si="0"/>
        <v>+57-3124518923-Martes-09:00-19:00-12/11/2023-1/01/1000-09:00-15:00-10/03/2026</v>
      </c>
    </row>
    <row r="6" spans="1:4" ht="14.25" customHeight="1" x14ac:dyDescent="0.3">
      <c r="A6" s="56">
        <v>3</v>
      </c>
      <c r="B6" s="134" t="str">
        <f>'M-HorarioBarbero'!I6</f>
        <v>+57-3214533321-Jueves-09:00-19:00-12/11/2023-1/01/1000-13:00-19:00</v>
      </c>
      <c r="C6" s="191">
        <v>46156</v>
      </c>
      <c r="D6" s="56" t="str">
        <f t="shared" si="0"/>
        <v>+57-3214533321-Jueves-09:00-19:00-12/11/2023-1/01/1000-13:00-19:00-14/05/2026</v>
      </c>
    </row>
    <row r="7" spans="1:4" ht="14.25" customHeight="1" x14ac:dyDescent="0.3">
      <c r="A7" s="56">
        <v>4</v>
      </c>
      <c r="B7" s="134" t="str">
        <f>'M-HorarioBarbero'!I8</f>
        <v>+91-9876543210-Festivo-10:00-15:00-12/12/2024-1/01/1000-12:00-15:00</v>
      </c>
      <c r="C7" s="191">
        <v>46073</v>
      </c>
      <c r="D7" s="56" t="str">
        <f t="shared" si="0"/>
        <v>+91-9876543210-Festivo-10:00-15:00-12/12/2024-1/01/1000-12:00-15:00-20/02/2026</v>
      </c>
    </row>
    <row r="8" spans="1:4" ht="14.25" customHeight="1" x14ac:dyDescent="0.3">
      <c r="A8" s="56">
        <v>5</v>
      </c>
      <c r="B8" s="134" t="str">
        <f>'M-HorarioBarbero'!I7</f>
        <v>+91-9876543210-Sábado-08:00-21:00-12/12/2024-1/01/1000-08:00-14:00</v>
      </c>
      <c r="C8" s="191">
        <v>45983</v>
      </c>
      <c r="D8" s="56" t="str">
        <f t="shared" si="0"/>
        <v>+91-9876543210-Sábado-08:00-21:00-12/12/2024-1/01/1000-08:00-14:00-22/11/2025</v>
      </c>
    </row>
    <row r="9" spans="1:4" ht="14.25" customHeight="1" x14ac:dyDescent="0.3">
      <c r="A9" s="56">
        <v>6</v>
      </c>
      <c r="B9" s="134" t="str">
        <f>'M-HorarioBarbero'!I6</f>
        <v>+57-3214533321-Jueves-09:00-19:00-12/11/2023-1/01/1000-13:00-19:00</v>
      </c>
      <c r="C9" s="191">
        <v>46240</v>
      </c>
      <c r="D9" s="56" t="str">
        <f t="shared" si="0"/>
        <v>+57-3214533321-Jueves-09:00-19:00-12/11/2023-1/01/1000-13:00-19:00-06/08/2026</v>
      </c>
    </row>
    <row r="10" spans="1:4" ht="14.25" customHeight="1" x14ac:dyDescent="0.3">
      <c r="A10" s="56">
        <v>7</v>
      </c>
      <c r="B10" s="134" t="str">
        <f>'M-HorarioBarbero'!I4</f>
        <v>+57-3245627890-Lunes-09:00-19:00-12/11/2023-1/01/1000-10:00-16:00</v>
      </c>
      <c r="C10" s="191">
        <v>46174</v>
      </c>
      <c r="D10" s="56" t="str">
        <f t="shared" si="0"/>
        <v>+57-3245627890-Lunes-09:00-19:00-12/11/2023-1/01/1000-10:00-16:00-01/06/2026</v>
      </c>
    </row>
    <row r="11" spans="1:4" ht="14.25" customHeight="1" x14ac:dyDescent="0.3">
      <c r="A11" s="56">
        <v>8</v>
      </c>
      <c r="B11" s="134" t="str">
        <f>'M-HorarioBarbero'!I5</f>
        <v>+57-3124518923-Martes-09:00-19:00-12/11/2023-1/01/1000-09:00-15:00</v>
      </c>
      <c r="C11" s="191">
        <v>46189</v>
      </c>
      <c r="D11" s="56" t="str">
        <f t="shared" si="0"/>
        <v>+57-3124518923-Martes-09:00-19:00-12/11/2023-1/01/1000-09:00-15:00-16/06/2026</v>
      </c>
    </row>
    <row r="12" spans="1:4" ht="14.25" customHeight="1" x14ac:dyDescent="0.3">
      <c r="A12" s="56">
        <v>9</v>
      </c>
      <c r="B12" s="134" t="str">
        <f>'M-HorarioBarbero'!I6</f>
        <v>+57-3214533321-Jueves-09:00-19:00-12/11/2023-1/01/1000-13:00-19:00</v>
      </c>
      <c r="C12" s="191">
        <v>46205</v>
      </c>
      <c r="D12" s="56" t="str">
        <f t="shared" si="0"/>
        <v>+57-3214533321-Jueves-09:00-19:00-12/11/2023-1/01/1000-13:00-19:00-02/07/2026</v>
      </c>
    </row>
    <row r="13" spans="1:4" ht="14.25" customHeight="1" x14ac:dyDescent="0.3">
      <c r="B13" s="60"/>
    </row>
    <row r="14" spans="1:4" ht="14.25" customHeight="1" x14ac:dyDescent="0.3">
      <c r="B14" s="60"/>
    </row>
    <row r="15" spans="1:4" ht="14.25" customHeight="1" x14ac:dyDescent="0.3">
      <c r="B15" s="60"/>
    </row>
    <row r="16" spans="1:4" ht="14.25" customHeight="1" x14ac:dyDescent="0.3">
      <c r="B16" s="60"/>
    </row>
    <row r="17" spans="1:2" ht="14.25" customHeight="1" x14ac:dyDescent="0.3">
      <c r="B17" s="60"/>
    </row>
    <row r="18" spans="1:2" ht="14.25" customHeight="1" x14ac:dyDescent="0.3">
      <c r="A18" s="59"/>
      <c r="B18" s="60" t="s">
        <v>139</v>
      </c>
    </row>
    <row r="19" spans="1:2" ht="14.25" customHeight="1" x14ac:dyDescent="0.3">
      <c r="A19" s="61"/>
      <c r="B19" s="60" t="s">
        <v>140</v>
      </c>
    </row>
    <row r="20" spans="1:2" ht="14.25" customHeight="1" x14ac:dyDescent="0.3">
      <c r="A20" s="135"/>
      <c r="B20" t="s">
        <v>441</v>
      </c>
    </row>
    <row r="21" spans="1:2" ht="14.25" customHeight="1" x14ac:dyDescent="0.3">
      <c r="A21" s="136"/>
      <c r="B21" t="s">
        <v>442</v>
      </c>
    </row>
    <row r="22" spans="1:2" ht="14.25" customHeight="1" x14ac:dyDescent="0.3">
      <c r="A22" s="63"/>
      <c r="B22" t="s">
        <v>142</v>
      </c>
    </row>
  </sheetData>
  <hyperlinks>
    <hyperlink ref="A1" location="'Modelo de Dominio'!A1" display="&lt;&lt;&lt;&lt; Ir al modulo de dominio" xr:uid="{00000000-0004-0000-3100-000000000000}"/>
    <hyperlink ref="B1" location="'Objetos de Dominio'!A1" display="&lt;&lt;&lt;&lt; Ir a objetos de dominio" xr:uid="{00000000-0004-0000-3100-000001000000}"/>
    <hyperlink ref="B3" location="'M-HorarioBarbero'!A1" display="horarioDelBarbero" xr:uid="{00000000-0004-0000-3100-000002000000}"/>
    <hyperlink ref="B4" location="'M-HorarioBarbero'!A4" display="#'M-HorarioBarbero'.A4" xr:uid="{00000000-0004-0000-3100-000003000000}"/>
    <hyperlink ref="B5" location="'M-HorarioBarbero'!A5" display="#'M-HorarioBarbero'.A5" xr:uid="{00000000-0004-0000-3100-000004000000}"/>
    <hyperlink ref="B6" location="'M-HorarioBarbero'!A6" display="#'M-HorarioBarbero'.A6" xr:uid="{00000000-0004-0000-3100-000005000000}"/>
    <hyperlink ref="B7" location="'M-HorarioBarbero'!A8" display="#'M-HorarioBarbero'.A8" xr:uid="{00000000-0004-0000-3100-000006000000}"/>
    <hyperlink ref="B8" location="'M-HorarioBarbero'!A7" display="#'M-HorarioBarbero'.A7" xr:uid="{00000000-0004-0000-3100-000007000000}"/>
    <hyperlink ref="B9" location="'M-HorarioBarbero'!A6" display="#'M-HorarioBarbero'.A6" xr:uid="{00000000-0004-0000-3100-000008000000}"/>
    <hyperlink ref="B10" location="'M-HorarioBarbero'!A4" display="#'M-HorarioBarbero'.A4" xr:uid="{00000000-0004-0000-3100-000009000000}"/>
    <hyperlink ref="B11" location="'M-HorarioBarbero'!A5" display="#'M-HorarioBarbero'.A5" xr:uid="{00000000-0004-0000-3100-00000A000000}"/>
    <hyperlink ref="B12" location="'M-HorarioBarbero'!A6" display="#'M-HorarioBarbero'.A6" xr:uid="{00000000-0004-0000-3100-00000B000000}"/>
  </hyperlink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J61"/>
  <sheetViews>
    <sheetView zoomScale="77" zoomScaleNormal="77" workbookViewId="0">
      <selection activeCell="E8" sqref="E8"/>
    </sheetView>
  </sheetViews>
  <sheetFormatPr baseColWidth="10" defaultColWidth="8.6640625" defaultRowHeight="14.4" x14ac:dyDescent="0.3"/>
  <cols>
    <col min="1" max="1" width="28.109375" customWidth="1"/>
    <col min="2" max="2" width="45" customWidth="1"/>
    <col min="3" max="3" width="21.5546875" customWidth="1"/>
    <col min="4" max="4" width="26.6640625" customWidth="1"/>
    <col min="5" max="5" width="18" customWidth="1"/>
    <col min="7" max="7" width="16.6640625" customWidth="1"/>
    <col min="8" max="8" width="11.109375" customWidth="1"/>
    <col min="9" max="9" width="13.88671875" customWidth="1"/>
    <col min="10" max="10" width="11.33203125" customWidth="1"/>
    <col min="11" max="11" width="14.5546875" customWidth="1"/>
    <col min="12" max="12" width="11" customWidth="1"/>
    <col min="13" max="13" width="42.88671875" customWidth="1"/>
    <col min="14" max="14" width="18" customWidth="1"/>
    <col min="15" max="15" width="12.88671875" customWidth="1"/>
    <col min="16" max="16" width="25.109375" customWidth="1"/>
    <col min="17" max="17" width="23.5546875" customWidth="1"/>
    <col min="18" max="18" width="19.44140625" bestFit="1" customWidth="1"/>
    <col min="20" max="20" width="16.44140625" customWidth="1"/>
    <col min="22" max="22" width="22" customWidth="1"/>
    <col min="23" max="23" width="13" customWidth="1"/>
    <col min="24" max="24" width="15.44140625" customWidth="1"/>
    <col min="25" max="25" width="13" customWidth="1"/>
    <col min="26" max="26" width="15.44140625" customWidth="1"/>
    <col min="27" max="27" width="13" customWidth="1"/>
    <col min="28" max="28" width="15.44140625" customWidth="1"/>
    <col min="29" max="29" width="13" customWidth="1"/>
    <col min="30" max="30" width="15.44140625" customWidth="1"/>
    <col min="31" max="31" width="13" customWidth="1"/>
    <col min="32" max="32" width="15.44140625" customWidth="1"/>
    <col min="33" max="33" width="13" customWidth="1"/>
    <col min="34" max="34" width="15.44140625" customWidth="1"/>
    <col min="35" max="35" width="13" customWidth="1"/>
    <col min="36" max="36" width="15.44140625" customWidth="1"/>
  </cols>
  <sheetData>
    <row r="1" spans="1:36" ht="15" customHeight="1" x14ac:dyDescent="0.3">
      <c r="A1" s="8" t="s">
        <v>1</v>
      </c>
      <c r="B1" s="8" t="s">
        <v>43</v>
      </c>
    </row>
    <row r="2" spans="1:36" ht="45" customHeight="1" x14ac:dyDescent="0.3">
      <c r="A2" s="167" t="s">
        <v>44</v>
      </c>
      <c r="B2" s="167" t="s">
        <v>45</v>
      </c>
      <c r="C2" s="167" t="s">
        <v>46</v>
      </c>
      <c r="D2" s="167" t="s">
        <v>47</v>
      </c>
      <c r="E2" s="167" t="s">
        <v>48</v>
      </c>
      <c r="F2" s="167" t="s">
        <v>49</v>
      </c>
      <c r="G2" s="167" t="s">
        <v>50</v>
      </c>
      <c r="H2" s="167" t="s">
        <v>51</v>
      </c>
      <c r="I2" s="167" t="s">
        <v>52</v>
      </c>
      <c r="J2" s="167" t="s">
        <v>53</v>
      </c>
      <c r="K2" s="167" t="s">
        <v>54</v>
      </c>
      <c r="L2" s="167" t="s">
        <v>55</v>
      </c>
      <c r="M2" s="167" t="s">
        <v>56</v>
      </c>
      <c r="N2" s="167" t="s">
        <v>57</v>
      </c>
      <c r="O2" s="167" t="s">
        <v>58</v>
      </c>
      <c r="P2" s="167" t="s">
        <v>59</v>
      </c>
      <c r="Q2" s="167" t="s">
        <v>60</v>
      </c>
      <c r="R2" s="167" t="s">
        <v>61</v>
      </c>
      <c r="S2" s="167" t="s">
        <v>62</v>
      </c>
      <c r="T2" s="167" t="s">
        <v>63</v>
      </c>
      <c r="U2" s="167" t="s">
        <v>64</v>
      </c>
      <c r="V2" s="89" t="str">
        <f>A28</f>
        <v>pedirCita</v>
      </c>
      <c r="W2" s="275" t="str">
        <f>A36</f>
        <v>reprogramarCita</v>
      </c>
      <c r="X2" s="275"/>
      <c r="Y2" s="412" t="str">
        <f>A41</f>
        <v>cancelarCitaPorCliente</v>
      </c>
      <c r="Z2" s="298"/>
      <c r="AA2" s="412" t="str">
        <f>A44</f>
        <v>cancelarCitaPorBarbero</v>
      </c>
      <c r="AB2" s="413"/>
      <c r="AC2" s="412" t="str">
        <f>A47</f>
        <v>registrarLlegadaCliente</v>
      </c>
      <c r="AD2" s="275"/>
      <c r="AE2" s="412" t="str">
        <f>A51</f>
        <v>iniciarAtencionCliente</v>
      </c>
      <c r="AF2" s="298"/>
      <c r="AG2" s="412" t="str">
        <f>A55</f>
        <v>finalizarAtencionCliente</v>
      </c>
      <c r="AH2" s="413"/>
      <c r="AI2" s="412" t="str">
        <f>A58</f>
        <v>registrarInasistenciaCliente</v>
      </c>
      <c r="AJ2" s="275"/>
    </row>
    <row r="3" spans="1:36" ht="45" customHeight="1" x14ac:dyDescent="0.3">
      <c r="A3" s="118" t="str">
        <f>'M-Cita'!A3</f>
        <v>id</v>
      </c>
      <c r="B3" s="168" t="str">
        <f>'M-Cita'!A2</f>
        <v>Representa un identificador que hará unico cada objeto de dominio de este tipo, no se puede repetir</v>
      </c>
      <c r="C3" s="118" t="s">
        <v>65</v>
      </c>
      <c r="D3" s="118" t="s">
        <v>66</v>
      </c>
      <c r="E3" s="118" t="s">
        <v>65</v>
      </c>
      <c r="F3" s="118" t="s">
        <v>67</v>
      </c>
      <c r="G3" s="118" t="s">
        <v>67</v>
      </c>
      <c r="H3" s="118" t="s">
        <v>67</v>
      </c>
      <c r="I3" s="118" t="s">
        <v>67</v>
      </c>
      <c r="J3" s="118" t="s">
        <v>67</v>
      </c>
      <c r="K3" s="118" t="s">
        <v>67</v>
      </c>
      <c r="L3" s="118" t="s">
        <v>67</v>
      </c>
      <c r="M3" s="118" t="s">
        <v>67</v>
      </c>
      <c r="N3" s="118" t="s">
        <v>68</v>
      </c>
      <c r="O3" s="118" t="s">
        <v>68</v>
      </c>
      <c r="P3" s="118" t="s">
        <v>67</v>
      </c>
      <c r="Q3" s="118" t="s">
        <v>68</v>
      </c>
      <c r="R3" s="118" t="s">
        <v>68</v>
      </c>
      <c r="S3" s="118" t="s">
        <v>68</v>
      </c>
      <c r="T3" s="118" t="s">
        <v>69</v>
      </c>
      <c r="U3" s="118" t="s">
        <v>65</v>
      </c>
      <c r="V3" s="92" t="s">
        <v>147</v>
      </c>
      <c r="W3" s="93" t="s">
        <v>144</v>
      </c>
      <c r="X3" s="93" t="s">
        <v>145</v>
      </c>
      <c r="Y3" s="94" t="s">
        <v>144</v>
      </c>
      <c r="Z3" s="94" t="s">
        <v>145</v>
      </c>
      <c r="AA3" s="92" t="s">
        <v>144</v>
      </c>
      <c r="AB3" s="92" t="s">
        <v>145</v>
      </c>
      <c r="AC3" s="93" t="s">
        <v>144</v>
      </c>
      <c r="AD3" s="93" t="s">
        <v>145</v>
      </c>
      <c r="AE3" s="94" t="s">
        <v>144</v>
      </c>
      <c r="AF3" s="94" t="s">
        <v>145</v>
      </c>
      <c r="AG3" s="92" t="s">
        <v>144</v>
      </c>
      <c r="AH3" s="92" t="s">
        <v>145</v>
      </c>
      <c r="AI3" s="93" t="s">
        <v>144</v>
      </c>
      <c r="AJ3" s="93" t="s">
        <v>145</v>
      </c>
    </row>
    <row r="4" spans="1:36" ht="45" customHeight="1" x14ac:dyDescent="0.3">
      <c r="A4" s="118" t="str">
        <f>'M-Cita'!B3</f>
        <v>cliente</v>
      </c>
      <c r="B4" s="168" t="str">
        <f>'M-Cita'!B2</f>
        <v>Representa a cuál cliente le pertenece esta cita</v>
      </c>
      <c r="C4" s="118" t="s">
        <v>68</v>
      </c>
      <c r="D4" s="169" t="s">
        <v>25</v>
      </c>
      <c r="E4" s="118" t="s">
        <v>65</v>
      </c>
      <c r="F4" s="118" t="s">
        <v>67</v>
      </c>
      <c r="G4" s="118" t="s">
        <v>67</v>
      </c>
      <c r="H4" s="118" t="s">
        <v>67</v>
      </c>
      <c r="I4" s="118" t="s">
        <v>67</v>
      </c>
      <c r="J4" s="118" t="s">
        <v>67</v>
      </c>
      <c r="K4" s="118" t="s">
        <v>67</v>
      </c>
      <c r="L4" s="118" t="s">
        <v>67</v>
      </c>
      <c r="M4" s="192" t="s">
        <v>793</v>
      </c>
      <c r="N4" s="118" t="s">
        <v>68</v>
      </c>
      <c r="O4" s="118" t="s">
        <v>67</v>
      </c>
      <c r="P4" s="118" t="s">
        <v>67</v>
      </c>
      <c r="Q4" s="118" t="s">
        <v>67</v>
      </c>
      <c r="R4" s="118" t="s">
        <v>67</v>
      </c>
      <c r="S4" s="118" t="s">
        <v>68</v>
      </c>
      <c r="T4" s="118" t="s">
        <v>69</v>
      </c>
      <c r="U4" s="118" t="s">
        <v>68</v>
      </c>
      <c r="V4" s="92" t="s">
        <v>144</v>
      </c>
      <c r="W4" s="93" t="s">
        <v>147</v>
      </c>
      <c r="X4" s="93" t="s">
        <v>145</v>
      </c>
      <c r="Y4" s="94" t="s">
        <v>147</v>
      </c>
      <c r="Z4" s="94" t="s">
        <v>145</v>
      </c>
      <c r="AA4" s="92" t="s">
        <v>147</v>
      </c>
      <c r="AB4" s="92" t="s">
        <v>145</v>
      </c>
      <c r="AC4" s="93" t="s">
        <v>147</v>
      </c>
      <c r="AD4" s="93" t="s">
        <v>145</v>
      </c>
      <c r="AE4" s="94" t="s">
        <v>147</v>
      </c>
      <c r="AF4" s="94" t="s">
        <v>145</v>
      </c>
      <c r="AG4" s="92" t="s">
        <v>147</v>
      </c>
      <c r="AH4" s="92" t="s">
        <v>145</v>
      </c>
      <c r="AI4" s="93" t="s">
        <v>147</v>
      </c>
      <c r="AJ4" s="93" t="s">
        <v>145</v>
      </c>
    </row>
    <row r="5" spans="1:36" ht="27.75" customHeight="1" x14ac:dyDescent="0.3">
      <c r="A5" s="118" t="str">
        <f>'M-Cita'!C3</f>
        <v>agenda</v>
      </c>
      <c r="B5" s="168" t="str">
        <f>'M-Cita'!C2</f>
        <v>Referencia en cual agenda va a estar esta cita</v>
      </c>
      <c r="C5" s="118" t="s">
        <v>68</v>
      </c>
      <c r="D5" s="169" t="s">
        <v>35</v>
      </c>
      <c r="E5" s="118" t="s">
        <v>65</v>
      </c>
      <c r="F5" s="118" t="s">
        <v>67</v>
      </c>
      <c r="G5" s="118" t="s">
        <v>67</v>
      </c>
      <c r="H5" s="118" t="s">
        <v>67</v>
      </c>
      <c r="I5" s="118" t="s">
        <v>67</v>
      </c>
      <c r="J5" s="118" t="s">
        <v>67</v>
      </c>
      <c r="K5" s="118" t="s">
        <v>67</v>
      </c>
      <c r="L5" s="118" t="s">
        <v>67</v>
      </c>
      <c r="M5" s="192" t="s">
        <v>327</v>
      </c>
      <c r="N5" s="118" t="s">
        <v>68</v>
      </c>
      <c r="O5" s="118" t="s">
        <v>67</v>
      </c>
      <c r="P5" s="118" t="s">
        <v>67</v>
      </c>
      <c r="Q5" s="118" t="s">
        <v>67</v>
      </c>
      <c r="R5" s="118" t="s">
        <v>67</v>
      </c>
      <c r="S5" s="118" t="s">
        <v>68</v>
      </c>
      <c r="T5" s="118" t="s">
        <v>69</v>
      </c>
      <c r="U5" s="118" t="s">
        <v>68</v>
      </c>
      <c r="V5" s="92" t="s">
        <v>144</v>
      </c>
      <c r="W5" s="93" t="s">
        <v>144</v>
      </c>
      <c r="X5" s="93" t="s">
        <v>149</v>
      </c>
      <c r="Y5" s="94" t="s">
        <v>147</v>
      </c>
      <c r="Z5" s="94" t="s">
        <v>145</v>
      </c>
      <c r="AA5" s="92" t="s">
        <v>147</v>
      </c>
      <c r="AB5" s="92" t="s">
        <v>145</v>
      </c>
      <c r="AC5" s="93" t="s">
        <v>147</v>
      </c>
      <c r="AD5" s="93" t="s">
        <v>145</v>
      </c>
      <c r="AE5" s="94" t="s">
        <v>147</v>
      </c>
      <c r="AF5" s="94" t="s">
        <v>145</v>
      </c>
      <c r="AG5" s="92" t="s">
        <v>147</v>
      </c>
      <c r="AH5" s="92" t="s">
        <v>145</v>
      </c>
      <c r="AI5" s="93" t="s">
        <v>147</v>
      </c>
      <c r="AJ5" s="93" t="s">
        <v>145</v>
      </c>
    </row>
    <row r="6" spans="1:36" ht="45" customHeight="1" x14ac:dyDescent="0.3">
      <c r="A6" s="118" t="str">
        <f>'M-Cita'!D3</f>
        <v>estado</v>
      </c>
      <c r="B6" s="168" t="str">
        <f>'M-Cita'!D2</f>
        <v>Representa en qué estado se encuentra esta cita puntual: agendada, finalizada, cancelada, con tardanza del cliente o del barbero, o inasistencia</v>
      </c>
      <c r="C6" s="118" t="s">
        <v>68</v>
      </c>
      <c r="D6" s="169" t="s">
        <v>15</v>
      </c>
      <c r="E6" s="118" t="s">
        <v>65</v>
      </c>
      <c r="F6" s="118" t="s">
        <v>67</v>
      </c>
      <c r="G6" s="118" t="s">
        <v>67</v>
      </c>
      <c r="H6" s="118" t="s">
        <v>67</v>
      </c>
      <c r="I6" s="118" t="s">
        <v>67</v>
      </c>
      <c r="J6" s="118" t="s">
        <v>67</v>
      </c>
      <c r="K6" s="118" t="s">
        <v>67</v>
      </c>
      <c r="L6" s="118" t="s">
        <v>67</v>
      </c>
      <c r="M6" s="118" t="s">
        <v>327</v>
      </c>
      <c r="N6" s="118" t="s">
        <v>68</v>
      </c>
      <c r="O6" s="118" t="s">
        <v>67</v>
      </c>
      <c r="P6" s="118" t="s">
        <v>67</v>
      </c>
      <c r="Q6" s="118" t="s">
        <v>67</v>
      </c>
      <c r="R6" s="118" t="s">
        <v>67</v>
      </c>
      <c r="S6" s="118" t="s">
        <v>68</v>
      </c>
      <c r="T6" s="118" t="s">
        <v>1097</v>
      </c>
      <c r="U6" s="118" t="s">
        <v>68</v>
      </c>
      <c r="V6" s="92" t="s">
        <v>147</v>
      </c>
      <c r="W6" s="93" t="s">
        <v>147</v>
      </c>
      <c r="X6" s="93" t="s">
        <v>145</v>
      </c>
      <c r="Y6" s="94" t="s">
        <v>147</v>
      </c>
      <c r="Z6" s="94" t="s">
        <v>149</v>
      </c>
      <c r="AA6" s="92" t="s">
        <v>147</v>
      </c>
      <c r="AB6" s="92" t="s">
        <v>149</v>
      </c>
      <c r="AC6" s="93" t="s">
        <v>147</v>
      </c>
      <c r="AD6" s="93" t="s">
        <v>149</v>
      </c>
      <c r="AE6" s="94" t="s">
        <v>147</v>
      </c>
      <c r="AF6" s="94" t="s">
        <v>149</v>
      </c>
      <c r="AG6" s="92" t="s">
        <v>147</v>
      </c>
      <c r="AH6" s="92" t="s">
        <v>149</v>
      </c>
      <c r="AI6" s="93" t="s">
        <v>147</v>
      </c>
      <c r="AJ6" s="93" t="s">
        <v>149</v>
      </c>
    </row>
    <row r="7" spans="1:36" ht="30" customHeight="1" x14ac:dyDescent="0.3">
      <c r="A7" s="118" t="str">
        <f>'M-Cita'!E3</f>
        <v>horaInicio</v>
      </c>
      <c r="B7" s="168" t="str">
        <f>'M-Cita'!E2</f>
        <v>Representa la hora en la que se va a realizar la cita al cliente</v>
      </c>
      <c r="C7" s="118" t="s">
        <v>68</v>
      </c>
      <c r="D7" s="178" t="s">
        <v>518</v>
      </c>
      <c r="E7" s="118" t="s">
        <v>65</v>
      </c>
      <c r="F7" s="118" t="s">
        <v>67</v>
      </c>
      <c r="G7" s="118" t="s">
        <v>67</v>
      </c>
      <c r="H7" s="118" t="s">
        <v>67</v>
      </c>
      <c r="I7" s="118" t="s">
        <v>67</v>
      </c>
      <c r="J7" s="118" t="s">
        <v>67</v>
      </c>
      <c r="K7" s="118" t="s">
        <v>67</v>
      </c>
      <c r="L7" s="118" t="s">
        <v>67</v>
      </c>
      <c r="M7" s="192" t="s">
        <v>794</v>
      </c>
      <c r="N7" s="118" t="s">
        <v>68</v>
      </c>
      <c r="O7" s="118" t="s">
        <v>67</v>
      </c>
      <c r="P7" s="118" t="s">
        <v>67</v>
      </c>
      <c r="Q7" s="118" t="s">
        <v>67</v>
      </c>
      <c r="R7" s="118" t="s">
        <v>67</v>
      </c>
      <c r="S7" s="118" t="s">
        <v>68</v>
      </c>
      <c r="T7" s="118" t="s">
        <v>519</v>
      </c>
      <c r="U7" s="118" t="s">
        <v>68</v>
      </c>
      <c r="V7" s="92" t="s">
        <v>144</v>
      </c>
      <c r="W7" s="93" t="s">
        <v>144</v>
      </c>
      <c r="X7" s="93" t="s">
        <v>149</v>
      </c>
      <c r="Y7" s="94" t="s">
        <v>147</v>
      </c>
      <c r="Z7" s="94" t="s">
        <v>145</v>
      </c>
      <c r="AA7" s="92" t="s">
        <v>147</v>
      </c>
      <c r="AB7" s="92" t="s">
        <v>145</v>
      </c>
      <c r="AC7" s="93" t="s">
        <v>147</v>
      </c>
      <c r="AD7" s="93" t="s">
        <v>145</v>
      </c>
      <c r="AE7" s="94" t="s">
        <v>147</v>
      </c>
      <c r="AF7" s="94" t="s">
        <v>145</v>
      </c>
      <c r="AG7" s="92" t="s">
        <v>147</v>
      </c>
      <c r="AH7" s="92" t="s">
        <v>145</v>
      </c>
      <c r="AI7" s="93" t="s">
        <v>147</v>
      </c>
      <c r="AJ7" s="93" t="s">
        <v>145</v>
      </c>
    </row>
    <row r="8" spans="1:36" ht="60" customHeight="1" x14ac:dyDescent="0.3">
      <c r="A8" s="118" t="str">
        <f>'M-Cita'!F3</f>
        <v>horaFinEstimada</v>
      </c>
      <c r="B8" s="168" t="str">
        <f>'M-Cita'!F2</f>
        <v>Representa la hora en la que se espera que termine la cita, sumando horaInicio más la duración total de los servicios pedidos. Es un dato calculado</v>
      </c>
      <c r="C8" s="118" t="s">
        <v>68</v>
      </c>
      <c r="D8" s="178" t="s">
        <v>518</v>
      </c>
      <c r="E8" s="118" t="s">
        <v>65</v>
      </c>
      <c r="F8" s="118" t="s">
        <v>67</v>
      </c>
      <c r="G8" s="118" t="s">
        <v>67</v>
      </c>
      <c r="H8" s="118" t="s">
        <v>67</v>
      </c>
      <c r="I8" s="118" t="s">
        <v>67</v>
      </c>
      <c r="J8" s="118" t="s">
        <v>67</v>
      </c>
      <c r="K8" s="118" t="s">
        <v>67</v>
      </c>
      <c r="L8" s="118" t="s">
        <v>67</v>
      </c>
      <c r="M8" s="192" t="s">
        <v>795</v>
      </c>
      <c r="N8" s="118" t="s">
        <v>65</v>
      </c>
      <c r="O8" s="118" t="s">
        <v>67</v>
      </c>
      <c r="P8" s="118" t="s">
        <v>67</v>
      </c>
      <c r="Q8" s="118" t="s">
        <v>67</v>
      </c>
      <c r="R8" s="118" t="s">
        <v>67</v>
      </c>
      <c r="S8" s="118" t="s">
        <v>68</v>
      </c>
      <c r="T8" s="118" t="s">
        <v>519</v>
      </c>
      <c r="U8" s="118" t="s">
        <v>68</v>
      </c>
      <c r="V8" s="92" t="s">
        <v>147</v>
      </c>
      <c r="W8" s="93" t="s">
        <v>147</v>
      </c>
      <c r="X8" s="93" t="s">
        <v>149</v>
      </c>
      <c r="Y8" s="94" t="s">
        <v>147</v>
      </c>
      <c r="Z8" s="94" t="s">
        <v>145</v>
      </c>
      <c r="AA8" s="92" t="s">
        <v>147</v>
      </c>
      <c r="AB8" s="92" t="s">
        <v>145</v>
      </c>
      <c r="AC8" s="93" t="s">
        <v>147</v>
      </c>
      <c r="AD8" s="93" t="s">
        <v>145</v>
      </c>
      <c r="AE8" s="94" t="s">
        <v>147</v>
      </c>
      <c r="AF8" s="94" t="s">
        <v>145</v>
      </c>
      <c r="AG8" s="92" t="s">
        <v>147</v>
      </c>
      <c r="AH8" s="92" t="s">
        <v>145</v>
      </c>
      <c r="AI8" s="93" t="s">
        <v>147</v>
      </c>
      <c r="AJ8" s="93" t="s">
        <v>145</v>
      </c>
    </row>
    <row r="9" spans="1:36" ht="60" customHeight="1" x14ac:dyDescent="0.3">
      <c r="A9" s="186" t="str">
        <f>'M-Cita'!G3</f>
        <v>horaLlegadaCliente</v>
      </c>
      <c r="B9" s="186" t="str">
        <f>'M-Cita'!G2</f>
        <v>Representa la hora real en la que el cliente llegó a la barbería para esta cita. Su valor por defecto es 00:00 y es permitido: significa que el cliente aún no ha llegado</v>
      </c>
      <c r="C9" s="186" t="s">
        <v>68</v>
      </c>
      <c r="D9" s="186" t="s">
        <v>518</v>
      </c>
      <c r="E9" s="186" t="s">
        <v>68</v>
      </c>
      <c r="F9" s="186" t="s">
        <v>67</v>
      </c>
      <c r="G9" s="186" t="s">
        <v>67</v>
      </c>
      <c r="H9" s="186" t="s">
        <v>67</v>
      </c>
      <c r="I9" s="186" t="s">
        <v>67</v>
      </c>
      <c r="J9" s="186" t="s">
        <v>67</v>
      </c>
      <c r="K9" s="186" t="s">
        <v>67</v>
      </c>
      <c r="L9" s="118" t="s">
        <v>67</v>
      </c>
      <c r="M9" s="186" t="s">
        <v>67</v>
      </c>
      <c r="N9" s="186" t="s">
        <v>68</v>
      </c>
      <c r="O9" s="186" t="s">
        <v>67</v>
      </c>
      <c r="P9" s="186" t="s">
        <v>67</v>
      </c>
      <c r="Q9" s="186" t="s">
        <v>67</v>
      </c>
      <c r="R9" s="186" t="s">
        <v>67</v>
      </c>
      <c r="S9" s="186" t="s">
        <v>68</v>
      </c>
      <c r="T9" s="186" t="s">
        <v>519</v>
      </c>
      <c r="U9" s="186" t="s">
        <v>68</v>
      </c>
      <c r="V9" s="92" t="s">
        <v>147</v>
      </c>
      <c r="W9" s="93" t="s">
        <v>147</v>
      </c>
      <c r="X9" s="93" t="s">
        <v>145</v>
      </c>
      <c r="Y9" s="94" t="s">
        <v>147</v>
      </c>
      <c r="Z9" s="94" t="s">
        <v>145</v>
      </c>
      <c r="AA9" s="92" t="s">
        <v>147</v>
      </c>
      <c r="AB9" s="92" t="s">
        <v>145</v>
      </c>
      <c r="AC9" s="93" t="s">
        <v>144</v>
      </c>
      <c r="AD9" s="93" t="s">
        <v>149</v>
      </c>
      <c r="AE9" s="94" t="s">
        <v>147</v>
      </c>
      <c r="AF9" s="94" t="s">
        <v>145</v>
      </c>
      <c r="AG9" s="92" t="s">
        <v>147</v>
      </c>
      <c r="AH9" s="92" t="s">
        <v>145</v>
      </c>
      <c r="AI9" s="93" t="s">
        <v>147</v>
      </c>
      <c r="AJ9" s="93" t="s">
        <v>145</v>
      </c>
    </row>
    <row r="10" spans="1:36" ht="60" customHeight="1" x14ac:dyDescent="0.3">
      <c r="A10" s="186" t="str">
        <f>'M-Cita'!H3</f>
        <v>horaDelBarberoPreparado</v>
      </c>
      <c r="B10" s="186" t="str">
        <f>'M-Cita'!H2</f>
        <v>Representa la hora real en la que el barbero quedó listo y disponible para empezar a atender esta cita. Su valor por defecto es 00:00 y es permitido: significa que el barbero aún no se ha preparado</v>
      </c>
      <c r="C10" s="186" t="s">
        <v>68</v>
      </c>
      <c r="D10" s="186" t="s">
        <v>518</v>
      </c>
      <c r="E10" s="186" t="s">
        <v>68</v>
      </c>
      <c r="F10" s="186" t="s">
        <v>67</v>
      </c>
      <c r="G10" s="186" t="s">
        <v>67</v>
      </c>
      <c r="H10" s="186" t="s">
        <v>67</v>
      </c>
      <c r="I10" s="186" t="s">
        <v>67</v>
      </c>
      <c r="J10" s="186" t="s">
        <v>67</v>
      </c>
      <c r="K10" s="186" t="s">
        <v>67</v>
      </c>
      <c r="L10" s="118" t="s">
        <v>67</v>
      </c>
      <c r="M10" s="186" t="s">
        <v>67</v>
      </c>
      <c r="N10" s="186" t="s">
        <v>68</v>
      </c>
      <c r="O10" s="186" t="s">
        <v>67</v>
      </c>
      <c r="P10" s="186" t="s">
        <v>67</v>
      </c>
      <c r="Q10" s="186" t="s">
        <v>67</v>
      </c>
      <c r="R10" s="186" t="s">
        <v>67</v>
      </c>
      <c r="S10" s="186" t="s">
        <v>68</v>
      </c>
      <c r="T10" s="186" t="s">
        <v>519</v>
      </c>
      <c r="U10" s="186" t="s">
        <v>68</v>
      </c>
      <c r="V10" s="92" t="s">
        <v>147</v>
      </c>
      <c r="W10" s="93" t="s">
        <v>147</v>
      </c>
      <c r="X10" s="93" t="s">
        <v>145</v>
      </c>
      <c r="Y10" s="94" t="s">
        <v>147</v>
      </c>
      <c r="Z10" s="94" t="s">
        <v>145</v>
      </c>
      <c r="AA10" s="92" t="s">
        <v>147</v>
      </c>
      <c r="AB10" s="92" t="s">
        <v>145</v>
      </c>
      <c r="AC10" s="93" t="s">
        <v>147</v>
      </c>
      <c r="AD10" s="93" t="s">
        <v>145</v>
      </c>
      <c r="AE10" s="94" t="s">
        <v>147</v>
      </c>
      <c r="AF10" s="94" t="s">
        <v>149</v>
      </c>
      <c r="AG10" s="92" t="s">
        <v>147</v>
      </c>
      <c r="AH10" s="92" t="s">
        <v>145</v>
      </c>
      <c r="AI10" s="93" t="s">
        <v>147</v>
      </c>
      <c r="AJ10" s="93" t="s">
        <v>145</v>
      </c>
    </row>
    <row r="11" spans="1:36" ht="60" customHeight="1" x14ac:dyDescent="0.3">
      <c r="A11" s="118" t="str">
        <f>'M-Cita'!I3</f>
        <v>horaInicioAtencion</v>
      </c>
      <c r="B11" s="168" t="str">
        <f>'M-Cita'!I2</f>
        <v>Representa la hora real en la que el barbero empezó a atender al cliente. Su valor por defecto es 00:00 y es permitido: significa que la atención aún no ha comenzado</v>
      </c>
      <c r="C11" s="118" t="s">
        <v>68</v>
      </c>
      <c r="D11" s="118" t="s">
        <v>518</v>
      </c>
      <c r="E11" s="118" t="s">
        <v>68</v>
      </c>
      <c r="F11" s="118" t="s">
        <v>67</v>
      </c>
      <c r="G11" s="118" t="s">
        <v>67</v>
      </c>
      <c r="H11" s="118" t="s">
        <v>67</v>
      </c>
      <c r="I11" s="118" t="s">
        <v>67</v>
      </c>
      <c r="J11" s="118" t="s">
        <v>67</v>
      </c>
      <c r="K11" s="118" t="s">
        <v>67</v>
      </c>
      <c r="L11" s="118" t="s">
        <v>67</v>
      </c>
      <c r="M11" s="118" t="s">
        <v>67</v>
      </c>
      <c r="N11" s="118" t="s">
        <v>68</v>
      </c>
      <c r="O11" s="118" t="s">
        <v>67</v>
      </c>
      <c r="P11" s="118" t="s">
        <v>67</v>
      </c>
      <c r="Q11" s="118" t="s">
        <v>67</v>
      </c>
      <c r="R11" s="118" t="s">
        <v>67</v>
      </c>
      <c r="S11" s="118" t="s">
        <v>68</v>
      </c>
      <c r="T11" s="118" t="s">
        <v>519</v>
      </c>
      <c r="U11" s="118" t="s">
        <v>68</v>
      </c>
      <c r="V11" s="92" t="s">
        <v>147</v>
      </c>
      <c r="W11" s="93" t="s">
        <v>147</v>
      </c>
      <c r="X11" s="93" t="s">
        <v>145</v>
      </c>
      <c r="Y11" s="94" t="s">
        <v>147</v>
      </c>
      <c r="Z11" s="94" t="s">
        <v>145</v>
      </c>
      <c r="AA11" s="92" t="s">
        <v>147</v>
      </c>
      <c r="AB11" s="92" t="s">
        <v>145</v>
      </c>
      <c r="AC11" s="93" t="s">
        <v>147</v>
      </c>
      <c r="AD11" s="93" t="s">
        <v>145</v>
      </c>
      <c r="AE11" s="94" t="s">
        <v>144</v>
      </c>
      <c r="AF11" s="94" t="s">
        <v>149</v>
      </c>
      <c r="AG11" s="92" t="s">
        <v>147</v>
      </c>
      <c r="AH11" s="92" t="s">
        <v>145</v>
      </c>
      <c r="AI11" s="93" t="s">
        <v>147</v>
      </c>
      <c r="AJ11" s="93" t="s">
        <v>145</v>
      </c>
    </row>
    <row r="12" spans="1:36" ht="60" customHeight="1" x14ac:dyDescent="0.3">
      <c r="A12" s="118" t="str">
        <f>'M-Cita'!J3</f>
        <v>horaFinAtencion</v>
      </c>
      <c r="B12" s="168" t="str">
        <f>'M-Cita'!J2</f>
        <v>Representa la hora real en la que el barbero terminó de atender al cliente. Su valor por defecto es 00:00 y es permitido: significa que la atención aún no ha terminado</v>
      </c>
      <c r="C12" s="118" t="s">
        <v>68</v>
      </c>
      <c r="D12" s="178" t="s">
        <v>518</v>
      </c>
      <c r="E12" s="118" t="s">
        <v>68</v>
      </c>
      <c r="F12" s="118" t="s">
        <v>67</v>
      </c>
      <c r="G12" s="118" t="s">
        <v>67</v>
      </c>
      <c r="H12" s="118" t="s">
        <v>67</v>
      </c>
      <c r="I12" s="118" t="s">
        <v>67</v>
      </c>
      <c r="J12" s="118" t="s">
        <v>67</v>
      </c>
      <c r="K12" s="118" t="s">
        <v>67</v>
      </c>
      <c r="L12" s="118" t="s">
        <v>67</v>
      </c>
      <c r="M12" s="192" t="s">
        <v>67</v>
      </c>
      <c r="N12" s="118" t="s">
        <v>68</v>
      </c>
      <c r="O12" s="118" t="s">
        <v>67</v>
      </c>
      <c r="P12" s="118" t="s">
        <v>67</v>
      </c>
      <c r="Q12" s="118" t="s">
        <v>67</v>
      </c>
      <c r="R12" s="118" t="s">
        <v>67</v>
      </c>
      <c r="S12" s="118" t="s">
        <v>68</v>
      </c>
      <c r="T12" s="118" t="s">
        <v>519</v>
      </c>
      <c r="U12" s="118" t="s">
        <v>68</v>
      </c>
      <c r="V12" s="92" t="s">
        <v>147</v>
      </c>
      <c r="W12" s="93" t="s">
        <v>147</v>
      </c>
      <c r="X12" s="93" t="s">
        <v>145</v>
      </c>
      <c r="Y12" s="94" t="s">
        <v>147</v>
      </c>
      <c r="Z12" s="94" t="s">
        <v>145</v>
      </c>
      <c r="AA12" s="92" t="s">
        <v>147</v>
      </c>
      <c r="AB12" s="92" t="s">
        <v>145</v>
      </c>
      <c r="AC12" s="93" t="s">
        <v>147</v>
      </c>
      <c r="AD12" s="93" t="s">
        <v>145</v>
      </c>
      <c r="AE12" s="94" t="s">
        <v>147</v>
      </c>
      <c r="AF12" s="94" t="s">
        <v>145</v>
      </c>
      <c r="AG12" s="92" t="s">
        <v>144</v>
      </c>
      <c r="AH12" s="92" t="s">
        <v>149</v>
      </c>
      <c r="AI12" s="93" t="s">
        <v>147</v>
      </c>
      <c r="AJ12" s="93" t="s">
        <v>145</v>
      </c>
    </row>
    <row r="13" spans="1:36" ht="60" customHeight="1" x14ac:dyDescent="0.3">
      <c r="A13" s="118" t="str">
        <f>'M-Cita'!K3</f>
        <v>duracionHoras</v>
      </c>
      <c r="B13" s="168" t="str">
        <f>'M-Cita'!K2</f>
        <v>Representa la cantidad total de horas que va a durar la cita, sumando la duración de cada servicio pedido más el tiempo extra de cada uno. Es un dato calculado</v>
      </c>
      <c r="C13" s="118" t="s">
        <v>68</v>
      </c>
      <c r="D13" s="178" t="s">
        <v>201</v>
      </c>
      <c r="E13" s="118" t="s">
        <v>68</v>
      </c>
      <c r="F13" s="118" t="s">
        <v>67</v>
      </c>
      <c r="G13" s="118" t="s">
        <v>67</v>
      </c>
      <c r="H13" s="118" t="s">
        <v>67</v>
      </c>
      <c r="I13" s="118" t="s">
        <v>67</v>
      </c>
      <c r="J13" s="118">
        <v>0</v>
      </c>
      <c r="K13" s="118">
        <v>3</v>
      </c>
      <c r="L13" s="118" t="s">
        <v>67</v>
      </c>
      <c r="M13" s="192" t="s">
        <v>796</v>
      </c>
      <c r="N13" s="118" t="s">
        <v>65</v>
      </c>
      <c r="O13" s="118" t="s">
        <v>67</v>
      </c>
      <c r="P13" s="118" t="s">
        <v>67</v>
      </c>
      <c r="Q13" s="118" t="s">
        <v>67</v>
      </c>
      <c r="R13" s="118" t="s">
        <v>67</v>
      </c>
      <c r="S13" s="118" t="s">
        <v>68</v>
      </c>
      <c r="T13" s="118">
        <v>0</v>
      </c>
      <c r="U13" s="118" t="s">
        <v>68</v>
      </c>
      <c r="V13" s="92" t="s">
        <v>147</v>
      </c>
      <c r="W13" s="93" t="s">
        <v>147</v>
      </c>
      <c r="X13" s="93" t="s">
        <v>145</v>
      </c>
      <c r="Y13" s="94" t="s">
        <v>147</v>
      </c>
      <c r="Z13" s="94" t="s">
        <v>145</v>
      </c>
      <c r="AA13" s="92" t="s">
        <v>147</v>
      </c>
      <c r="AB13" s="92" t="s">
        <v>145</v>
      </c>
      <c r="AC13" s="93" t="s">
        <v>147</v>
      </c>
      <c r="AD13" s="93" t="s">
        <v>145</v>
      </c>
      <c r="AE13" s="94" t="s">
        <v>147</v>
      </c>
      <c r="AF13" s="94" t="s">
        <v>145</v>
      </c>
      <c r="AG13" s="92" t="s">
        <v>147</v>
      </c>
      <c r="AH13" s="92" t="s">
        <v>149</v>
      </c>
      <c r="AI13" s="93" t="s">
        <v>147</v>
      </c>
      <c r="AJ13" s="93" t="s">
        <v>145</v>
      </c>
    </row>
    <row r="14" spans="1:36" ht="60" customHeight="1" x14ac:dyDescent="0.3">
      <c r="A14" s="118" t="str">
        <f>'M-Cita'!L3</f>
        <v>duracionMinutos</v>
      </c>
      <c r="B14" s="168" t="str">
        <f>'M-Cita'!L2</f>
        <v>Representa la cantidad total de minutos que va a durar la cita, sumando la duración de cada servicio pedido más el tiempo extra de cada uno. Es un dato calculado</v>
      </c>
      <c r="C14" s="118" t="s">
        <v>68</v>
      </c>
      <c r="D14" s="178" t="s">
        <v>201</v>
      </c>
      <c r="E14" s="118" t="s">
        <v>68</v>
      </c>
      <c r="F14" s="118" t="s">
        <v>67</v>
      </c>
      <c r="G14" s="118" t="s">
        <v>67</v>
      </c>
      <c r="H14" s="118" t="s">
        <v>67</v>
      </c>
      <c r="I14" s="118" t="s">
        <v>67</v>
      </c>
      <c r="J14" s="118">
        <v>0</v>
      </c>
      <c r="K14" s="118">
        <v>59</v>
      </c>
      <c r="L14" s="118" t="s">
        <v>67</v>
      </c>
      <c r="M14" s="192" t="s">
        <v>797</v>
      </c>
      <c r="N14" s="118" t="s">
        <v>65</v>
      </c>
      <c r="O14" s="118" t="s">
        <v>67</v>
      </c>
      <c r="P14" s="118" t="s">
        <v>67</v>
      </c>
      <c r="Q14" s="118" t="s">
        <v>67</v>
      </c>
      <c r="R14" s="118" t="s">
        <v>67</v>
      </c>
      <c r="S14" s="118" t="s">
        <v>68</v>
      </c>
      <c r="T14" s="118" t="s">
        <v>329</v>
      </c>
      <c r="U14" s="118" t="s">
        <v>68</v>
      </c>
      <c r="V14" s="92" t="s">
        <v>147</v>
      </c>
      <c r="W14" s="93" t="s">
        <v>147</v>
      </c>
      <c r="X14" s="93" t="s">
        <v>145</v>
      </c>
      <c r="Y14" s="94" t="s">
        <v>147</v>
      </c>
      <c r="Z14" s="94" t="s">
        <v>145</v>
      </c>
      <c r="AA14" s="92" t="s">
        <v>147</v>
      </c>
      <c r="AB14" s="92" t="s">
        <v>145</v>
      </c>
      <c r="AC14" s="93" t="s">
        <v>147</v>
      </c>
      <c r="AD14" s="93" t="s">
        <v>145</v>
      </c>
      <c r="AE14" s="94" t="s">
        <v>147</v>
      </c>
      <c r="AF14" s="94" t="s">
        <v>145</v>
      </c>
      <c r="AG14" s="92" t="s">
        <v>147</v>
      </c>
      <c r="AH14" s="92" t="s">
        <v>149</v>
      </c>
      <c r="AI14" s="93" t="s">
        <v>147</v>
      </c>
      <c r="AJ14" s="93" t="s">
        <v>145</v>
      </c>
    </row>
    <row r="15" spans="1:36" ht="60" customHeight="1" x14ac:dyDescent="0.3">
      <c r="A15" s="186" t="str">
        <f>'M-Cita'!M3</f>
        <v>minutosTardanzaCliente</v>
      </c>
      <c r="B15" s="186" t="str">
        <f>'M-Cita'!M2</f>
        <v>Representa cuántos minutos después de horaInicio llegó el cliente. Si llegó a tiempo o aún no ha llegado su valor es 0. Es un dato calculado</v>
      </c>
      <c r="C15" s="186" t="s">
        <v>68</v>
      </c>
      <c r="D15" s="186" t="s">
        <v>201</v>
      </c>
      <c r="E15" s="186" t="s">
        <v>68</v>
      </c>
      <c r="F15" s="186" t="s">
        <v>67</v>
      </c>
      <c r="G15" s="186" t="s">
        <v>67</v>
      </c>
      <c r="H15" s="186" t="s">
        <v>67</v>
      </c>
      <c r="I15" s="186" t="s">
        <v>67</v>
      </c>
      <c r="J15" s="186">
        <v>0</v>
      </c>
      <c r="K15" s="186">
        <v>300</v>
      </c>
      <c r="L15" s="118" t="s">
        <v>67</v>
      </c>
      <c r="M15" s="186" t="s">
        <v>798</v>
      </c>
      <c r="N15" s="186" t="s">
        <v>65</v>
      </c>
      <c r="O15" s="186" t="s">
        <v>67</v>
      </c>
      <c r="P15" s="186" t="s">
        <v>67</v>
      </c>
      <c r="Q15" s="186" t="s">
        <v>67</v>
      </c>
      <c r="R15" s="186" t="s">
        <v>67</v>
      </c>
      <c r="S15" s="186" t="s">
        <v>68</v>
      </c>
      <c r="T15" s="186" t="s">
        <v>329</v>
      </c>
      <c r="U15" s="186" t="s">
        <v>68</v>
      </c>
      <c r="V15" s="92" t="s">
        <v>147</v>
      </c>
      <c r="W15" s="93" t="s">
        <v>147</v>
      </c>
      <c r="X15" s="93" t="s">
        <v>145</v>
      </c>
      <c r="Y15" s="94" t="s">
        <v>147</v>
      </c>
      <c r="Z15" s="94" t="s">
        <v>145</v>
      </c>
      <c r="AA15" s="92" t="s">
        <v>147</v>
      </c>
      <c r="AB15" s="92" t="s">
        <v>145</v>
      </c>
      <c r="AC15" s="93" t="s">
        <v>147</v>
      </c>
      <c r="AD15" s="93" t="s">
        <v>149</v>
      </c>
      <c r="AE15" s="94" t="s">
        <v>147</v>
      </c>
      <c r="AF15" s="94" t="s">
        <v>145</v>
      </c>
      <c r="AG15" s="92" t="s">
        <v>147</v>
      </c>
      <c r="AH15" s="92" t="s">
        <v>145</v>
      </c>
      <c r="AI15" s="93" t="s">
        <v>147</v>
      </c>
      <c r="AJ15" s="93" t="s">
        <v>145</v>
      </c>
    </row>
    <row r="16" spans="1:36" ht="60" customHeight="1" x14ac:dyDescent="0.3">
      <c r="A16" s="118" t="str">
        <f>'M-Cita'!N3</f>
        <v>minutosDemoraBarbero</v>
      </c>
      <c r="B16" s="168" t="str">
        <f>'M-Cita'!N2</f>
        <v>Representa cuántos minutos después de la llegada del cliente empezó el barbero a atenderlo. Si no hubo demora su valor es 0. Es un dato calculado</v>
      </c>
      <c r="C16" s="118" t="s">
        <v>68</v>
      </c>
      <c r="D16" s="118" t="s">
        <v>201</v>
      </c>
      <c r="E16" s="118" t="s">
        <v>68</v>
      </c>
      <c r="F16" s="118" t="s">
        <v>67</v>
      </c>
      <c r="G16" s="118" t="s">
        <v>67</v>
      </c>
      <c r="H16" s="118" t="s">
        <v>67</v>
      </c>
      <c r="I16" s="118" t="s">
        <v>67</v>
      </c>
      <c r="J16" s="118">
        <v>0</v>
      </c>
      <c r="K16" s="118">
        <v>300</v>
      </c>
      <c r="L16" s="118" t="s">
        <v>67</v>
      </c>
      <c r="M16" s="168" t="s">
        <v>799</v>
      </c>
      <c r="N16" s="118" t="s">
        <v>65</v>
      </c>
      <c r="O16" s="118" t="s">
        <v>67</v>
      </c>
      <c r="P16" s="118" t="s">
        <v>67</v>
      </c>
      <c r="Q16" s="118" t="s">
        <v>67</v>
      </c>
      <c r="R16" s="118" t="s">
        <v>67</v>
      </c>
      <c r="S16" s="118" t="s">
        <v>68</v>
      </c>
      <c r="T16" s="118" t="s">
        <v>329</v>
      </c>
      <c r="U16" s="118" t="s">
        <v>68</v>
      </c>
      <c r="V16" s="92" t="s">
        <v>147</v>
      </c>
      <c r="W16" s="93" t="s">
        <v>147</v>
      </c>
      <c r="X16" s="93" t="s">
        <v>145</v>
      </c>
      <c r="Y16" s="94" t="s">
        <v>147</v>
      </c>
      <c r="Z16" s="94" t="s">
        <v>145</v>
      </c>
      <c r="AA16" s="92" t="s">
        <v>147</v>
      </c>
      <c r="AB16" s="92" t="s">
        <v>145</v>
      </c>
      <c r="AC16" s="93" t="s">
        <v>147</v>
      </c>
      <c r="AD16" s="93" t="s">
        <v>145</v>
      </c>
      <c r="AE16" s="94" t="s">
        <v>147</v>
      </c>
      <c r="AF16" s="94" t="s">
        <v>149</v>
      </c>
      <c r="AG16" s="92" t="s">
        <v>147</v>
      </c>
      <c r="AH16" s="92" t="s">
        <v>145</v>
      </c>
      <c r="AI16" s="93" t="s">
        <v>147</v>
      </c>
      <c r="AJ16" s="93" t="s">
        <v>145</v>
      </c>
    </row>
    <row r="17" spans="1:36" ht="60" customHeight="1" x14ac:dyDescent="0.3">
      <c r="A17" s="118" t="str">
        <f>'M-Cita'!O3</f>
        <v>porcentajeDescuento</v>
      </c>
      <c r="B17" s="168" t="str">
        <f>'M-Cita'!O2</f>
        <v>Representa el descuento que el barbero le concede al cliente por haberse demorado en atenderlo; solo se descuenta del precioTotal cuando la cita queda en el estado "El barbero se demoro"</v>
      </c>
      <c r="C17" s="118" t="s">
        <v>68</v>
      </c>
      <c r="D17" s="178" t="s">
        <v>201</v>
      </c>
      <c r="E17" s="118" t="s">
        <v>68</v>
      </c>
      <c r="F17" s="118" t="s">
        <v>67</v>
      </c>
      <c r="G17" s="118" t="s">
        <v>67</v>
      </c>
      <c r="H17" s="118" t="s">
        <v>67</v>
      </c>
      <c r="I17" s="118" t="s">
        <v>67</v>
      </c>
      <c r="J17" s="118">
        <v>0</v>
      </c>
      <c r="K17" s="118">
        <v>100</v>
      </c>
      <c r="L17" s="118" t="s">
        <v>67</v>
      </c>
      <c r="M17" s="192" t="s">
        <v>800</v>
      </c>
      <c r="N17" s="118" t="s">
        <v>68</v>
      </c>
      <c r="O17" s="118" t="s">
        <v>67</v>
      </c>
      <c r="P17" s="118" t="s">
        <v>67</v>
      </c>
      <c r="Q17" s="118" t="s">
        <v>67</v>
      </c>
      <c r="R17" s="118" t="s">
        <v>67</v>
      </c>
      <c r="S17" s="118" t="s">
        <v>68</v>
      </c>
      <c r="T17" s="118" t="s">
        <v>329</v>
      </c>
      <c r="U17" s="118" t="s">
        <v>68</v>
      </c>
      <c r="V17" s="92" t="s">
        <v>147</v>
      </c>
      <c r="W17" s="93" t="s">
        <v>147</v>
      </c>
      <c r="X17" s="93" t="s">
        <v>145</v>
      </c>
      <c r="Y17" s="94" t="s">
        <v>147</v>
      </c>
      <c r="Z17" s="94" t="s">
        <v>145</v>
      </c>
      <c r="AA17" s="92" t="s">
        <v>147</v>
      </c>
      <c r="AB17" s="92" t="s">
        <v>145</v>
      </c>
      <c r="AC17" s="93" t="s">
        <v>147</v>
      </c>
      <c r="AD17" s="93" t="s">
        <v>145</v>
      </c>
      <c r="AE17" s="94" t="s">
        <v>147</v>
      </c>
      <c r="AF17" s="94" t="s">
        <v>145</v>
      </c>
      <c r="AG17" s="92" t="s">
        <v>147</v>
      </c>
      <c r="AH17" s="92" t="s">
        <v>145</v>
      </c>
      <c r="AI17" s="93" t="s">
        <v>147</v>
      </c>
      <c r="AJ17" s="93" t="s">
        <v>145</v>
      </c>
    </row>
    <row r="18" spans="1:36" ht="60" customHeight="1" x14ac:dyDescent="0.3">
      <c r="A18" s="118" t="str">
        <f>'M-Cita'!P3</f>
        <v>multa</v>
      </c>
      <c r="B18" s="168" t="str">
        <f>'M-Cita'!P2</f>
        <v>Representa el precio de sancion, en caso de que el cliente se demore</v>
      </c>
      <c r="C18" s="118" t="s">
        <v>68</v>
      </c>
      <c r="D18" s="178" t="s">
        <v>201</v>
      </c>
      <c r="E18" s="118" t="s">
        <v>68</v>
      </c>
      <c r="F18" s="118" t="s">
        <v>67</v>
      </c>
      <c r="G18" s="118" t="s">
        <v>67</v>
      </c>
      <c r="H18" s="118" t="s">
        <v>67</v>
      </c>
      <c r="I18" s="118" t="s">
        <v>67</v>
      </c>
      <c r="J18" s="118">
        <v>0</v>
      </c>
      <c r="K18" s="193">
        <v>100000</v>
      </c>
      <c r="L18" s="118" t="s">
        <v>67</v>
      </c>
      <c r="M18" s="192" t="s">
        <v>801</v>
      </c>
      <c r="N18" s="118" t="s">
        <v>68</v>
      </c>
      <c r="O18" s="118" t="s">
        <v>67</v>
      </c>
      <c r="P18" s="118" t="s">
        <v>67</v>
      </c>
      <c r="Q18" s="118" t="s">
        <v>67</v>
      </c>
      <c r="R18" s="118" t="s">
        <v>67</v>
      </c>
      <c r="S18" s="118" t="s">
        <v>68</v>
      </c>
      <c r="T18" s="118">
        <v>0</v>
      </c>
      <c r="U18" s="118" t="s">
        <v>68</v>
      </c>
      <c r="V18" s="92" t="s">
        <v>147</v>
      </c>
      <c r="W18" s="93" t="s">
        <v>147</v>
      </c>
      <c r="X18" s="93" t="s">
        <v>145</v>
      </c>
      <c r="Y18" s="94" t="s">
        <v>147</v>
      </c>
      <c r="Z18" s="94" t="s">
        <v>145</v>
      </c>
      <c r="AA18" s="92" t="s">
        <v>147</v>
      </c>
      <c r="AB18" s="92" t="s">
        <v>145</v>
      </c>
      <c r="AC18" s="93" t="s">
        <v>147</v>
      </c>
      <c r="AD18" s="93" t="s">
        <v>145</v>
      </c>
      <c r="AE18" s="94" t="s">
        <v>147</v>
      </c>
      <c r="AF18" s="94" t="s">
        <v>145</v>
      </c>
      <c r="AG18" s="92" t="s">
        <v>147</v>
      </c>
      <c r="AH18" s="92" t="s">
        <v>145</v>
      </c>
      <c r="AI18" s="93" t="s">
        <v>147</v>
      </c>
      <c r="AJ18" s="93" t="s">
        <v>145</v>
      </c>
    </row>
    <row r="19" spans="1:36" ht="72" customHeight="1" x14ac:dyDescent="0.3">
      <c r="A19" s="118" t="str">
        <f>'M-Cita'!Q3</f>
        <v>tiempoEspera</v>
      </c>
      <c r="B19" s="168" t="str">
        <f>'M-Cita'!Q2</f>
        <v>Representa la cantidad de minutos en el que el barbero puede esperar a un cliente, después de este tiempo de espera se le hace una sanción por retraso. Si el barbero se pasa de este tiempo se le da el descuento al cliente</v>
      </c>
      <c r="C19" s="118" t="s">
        <v>68</v>
      </c>
      <c r="D19" s="178" t="s">
        <v>201</v>
      </c>
      <c r="E19" s="118" t="s">
        <v>68</v>
      </c>
      <c r="F19" s="118" t="s">
        <v>67</v>
      </c>
      <c r="G19" s="118" t="s">
        <v>67</v>
      </c>
      <c r="H19" s="118" t="s">
        <v>67</v>
      </c>
      <c r="I19" s="118" t="s">
        <v>67</v>
      </c>
      <c r="J19" s="118">
        <v>0</v>
      </c>
      <c r="K19" s="118">
        <v>60</v>
      </c>
      <c r="L19" s="118" t="s">
        <v>67</v>
      </c>
      <c r="M19" s="192" t="s">
        <v>802</v>
      </c>
      <c r="N19" s="118" t="s">
        <v>68</v>
      </c>
      <c r="O19" s="118" t="s">
        <v>67</v>
      </c>
      <c r="P19" s="118" t="s">
        <v>67</v>
      </c>
      <c r="Q19" s="118" t="s">
        <v>67</v>
      </c>
      <c r="R19" s="118" t="s">
        <v>67</v>
      </c>
      <c r="S19" s="118" t="s">
        <v>68</v>
      </c>
      <c r="T19" s="118">
        <v>0</v>
      </c>
      <c r="U19" s="118" t="s">
        <v>68</v>
      </c>
      <c r="V19" s="92" t="s">
        <v>147</v>
      </c>
      <c r="W19" s="93" t="s">
        <v>147</v>
      </c>
      <c r="X19" s="93" t="s">
        <v>145</v>
      </c>
      <c r="Y19" s="94" t="s">
        <v>147</v>
      </c>
      <c r="Z19" s="94" t="s">
        <v>145</v>
      </c>
      <c r="AA19" s="92" t="s">
        <v>147</v>
      </c>
      <c r="AB19" s="92" t="s">
        <v>145</v>
      </c>
      <c r="AC19" s="93" t="s">
        <v>147</v>
      </c>
      <c r="AD19" s="93" t="s">
        <v>145</v>
      </c>
      <c r="AE19" s="94" t="s">
        <v>147</v>
      </c>
      <c r="AF19" s="94" t="s">
        <v>145</v>
      </c>
      <c r="AG19" s="92" t="s">
        <v>147</v>
      </c>
      <c r="AH19" s="92" t="s">
        <v>145</v>
      </c>
      <c r="AI19" s="93" t="s">
        <v>147</v>
      </c>
      <c r="AJ19" s="93" t="s">
        <v>145</v>
      </c>
    </row>
    <row r="20" spans="1:36" ht="72" customHeight="1" x14ac:dyDescent="0.3">
      <c r="A20" s="118" t="str">
        <f>'M-Cita'!R3</f>
        <v>precioTotal</v>
      </c>
      <c r="B20" s="168" t="str">
        <f>'M-Cita'!R2</f>
        <v>Representa cuánto debe pagar el cliente por los servicios de esta cita: la suma del precioServicio de todos sus CitaServicio, al que solo se le aplica el porcentajeDescuento cuando la cita quedó en el estado "El barbero se demoro"</v>
      </c>
      <c r="C20" s="118" t="s">
        <v>68</v>
      </c>
      <c r="D20" s="178" t="s">
        <v>201</v>
      </c>
      <c r="E20" s="118" t="s">
        <v>65</v>
      </c>
      <c r="F20" s="118" t="s">
        <v>67</v>
      </c>
      <c r="G20" s="118" t="s">
        <v>67</v>
      </c>
      <c r="H20" s="118" t="s">
        <v>67</v>
      </c>
      <c r="I20" s="118" t="s">
        <v>67</v>
      </c>
      <c r="J20" s="118">
        <v>0</v>
      </c>
      <c r="K20" s="194">
        <v>3000000</v>
      </c>
      <c r="L20" s="118" t="s">
        <v>67</v>
      </c>
      <c r="M20" s="192" t="s">
        <v>803</v>
      </c>
      <c r="N20" s="118" t="s">
        <v>65</v>
      </c>
      <c r="O20" s="118" t="s">
        <v>67</v>
      </c>
      <c r="P20" s="118" t="s">
        <v>67</v>
      </c>
      <c r="Q20" s="118" t="s">
        <v>67</v>
      </c>
      <c r="R20" s="118" t="s">
        <v>67</v>
      </c>
      <c r="S20" s="118" t="s">
        <v>68</v>
      </c>
      <c r="T20" s="118" t="s">
        <v>329</v>
      </c>
      <c r="U20" s="118" t="s">
        <v>68</v>
      </c>
      <c r="V20" s="92" t="s">
        <v>147</v>
      </c>
      <c r="W20" s="93" t="s">
        <v>147</v>
      </c>
      <c r="X20" s="93" t="s">
        <v>145</v>
      </c>
      <c r="Y20" s="94" t="s">
        <v>147</v>
      </c>
      <c r="Z20" s="94" t="s">
        <v>145</v>
      </c>
      <c r="AA20" s="92" t="s">
        <v>147</v>
      </c>
      <c r="AB20" s="92" t="s">
        <v>145</v>
      </c>
      <c r="AC20" s="93" t="s">
        <v>147</v>
      </c>
      <c r="AD20" s="93" t="s">
        <v>145</v>
      </c>
      <c r="AE20" s="94" t="s">
        <v>147</v>
      </c>
      <c r="AF20" s="94" t="s">
        <v>145</v>
      </c>
      <c r="AG20" s="92" t="s">
        <v>147</v>
      </c>
      <c r="AH20" s="92" t="s">
        <v>149</v>
      </c>
      <c r="AI20" s="93" t="s">
        <v>147</v>
      </c>
      <c r="AJ20" s="93" t="s">
        <v>145</v>
      </c>
    </row>
    <row r="21" spans="1:36" ht="22.5" customHeight="1" x14ac:dyDescent="0.3"/>
    <row r="22" spans="1:36" ht="24.75" customHeight="1" x14ac:dyDescent="0.3">
      <c r="A22" s="195" t="s">
        <v>75</v>
      </c>
      <c r="B22" s="195" t="s">
        <v>76</v>
      </c>
      <c r="C22" s="23" t="s">
        <v>77</v>
      </c>
    </row>
    <row r="23" spans="1:36" ht="14.25" customHeight="1" x14ac:dyDescent="0.3">
      <c r="A23" s="300" t="str">
        <f>'M-Cita'!S3</f>
        <v>Combinación única</v>
      </c>
      <c r="B23" s="301" t="str">
        <f>'M-Cita'!S2</f>
        <v>Combinación única que indica que una misma agenda no puede tener dos citas que empiecen a la misma hora</v>
      </c>
      <c r="C23" s="24" t="str">
        <f>A5</f>
        <v>agenda</v>
      </c>
    </row>
    <row r="24" spans="1:36" ht="14.25" customHeight="1" x14ac:dyDescent="0.3">
      <c r="A24" s="300"/>
      <c r="B24" s="300"/>
      <c r="C24" s="24" t="str">
        <f>A7</f>
        <v>horaInicio</v>
      </c>
    </row>
    <row r="25" spans="1:36" ht="15" customHeight="1" x14ac:dyDescent="0.3"/>
    <row r="26" spans="1:36" x14ac:dyDescent="0.3">
      <c r="A26" s="243" t="s">
        <v>79</v>
      </c>
      <c r="B26" s="243"/>
      <c r="C26" s="239" t="s">
        <v>76</v>
      </c>
      <c r="D26" s="239"/>
      <c r="E26" s="239"/>
      <c r="F26" s="239"/>
      <c r="G26" s="239" t="s">
        <v>80</v>
      </c>
      <c r="H26" s="239"/>
      <c r="I26" s="239"/>
      <c r="J26" s="239" t="s">
        <v>81</v>
      </c>
      <c r="K26" s="239"/>
      <c r="L26" s="239"/>
      <c r="M26" s="239"/>
      <c r="N26" s="239"/>
      <c r="O26" s="239" t="s">
        <v>82</v>
      </c>
      <c r="P26" s="239"/>
      <c r="Q26" s="239" t="s">
        <v>83</v>
      </c>
      <c r="R26" s="239"/>
    </row>
    <row r="27" spans="1:36" x14ac:dyDescent="0.3">
      <c r="A27" s="243"/>
      <c r="B27" s="243"/>
      <c r="C27" s="239"/>
      <c r="D27" s="239"/>
      <c r="E27" s="239"/>
      <c r="F27" s="239"/>
      <c r="G27" s="27" t="s">
        <v>84</v>
      </c>
      <c r="H27" s="27" t="s">
        <v>47</v>
      </c>
      <c r="I27" s="27" t="s">
        <v>76</v>
      </c>
      <c r="J27" s="27" t="s">
        <v>85</v>
      </c>
      <c r="K27" s="240" t="s">
        <v>76</v>
      </c>
      <c r="L27" s="240"/>
      <c r="M27" s="240"/>
      <c r="N27" s="240"/>
      <c r="O27" s="27" t="s">
        <v>86</v>
      </c>
      <c r="P27" s="27" t="s">
        <v>76</v>
      </c>
      <c r="Q27" s="27" t="s">
        <v>87</v>
      </c>
      <c r="R27" s="28" t="s">
        <v>88</v>
      </c>
    </row>
    <row r="28" spans="1:36" ht="86.4" x14ac:dyDescent="0.3">
      <c r="A28" s="283" t="s">
        <v>804</v>
      </c>
      <c r="B28" s="283"/>
      <c r="C28" s="277" t="s">
        <v>805</v>
      </c>
      <c r="D28" s="277"/>
      <c r="E28" s="277"/>
      <c r="F28" s="277"/>
      <c r="G28" s="277" t="s">
        <v>806</v>
      </c>
      <c r="H28" s="284" t="s">
        <v>37</v>
      </c>
      <c r="I28" s="285" t="s">
        <v>807</v>
      </c>
      <c r="J28" s="292" t="s">
        <v>37</v>
      </c>
      <c r="K28" s="277" t="s">
        <v>808</v>
      </c>
      <c r="L28" s="277"/>
      <c r="M28" s="277"/>
      <c r="N28" s="277"/>
      <c r="O28" s="30" t="str">
        <f>'P-Cita'!A6</f>
        <v>P-CIT-0001</v>
      </c>
      <c r="P28" s="29" t="str">
        <f>'P-Cita'!B6</f>
        <v>Asegurar que los datos requeridos (hora de inicio, servicios solicitados) sean válidos en tipo de dato, obligatoriedad, formato y rango</v>
      </c>
      <c r="Q28" s="29" t="s">
        <v>1063</v>
      </c>
      <c r="R28" s="22" t="s">
        <v>164</v>
      </c>
    </row>
    <row r="29" spans="1:36" ht="57.6" x14ac:dyDescent="0.3">
      <c r="A29" s="283"/>
      <c r="B29" s="283"/>
      <c r="C29" s="277"/>
      <c r="D29" s="277"/>
      <c r="E29" s="277"/>
      <c r="F29" s="277"/>
      <c r="G29" s="277"/>
      <c r="H29" s="277"/>
      <c r="I29" s="277"/>
      <c r="J29" s="277"/>
      <c r="K29" s="277"/>
      <c r="L29" s="277"/>
      <c r="M29" s="277"/>
      <c r="N29" s="277"/>
      <c r="O29" s="30" t="str">
        <f>'P-Cita'!A7</f>
        <v>P-CIT-0002</v>
      </c>
      <c r="P29" s="29" t="str">
        <f>'P-Cita'!B7</f>
        <v>Asegurar que el cliente no esté vetado antes de permitirle agendar</v>
      </c>
      <c r="Q29" s="29" t="s">
        <v>1064</v>
      </c>
      <c r="R29" s="22" t="s">
        <v>164</v>
      </c>
    </row>
    <row r="30" spans="1:36" ht="86.4" x14ac:dyDescent="0.3">
      <c r="A30" s="283"/>
      <c r="B30" s="283"/>
      <c r="C30" s="277"/>
      <c r="D30" s="277"/>
      <c r="E30" s="277"/>
      <c r="F30" s="277"/>
      <c r="G30" s="277"/>
      <c r="H30" s="277"/>
      <c r="I30" s="277"/>
      <c r="J30" s="277"/>
      <c r="K30" s="277"/>
      <c r="L30" s="277"/>
      <c r="M30" s="277"/>
      <c r="N30" s="277"/>
      <c r="O30" s="30" t="str">
        <f>'P-Cita'!A8</f>
        <v>P-CIT-0003</v>
      </c>
      <c r="P30" s="29" t="str">
        <f>'P-Cita'!B8</f>
        <v>Asegurar que la agenda tenga disponibilidad y que la hora solicitada quepa dentro del horario del barbero sin solaparse con otra cita o bloqueo</v>
      </c>
      <c r="Q30" s="29" t="s">
        <v>1065</v>
      </c>
      <c r="R30" s="22" t="s">
        <v>164</v>
      </c>
    </row>
    <row r="31" spans="1:36" ht="72" x14ac:dyDescent="0.3">
      <c r="A31" s="283"/>
      <c r="B31" s="283"/>
      <c r="C31" s="277"/>
      <c r="D31" s="277"/>
      <c r="E31" s="277"/>
      <c r="F31" s="277"/>
      <c r="G31" s="277"/>
      <c r="H31" s="277"/>
      <c r="I31" s="277"/>
      <c r="J31" s="277"/>
      <c r="K31" s="277"/>
      <c r="L31" s="277"/>
      <c r="M31" s="277"/>
      <c r="N31" s="277"/>
      <c r="O31" s="30" t="str">
        <f>'P-Cita'!A19</f>
        <v>P-CIT-0014</v>
      </c>
      <c r="P31" s="29" t="str">
        <f>'P-Cita'!B19</f>
        <v>Asegurar que la hora solicitada no caiga dentro de ningún bloqueo del barbero, ni que la cita se extienda sobre uno</v>
      </c>
      <c r="Q31" s="29" t="s">
        <v>1066</v>
      </c>
      <c r="R31" s="22" t="s">
        <v>164</v>
      </c>
    </row>
    <row r="32" spans="1:36" ht="72" x14ac:dyDescent="0.3">
      <c r="A32" s="283"/>
      <c r="B32" s="283"/>
      <c r="C32" s="277"/>
      <c r="D32" s="277"/>
      <c r="E32" s="277"/>
      <c r="F32" s="277"/>
      <c r="G32" s="277"/>
      <c r="H32" s="277"/>
      <c r="I32" s="277"/>
      <c r="J32" s="277"/>
      <c r="K32" s="277"/>
      <c r="L32" s="277"/>
      <c r="M32" s="277"/>
      <c r="N32" s="277"/>
      <c r="O32" s="30" t="str">
        <f>'P-Cita'!A9</f>
        <v>P-CIT-0004</v>
      </c>
      <c r="P32" s="29" t="str">
        <f>'P-Cita'!B9</f>
        <v>Asegurar que cada servicio solicitado esté habilitado para ese barbero</v>
      </c>
      <c r="Q32" s="29" t="s">
        <v>1067</v>
      </c>
      <c r="R32" s="22" t="s">
        <v>164</v>
      </c>
    </row>
    <row r="33" spans="1:18" ht="86.4" x14ac:dyDescent="0.3">
      <c r="A33" s="283"/>
      <c r="B33" s="283"/>
      <c r="C33" s="277"/>
      <c r="D33" s="277"/>
      <c r="E33" s="277"/>
      <c r="F33" s="277"/>
      <c r="G33" s="277"/>
      <c r="H33" s="277"/>
      <c r="I33" s="277"/>
      <c r="J33" s="277"/>
      <c r="K33" s="277"/>
      <c r="L33" s="277"/>
      <c r="M33" s="277"/>
      <c r="N33" s="277"/>
      <c r="O33" s="30" t="str">
        <f>'P-Cita'!A18</f>
        <v>P-CIT-0013</v>
      </c>
      <c r="P33" s="29" t="str">
        <f>'P-Cita'!B18</f>
        <v>Asegurar que todos los servicios pedidos en la cita correspondan a un mismo barbero, porque una cita la atiende un único barbero de principio a fin</v>
      </c>
      <c r="Q33" s="29" t="s">
        <v>1068</v>
      </c>
      <c r="R33" s="22" t="s">
        <v>164</v>
      </c>
    </row>
    <row r="34" spans="1:18" ht="72" x14ac:dyDescent="0.3">
      <c r="A34" s="283"/>
      <c r="B34" s="283"/>
      <c r="C34" s="277"/>
      <c r="D34" s="277"/>
      <c r="E34" s="277"/>
      <c r="F34" s="277"/>
      <c r="G34" s="277"/>
      <c r="H34" s="277"/>
      <c r="I34" s="277"/>
      <c r="J34" s="277"/>
      <c r="K34" s="277"/>
      <c r="L34" s="277"/>
      <c r="M34" s="277"/>
      <c r="N34" s="277"/>
      <c r="O34" s="30" t="str">
        <f>'P-Cita'!A10</f>
        <v>P-CIT-0005</v>
      </c>
      <c r="P34" s="29" t="str">
        <f>'P-Cita'!B10</f>
        <v>Asegurar que la cita se solicite con al menos la anticipación mínima definida por el barbero</v>
      </c>
      <c r="Q34" s="29" t="s">
        <v>1069</v>
      </c>
      <c r="R34" s="22" t="s">
        <v>164</v>
      </c>
    </row>
    <row r="35" spans="1:18" ht="86.4" x14ac:dyDescent="0.3">
      <c r="A35" s="283"/>
      <c r="B35" s="283"/>
      <c r="C35" s="277"/>
      <c r="D35" s="277"/>
      <c r="E35" s="277"/>
      <c r="F35" s="277"/>
      <c r="G35" s="277"/>
      <c r="H35" s="277"/>
      <c r="I35" s="277"/>
      <c r="J35" s="277"/>
      <c r="K35" s="277"/>
      <c r="L35" s="277"/>
      <c r="M35" s="277"/>
      <c r="N35" s="277"/>
      <c r="O35" s="30" t="str">
        <f>'P-Cita'!A11</f>
        <v>P-CIT-0006</v>
      </c>
      <c r="P35" s="29" t="str">
        <f>'P-Cita'!B11</f>
        <v>Congelar en la cita el valor de multa, el tiempoEspera y el porcentajeDescuento en el momento de agendarla, para que un cambio posterior no altere citas ya registradas</v>
      </c>
      <c r="Q35" s="29" t="s">
        <v>809</v>
      </c>
      <c r="R35" s="22" t="s">
        <v>164</v>
      </c>
    </row>
    <row r="36" spans="1:18" ht="82.8" x14ac:dyDescent="0.3">
      <c r="A36" s="414" t="s">
        <v>810</v>
      </c>
      <c r="B36" s="415"/>
      <c r="C36" s="420" t="s">
        <v>811</v>
      </c>
      <c r="D36" s="421"/>
      <c r="E36" s="421"/>
      <c r="F36" s="422"/>
      <c r="G36" s="67" t="s">
        <v>129</v>
      </c>
      <c r="H36" s="67" t="s">
        <v>156</v>
      </c>
      <c r="I36" s="71" t="s">
        <v>812</v>
      </c>
      <c r="J36" s="438" t="s">
        <v>37</v>
      </c>
      <c r="K36" s="420" t="s">
        <v>813</v>
      </c>
      <c r="L36" s="421"/>
      <c r="M36" s="421"/>
      <c r="N36" s="422"/>
      <c r="O36" s="67" t="str">
        <f>'P-Cita'!A20</f>
        <v>P-CIT-0015</v>
      </c>
      <c r="P36" s="70" t="str">
        <f>'P-Cita'!B20</f>
        <v>Asegurar que exista la cita con el id enviado</v>
      </c>
      <c r="Q36" s="70" t="s">
        <v>814</v>
      </c>
      <c r="R36" s="101" t="s">
        <v>164</v>
      </c>
    </row>
    <row r="37" spans="1:18" ht="86.4" x14ac:dyDescent="0.3">
      <c r="A37" s="416"/>
      <c r="B37" s="417"/>
      <c r="C37" s="423"/>
      <c r="D37" s="424"/>
      <c r="E37" s="424"/>
      <c r="F37" s="425"/>
      <c r="G37" s="429" t="s">
        <v>815</v>
      </c>
      <c r="H37" s="430"/>
      <c r="I37" s="435" t="s">
        <v>816</v>
      </c>
      <c r="J37" s="439"/>
      <c r="K37" s="423"/>
      <c r="L37" s="424"/>
      <c r="M37" s="424"/>
      <c r="N37" s="425"/>
      <c r="O37" s="67" t="str">
        <f>'P-Cita'!A21</f>
        <v>P-CIT-0016</v>
      </c>
      <c r="P37" s="70" t="str">
        <f>'P-Cita'!B21</f>
        <v>Asegurar que la cita se encuentre en estado Agendada</v>
      </c>
      <c r="Q37" s="70" t="s">
        <v>1089</v>
      </c>
      <c r="R37" s="101" t="s">
        <v>164</v>
      </c>
    </row>
    <row r="38" spans="1:18" ht="86.4" x14ac:dyDescent="0.3">
      <c r="A38" s="416"/>
      <c r="B38" s="417"/>
      <c r="C38" s="423"/>
      <c r="D38" s="424"/>
      <c r="E38" s="424"/>
      <c r="F38" s="425"/>
      <c r="G38" s="431"/>
      <c r="H38" s="432"/>
      <c r="I38" s="436"/>
      <c r="J38" s="439"/>
      <c r="K38" s="423"/>
      <c r="L38" s="424"/>
      <c r="M38" s="424"/>
      <c r="N38" s="425"/>
      <c r="O38" s="67" t="str">
        <f>'P-Cita'!A8</f>
        <v>P-CIT-0003</v>
      </c>
      <c r="P38" s="70" t="str">
        <f>'P-Cita'!B8</f>
        <v>Asegurar que la agenda tenga disponibilidad y que la hora solicitada quepa dentro del horario del barbero sin solaparse con otra cita o bloqueo</v>
      </c>
      <c r="Q38" s="70" t="s">
        <v>1065</v>
      </c>
      <c r="R38" s="101" t="s">
        <v>164</v>
      </c>
    </row>
    <row r="39" spans="1:18" ht="72" x14ac:dyDescent="0.3">
      <c r="A39" s="416"/>
      <c r="B39" s="417"/>
      <c r="C39" s="423"/>
      <c r="D39" s="424"/>
      <c r="E39" s="424"/>
      <c r="F39" s="425"/>
      <c r="G39" s="431"/>
      <c r="H39" s="432"/>
      <c r="I39" s="436"/>
      <c r="J39" s="439"/>
      <c r="K39" s="423"/>
      <c r="L39" s="424"/>
      <c r="M39" s="424"/>
      <c r="N39" s="425"/>
      <c r="O39" s="67" t="str">
        <f>'P-Cita'!A19</f>
        <v>P-CIT-0014</v>
      </c>
      <c r="P39" s="70" t="str">
        <f>'P-Cita'!B19</f>
        <v>Asegurar que la hora solicitada no caiga dentro de ningún bloqueo del barbero, ni que la cita se extienda sobre uno</v>
      </c>
      <c r="Q39" s="70" t="s">
        <v>1066</v>
      </c>
      <c r="R39" s="101" t="s">
        <v>164</v>
      </c>
    </row>
    <row r="40" spans="1:18" ht="72" x14ac:dyDescent="0.3">
      <c r="A40" s="418"/>
      <c r="B40" s="419"/>
      <c r="C40" s="426"/>
      <c r="D40" s="427"/>
      <c r="E40" s="427"/>
      <c r="F40" s="428"/>
      <c r="G40" s="433"/>
      <c r="H40" s="434"/>
      <c r="I40" s="437"/>
      <c r="J40" s="440"/>
      <c r="K40" s="426"/>
      <c r="L40" s="427"/>
      <c r="M40" s="427"/>
      <c r="N40" s="428"/>
      <c r="O40" s="67" t="str">
        <f>'P-Cita'!A10</f>
        <v>P-CIT-0005</v>
      </c>
      <c r="P40" s="70" t="str">
        <f>'P-Cita'!B10</f>
        <v>Asegurar que la cita se solicite con al menos la anticipación mínima definida por el barbero</v>
      </c>
      <c r="Q40" s="70" t="s">
        <v>1069</v>
      </c>
      <c r="R40" s="101" t="s">
        <v>164</v>
      </c>
    </row>
    <row r="41" spans="1:18" ht="72" x14ac:dyDescent="0.3">
      <c r="A41" s="483" t="s">
        <v>817</v>
      </c>
      <c r="B41" s="484"/>
      <c r="C41" s="465" t="s">
        <v>818</v>
      </c>
      <c r="D41" s="466"/>
      <c r="E41" s="466"/>
      <c r="F41" s="467"/>
      <c r="G41" s="489" t="s">
        <v>129</v>
      </c>
      <c r="H41" s="490"/>
      <c r="I41" s="525" t="s">
        <v>819</v>
      </c>
      <c r="J41" s="520" t="s">
        <v>37</v>
      </c>
      <c r="K41" s="465" t="s">
        <v>820</v>
      </c>
      <c r="L41" s="466"/>
      <c r="M41" s="466"/>
      <c r="N41" s="467"/>
      <c r="O41" s="68" t="str">
        <f>'P-Cita'!A20</f>
        <v>P-CIT-0015</v>
      </c>
      <c r="P41" s="74" t="str">
        <f>'P-Cita'!B20</f>
        <v>Asegurar que exista la cita con el id enviado</v>
      </c>
      <c r="Q41" s="74" t="s">
        <v>814</v>
      </c>
      <c r="R41" s="103" t="s">
        <v>164</v>
      </c>
    </row>
    <row r="42" spans="1:18" ht="86.4" x14ac:dyDescent="0.3">
      <c r="A42" s="485"/>
      <c r="B42" s="486"/>
      <c r="C42" s="468"/>
      <c r="D42" s="469"/>
      <c r="E42" s="469"/>
      <c r="F42" s="470"/>
      <c r="G42" s="491"/>
      <c r="H42" s="492"/>
      <c r="I42" s="526"/>
      <c r="J42" s="521"/>
      <c r="K42" s="468"/>
      <c r="L42" s="469"/>
      <c r="M42" s="469"/>
      <c r="N42" s="470"/>
      <c r="O42" s="68" t="str">
        <f>'P-Cita'!A21</f>
        <v>P-CIT-0016</v>
      </c>
      <c r="P42" s="74" t="str">
        <f>'P-Cita'!B21</f>
        <v>Asegurar que la cita se encuentre en estado Agendada</v>
      </c>
      <c r="Q42" s="74" t="s">
        <v>1088</v>
      </c>
      <c r="R42" s="103" t="s">
        <v>164</v>
      </c>
    </row>
    <row r="43" spans="1:18" ht="100.8" x14ac:dyDescent="0.3">
      <c r="A43" s="487"/>
      <c r="B43" s="488"/>
      <c r="C43" s="471"/>
      <c r="D43" s="472"/>
      <c r="E43" s="472"/>
      <c r="F43" s="473"/>
      <c r="G43" s="493"/>
      <c r="H43" s="494"/>
      <c r="I43" s="527"/>
      <c r="J43" s="522"/>
      <c r="K43" s="471"/>
      <c r="L43" s="472"/>
      <c r="M43" s="472"/>
      <c r="N43" s="473"/>
      <c r="O43" s="68" t="str">
        <f>'P-Cita'!A16</f>
        <v>P-CIT-0011</v>
      </c>
      <c r="P43" s="74" t="str">
        <f>'P-Cita'!B16</f>
        <v>Rechazar la cancelación cuando falten menos de 2 horas para la horaInicio de la cita: en ese caso el sistema no le permite al cliente cancelarla y la cita se mantiene</v>
      </c>
      <c r="Q43" s="74" t="s">
        <v>821</v>
      </c>
      <c r="R43" s="103" t="s">
        <v>164</v>
      </c>
    </row>
    <row r="44" spans="1:18" ht="72" x14ac:dyDescent="0.3">
      <c r="A44" s="450" t="s">
        <v>822</v>
      </c>
      <c r="B44" s="451"/>
      <c r="C44" s="456" t="s">
        <v>823</v>
      </c>
      <c r="D44" s="457"/>
      <c r="E44" s="457"/>
      <c r="F44" s="458"/>
      <c r="G44" s="474" t="s">
        <v>129</v>
      </c>
      <c r="H44" s="475"/>
      <c r="I44" s="387" t="s">
        <v>824</v>
      </c>
      <c r="J44" s="480" t="s">
        <v>37</v>
      </c>
      <c r="K44" s="456" t="s">
        <v>825</v>
      </c>
      <c r="L44" s="457"/>
      <c r="M44" s="457"/>
      <c r="N44" s="458"/>
      <c r="O44" s="30" t="str">
        <f>'P-Cita'!A20</f>
        <v>P-CIT-0015</v>
      </c>
      <c r="P44" s="29" t="str">
        <f>'P-Cita'!B20</f>
        <v>Asegurar que exista la cita con el id enviado</v>
      </c>
      <c r="Q44" s="29" t="s">
        <v>814</v>
      </c>
      <c r="R44" s="22" t="s">
        <v>164</v>
      </c>
    </row>
    <row r="45" spans="1:18" ht="86.4" x14ac:dyDescent="0.3">
      <c r="A45" s="452"/>
      <c r="B45" s="453"/>
      <c r="C45" s="459"/>
      <c r="D45" s="460"/>
      <c r="E45" s="460"/>
      <c r="F45" s="461"/>
      <c r="G45" s="476"/>
      <c r="H45" s="477"/>
      <c r="I45" s="388"/>
      <c r="J45" s="481"/>
      <c r="K45" s="459"/>
      <c r="L45" s="460"/>
      <c r="M45" s="460"/>
      <c r="N45" s="461"/>
      <c r="O45" s="30" t="str">
        <f>'P-Cita'!A21</f>
        <v>P-CIT-0016</v>
      </c>
      <c r="P45" s="29" t="str">
        <f>'P-Cita'!B21</f>
        <v>Asegurar que la cita se encuentre en estado Agendada</v>
      </c>
      <c r="Q45" s="29" t="s">
        <v>1087</v>
      </c>
      <c r="R45" s="22" t="s">
        <v>164</v>
      </c>
    </row>
    <row r="46" spans="1:18" ht="86.4" x14ac:dyDescent="0.3">
      <c r="A46" s="454"/>
      <c r="B46" s="455"/>
      <c r="C46" s="462"/>
      <c r="D46" s="463"/>
      <c r="E46" s="463"/>
      <c r="F46" s="464"/>
      <c r="G46" s="478"/>
      <c r="H46" s="479"/>
      <c r="I46" s="389"/>
      <c r="J46" s="482"/>
      <c r="K46" s="462"/>
      <c r="L46" s="463"/>
      <c r="M46" s="463"/>
      <c r="N46" s="464"/>
      <c r="O46" s="30" t="str">
        <f>'P-Cita'!A17</f>
        <v>P-CIT-0012</v>
      </c>
      <c r="P46" s="29" t="str">
        <f>'P-Cita'!B17</f>
        <v>Asegurar que el barbero cancele la cita con al menos 2 horas de anticipación frente a su horaInicio</v>
      </c>
      <c r="Q46" s="29" t="s">
        <v>826</v>
      </c>
      <c r="R46" s="22" t="s">
        <v>164</v>
      </c>
    </row>
    <row r="47" spans="1:18" ht="72" x14ac:dyDescent="0.3">
      <c r="A47" s="414" t="s">
        <v>827</v>
      </c>
      <c r="B47" s="415"/>
      <c r="C47" s="420" t="s">
        <v>828</v>
      </c>
      <c r="D47" s="421"/>
      <c r="E47" s="421"/>
      <c r="F47" s="422"/>
      <c r="G47" s="281" t="s">
        <v>129</v>
      </c>
      <c r="H47" s="281" t="s">
        <v>156</v>
      </c>
      <c r="I47" s="282" t="s">
        <v>829</v>
      </c>
      <c r="J47" s="438" t="s">
        <v>37</v>
      </c>
      <c r="K47" s="420" t="s">
        <v>830</v>
      </c>
      <c r="L47" s="421"/>
      <c r="M47" s="421"/>
      <c r="N47" s="422"/>
      <c r="O47" s="67" t="str">
        <f>'P-Cita'!A20</f>
        <v>P-CIT-0015</v>
      </c>
      <c r="P47" s="70" t="str">
        <f>'P-Cita'!B20</f>
        <v>Asegurar que exista la cita con el id enviado</v>
      </c>
      <c r="Q47" s="70" t="s">
        <v>814</v>
      </c>
      <c r="R47" s="101" t="s">
        <v>164</v>
      </c>
    </row>
    <row r="48" spans="1:18" ht="86.4" x14ac:dyDescent="0.3">
      <c r="A48" s="416"/>
      <c r="B48" s="417"/>
      <c r="C48" s="423"/>
      <c r="D48" s="424"/>
      <c r="E48" s="424"/>
      <c r="F48" s="425"/>
      <c r="G48" s="281"/>
      <c r="H48" s="281"/>
      <c r="I48" s="282"/>
      <c r="J48" s="439"/>
      <c r="K48" s="423"/>
      <c r="L48" s="424"/>
      <c r="M48" s="424"/>
      <c r="N48" s="425"/>
      <c r="O48" s="67" t="str">
        <f>'P-Cita'!A21</f>
        <v>P-CIT-0016</v>
      </c>
      <c r="P48" s="70" t="str">
        <f>'P-Cita'!B21</f>
        <v>Asegurar que la cita se encuentre en estado Agendada</v>
      </c>
      <c r="Q48" s="70" t="s">
        <v>1085</v>
      </c>
      <c r="R48" s="101" t="s">
        <v>164</v>
      </c>
    </row>
    <row r="49" spans="1:18" ht="76.5" customHeight="1" x14ac:dyDescent="0.3">
      <c r="A49" s="416"/>
      <c r="B49" s="417"/>
      <c r="C49" s="423"/>
      <c r="D49" s="424"/>
      <c r="E49" s="424"/>
      <c r="F49" s="425"/>
      <c r="G49" s="528" t="s">
        <v>831</v>
      </c>
      <c r="H49" s="530" t="s">
        <v>518</v>
      </c>
      <c r="I49" s="347" t="s">
        <v>832</v>
      </c>
      <c r="J49" s="439"/>
      <c r="K49" s="423"/>
      <c r="L49" s="424"/>
      <c r="M49" s="424"/>
      <c r="N49" s="425"/>
      <c r="O49" s="67" t="str">
        <f>'P-Cita'!A24</f>
        <v>P-CIT-0019</v>
      </c>
      <c r="P49" s="70" t="str">
        <f>'P-Cita'!B24</f>
        <v>Asegurar que la llegada del cliente no haya sido registrada previamente</v>
      </c>
      <c r="Q49" s="70" t="s">
        <v>1086</v>
      </c>
      <c r="R49" s="101" t="s">
        <v>164</v>
      </c>
    </row>
    <row r="50" spans="1:18" ht="72" x14ac:dyDescent="0.3">
      <c r="A50" s="418"/>
      <c r="B50" s="419"/>
      <c r="C50" s="426"/>
      <c r="D50" s="427"/>
      <c r="E50" s="427"/>
      <c r="F50" s="428"/>
      <c r="G50" s="529"/>
      <c r="H50" s="531"/>
      <c r="I50" s="348"/>
      <c r="J50" s="440"/>
      <c r="K50" s="426"/>
      <c r="L50" s="427"/>
      <c r="M50" s="427"/>
      <c r="N50" s="428"/>
      <c r="O50" s="67" t="str">
        <f>'P-Cita'!A15</f>
        <v>P-CIT-0010</v>
      </c>
      <c r="P50" s="70" t="str">
        <f>'P-Cita'!B15</f>
        <v>Si minutosTardanzaCliente supera el tiempoEspera de la cita, generar una Multa de tipo Tardanza por el valor de multa de esa misma cita</v>
      </c>
      <c r="Q50" s="70" t="s">
        <v>833</v>
      </c>
      <c r="R50" s="101" t="s">
        <v>164</v>
      </c>
    </row>
    <row r="51" spans="1:18" ht="162" customHeight="1" x14ac:dyDescent="0.3">
      <c r="A51" s="483" t="s">
        <v>834</v>
      </c>
      <c r="B51" s="484"/>
      <c r="C51" s="511" t="s">
        <v>835</v>
      </c>
      <c r="D51" s="512"/>
      <c r="E51" s="512"/>
      <c r="F51" s="513"/>
      <c r="G51" s="293" t="s">
        <v>129</v>
      </c>
      <c r="H51" s="293" t="s">
        <v>156</v>
      </c>
      <c r="I51" s="295" t="s">
        <v>836</v>
      </c>
      <c r="J51" s="520" t="s">
        <v>37</v>
      </c>
      <c r="K51" s="511" t="s">
        <v>837</v>
      </c>
      <c r="L51" s="512"/>
      <c r="M51" s="512"/>
      <c r="N51" s="513"/>
      <c r="O51" s="68" t="str">
        <f>'P-Cita'!A20</f>
        <v>P-CIT-0015</v>
      </c>
      <c r="P51" s="74" t="str">
        <f>'P-Cita'!B20</f>
        <v>Asegurar que exista la cita con el id enviado</v>
      </c>
      <c r="Q51" s="74" t="s">
        <v>814</v>
      </c>
      <c r="R51" s="103" t="s">
        <v>164</v>
      </c>
    </row>
    <row r="52" spans="1:18" ht="162" customHeight="1" x14ac:dyDescent="0.3">
      <c r="A52" s="485"/>
      <c r="B52" s="486"/>
      <c r="C52" s="514"/>
      <c r="D52" s="515"/>
      <c r="E52" s="515"/>
      <c r="F52" s="516"/>
      <c r="G52" s="293"/>
      <c r="H52" s="293"/>
      <c r="I52" s="295"/>
      <c r="J52" s="521"/>
      <c r="K52" s="514"/>
      <c r="L52" s="515"/>
      <c r="M52" s="515"/>
      <c r="N52" s="516"/>
      <c r="O52" s="68" t="str">
        <f>'P-Cita'!A22</f>
        <v>P-CIT-0017</v>
      </c>
      <c r="P52" s="74" t="str">
        <f>'P-Cita'!B22</f>
        <v>Asegurar que la llegada del cliente esté registrada y que la cita se encuentre en estado Agendada o El cliente se demoro</v>
      </c>
      <c r="Q52" s="74" t="s">
        <v>1083</v>
      </c>
      <c r="R52" s="103" t="s">
        <v>164</v>
      </c>
    </row>
    <row r="53" spans="1:18" ht="162" customHeight="1" x14ac:dyDescent="0.3">
      <c r="A53" s="485"/>
      <c r="B53" s="486"/>
      <c r="C53" s="514"/>
      <c r="D53" s="515"/>
      <c r="E53" s="515"/>
      <c r="F53" s="516"/>
      <c r="G53" s="287" t="s">
        <v>838</v>
      </c>
      <c r="H53" s="293" t="s">
        <v>518</v>
      </c>
      <c r="I53" s="295" t="s">
        <v>839</v>
      </c>
      <c r="J53" s="521"/>
      <c r="K53" s="514"/>
      <c r="L53" s="515"/>
      <c r="M53" s="515"/>
      <c r="N53" s="516"/>
      <c r="O53" s="68" t="str">
        <f>'P-Cita'!A25</f>
        <v>P-CIT-0020</v>
      </c>
      <c r="P53" s="74" t="str">
        <f>'P-Cita'!B25</f>
        <v>Asegurar que la atención de la cita no haya sido iniciada previamente</v>
      </c>
      <c r="Q53" s="74" t="s">
        <v>1084</v>
      </c>
      <c r="R53" s="103" t="s">
        <v>164</v>
      </c>
    </row>
    <row r="54" spans="1:18" ht="86.4" x14ac:dyDescent="0.3">
      <c r="A54" s="487"/>
      <c r="B54" s="488"/>
      <c r="C54" s="517"/>
      <c r="D54" s="518"/>
      <c r="E54" s="518"/>
      <c r="F54" s="519"/>
      <c r="G54" s="287"/>
      <c r="H54" s="293"/>
      <c r="I54" s="295"/>
      <c r="J54" s="522"/>
      <c r="K54" s="517"/>
      <c r="L54" s="518"/>
      <c r="M54" s="518"/>
      <c r="N54" s="519"/>
      <c r="O54" s="68" t="str">
        <f>'P-Cita'!A14</f>
        <v>P-CIT-0009</v>
      </c>
      <c r="P54" s="74" t="str">
        <f>'P-Cita'!B14</f>
        <v>Si minutosDemoraBarbero supera el tiempoEspera de la cita, aplicar el porcentajeDescuento de esa misma cita sobre su precioTotal</v>
      </c>
      <c r="Q54" s="74" t="s">
        <v>840</v>
      </c>
      <c r="R54" s="103" t="s">
        <v>164</v>
      </c>
    </row>
    <row r="55" spans="1:18" ht="175.5" customHeight="1" x14ac:dyDescent="0.3">
      <c r="A55" s="450" t="s">
        <v>841</v>
      </c>
      <c r="B55" s="451"/>
      <c r="C55" s="502" t="s">
        <v>842</v>
      </c>
      <c r="D55" s="503"/>
      <c r="E55" s="503"/>
      <c r="F55" s="504"/>
      <c r="G55" s="30" t="s">
        <v>129</v>
      </c>
      <c r="H55" s="30" t="s">
        <v>156</v>
      </c>
      <c r="I55" s="31" t="s">
        <v>843</v>
      </c>
      <c r="J55" s="480" t="s">
        <v>37</v>
      </c>
      <c r="K55" s="502" t="s">
        <v>844</v>
      </c>
      <c r="L55" s="503"/>
      <c r="M55" s="503"/>
      <c r="N55" s="504"/>
      <c r="O55" s="30" t="str">
        <f>'P-Cita'!A20</f>
        <v>P-CIT-0015</v>
      </c>
      <c r="P55" s="29" t="str">
        <f>'P-Cita'!B20</f>
        <v>Asegurar que exista la cita con el id enviado</v>
      </c>
      <c r="Q55" s="29" t="s">
        <v>814</v>
      </c>
      <c r="R55" s="22" t="s">
        <v>164</v>
      </c>
    </row>
    <row r="56" spans="1:18" ht="175.5" customHeight="1" x14ac:dyDescent="0.3">
      <c r="A56" s="452"/>
      <c r="B56" s="453"/>
      <c r="C56" s="505"/>
      <c r="D56" s="506"/>
      <c r="E56" s="506"/>
      <c r="F56" s="507"/>
      <c r="G56" s="523" t="s">
        <v>845</v>
      </c>
      <c r="H56" s="523" t="s">
        <v>518</v>
      </c>
      <c r="I56" s="387" t="s">
        <v>846</v>
      </c>
      <c r="J56" s="481"/>
      <c r="K56" s="505"/>
      <c r="L56" s="506"/>
      <c r="M56" s="506"/>
      <c r="N56" s="507"/>
      <c r="O56" s="30" t="str">
        <f>'P-Cita'!A23</f>
        <v>P-CIT-0018</v>
      </c>
      <c r="P56" s="29" t="str">
        <f>'P-Cita'!B23</f>
        <v>Asegurar que la atención de la cita haya sido iniciada y que la cita no se encuentre en un estado final (Finalizada, Cancelada por el cliente, Cancelada por el barbero, Inasistencia del cliente o Cancelación)</v>
      </c>
      <c r="Q56" s="29" t="s">
        <v>1082</v>
      </c>
      <c r="R56" s="22" t="s">
        <v>164</v>
      </c>
    </row>
    <row r="57" spans="1:18" ht="100.8" x14ac:dyDescent="0.3">
      <c r="A57" s="454"/>
      <c r="B57" s="455"/>
      <c r="C57" s="508"/>
      <c r="D57" s="509"/>
      <c r="E57" s="509"/>
      <c r="F57" s="510"/>
      <c r="G57" s="524"/>
      <c r="H57" s="524"/>
      <c r="I57" s="389"/>
      <c r="J57" s="482"/>
      <c r="K57" s="508"/>
      <c r="L57" s="509"/>
      <c r="M57" s="509"/>
      <c r="N57" s="510"/>
      <c r="O57" s="30" t="str">
        <f>'P-Cita'!A12</f>
        <v>P-CIT-0007</v>
      </c>
      <c r="P57" s="29" t="str">
        <f>'P-Cita'!B12</f>
        <v>Al finalizar la atención, calcular minutosTardanzaCliente, minutosDemoraBarbero, duración y precioTotal a partir de los tiempos realmente registrados</v>
      </c>
      <c r="Q57" s="29" t="s">
        <v>847</v>
      </c>
      <c r="R57" s="22" t="s">
        <v>164</v>
      </c>
    </row>
    <row r="58" spans="1:18" ht="108.75" customHeight="1" x14ac:dyDescent="0.3">
      <c r="A58" s="414" t="s">
        <v>848</v>
      </c>
      <c r="B58" s="415"/>
      <c r="C58" s="441" t="s">
        <v>849</v>
      </c>
      <c r="D58" s="442"/>
      <c r="E58" s="442"/>
      <c r="F58" s="443"/>
      <c r="G58" s="495" t="s">
        <v>129</v>
      </c>
      <c r="H58" s="496"/>
      <c r="I58" s="347" t="s">
        <v>850</v>
      </c>
      <c r="J58" s="438" t="s">
        <v>37</v>
      </c>
      <c r="K58" s="441" t="s">
        <v>851</v>
      </c>
      <c r="L58" s="442"/>
      <c r="M58" s="442"/>
      <c r="N58" s="443"/>
      <c r="O58" s="67" t="str">
        <f>'P-Cita'!A20</f>
        <v>P-CIT-0015</v>
      </c>
      <c r="P58" s="70" t="str">
        <f>'P-Cita'!B20</f>
        <v>Asegurar que exista la cita con el id enviado</v>
      </c>
      <c r="Q58" s="70" t="s">
        <v>814</v>
      </c>
      <c r="R58" s="101" t="s">
        <v>164</v>
      </c>
    </row>
    <row r="59" spans="1:18" ht="108.75" customHeight="1" x14ac:dyDescent="0.3">
      <c r="A59" s="416"/>
      <c r="B59" s="417"/>
      <c r="C59" s="444"/>
      <c r="D59" s="445"/>
      <c r="E59" s="445"/>
      <c r="F59" s="446"/>
      <c r="G59" s="497"/>
      <c r="H59" s="498"/>
      <c r="I59" s="501"/>
      <c r="J59" s="439"/>
      <c r="K59" s="444"/>
      <c r="L59" s="445"/>
      <c r="M59" s="445"/>
      <c r="N59" s="446"/>
      <c r="O59" s="67" t="str">
        <f>'P-Cita'!A21</f>
        <v>P-CIT-0016</v>
      </c>
      <c r="P59" s="70" t="str">
        <f>'P-Cita'!B21</f>
        <v>Asegurar que la cita se encuentre en estado Agendada</v>
      </c>
      <c r="Q59" s="70" t="s">
        <v>1080</v>
      </c>
      <c r="R59" s="101" t="s">
        <v>164</v>
      </c>
    </row>
    <row r="60" spans="1:18" ht="108.75" customHeight="1" x14ac:dyDescent="0.3">
      <c r="A60" s="416"/>
      <c r="B60" s="417"/>
      <c r="C60" s="444"/>
      <c r="D60" s="445"/>
      <c r="E60" s="445"/>
      <c r="F60" s="446"/>
      <c r="G60" s="497"/>
      <c r="H60" s="498"/>
      <c r="I60" s="501"/>
      <c r="J60" s="439"/>
      <c r="K60" s="444"/>
      <c r="L60" s="445"/>
      <c r="M60" s="445"/>
      <c r="N60" s="446"/>
      <c r="O60" s="67" t="str">
        <f>'P-Cita'!A24</f>
        <v>P-CIT-0019</v>
      </c>
      <c r="P60" s="70" t="str">
        <f>'P-Cita'!B24</f>
        <v>Asegurar que la llegada del cliente no haya sido registrada previamente</v>
      </c>
      <c r="Q60" s="70" t="s">
        <v>1081</v>
      </c>
      <c r="R60" s="101" t="s">
        <v>164</v>
      </c>
    </row>
    <row r="61" spans="1:18" ht="108.75" customHeight="1" x14ac:dyDescent="0.3">
      <c r="A61" s="418"/>
      <c r="B61" s="419"/>
      <c r="C61" s="447"/>
      <c r="D61" s="448"/>
      <c r="E61" s="448"/>
      <c r="F61" s="449"/>
      <c r="G61" s="499"/>
      <c r="H61" s="500"/>
      <c r="I61" s="348"/>
      <c r="J61" s="440"/>
      <c r="K61" s="447"/>
      <c r="L61" s="448"/>
      <c r="M61" s="448"/>
      <c r="N61" s="449"/>
      <c r="O61" s="67" t="str">
        <f>'P-Cita'!A13</f>
        <v>P-CIT-0008</v>
      </c>
      <c r="P61" s="70" t="str">
        <f>'P-Cita'!B13</f>
        <v>Generar una Multa por el valor total de los servicios pedidos</v>
      </c>
      <c r="Q61" s="70" t="s">
        <v>852</v>
      </c>
      <c r="R61" s="101" t="s">
        <v>164</v>
      </c>
    </row>
  </sheetData>
  <mergeCells count="74">
    <mergeCell ref="G49:G50"/>
    <mergeCell ref="H49:H50"/>
    <mergeCell ref="I49:I50"/>
    <mergeCell ref="G51:G52"/>
    <mergeCell ref="H51:H52"/>
    <mergeCell ref="I51:I52"/>
    <mergeCell ref="K36:N40"/>
    <mergeCell ref="G47:G48"/>
    <mergeCell ref="H47:H48"/>
    <mergeCell ref="I47:I48"/>
    <mergeCell ref="I41:I43"/>
    <mergeCell ref="J41:J43"/>
    <mergeCell ref="C55:F57"/>
    <mergeCell ref="J55:J57"/>
    <mergeCell ref="K55:N57"/>
    <mergeCell ref="A51:B54"/>
    <mergeCell ref="C51:F54"/>
    <mergeCell ref="J51:J54"/>
    <mergeCell ref="K51:N54"/>
    <mergeCell ref="G53:G54"/>
    <mergeCell ref="H53:H54"/>
    <mergeCell ref="I53:I54"/>
    <mergeCell ref="G56:G57"/>
    <mergeCell ref="H56:H57"/>
    <mergeCell ref="I56:I57"/>
    <mergeCell ref="A58:B61"/>
    <mergeCell ref="C58:F61"/>
    <mergeCell ref="G58:H61"/>
    <mergeCell ref="I58:I61"/>
    <mergeCell ref="J58:J61"/>
    <mergeCell ref="K58:N61"/>
    <mergeCell ref="A55:B57"/>
    <mergeCell ref="K47:N50"/>
    <mergeCell ref="K44:N46"/>
    <mergeCell ref="K41:N43"/>
    <mergeCell ref="A47:B50"/>
    <mergeCell ref="C47:F50"/>
    <mergeCell ref="J47:J50"/>
    <mergeCell ref="A44:B46"/>
    <mergeCell ref="C44:F46"/>
    <mergeCell ref="G44:H46"/>
    <mergeCell ref="I44:I46"/>
    <mergeCell ref="J44:J46"/>
    <mergeCell ref="A41:B43"/>
    <mergeCell ref="C41:F43"/>
    <mergeCell ref="G41:H43"/>
    <mergeCell ref="A36:B40"/>
    <mergeCell ref="C36:F40"/>
    <mergeCell ref="G37:H40"/>
    <mergeCell ref="I37:I40"/>
    <mergeCell ref="J28:J35"/>
    <mergeCell ref="J36:J40"/>
    <mergeCell ref="K28:N35"/>
    <mergeCell ref="A28:B35"/>
    <mergeCell ref="C28:F35"/>
    <mergeCell ref="G28:G35"/>
    <mergeCell ref="H28:H35"/>
    <mergeCell ref="I28:I35"/>
    <mergeCell ref="AG2:AH2"/>
    <mergeCell ref="AI2:AJ2"/>
    <mergeCell ref="A23:A24"/>
    <mergeCell ref="B23:B24"/>
    <mergeCell ref="A26:B27"/>
    <mergeCell ref="C26:F27"/>
    <mergeCell ref="G26:I26"/>
    <mergeCell ref="J26:N26"/>
    <mergeCell ref="O26:P26"/>
    <mergeCell ref="Q26:R26"/>
    <mergeCell ref="K27:N27"/>
    <mergeCell ref="W2:X2"/>
    <mergeCell ref="Y2:Z2"/>
    <mergeCell ref="AA2:AB2"/>
    <mergeCell ref="AC2:AD2"/>
    <mergeCell ref="AE2:AF2"/>
  </mergeCells>
  <hyperlinks>
    <hyperlink ref="A1" location="'Modelo de Dominio'!A1" display="&lt;&lt;&lt;&lt; Ir al modulo de dominio" xr:uid="{00000000-0004-0000-3200-000000000000}"/>
    <hyperlink ref="B1" location="'Objetos de Dominio'!A1" display="&lt;&lt;&lt;&lt; Ir a objetos de dominio" xr:uid="{00000000-0004-0000-3200-000001000000}"/>
    <hyperlink ref="V2" location="'C-Cita'!A28" display="#'C-Cita'.A28" xr:uid="{00000000-0004-0000-3200-000002000000}"/>
    <hyperlink ref="W2" location="'C-Cita'!A36" display="#'C-Cita'.A36" xr:uid="{00000000-0004-0000-3200-000003000000}"/>
    <hyperlink ref="Y2" location="'C-Cita'!A41" display="'C-Cita'!A41" xr:uid="{00000000-0004-0000-3200-000004000000}"/>
    <hyperlink ref="AA2" location="'C-Cita'!A44" display="'C-Cita'!A44" xr:uid="{00000000-0004-0000-3200-000005000000}"/>
    <hyperlink ref="AC2" location="'C-Cita'!A47" display="'C-Cita'!A47" xr:uid="{00000000-0004-0000-3200-000006000000}"/>
    <hyperlink ref="AE2" location="'C-Cita'!A51" display="'C-Cita'!A51" xr:uid="{00000000-0004-0000-3200-000007000000}"/>
    <hyperlink ref="AG2" location="'C-Cita'!A55" display="'C-Cita'!A55" xr:uid="{00000000-0004-0000-3200-000008000000}"/>
    <hyperlink ref="AI2" location="'C-Cita'!A58" display="'C-Cita'!A58" xr:uid="{00000000-0004-0000-3200-000009000000}"/>
    <hyperlink ref="A3" location="'M-Cita'!A3" display="#'M-Cita'.A3" xr:uid="{00000000-0004-0000-3200-00000A000000}"/>
    <hyperlink ref="B3" location="'M-Cita'!A2" display="#'M-Cita'.A2" xr:uid="{00000000-0004-0000-3200-00000B000000}"/>
    <hyperlink ref="A4" location="'M-Cita'!A3" display="#'M-Cita'.A3" xr:uid="{00000000-0004-0000-3200-00000C000000}"/>
    <hyperlink ref="B4" location="'M-Cita'!A2" display="#'M-Cita'.A2" xr:uid="{00000000-0004-0000-3200-00000D000000}"/>
    <hyperlink ref="D4" location="'C-Cliente'!A1" display="Cliente" xr:uid="{00000000-0004-0000-3200-00000E000000}"/>
    <hyperlink ref="A5" location="'M-Cita'!A3" display="#'M-Cita'.A3" xr:uid="{00000000-0004-0000-3200-00000F000000}"/>
    <hyperlink ref="B5" location="'M-Cita'!A2" display="#'M-Cita'.A2" xr:uid="{00000000-0004-0000-3200-000010000000}"/>
    <hyperlink ref="D5" location="'C-Agenda'!A1" display="Agenda" xr:uid="{00000000-0004-0000-3200-000011000000}"/>
    <hyperlink ref="A6" location="'M-Cita'!A3" display="#'M-Cita'.A3" xr:uid="{00000000-0004-0000-3200-000012000000}"/>
    <hyperlink ref="B6" location="'M-Cita'!A2" display="#'M-Cita'.A2" xr:uid="{00000000-0004-0000-3200-000013000000}"/>
    <hyperlink ref="D6" location="'C-Estado'!A1" display="Estado" xr:uid="{00000000-0004-0000-3200-000014000000}"/>
    <hyperlink ref="A7" location="'M-Cita'!A3" display="#'M-Cita'.A3" xr:uid="{00000000-0004-0000-3200-000015000000}"/>
    <hyperlink ref="B7" location="'M-Cita'!A2" display="#'M-Cita'.A2" xr:uid="{00000000-0004-0000-3200-000016000000}"/>
    <hyperlink ref="A8" location="'M-Cita'!A3" display="#'M-Cita'.A3" xr:uid="{00000000-0004-0000-3200-000017000000}"/>
    <hyperlink ref="B8" location="'M-Cita'!A2" display="#'M-Cita'.A2" xr:uid="{00000000-0004-0000-3200-000018000000}"/>
    <hyperlink ref="A9" location="'M-Cita'!A3" display="#'M-Cita'.A3" xr:uid="{00000000-0004-0000-3200-000019000000}"/>
    <hyperlink ref="B9" location="'M-Cita'!A2" display="#'M-Cita'.A2" xr:uid="{00000000-0004-0000-3200-00001A000000}"/>
    <hyperlink ref="A10" location="'M-Cita'!A3" display="#'M-Cita'.A3" xr:uid="{00000000-0004-0000-3200-00001B000000}"/>
    <hyperlink ref="B10" location="'M-Cita'!A2" display="#'M-Cita'.A2" xr:uid="{00000000-0004-0000-3200-00001C000000}"/>
    <hyperlink ref="A11" location="'M-Cita'!A3" display="#'M-Cita'.A3" xr:uid="{00000000-0004-0000-3200-00001D000000}"/>
    <hyperlink ref="B11" location="'M-Cita'!A2" display="#'M-Cita'.A2" xr:uid="{00000000-0004-0000-3200-00001E000000}"/>
    <hyperlink ref="A13" location="'M-Cita'!A3" display="#'M-Cita'.A3" xr:uid="{00000000-0004-0000-3200-00001F000000}"/>
    <hyperlink ref="B13" location="'M-Cita'!A2" display="#'M-Cita'.A2" xr:uid="{00000000-0004-0000-3200-000020000000}"/>
    <hyperlink ref="A14" location="'M-Cita'!A3" display="#'M-Cita'.A3" xr:uid="{00000000-0004-0000-3200-000021000000}"/>
    <hyperlink ref="B14" location="'M-Cita'!A2" display="#'M-Cita'.A2" xr:uid="{00000000-0004-0000-3200-000022000000}"/>
    <hyperlink ref="A15" location="'M-Cita'!A3" display="#'M-Cita'.A3" xr:uid="{00000000-0004-0000-3200-000023000000}"/>
    <hyperlink ref="B15" location="'M-Cita'!A2" display="#'M-Cita'.A2" xr:uid="{00000000-0004-0000-3200-000024000000}"/>
    <hyperlink ref="A16" location="'M-Cita'!A3" display="#'M-Cita'.A3" xr:uid="{00000000-0004-0000-3200-000025000000}"/>
    <hyperlink ref="B16" location="'M-Cita'!A2" display="#'M-Cita'.A2" xr:uid="{00000000-0004-0000-3200-000026000000}"/>
    <hyperlink ref="A17" location="'M-Cita'!A3" display="#'M-Cita'.A3" xr:uid="{00000000-0004-0000-3200-000027000000}"/>
    <hyperlink ref="B17" location="'M-Cita'!A2" display="#'M-Cita'.A2" xr:uid="{00000000-0004-0000-3200-000028000000}"/>
    <hyperlink ref="A20" location="'M-Cita'!A3" display="#'M-Cita'.A3" xr:uid="{00000000-0004-0000-3200-000029000000}"/>
    <hyperlink ref="B20" location="'M-Cita'!A2" display="#'M-Cita'.A2" xr:uid="{00000000-0004-0000-3200-00002A000000}"/>
    <hyperlink ref="A28" location="'C-Cita'!V2" display="pedirCita" xr:uid="{00000000-0004-0000-3200-00002B000000}"/>
    <hyperlink ref="A36" location="'C-Cita'!W2" display="reprogramarCita" xr:uid="{00000000-0004-0000-3200-00002C000000}"/>
    <hyperlink ref="A41" location="'C-Cita'!Y2" display="cancelarCitaPorCliente" xr:uid="{00000000-0004-0000-3200-00002D000000}"/>
    <hyperlink ref="A44" location="'C-Cita'!AA2" display="cancelarCitaPorBarbero" xr:uid="{00000000-0004-0000-3200-00002E000000}"/>
    <hyperlink ref="A47" location="'C-Cita'!AC2" display="registrarLlegadaCliente" xr:uid="{00000000-0004-0000-3200-00002F000000}"/>
    <hyperlink ref="A51" location="'C-Cita'!AE2" display="iniciarAtencionCliente" xr:uid="{00000000-0004-0000-3200-000030000000}"/>
    <hyperlink ref="A55" location="'C-Cita'!AG2" display="finalizarAtencionCliente" xr:uid="{00000000-0004-0000-3200-000031000000}"/>
    <hyperlink ref="A58" location="'C-Cita'!AI2" display="registrarInasistenciaCliente" xr:uid="{00000000-0004-0000-3200-000032000000}"/>
  </hyperlink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25"/>
  <sheetViews>
    <sheetView showGridLines="0" topLeftCell="A11" zoomScaleNormal="100" workbookViewId="0">
      <selection activeCell="B26" sqref="B26"/>
    </sheetView>
  </sheetViews>
  <sheetFormatPr baseColWidth="10" defaultColWidth="8.6640625" defaultRowHeight="14.4" x14ac:dyDescent="0.3"/>
  <cols>
    <col min="1" max="1" width="21.33203125" customWidth="1"/>
    <col min="2" max="2" width="29.109375" customWidth="1"/>
    <col min="3" max="3" width="36.33203125" customWidth="1"/>
    <col min="4" max="4" width="37.6640625" customWidth="1"/>
    <col min="5" max="5" width="36.332031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Dominio'!A15</f>
        <v>Cita</v>
      </c>
      <c r="C2" s="244"/>
      <c r="D2" s="244"/>
      <c r="E2" s="244"/>
    </row>
    <row r="3" spans="1:5" ht="30" customHeight="1" x14ac:dyDescent="0.3">
      <c r="A3" s="35" t="s">
        <v>99</v>
      </c>
      <c r="B3" s="245" t="str">
        <f>'Objetos de Dominio'!B15</f>
        <v>Representa la reserva de un cliente con un barbero para un fecha y hora puntual, con los servicios pedidos, su estado, y lo que realmente ocurrió (llegada, atención, tardanzas).</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28.5" customHeight="1" x14ac:dyDescent="0.3">
      <c r="A6" s="36" t="s">
        <v>853</v>
      </c>
      <c r="B6" s="296" t="s">
        <v>854</v>
      </c>
      <c r="C6" s="296"/>
      <c r="D6" s="37" t="s">
        <v>37</v>
      </c>
      <c r="E6" s="37"/>
    </row>
    <row r="7" spans="1:5" ht="30" customHeight="1" x14ac:dyDescent="0.3">
      <c r="A7" s="36" t="s">
        <v>855</v>
      </c>
      <c r="B7" s="296" t="s">
        <v>856</v>
      </c>
      <c r="C7" s="296"/>
      <c r="D7" s="37" t="s">
        <v>25</v>
      </c>
      <c r="E7" s="37"/>
    </row>
    <row r="8" spans="1:5" ht="30" customHeight="1" x14ac:dyDescent="0.3">
      <c r="A8" s="36" t="s">
        <v>857</v>
      </c>
      <c r="B8" s="296" t="s">
        <v>858</v>
      </c>
      <c r="C8" s="296"/>
      <c r="D8" s="37" t="s">
        <v>35</v>
      </c>
      <c r="E8" s="37"/>
    </row>
    <row r="9" spans="1:5" ht="30" customHeight="1" x14ac:dyDescent="0.3">
      <c r="A9" s="36" t="s">
        <v>859</v>
      </c>
      <c r="B9" s="296" t="s">
        <v>860</v>
      </c>
      <c r="C9" s="296"/>
      <c r="D9" s="37" t="s">
        <v>31</v>
      </c>
      <c r="E9" s="37"/>
    </row>
    <row r="10" spans="1:5" ht="30" customHeight="1" x14ac:dyDescent="0.3">
      <c r="A10" s="36" t="s">
        <v>861</v>
      </c>
      <c r="B10" s="296" t="s">
        <v>862</v>
      </c>
      <c r="C10" s="296"/>
      <c r="D10" s="37" t="s">
        <v>23</v>
      </c>
      <c r="E10" s="37"/>
    </row>
    <row r="11" spans="1:5" ht="49.5" customHeight="1" x14ac:dyDescent="0.3">
      <c r="A11" s="36" t="s">
        <v>863</v>
      </c>
      <c r="B11" s="296" t="s">
        <v>864</v>
      </c>
      <c r="C11" s="296"/>
      <c r="D11" s="37" t="s">
        <v>37</v>
      </c>
      <c r="E11" s="37"/>
    </row>
    <row r="12" spans="1:5" ht="42.75" customHeight="1" x14ac:dyDescent="0.3">
      <c r="A12" s="36" t="s">
        <v>865</v>
      </c>
      <c r="B12" s="296" t="s">
        <v>866</v>
      </c>
      <c r="C12" s="296"/>
      <c r="D12" s="37" t="s">
        <v>39</v>
      </c>
      <c r="E12" s="37"/>
    </row>
    <row r="13" spans="1:5" ht="30" customHeight="1" x14ac:dyDescent="0.3">
      <c r="A13" s="36" t="s">
        <v>867</v>
      </c>
      <c r="B13" s="296" t="s">
        <v>868</v>
      </c>
      <c r="C13" s="296"/>
      <c r="D13" s="37" t="s">
        <v>41</v>
      </c>
      <c r="E13" s="37"/>
    </row>
    <row r="14" spans="1:5" ht="30" customHeight="1" x14ac:dyDescent="0.3">
      <c r="A14" s="36" t="s">
        <v>869</v>
      </c>
      <c r="B14" s="296" t="s">
        <v>870</v>
      </c>
      <c r="C14" s="296"/>
      <c r="D14" s="37" t="s">
        <v>37</v>
      </c>
      <c r="E14" s="37"/>
    </row>
    <row r="15" spans="1:5" ht="38.25" customHeight="1" x14ac:dyDescent="0.3">
      <c r="A15" s="36" t="s">
        <v>871</v>
      </c>
      <c r="B15" s="296" t="s">
        <v>872</v>
      </c>
      <c r="C15" s="296"/>
      <c r="D15" s="37" t="s">
        <v>41</v>
      </c>
      <c r="E15" s="37"/>
    </row>
    <row r="16" spans="1:5" ht="45.75" customHeight="1" x14ac:dyDescent="0.3">
      <c r="A16" s="36" t="s">
        <v>873</v>
      </c>
      <c r="B16" s="296" t="s">
        <v>874</v>
      </c>
      <c r="C16" s="296"/>
      <c r="D16" s="37" t="s">
        <v>37</v>
      </c>
      <c r="E16" s="37"/>
    </row>
    <row r="17" spans="1:5" ht="30" customHeight="1" x14ac:dyDescent="0.3">
      <c r="A17" s="36" t="s">
        <v>875</v>
      </c>
      <c r="B17" s="296" t="s">
        <v>876</v>
      </c>
      <c r="C17" s="296"/>
      <c r="D17" s="37" t="s">
        <v>37</v>
      </c>
      <c r="E17" s="37"/>
    </row>
    <row r="18" spans="1:5" ht="42" customHeight="1" x14ac:dyDescent="0.3">
      <c r="A18" s="36" t="s">
        <v>877</v>
      </c>
      <c r="B18" s="296" t="s">
        <v>878</v>
      </c>
      <c r="C18" s="296"/>
      <c r="D18" s="37" t="s">
        <v>31</v>
      </c>
      <c r="E18" s="37"/>
    </row>
    <row r="19" spans="1:5" ht="33" customHeight="1" x14ac:dyDescent="0.3">
      <c r="A19" s="36" t="s">
        <v>879</v>
      </c>
      <c r="B19" s="296" t="s">
        <v>880</v>
      </c>
      <c r="C19" s="296"/>
      <c r="D19" s="37" t="s">
        <v>29</v>
      </c>
      <c r="E19" s="37"/>
    </row>
    <row r="20" spans="1:5" ht="30" customHeight="1" x14ac:dyDescent="0.3">
      <c r="A20" s="36" t="s">
        <v>881</v>
      </c>
      <c r="B20" s="401" t="s">
        <v>882</v>
      </c>
      <c r="C20" s="402"/>
      <c r="D20" s="37" t="s">
        <v>37</v>
      </c>
      <c r="E20" s="37"/>
    </row>
    <row r="21" spans="1:5" x14ac:dyDescent="0.3">
      <c r="A21" s="36" t="s">
        <v>1070</v>
      </c>
      <c r="B21" s="532" t="s">
        <v>1071</v>
      </c>
      <c r="C21" s="533"/>
      <c r="D21" s="37" t="s">
        <v>37</v>
      </c>
      <c r="E21" s="37"/>
    </row>
    <row r="22" spans="1:5" ht="33.75" customHeight="1" x14ac:dyDescent="0.3">
      <c r="A22" s="36" t="s">
        <v>1072</v>
      </c>
      <c r="B22" s="534" t="s">
        <v>1073</v>
      </c>
      <c r="C22" s="535"/>
      <c r="D22" s="37" t="s">
        <v>37</v>
      </c>
      <c r="E22" s="37"/>
    </row>
    <row r="23" spans="1:5" ht="51" customHeight="1" x14ac:dyDescent="0.3">
      <c r="A23" s="36" t="s">
        <v>1074</v>
      </c>
      <c r="B23" s="534" t="s">
        <v>1075</v>
      </c>
      <c r="C23" s="535"/>
      <c r="D23" s="37" t="s">
        <v>37</v>
      </c>
      <c r="E23" s="37"/>
    </row>
    <row r="24" spans="1:5" x14ac:dyDescent="0.3">
      <c r="A24" s="36" t="s">
        <v>1076</v>
      </c>
      <c r="B24" s="534" t="s">
        <v>1077</v>
      </c>
      <c r="C24" s="535"/>
      <c r="D24" s="37" t="s">
        <v>37</v>
      </c>
      <c r="E24" s="37"/>
    </row>
    <row r="25" spans="1:5" x14ac:dyDescent="0.3">
      <c r="A25" s="36" t="s">
        <v>1078</v>
      </c>
      <c r="B25" s="534" t="s">
        <v>1079</v>
      </c>
      <c r="C25" s="535"/>
      <c r="D25" s="37" t="s">
        <v>37</v>
      </c>
      <c r="E25" s="37"/>
    </row>
  </sheetData>
  <mergeCells count="26">
    <mergeCell ref="B21:C21"/>
    <mergeCell ref="B22:C22"/>
    <mergeCell ref="B23:C23"/>
    <mergeCell ref="B24:C24"/>
    <mergeCell ref="B25:C25"/>
    <mergeCell ref="B11:C11"/>
    <mergeCell ref="B12:C12"/>
    <mergeCell ref="B13:C13"/>
    <mergeCell ref="B14:C14"/>
    <mergeCell ref="B15:C15"/>
    <mergeCell ref="B20:C20"/>
    <mergeCell ref="B2:E2"/>
    <mergeCell ref="B3:E3"/>
    <mergeCell ref="A4:A5"/>
    <mergeCell ref="B4:C5"/>
    <mergeCell ref="D4:D5"/>
    <mergeCell ref="E4:E5"/>
    <mergeCell ref="B6:C6"/>
    <mergeCell ref="B7:C7"/>
    <mergeCell ref="B8:C8"/>
    <mergeCell ref="B9:C9"/>
    <mergeCell ref="B10:C10"/>
    <mergeCell ref="B16:C16"/>
    <mergeCell ref="B17:C17"/>
    <mergeCell ref="B18:C18"/>
    <mergeCell ref="B19:C19"/>
  </mergeCells>
  <hyperlinks>
    <hyperlink ref="A1" location="'Modelo de Dominio'!A1" display="&lt;&lt; Ir al modelo de dominio" xr:uid="{00000000-0004-0000-3300-000000000000}"/>
    <hyperlink ref="B1" location="'Objetos de Dominio'!A1" display="&lt;&lt; Ir al listado de objetos de dominio" xr:uid="{00000000-0004-0000-3300-000001000000}"/>
    <hyperlink ref="C1" location="'C-Cita'!A1" display="&lt;&lt; Ir a la caracterización del objeto de dominio" xr:uid="{00000000-0004-0000-3300-000002000000}"/>
    <hyperlink ref="D1" location="'M-Cita'!A1" display="Ir al muestreo de datos del objeto de dominio &gt;&gt;" xr:uid="{00000000-0004-0000-3300-000003000000}"/>
    <hyperlink ref="E1" location="'E-Cita'!A1" display="Ir al event storming del objeto de dominio &gt;&gt;" xr:uid="{00000000-0004-0000-3300-000004000000}"/>
  </hyperlink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41"/>
  <sheetViews>
    <sheetView showGridLines="0" zoomScaleNormal="100" workbookViewId="0">
      <selection sqref="A1:B1"/>
    </sheetView>
  </sheetViews>
  <sheetFormatPr baseColWidth="10" defaultColWidth="8.6640625" defaultRowHeight="14.4" x14ac:dyDescent="0.3"/>
  <cols>
    <col min="1" max="1" width="20" customWidth="1"/>
    <col min="2" max="2" width="30" customWidth="1"/>
    <col min="3" max="3" width="42" customWidth="1"/>
    <col min="4" max="4" width="14.33203125" customWidth="1"/>
    <col min="5" max="5" width="22" customWidth="1"/>
    <col min="6" max="6" width="40" customWidth="1"/>
    <col min="7" max="7" width="10" customWidth="1"/>
    <col min="8" max="8" width="41.10937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150" t="s">
        <v>98</v>
      </c>
      <c r="B2" s="324" t="str">
        <f>'Objetos de Dominio'!A15</f>
        <v>Cita</v>
      </c>
      <c r="C2" s="324"/>
      <c r="D2" s="324"/>
      <c r="E2" s="324"/>
      <c r="F2" s="324"/>
      <c r="G2" s="324"/>
      <c r="H2" s="324"/>
      <c r="I2" s="324"/>
      <c r="J2" s="324"/>
      <c r="K2" s="324"/>
    </row>
    <row r="3" spans="1:11" ht="30" customHeight="1" x14ac:dyDescent="0.3">
      <c r="A3" s="151" t="s">
        <v>99</v>
      </c>
      <c r="B3" s="325" t="str">
        <f>'Objetos de Dominio'!B15</f>
        <v>Representa la reserva de un cliente con un barbero para un fecha y hora puntual, con los servicios pedidos, su estado, y lo que realmente ocurrió (llegada, atención, tardanzas).</v>
      </c>
      <c r="C3" s="325"/>
      <c r="D3" s="325"/>
      <c r="E3" s="325"/>
      <c r="F3" s="325"/>
      <c r="G3" s="325"/>
      <c r="H3" s="325"/>
      <c r="I3" s="325"/>
      <c r="J3" s="325"/>
      <c r="K3" s="325"/>
    </row>
    <row r="4" spans="1:11" ht="34.5" customHeight="1" x14ac:dyDescent="0.3">
      <c r="A4" s="5" t="s">
        <v>105</v>
      </c>
      <c r="B4" s="326" t="s">
        <v>106</v>
      </c>
      <c r="C4" s="326"/>
      <c r="D4" s="4" t="s">
        <v>107</v>
      </c>
      <c r="E4" s="327" t="s">
        <v>108</v>
      </c>
      <c r="F4" s="327"/>
      <c r="G4" s="328" t="s">
        <v>109</v>
      </c>
      <c r="H4" s="328"/>
      <c r="I4" s="152" t="s">
        <v>110</v>
      </c>
      <c r="J4" s="3" t="s">
        <v>111</v>
      </c>
      <c r="K4" s="153" t="s">
        <v>112</v>
      </c>
    </row>
    <row r="5" spans="1:11" ht="15" customHeight="1" x14ac:dyDescent="0.3">
      <c r="A5" s="329" t="s">
        <v>105</v>
      </c>
      <c r="B5" s="326" t="s">
        <v>113</v>
      </c>
      <c r="C5" s="326" t="s">
        <v>76</v>
      </c>
      <c r="D5" s="330" t="s">
        <v>114</v>
      </c>
      <c r="E5" s="327" t="s">
        <v>115</v>
      </c>
      <c r="F5" s="327"/>
      <c r="G5" s="328" t="s">
        <v>116</v>
      </c>
      <c r="H5" s="328"/>
      <c r="I5" s="331" t="s">
        <v>117</v>
      </c>
      <c r="J5" s="332" t="s">
        <v>118</v>
      </c>
      <c r="K5" s="333" t="s">
        <v>119</v>
      </c>
    </row>
    <row r="6" spans="1:11" ht="15" customHeight="1" x14ac:dyDescent="0.3">
      <c r="A6" s="329"/>
      <c r="B6" s="329"/>
      <c r="C6" s="329"/>
      <c r="D6" s="329"/>
      <c r="E6" s="6" t="s">
        <v>120</v>
      </c>
      <c r="F6" s="6" t="s">
        <v>76</v>
      </c>
      <c r="G6" s="154" t="s">
        <v>121</v>
      </c>
      <c r="H6" s="154" t="s">
        <v>76</v>
      </c>
      <c r="I6" s="331"/>
      <c r="J6" s="331"/>
      <c r="K6" s="331"/>
    </row>
    <row r="7" spans="1:11" ht="42.75" customHeight="1" x14ac:dyDescent="0.3">
      <c r="A7" s="542" t="s">
        <v>25</v>
      </c>
      <c r="B7" s="542" t="s">
        <v>883</v>
      </c>
      <c r="C7" s="542" t="s">
        <v>805</v>
      </c>
      <c r="D7" s="334" t="str">
        <f>$B$2</f>
        <v>Cita</v>
      </c>
      <c r="E7" s="159" t="s">
        <v>25</v>
      </c>
      <c r="F7" s="1" t="s">
        <v>884</v>
      </c>
      <c r="G7" s="232" t="str">
        <f>'P-Cita'!A6</f>
        <v>P-CIT-0001</v>
      </c>
      <c r="H7" s="156" t="str">
        <f>'P-Cita'!B6</f>
        <v>Asegurar que los datos requeridos (hora de inicio, servicios solicitados) sean válidos en tipo de dato, obligatoriedad, formato y rango</v>
      </c>
      <c r="I7" s="334"/>
      <c r="J7" s="542" t="s">
        <v>885</v>
      </c>
      <c r="K7" s="335"/>
    </row>
    <row r="8" spans="1:11" ht="30" customHeight="1" x14ac:dyDescent="0.3">
      <c r="A8" s="542"/>
      <c r="B8" s="542"/>
      <c r="C8" s="542"/>
      <c r="D8" s="334"/>
      <c r="E8" s="189" t="s">
        <v>35</v>
      </c>
      <c r="F8" s="196" t="s">
        <v>886</v>
      </c>
      <c r="G8" s="232" t="str">
        <f>'P-Cita'!A7</f>
        <v>P-CIT-0002</v>
      </c>
      <c r="H8" s="156" t="str">
        <f>'P-Cita'!B7</f>
        <v>Asegurar que el cliente no esté vetado antes de permitirle agendar</v>
      </c>
      <c r="I8" s="334"/>
      <c r="J8" s="542"/>
      <c r="K8" s="334"/>
    </row>
    <row r="9" spans="1:11" ht="48" customHeight="1" x14ac:dyDescent="0.3">
      <c r="A9" s="542"/>
      <c r="B9" s="542"/>
      <c r="C9" s="542"/>
      <c r="D9" s="334"/>
      <c r="E9" s="189" t="s">
        <v>29</v>
      </c>
      <c r="F9" s="196" t="s">
        <v>887</v>
      </c>
      <c r="G9" s="232" t="str">
        <f>'P-Cita'!A8</f>
        <v>P-CIT-0003</v>
      </c>
      <c r="H9" s="156" t="str">
        <f>'P-Cita'!B8</f>
        <v>Asegurar que la agenda tenga disponibilidad y que la hora solicitada quepa dentro del horario del barbero sin solaparse con otra cita o bloqueo</v>
      </c>
      <c r="I9" s="334"/>
      <c r="J9" s="542"/>
      <c r="K9" s="334"/>
    </row>
    <row r="10" spans="1:11" ht="42.75" customHeight="1" x14ac:dyDescent="0.3">
      <c r="A10" s="542"/>
      <c r="B10" s="542"/>
      <c r="C10" s="542"/>
      <c r="D10" s="334"/>
      <c r="E10" s="189" t="s">
        <v>33</v>
      </c>
      <c r="F10" s="196" t="s">
        <v>888</v>
      </c>
      <c r="G10" s="232" t="str">
        <f>'P-Cita'!A19</f>
        <v>P-CIT-0014</v>
      </c>
      <c r="H10" s="156" t="str">
        <f>'P-Cita'!B19</f>
        <v>Asegurar que la hora solicitada no caiga dentro de ningún bloqueo del barbero, ni que la cita se extienda sobre uno</v>
      </c>
      <c r="I10" s="334"/>
      <c r="J10" s="542"/>
      <c r="K10" s="334"/>
    </row>
    <row r="11" spans="1:11" ht="30" customHeight="1" x14ac:dyDescent="0.3">
      <c r="A11" s="542"/>
      <c r="B11" s="542"/>
      <c r="C11" s="542"/>
      <c r="D11" s="334"/>
      <c r="E11" s="159" t="s">
        <v>31</v>
      </c>
      <c r="F11" s="1" t="s">
        <v>889</v>
      </c>
      <c r="G11" s="232" t="str">
        <f>'P-Cita'!A9</f>
        <v>P-CIT-0004</v>
      </c>
      <c r="H11" s="156" t="str">
        <f>'P-Cita'!B9</f>
        <v>Asegurar que cada servicio solicitado esté habilitado para ese barbero</v>
      </c>
      <c r="I11" s="334"/>
      <c r="J11" s="542"/>
      <c r="K11" s="334"/>
    </row>
    <row r="12" spans="1:11" ht="57" customHeight="1" x14ac:dyDescent="0.3">
      <c r="A12" s="542"/>
      <c r="B12" s="542"/>
      <c r="C12" s="542"/>
      <c r="D12" s="334"/>
      <c r="E12" s="238" t="s">
        <v>23</v>
      </c>
      <c r="F12" s="197" t="s">
        <v>890</v>
      </c>
      <c r="G12" s="232" t="str">
        <f>'P-Cita'!A18</f>
        <v>P-CIT-0013</v>
      </c>
      <c r="H12" s="156" t="str">
        <f>'P-Cita'!B18</f>
        <v>Asegurar que todos los servicios pedidos en la cita correspondan a un mismo barbero, porque una cita la atiende un único barbero de principio a fin</v>
      </c>
      <c r="I12" s="334"/>
      <c r="J12" s="542"/>
      <c r="K12" s="334"/>
    </row>
    <row r="13" spans="1:11" ht="28.5" customHeight="1" x14ac:dyDescent="0.3">
      <c r="A13" s="542"/>
      <c r="B13" s="542"/>
      <c r="C13" s="542"/>
      <c r="D13" s="334"/>
      <c r="E13" s="547" t="s">
        <v>15</v>
      </c>
      <c r="F13" s="549" t="s">
        <v>891</v>
      </c>
      <c r="G13" s="232" t="str">
        <f>'P-Cita'!A10</f>
        <v>P-CIT-0005</v>
      </c>
      <c r="H13" s="156" t="str">
        <f>'P-Cita'!B10</f>
        <v>Asegurar que la cita se solicite con al menos la anticipación mínima definida por el barbero</v>
      </c>
      <c r="I13" s="334"/>
      <c r="J13" s="542"/>
      <c r="K13" s="334"/>
    </row>
    <row r="14" spans="1:11" ht="57" customHeight="1" x14ac:dyDescent="0.3">
      <c r="A14" s="542"/>
      <c r="B14" s="542"/>
      <c r="C14" s="542"/>
      <c r="D14" s="334"/>
      <c r="E14" s="548"/>
      <c r="F14" s="550"/>
      <c r="G14" s="232" t="str">
        <f>'P-Cita'!A11</f>
        <v>P-CIT-0006</v>
      </c>
      <c r="H14" s="156" t="str">
        <f>'P-Cita'!B11</f>
        <v>Congelar en la cita el valor de multa, el tiempoEspera y el porcentajeDescuento en el momento de agendarla, para que un cambio posterior no altere citas ya registradas</v>
      </c>
      <c r="I14" s="334"/>
      <c r="J14" s="542"/>
      <c r="K14" s="334"/>
    </row>
    <row r="15" spans="1:11" ht="27.6" x14ac:dyDescent="0.3">
      <c r="A15" s="539" t="s">
        <v>25</v>
      </c>
      <c r="B15" s="539" t="s">
        <v>892</v>
      </c>
      <c r="C15" s="539" t="s">
        <v>811</v>
      </c>
      <c r="D15" s="340" t="str">
        <f>$B$2</f>
        <v>Cita</v>
      </c>
      <c r="E15" s="159" t="s">
        <v>35</v>
      </c>
      <c r="F15" s="1" t="s">
        <v>893</v>
      </c>
      <c r="G15" s="543" t="str">
        <f>'P-Cita'!A21</f>
        <v>P-CIT-0016</v>
      </c>
      <c r="H15" s="545" t="str">
        <f>'P-Cita'!B21</f>
        <v>Asegurar que la cita se encuentre en estado Agendada</v>
      </c>
      <c r="I15" s="551"/>
      <c r="J15" s="539" t="s">
        <v>894</v>
      </c>
      <c r="K15" s="551"/>
    </row>
    <row r="16" spans="1:11" ht="30" customHeight="1" x14ac:dyDescent="0.3">
      <c r="A16" s="540"/>
      <c r="B16" s="540"/>
      <c r="C16" s="540"/>
      <c r="D16" s="341"/>
      <c r="E16" s="189" t="s">
        <v>29</v>
      </c>
      <c r="F16" s="156" t="s">
        <v>895</v>
      </c>
      <c r="G16" s="544"/>
      <c r="H16" s="546"/>
      <c r="I16" s="552"/>
      <c r="J16" s="540"/>
      <c r="K16" s="552"/>
    </row>
    <row r="17" spans="1:11" ht="41.4" x14ac:dyDescent="0.3">
      <c r="A17" s="540"/>
      <c r="B17" s="540"/>
      <c r="C17" s="540"/>
      <c r="D17" s="341"/>
      <c r="E17" s="189" t="s">
        <v>23</v>
      </c>
      <c r="F17" s="156" t="s">
        <v>896</v>
      </c>
      <c r="G17" s="232" t="str">
        <f>'P-Cita'!A8</f>
        <v>P-CIT-0003</v>
      </c>
      <c r="H17" s="156" t="str">
        <f>'P-Cita'!B8</f>
        <v>Asegurar que la agenda tenga disponibilidad y que la hora solicitada quepa dentro del horario del barbero sin solaparse con otra cita o bloqueo</v>
      </c>
      <c r="I17" s="552"/>
      <c r="J17" s="540"/>
      <c r="K17" s="552"/>
    </row>
    <row r="18" spans="1:11" ht="41.4" x14ac:dyDescent="0.3">
      <c r="A18" s="540"/>
      <c r="B18" s="540"/>
      <c r="C18" s="540"/>
      <c r="D18" s="341"/>
      <c r="E18" s="557" t="s">
        <v>15</v>
      </c>
      <c r="F18" s="559" t="s">
        <v>1096</v>
      </c>
      <c r="G18" s="232" t="str">
        <f>'P-Cita'!A19</f>
        <v>P-CIT-0014</v>
      </c>
      <c r="H18" s="156" t="str">
        <f>'P-Cita'!B19</f>
        <v>Asegurar que la hora solicitada no caiga dentro de ningún bloqueo del barbero, ni que la cita se extienda sobre uno</v>
      </c>
      <c r="I18" s="552"/>
      <c r="J18" s="540"/>
      <c r="K18" s="552"/>
    </row>
    <row r="19" spans="1:11" ht="30" customHeight="1" x14ac:dyDescent="0.3">
      <c r="A19" s="541"/>
      <c r="B19" s="541"/>
      <c r="C19" s="541"/>
      <c r="D19" s="342"/>
      <c r="E19" s="558"/>
      <c r="F19" s="560"/>
      <c r="G19" s="232" t="str">
        <f>'P-Cita'!A10</f>
        <v>P-CIT-0005</v>
      </c>
      <c r="H19" s="156" t="str">
        <f>'P-Cita'!B10</f>
        <v>Asegurar que la cita se solicite con al menos la anticipación mínima definida por el barbero</v>
      </c>
      <c r="I19" s="553"/>
      <c r="J19" s="541"/>
      <c r="K19" s="553"/>
    </row>
    <row r="20" spans="1:11" ht="30" customHeight="1" x14ac:dyDescent="0.3">
      <c r="A20" s="539" t="s">
        <v>25</v>
      </c>
      <c r="B20" s="539" t="s">
        <v>897</v>
      </c>
      <c r="C20" s="539" t="s">
        <v>818</v>
      </c>
      <c r="D20" s="340" t="str">
        <f>$B$2</f>
        <v>Cita</v>
      </c>
      <c r="E20" s="539" t="s">
        <v>15</v>
      </c>
      <c r="F20" s="340" t="s">
        <v>1095</v>
      </c>
      <c r="G20" s="232" t="str">
        <f>'P-Cita'!A21</f>
        <v>P-CIT-0016</v>
      </c>
      <c r="H20" s="172" t="str">
        <f>'P-Cita'!B21</f>
        <v>Asegurar que la cita se encuentre en estado Agendada</v>
      </c>
      <c r="I20" s="233"/>
      <c r="J20" s="539" t="s">
        <v>898</v>
      </c>
      <c r="K20" s="233"/>
    </row>
    <row r="21" spans="1:11" ht="41.25" customHeight="1" x14ac:dyDescent="0.3">
      <c r="A21" s="541"/>
      <c r="B21" s="541"/>
      <c r="C21" s="541"/>
      <c r="D21" s="342"/>
      <c r="E21" s="541"/>
      <c r="F21" s="342"/>
      <c r="G21" s="232" t="str">
        <f>'P-Cita'!A16</f>
        <v>P-CIT-0011</v>
      </c>
      <c r="H21" s="172" t="str">
        <f>'P-Cita'!B16</f>
        <v>Rechazar la cancelación cuando falten menos de 2 horas para la horaInicio de la cita: en ese caso el sistema no le permite al cliente cancelarla y la cita se mantiene</v>
      </c>
      <c r="I21" s="234"/>
      <c r="J21" s="541"/>
      <c r="K21" s="234"/>
    </row>
    <row r="22" spans="1:11" ht="41.25" customHeight="1" x14ac:dyDescent="0.3">
      <c r="A22" s="539" t="s">
        <v>23</v>
      </c>
      <c r="B22" s="539" t="s">
        <v>899</v>
      </c>
      <c r="C22" s="539" t="s">
        <v>823</v>
      </c>
      <c r="D22" s="340" t="str">
        <f>$B$2</f>
        <v>Cita</v>
      </c>
      <c r="E22" s="539" t="s">
        <v>15</v>
      </c>
      <c r="F22" s="340" t="s">
        <v>1094</v>
      </c>
      <c r="G22" s="232" t="str">
        <f>'P-Cita'!A21</f>
        <v>P-CIT-0016</v>
      </c>
      <c r="H22" s="172" t="str">
        <f>'P-Cita'!B21</f>
        <v>Asegurar que la cita se encuentre en estado Agendada</v>
      </c>
      <c r="I22" s="536"/>
      <c r="J22" s="539" t="s">
        <v>900</v>
      </c>
      <c r="K22" s="536"/>
    </row>
    <row r="23" spans="1:11" ht="27.6" x14ac:dyDescent="0.3">
      <c r="A23" s="541"/>
      <c r="B23" s="541"/>
      <c r="C23" s="541"/>
      <c r="D23" s="342"/>
      <c r="E23" s="541"/>
      <c r="F23" s="342"/>
      <c r="G23" s="232" t="str">
        <f>'P-Cita'!A17</f>
        <v>P-CIT-0012</v>
      </c>
      <c r="H23" s="172" t="str">
        <f>'P-Cita'!B17</f>
        <v>Asegurar que el barbero cancele la cita con al menos 2 horas de anticipación frente a su horaInicio</v>
      </c>
      <c r="I23" s="538"/>
      <c r="J23" s="541"/>
      <c r="K23" s="538"/>
    </row>
    <row r="24" spans="1:11" ht="27.6" x14ac:dyDescent="0.3">
      <c r="A24" s="539" t="s">
        <v>23</v>
      </c>
      <c r="B24" s="539" t="s">
        <v>901</v>
      </c>
      <c r="C24" s="539" t="s">
        <v>828</v>
      </c>
      <c r="D24" s="340" t="str">
        <f>$B$2</f>
        <v>Cita</v>
      </c>
      <c r="E24" s="539" t="s">
        <v>15</v>
      </c>
      <c r="F24" s="340" t="s">
        <v>1093</v>
      </c>
      <c r="G24" s="232" t="str">
        <f>'P-Cita'!A21</f>
        <v>P-CIT-0016</v>
      </c>
      <c r="H24" s="172" t="str">
        <f>'P-Cita'!B21</f>
        <v>Asegurar que la cita se encuentre en estado Agendada</v>
      </c>
      <c r="I24" s="536"/>
      <c r="J24" s="539" t="s">
        <v>902</v>
      </c>
      <c r="K24" s="536"/>
    </row>
    <row r="25" spans="1:11" ht="27.6" x14ac:dyDescent="0.3">
      <c r="A25" s="540"/>
      <c r="B25" s="540"/>
      <c r="C25" s="540"/>
      <c r="D25" s="341"/>
      <c r="E25" s="540"/>
      <c r="F25" s="341"/>
      <c r="G25" s="232" t="str">
        <f>'P-Cita'!A24</f>
        <v>P-CIT-0019</v>
      </c>
      <c r="H25" s="172" t="str">
        <f>'P-Cita'!B24</f>
        <v>Asegurar que la llegada del cliente no haya sido registrada previamente</v>
      </c>
      <c r="I25" s="537"/>
      <c r="J25" s="540"/>
      <c r="K25" s="537"/>
    </row>
    <row r="26" spans="1:11" ht="41.4" x14ac:dyDescent="0.3">
      <c r="A26" s="541"/>
      <c r="B26" s="541"/>
      <c r="C26" s="541"/>
      <c r="D26" s="342"/>
      <c r="E26" s="541"/>
      <c r="F26" s="342"/>
      <c r="G26" s="232" t="str">
        <f>'P-Cita'!A15</f>
        <v>P-CIT-0010</v>
      </c>
      <c r="H26" s="172" t="str">
        <f>'P-Cita'!B15</f>
        <v>Si minutosTardanzaCliente supera el tiempoEspera de la cita, generar una Multa de tipo Tardanza por el valor de multa de esa misma cita</v>
      </c>
      <c r="I26" s="538"/>
      <c r="J26" s="541"/>
      <c r="K26" s="538"/>
    </row>
    <row r="27" spans="1:11" ht="28.5" customHeight="1" x14ac:dyDescent="0.3">
      <c r="A27" s="539" t="s">
        <v>23</v>
      </c>
      <c r="B27" s="539" t="s">
        <v>903</v>
      </c>
      <c r="C27" s="539" t="s">
        <v>835</v>
      </c>
      <c r="D27" s="340" t="str">
        <f>$B$2</f>
        <v>Cita</v>
      </c>
      <c r="E27" s="539" t="s">
        <v>15</v>
      </c>
      <c r="F27" s="340" t="s">
        <v>1092</v>
      </c>
      <c r="G27" s="232" t="str">
        <f>'P-Cita'!A22</f>
        <v>P-CIT-0017</v>
      </c>
      <c r="H27" s="172" t="str">
        <f>'P-Cita'!B22</f>
        <v>Asegurar que la llegada del cliente esté registrada y que la cita se encuentre en estado Agendada o El cliente se demoro</v>
      </c>
      <c r="I27" s="536"/>
      <c r="J27" s="539" t="s">
        <v>904</v>
      </c>
      <c r="K27" s="536"/>
    </row>
    <row r="28" spans="1:11" ht="28.5" customHeight="1" x14ac:dyDescent="0.3">
      <c r="A28" s="540"/>
      <c r="B28" s="540"/>
      <c r="C28" s="540"/>
      <c r="D28" s="341"/>
      <c r="E28" s="540"/>
      <c r="F28" s="341"/>
      <c r="G28" s="232" t="str">
        <f>'P-Cita'!A25</f>
        <v>P-CIT-0020</v>
      </c>
      <c r="H28" s="172" t="str">
        <f>'P-Cita'!B25</f>
        <v>Asegurar que la atención de la cita no haya sido iniciada previamente</v>
      </c>
      <c r="I28" s="537"/>
      <c r="J28" s="540"/>
      <c r="K28" s="537"/>
    </row>
    <row r="29" spans="1:11" ht="28.5" customHeight="1" x14ac:dyDescent="0.3">
      <c r="A29" s="541"/>
      <c r="B29" s="541"/>
      <c r="C29" s="541"/>
      <c r="D29" s="342"/>
      <c r="E29" s="541"/>
      <c r="F29" s="342"/>
      <c r="G29" s="232" t="str">
        <f>'P-Cita'!A14</f>
        <v>P-CIT-0009</v>
      </c>
      <c r="H29" s="172" t="str">
        <f>'P-Cita'!B14</f>
        <v>Si minutosDemoraBarbero supera el tiempoEspera de la cita, aplicar el porcentajeDescuento de esa misma cita sobre su precioTotal</v>
      </c>
      <c r="I29" s="538"/>
      <c r="J29" s="541"/>
      <c r="K29" s="538"/>
    </row>
    <row r="30" spans="1:11" ht="28.5" customHeight="1" x14ac:dyDescent="0.3">
      <c r="A30" s="539" t="s">
        <v>23</v>
      </c>
      <c r="B30" s="539" t="s">
        <v>905</v>
      </c>
      <c r="C30" s="539" t="s">
        <v>842</v>
      </c>
      <c r="D30" s="340" t="str">
        <f>$B$2</f>
        <v>Cita</v>
      </c>
      <c r="E30" s="542" t="s">
        <v>39</v>
      </c>
      <c r="F30" s="334" t="s">
        <v>906</v>
      </c>
      <c r="G30" s="543" t="str">
        <f>'P-Cita'!A23</f>
        <v>P-CIT-0018</v>
      </c>
      <c r="H30" s="545" t="str">
        <f>'P-Cita'!B23</f>
        <v>Asegurar que la atención de la cita haya sido iniciada y que la cita no se encuentre en un estado final (Finalizada, Cancelada por el cliente, Cancelada por el barbero, Inasistencia del cliente o Cancelación)</v>
      </c>
      <c r="I30" s="551"/>
      <c r="J30" s="539" t="s">
        <v>907</v>
      </c>
      <c r="K30" s="554"/>
    </row>
    <row r="31" spans="1:11" ht="28.5" customHeight="1" x14ac:dyDescent="0.3">
      <c r="A31" s="540"/>
      <c r="B31" s="540"/>
      <c r="C31" s="540"/>
      <c r="D31" s="341"/>
      <c r="E31" s="542"/>
      <c r="F31" s="334"/>
      <c r="G31" s="544"/>
      <c r="H31" s="546"/>
      <c r="I31" s="552"/>
      <c r="J31" s="540"/>
      <c r="K31" s="555"/>
    </row>
    <row r="32" spans="1:11" ht="57" customHeight="1" x14ac:dyDescent="0.3">
      <c r="A32" s="541"/>
      <c r="B32" s="541"/>
      <c r="C32" s="541"/>
      <c r="D32" s="342"/>
      <c r="E32" s="235" t="s">
        <v>15</v>
      </c>
      <c r="F32" s="235" t="s">
        <v>1091</v>
      </c>
      <c r="G32" s="232" t="str">
        <f>'P-Cita'!A12</f>
        <v>P-CIT-0007</v>
      </c>
      <c r="H32" s="156" t="str">
        <f>'P-Cita'!B12</f>
        <v>Al finalizar la atención, calcular minutosTardanzaCliente, minutosDemoraBarbero, duración y precioTotal a partir de los tiempos realmente registrados</v>
      </c>
      <c r="I32" s="553"/>
      <c r="J32" s="541"/>
      <c r="K32" s="556"/>
    </row>
    <row r="33" spans="1:11" ht="57" customHeight="1" x14ac:dyDescent="0.3">
      <c r="A33" s="235" t="s">
        <v>23</v>
      </c>
      <c r="B33" s="235" t="s">
        <v>908</v>
      </c>
      <c r="C33" s="235" t="s">
        <v>849</v>
      </c>
      <c r="D33" s="340" t="str">
        <f>$B$2</f>
        <v>Cita</v>
      </c>
      <c r="E33" s="159" t="s">
        <v>41</v>
      </c>
      <c r="F33" s="1" t="s">
        <v>909</v>
      </c>
      <c r="G33" s="232" t="str">
        <f>'P-Cita'!A21</f>
        <v>P-CIT-0016</v>
      </c>
      <c r="H33" s="156" t="str">
        <f>'P-Cita'!B21</f>
        <v>Asegurar que la cita se encuentre en estado Agendada</v>
      </c>
      <c r="I33" s="536"/>
      <c r="J33" s="539" t="s">
        <v>910</v>
      </c>
      <c r="K33" s="536"/>
    </row>
    <row r="34" spans="1:11" ht="27.6" x14ac:dyDescent="0.3">
      <c r="A34" s="236"/>
      <c r="B34" s="236"/>
      <c r="C34" s="236"/>
      <c r="D34" s="341"/>
      <c r="E34" s="539" t="s">
        <v>15</v>
      </c>
      <c r="F34" s="340" t="s">
        <v>1090</v>
      </c>
      <c r="G34" s="232" t="str">
        <f>'P-Cita'!A24</f>
        <v>P-CIT-0019</v>
      </c>
      <c r="H34" s="156" t="str">
        <f>'P-Cita'!B24</f>
        <v>Asegurar que la llegada del cliente no haya sido registrada previamente</v>
      </c>
      <c r="I34" s="537"/>
      <c r="J34" s="540"/>
      <c r="K34" s="537"/>
    </row>
    <row r="35" spans="1:11" ht="28.5" customHeight="1" x14ac:dyDescent="0.3">
      <c r="A35" s="237"/>
      <c r="B35" s="237"/>
      <c r="C35" s="237"/>
      <c r="D35" s="342"/>
      <c r="E35" s="541"/>
      <c r="F35" s="342"/>
      <c r="G35" s="232" t="str">
        <f>'P-Cita'!A13</f>
        <v>P-CIT-0008</v>
      </c>
      <c r="H35" s="156" t="str">
        <f>'P-Cita'!B13</f>
        <v>Generar una Multa por el valor total de los servicios pedidos</v>
      </c>
      <c r="I35" s="538"/>
      <c r="J35" s="541"/>
      <c r="K35" s="538"/>
    </row>
    <row r="36" spans="1:11" ht="28.5" customHeight="1" x14ac:dyDescent="0.3">
      <c r="A36" s="539" t="s">
        <v>493</v>
      </c>
      <c r="B36" s="539" t="s">
        <v>908</v>
      </c>
      <c r="C36" s="539" t="s">
        <v>911</v>
      </c>
      <c r="D36" s="340" t="str">
        <f>$B$2</f>
        <v>Cita</v>
      </c>
      <c r="E36" s="159" t="s">
        <v>41</v>
      </c>
      <c r="F36" s="1" t="s">
        <v>909</v>
      </c>
      <c r="G36" s="232" t="str">
        <f>'P-Cita'!A21</f>
        <v>P-CIT-0016</v>
      </c>
      <c r="H36" s="156" t="str">
        <f>'P-Cita'!B21</f>
        <v>Asegurar que la cita se encuentre en estado Agendada</v>
      </c>
      <c r="I36" s="536"/>
      <c r="J36" s="539" t="s">
        <v>910</v>
      </c>
      <c r="K36" s="536"/>
    </row>
    <row r="37" spans="1:11" ht="28.5" customHeight="1" x14ac:dyDescent="0.3">
      <c r="A37" s="540"/>
      <c r="B37" s="540"/>
      <c r="C37" s="540"/>
      <c r="D37" s="341"/>
      <c r="E37" s="539" t="s">
        <v>15</v>
      </c>
      <c r="F37" s="340" t="s">
        <v>1090</v>
      </c>
      <c r="G37" s="232" t="str">
        <f>'P-Cita'!A24</f>
        <v>P-CIT-0019</v>
      </c>
      <c r="H37" s="156" t="str">
        <f>'P-Cita'!B24</f>
        <v>Asegurar que la llegada del cliente no haya sido registrada previamente</v>
      </c>
      <c r="I37" s="537"/>
      <c r="J37" s="540"/>
      <c r="K37" s="537"/>
    </row>
    <row r="38" spans="1:11" ht="28.5" customHeight="1" x14ac:dyDescent="0.3">
      <c r="A38" s="541"/>
      <c r="B38" s="541"/>
      <c r="C38" s="541"/>
      <c r="D38" s="342"/>
      <c r="E38" s="541"/>
      <c r="F38" s="342"/>
      <c r="G38" s="232" t="str">
        <f>'P-Cita'!A13</f>
        <v>P-CIT-0008</v>
      </c>
      <c r="H38" s="156" t="str">
        <f>'P-Cita'!B13</f>
        <v>Generar una Multa por el valor total de los servicios pedidos</v>
      </c>
      <c r="I38" s="538"/>
      <c r="J38" s="541"/>
      <c r="K38" s="538"/>
    </row>
    <row r="41" spans="1:11" x14ac:dyDescent="0.3">
      <c r="E41" s="198"/>
      <c r="F41" s="198"/>
    </row>
  </sheetData>
  <mergeCells count="98">
    <mergeCell ref="A15:A19"/>
    <mergeCell ref="B15:B19"/>
    <mergeCell ref="C15:C19"/>
    <mergeCell ref="D15:D19"/>
    <mergeCell ref="I15:I19"/>
    <mergeCell ref="E22:E23"/>
    <mergeCell ref="F22:F23"/>
    <mergeCell ref="K27:K29"/>
    <mergeCell ref="G15:G16"/>
    <mergeCell ref="H15:H16"/>
    <mergeCell ref="J15:J19"/>
    <mergeCell ref="K15:K19"/>
    <mergeCell ref="E18:E19"/>
    <mergeCell ref="F18:F19"/>
    <mergeCell ref="J30:J32"/>
    <mergeCell ref="K30:K32"/>
    <mergeCell ref="A27:A29"/>
    <mergeCell ref="B27:B29"/>
    <mergeCell ref="C27:C29"/>
    <mergeCell ref="D27:D29"/>
    <mergeCell ref="E27:E29"/>
    <mergeCell ref="F27:F29"/>
    <mergeCell ref="I27:I29"/>
    <mergeCell ref="J27:J29"/>
    <mergeCell ref="A30:A32"/>
    <mergeCell ref="B30:B32"/>
    <mergeCell ref="C30:C32"/>
    <mergeCell ref="D30:D32"/>
    <mergeCell ref="I30:I32"/>
    <mergeCell ref="A7:A14"/>
    <mergeCell ref="B7:B14"/>
    <mergeCell ref="C7:C14"/>
    <mergeCell ref="D7:D14"/>
    <mergeCell ref="I7:I14"/>
    <mergeCell ref="E13:E14"/>
    <mergeCell ref="F13:F14"/>
    <mergeCell ref="A5:A6"/>
    <mergeCell ref="B5:B6"/>
    <mergeCell ref="C5:C6"/>
    <mergeCell ref="D5:D6"/>
    <mergeCell ref="E5:F5"/>
    <mergeCell ref="F20:F21"/>
    <mergeCell ref="J20:J21"/>
    <mergeCell ref="B3:K3"/>
    <mergeCell ref="B4:C4"/>
    <mergeCell ref="E4:F4"/>
    <mergeCell ref="G4:H4"/>
    <mergeCell ref="G5:H5"/>
    <mergeCell ref="I5:I6"/>
    <mergeCell ref="J5:J6"/>
    <mergeCell ref="K5:K6"/>
    <mergeCell ref="J7:J14"/>
    <mergeCell ref="K7:K14"/>
    <mergeCell ref="A20:A21"/>
    <mergeCell ref="B20:B21"/>
    <mergeCell ref="C20:C21"/>
    <mergeCell ref="D20:D21"/>
    <mergeCell ref="E20:E21"/>
    <mergeCell ref="A1:B1"/>
    <mergeCell ref="C1:E1"/>
    <mergeCell ref="F1:I1"/>
    <mergeCell ref="J1:K1"/>
    <mergeCell ref="B2:K2"/>
    <mergeCell ref="I22:I23"/>
    <mergeCell ref="J22:J23"/>
    <mergeCell ref="K22:K23"/>
    <mergeCell ref="A24:A26"/>
    <mergeCell ref="B24:B26"/>
    <mergeCell ref="C24:C26"/>
    <mergeCell ref="D24:D26"/>
    <mergeCell ref="E24:E26"/>
    <mergeCell ref="F24:F26"/>
    <mergeCell ref="I24:I26"/>
    <mergeCell ref="J24:J26"/>
    <mergeCell ref="K24:K26"/>
    <mergeCell ref="A22:A23"/>
    <mergeCell ref="B22:B23"/>
    <mergeCell ref="C22:C23"/>
    <mergeCell ref="D22:D23"/>
    <mergeCell ref="E30:E31"/>
    <mergeCell ref="F30:F31"/>
    <mergeCell ref="G30:G31"/>
    <mergeCell ref="H30:H31"/>
    <mergeCell ref="E34:E35"/>
    <mergeCell ref="F34:F35"/>
    <mergeCell ref="K33:K35"/>
    <mergeCell ref="A36:A38"/>
    <mergeCell ref="B36:B38"/>
    <mergeCell ref="C36:C38"/>
    <mergeCell ref="D36:D38"/>
    <mergeCell ref="E37:E38"/>
    <mergeCell ref="F37:F38"/>
    <mergeCell ref="I36:I38"/>
    <mergeCell ref="J36:J38"/>
    <mergeCell ref="K36:K38"/>
    <mergeCell ref="D33:D35"/>
    <mergeCell ref="I33:I35"/>
    <mergeCell ref="J33:J35"/>
  </mergeCells>
  <hyperlinks>
    <hyperlink ref="A1" location="'Modelo de Dominio'!A1" display="&lt;&lt; Ir al modelo de dominio" xr:uid="{00000000-0004-0000-3400-000000000000}"/>
    <hyperlink ref="C1" location="'Objetos de Dominio'!A1" display="&lt;&lt; Ir al listado de objetos de dominio" xr:uid="{00000000-0004-0000-3400-000001000000}"/>
    <hyperlink ref="F1" location="'C-Cita'!A1" display="&lt;&lt; Ir a la caracterización del objeto de dominio" xr:uid="{00000000-0004-0000-3400-000002000000}"/>
    <hyperlink ref="J1" location="'M-Cita'!A1" display="Ir al muestreo de datos del objeto de dominio &gt;&gt;" xr:uid="{00000000-0004-0000-3400-000003000000}"/>
    <hyperlink ref="G7" location="'P-Cita'!A6" display="'P-Cita'!A6" xr:uid="{00000000-0004-0000-3400-000004000000}"/>
    <hyperlink ref="G8" location="'P-Cita'!A7" display="'P-Cita'!A7" xr:uid="{00000000-0004-0000-3400-000005000000}"/>
    <hyperlink ref="G9" location="'P-Cita'!A8" display="'P-Cita'!A8" xr:uid="{00000000-0004-0000-3400-000006000000}"/>
    <hyperlink ref="G10" location="'P-Cita'!A19" display="'P-Cita'!A19" xr:uid="{00000000-0004-0000-3400-000007000000}"/>
    <hyperlink ref="G11" location="'P-Cita'!A9" display="'P-Cita'!A9" xr:uid="{00000000-0004-0000-3400-000008000000}"/>
    <hyperlink ref="G12" location="'P-Cita'!A18" display="'P-Cita'!A18" xr:uid="{00000000-0004-0000-3400-000009000000}"/>
    <hyperlink ref="G13" location="'P-Cita'!A10" display="'P-Cita'!A10" xr:uid="{00000000-0004-0000-3400-00000A000000}"/>
    <hyperlink ref="G14" location="'P-Cita'!A11" display="'P-Cita'!A11" xr:uid="{00000000-0004-0000-3400-00000B000000}"/>
    <hyperlink ref="G15" location="'P-Cita'!A21" display="'P-Cita'!A21" xr:uid="{00000000-0004-0000-3400-00000D000000}"/>
    <hyperlink ref="G17" location="'P-Cita'!A8" display="'P-Cita'!A8" xr:uid="{00000000-0004-0000-3400-00000E000000}"/>
    <hyperlink ref="G21" location="'P-Cita'!A16" display="'P-Cita'!A16" xr:uid="{00000000-0004-0000-3400-00000F000000}"/>
    <hyperlink ref="G23" location="'P-Cita'!A17" display="'P-Cita'!A17" xr:uid="{00000000-0004-0000-3400-000010000000}"/>
    <hyperlink ref="G26" location="'P-Cita'!A15" display="'P-Cita'!A15" xr:uid="{00000000-0004-0000-3400-000011000000}"/>
    <hyperlink ref="G29" location="'P-Cita'!A14" display="'P-Cita'!A14" xr:uid="{00000000-0004-0000-3400-000012000000}"/>
    <hyperlink ref="G18" location="'P-Cita'!A19" display="'P-Cita'!A19" xr:uid="{A738A316-67D8-4AAE-918D-CD103C985628}"/>
    <hyperlink ref="G19" location="'P-Cita'!A10" display="'P-Cita'!A10" xr:uid="{57D4BE46-3431-4392-8397-FF336B6D9840}"/>
    <hyperlink ref="G20" location="'P-Cita'!A21" display="'P-Cita'!A21" xr:uid="{2EDD6D8C-12EA-4233-B0A9-5089F84F0583}"/>
    <hyperlink ref="G22" location="'P-Cita'!A21" display="'P-Cita'!A21" xr:uid="{35A453CC-D1B8-4F6D-99D3-E4C7F55FBDA1}"/>
    <hyperlink ref="G24" location="'P-Cita'!A21" display="'P-Cita'!A21" xr:uid="{71EBA2DC-DF15-4F4F-A4B8-1B1096B17444}"/>
    <hyperlink ref="G25" location="'P-Cita'!A24" display="'P-Cita'!A24" xr:uid="{FBCFC9AE-BF38-4ECE-BA2A-EE96E5767841}"/>
    <hyperlink ref="G27" location="'P-Cita'!A22" display="'P-Cita'!A22" xr:uid="{079F7D9A-2930-4620-84C1-4FFFAC52BBE7}"/>
    <hyperlink ref="G28" location="'P-Cita'!A25" display="'P-Cita'!A25" xr:uid="{F68B8C58-2A94-43CF-97AD-043FDBC4F628}"/>
    <hyperlink ref="G30" location="'P-Cita'!A23" display="'P-Cita'!A23" xr:uid="{21C325FE-3342-43C6-8919-05C35BCE2B40}"/>
    <hyperlink ref="G32" location="'P-Cita'!A12" display="'P-Cita'!A12" xr:uid="{A5E3137A-0F1F-405B-B9F0-91E3D9EACF6C}"/>
    <hyperlink ref="G33" location="'P-Cita'!A21" display="'P-Cita'!A21" xr:uid="{FF9D68C2-F9CB-4FBA-9FC8-524F7F4290CF}"/>
    <hyperlink ref="G34" location="'P-Cita'!A24" display="'P-Cita'!A24" xr:uid="{8FE665B3-F8F8-42A0-BF94-CD5E7784705B}"/>
    <hyperlink ref="G35" location="'P-Cita'!A13" display="'P-Cita'!A13" xr:uid="{7F5FA89D-B6E6-4B5A-944A-701DC83A9AD6}"/>
    <hyperlink ref="G36" location="'P-Cita'!A21" display="'P-Cita'!A21" xr:uid="{89D2FE3A-E889-49B3-821B-92E49239EA9D}"/>
    <hyperlink ref="G37" location="'P-Cita'!A24" display="'P-Cita'!A24" xr:uid="{6436243C-06AE-468B-BE38-52ADB685498C}"/>
    <hyperlink ref="G38" location="'P-Cita'!A13" display="'P-Cita'!A13" xr:uid="{E5E0EF4A-3C74-464B-9909-C2D40529AA59}"/>
  </hyperlink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S25"/>
  <sheetViews>
    <sheetView topLeftCell="A2" zoomScaleNormal="100" workbookViewId="0">
      <selection activeCell="A3" sqref="A3"/>
    </sheetView>
  </sheetViews>
  <sheetFormatPr baseColWidth="10" defaultColWidth="8.6640625" defaultRowHeight="14.4" x14ac:dyDescent="0.3"/>
  <cols>
    <col min="1" max="1" width="25" customWidth="1"/>
    <col min="2" max="2" width="27.5546875" customWidth="1"/>
    <col min="3" max="3" width="26.109375" customWidth="1"/>
    <col min="4" max="4" width="16.6640625" customWidth="1"/>
    <col min="5" max="5" width="19.88671875" customWidth="1"/>
    <col min="6" max="6" width="17.5546875" customWidth="1"/>
    <col min="7" max="7" width="18.109375" customWidth="1"/>
    <col min="8" max="8" width="23.44140625" customWidth="1"/>
    <col min="9" max="9" width="20.44140625" customWidth="1"/>
    <col min="10" max="10" width="19.88671875" customWidth="1"/>
    <col min="11" max="12" width="18.33203125" customWidth="1"/>
    <col min="13" max="13" width="23" customWidth="1"/>
    <col min="14" max="14" width="23.5546875" customWidth="1"/>
    <col min="15" max="17" width="36" customWidth="1"/>
    <col min="18" max="18" width="26.6640625" customWidth="1"/>
    <col min="19" max="19" width="36" customWidth="1"/>
  </cols>
  <sheetData>
    <row r="1" spans="1:19" ht="14.25" customHeight="1" x14ac:dyDescent="0.3">
      <c r="A1" s="8" t="s">
        <v>1</v>
      </c>
      <c r="B1" s="8" t="s">
        <v>43</v>
      </c>
    </row>
    <row r="2" spans="1:19" ht="64.5" customHeight="1" x14ac:dyDescent="0.3">
      <c r="A2" s="51" t="s">
        <v>126</v>
      </c>
      <c r="B2" s="51" t="s">
        <v>912</v>
      </c>
      <c r="C2" s="51" t="s">
        <v>913</v>
      </c>
      <c r="D2" s="51" t="s">
        <v>914</v>
      </c>
      <c r="E2" s="51" t="s">
        <v>915</v>
      </c>
      <c r="F2" s="51" t="s">
        <v>916</v>
      </c>
      <c r="G2" s="51" t="s">
        <v>917</v>
      </c>
      <c r="H2" s="51" t="s">
        <v>918</v>
      </c>
      <c r="I2" s="51" t="s">
        <v>919</v>
      </c>
      <c r="J2" s="51" t="s">
        <v>920</v>
      </c>
      <c r="K2" s="51" t="s">
        <v>921</v>
      </c>
      <c r="L2" s="51" t="s">
        <v>922</v>
      </c>
      <c r="M2" s="51" t="s">
        <v>923</v>
      </c>
      <c r="N2" s="51" t="s">
        <v>924</v>
      </c>
      <c r="O2" s="51" t="s">
        <v>925</v>
      </c>
      <c r="P2" s="51" t="s">
        <v>926</v>
      </c>
      <c r="Q2" s="51" t="s">
        <v>927</v>
      </c>
      <c r="R2" s="51" t="s">
        <v>928</v>
      </c>
      <c r="S2" s="51" t="s">
        <v>929</v>
      </c>
    </row>
    <row r="3" spans="1:19" ht="14.25" customHeight="1" x14ac:dyDescent="0.3">
      <c r="A3" s="53" t="s">
        <v>129</v>
      </c>
      <c r="B3" s="132" t="s">
        <v>930</v>
      </c>
      <c r="C3" s="132" t="s">
        <v>931</v>
      </c>
      <c r="D3" s="132" t="s">
        <v>932</v>
      </c>
      <c r="E3" s="54" t="s">
        <v>746</v>
      </c>
      <c r="F3" s="147" t="s">
        <v>933</v>
      </c>
      <c r="G3" s="54" t="s">
        <v>831</v>
      </c>
      <c r="H3" s="54" t="s">
        <v>934</v>
      </c>
      <c r="I3" s="54" t="s">
        <v>838</v>
      </c>
      <c r="J3" s="54" t="s">
        <v>845</v>
      </c>
      <c r="K3" s="147" t="s">
        <v>935</v>
      </c>
      <c r="L3" s="199" t="s">
        <v>936</v>
      </c>
      <c r="M3" s="147" t="s">
        <v>937</v>
      </c>
      <c r="N3" s="147" t="s">
        <v>938</v>
      </c>
      <c r="O3" s="54" t="s">
        <v>939</v>
      </c>
      <c r="P3" s="54" t="s">
        <v>940</v>
      </c>
      <c r="Q3" s="54" t="s">
        <v>941</v>
      </c>
      <c r="R3" s="147" t="s">
        <v>942</v>
      </c>
      <c r="S3" s="55" t="s">
        <v>319</v>
      </c>
    </row>
    <row r="4" spans="1:19" ht="45" customHeight="1" x14ac:dyDescent="0.3">
      <c r="A4" s="56">
        <v>1</v>
      </c>
      <c r="B4" s="134" t="str">
        <f>'M-Cliente'!J4</f>
        <v>+57-3234528921</v>
      </c>
      <c r="C4" s="200" t="str">
        <f>'M-Agenda'!D4</f>
        <v>+57-3245627890-Lunes-09:00-19:00-12/11/2023-1/01/1000-10:00-16:00-31/08/2026</v>
      </c>
      <c r="D4" s="200" t="str">
        <f>'M-Estado'!D4</f>
        <v>Agendada</v>
      </c>
      <c r="E4" s="201">
        <v>0.41666666666666702</v>
      </c>
      <c r="F4" s="201">
        <f t="shared" ref="F4:F13" si="0">E4+TIME(K4,L4,0)</f>
        <v>0.4583333333333337</v>
      </c>
      <c r="G4" s="201">
        <v>0</v>
      </c>
      <c r="H4" s="201">
        <v>0</v>
      </c>
      <c r="I4" s="201">
        <v>0</v>
      </c>
      <c r="J4" s="201">
        <v>0</v>
      </c>
      <c r="K4" s="202">
        <f>INT((SUMIF('M-CitaServicio'!$B$4:$B$14,S4,'M-CitaServicio'!$F$4:$F$14)+SUMIF('M-CitaServicio'!$B$4:$B$14,S4,'M-CitaServicio'!$G$4:$G$14))/60)</f>
        <v>1</v>
      </c>
      <c r="L4" s="134">
        <f>MOD((SUMIF('M-CitaServicio'!$B$4:$B$14,S4,'M-CitaServicio'!$F$4:$F$14)+SUMIF('M-CitaServicio'!$B$4:$B$14,S4,'M-CitaServicio'!$G$4:$G$14)),60)</f>
        <v>0</v>
      </c>
      <c r="M4" s="203">
        <f t="shared" ref="M4:M13" si="1">IF(G4=TIME(0,0,0),0,ROUND(MAX(0,(G4-E4)*1440),0))</f>
        <v>0</v>
      </c>
      <c r="N4" s="204">
        <f t="shared" ref="N4:N13" si="2">IF(I4=TIME(0,0,0),0,ROUND(MAX(0,(I4-MAX(G4,E4))*1440),0))</f>
        <v>0</v>
      </c>
      <c r="O4" s="204">
        <v>10</v>
      </c>
      <c r="P4" s="204">
        <v>10000</v>
      </c>
      <c r="Q4" s="204">
        <v>10</v>
      </c>
      <c r="R4" s="205">
        <f>SUMIF('M-CitaServicio'!$B$4:$B$14,S4,'M-CitaServicio'!$D$4:$D$14)*(1-IF(D4='M-Estado'!$D$9,O4,0)/100)</f>
        <v>22000</v>
      </c>
      <c r="S4" s="86" t="str">
        <f t="shared" ref="S4:S13" si="3">_xlfn.CONCAT(C4,"-",TEXT(E4,"hh:mm"))</f>
        <v>+57-3245627890-Lunes-09:00-19:00-12/11/2023-1/01/1000-10:00-16:00-31/08/2026-10:00</v>
      </c>
    </row>
    <row r="5" spans="1:19" ht="44.25" customHeight="1" x14ac:dyDescent="0.3">
      <c r="A5" s="56">
        <v>2</v>
      </c>
      <c r="B5" s="134" t="str">
        <f>'M-Cliente'!J5</f>
        <v>+57-3161657782</v>
      </c>
      <c r="C5" s="200" t="str">
        <f>'M-Agenda'!D5</f>
        <v>+57-3124518923-Martes-09:00-19:00-12/11/2023-1/01/1000-09:00-15:00-10/03/2026</v>
      </c>
      <c r="D5" s="200" t="str">
        <f>'M-Estado'!D5</f>
        <v>Finalizada</v>
      </c>
      <c r="E5" s="201">
        <v>0.39583333333333298</v>
      </c>
      <c r="F5" s="201">
        <f t="shared" si="0"/>
        <v>0.40624999999999967</v>
      </c>
      <c r="G5" s="201">
        <v>0.39444444444444399</v>
      </c>
      <c r="H5" s="201">
        <v>0.39236111111111099</v>
      </c>
      <c r="I5" s="201">
        <v>0.39583333333333298</v>
      </c>
      <c r="J5" s="201">
        <v>0.40625</v>
      </c>
      <c r="K5" s="202">
        <f>INT((SUMIF('M-CitaServicio'!$B$4:$B$14,S5,'M-CitaServicio'!$F$4:$F$14)+SUMIF('M-CitaServicio'!$B$4:$B$14,S5,'M-CitaServicio'!$G$4:$G$14))/60)</f>
        <v>0</v>
      </c>
      <c r="L5" s="134">
        <f>MOD((SUMIF('M-CitaServicio'!$B$4:$B$14,S5,'M-CitaServicio'!$F$4:$F$14)+SUMIF('M-CitaServicio'!$B$4:$B$14,S5,'M-CitaServicio'!$G$4:$G$14)),60)</f>
        <v>15</v>
      </c>
      <c r="M5" s="203">
        <f t="shared" si="1"/>
        <v>0</v>
      </c>
      <c r="N5" s="204">
        <f t="shared" si="2"/>
        <v>0</v>
      </c>
      <c r="O5" s="204">
        <v>10</v>
      </c>
      <c r="P5" s="204">
        <v>10000</v>
      </c>
      <c r="Q5" s="204">
        <v>10</v>
      </c>
      <c r="R5" s="205">
        <f>SUMIF('M-CitaServicio'!$B$4:$B$14,S5,'M-CitaServicio'!$D$4:$D$14)*(1-IF(D5='M-Estado'!$D$9,O5,0)/100)</f>
        <v>12000</v>
      </c>
      <c r="S5" s="86" t="str">
        <f t="shared" si="3"/>
        <v>+57-3124518923-Martes-09:00-19:00-12/11/2023-1/01/1000-09:00-15:00-10/03/2026-09:30</v>
      </c>
    </row>
    <row r="6" spans="1:19" ht="41.25" customHeight="1" x14ac:dyDescent="0.3">
      <c r="A6" s="56">
        <v>3</v>
      </c>
      <c r="B6" s="134" t="str">
        <f>'M-Cliente'!J6</f>
        <v>+57-3119884321</v>
      </c>
      <c r="C6" s="200" t="str">
        <f>'M-Agenda'!D6</f>
        <v>+57-3214533321-Jueves-09:00-19:00-12/11/2023-1/01/1000-13:00-19:00-14/05/2026</v>
      </c>
      <c r="D6" s="200" t="str">
        <f>'M-Estado'!D8</f>
        <v>El cliente se demoro</v>
      </c>
      <c r="E6" s="201">
        <v>0.54166666666666696</v>
      </c>
      <c r="F6" s="201">
        <f t="shared" si="0"/>
        <v>0.5555555555555558</v>
      </c>
      <c r="G6" s="201">
        <v>0.55208333333333304</v>
      </c>
      <c r="H6" s="201">
        <v>0.54305555555555596</v>
      </c>
      <c r="I6" s="201">
        <v>0.55208333333333304</v>
      </c>
      <c r="J6" s="201">
        <v>0.56597222222222199</v>
      </c>
      <c r="K6" s="202">
        <f>INT((SUMIF('M-CitaServicio'!$B$4:$B$14,S6,'M-CitaServicio'!$F$4:$F$14)+SUMIF('M-CitaServicio'!$B$4:$B$14,S6,'M-CitaServicio'!$G$4:$G$14))/60)</f>
        <v>0</v>
      </c>
      <c r="L6" s="134">
        <f>MOD((SUMIF('M-CitaServicio'!$B$4:$B$14,S6,'M-CitaServicio'!$F$4:$F$14)+SUMIF('M-CitaServicio'!$B$4:$B$14,S6,'M-CitaServicio'!$G$4:$G$14)),60)</f>
        <v>20</v>
      </c>
      <c r="M6" s="203">
        <f t="shared" si="1"/>
        <v>15</v>
      </c>
      <c r="N6" s="204">
        <f t="shared" si="2"/>
        <v>0</v>
      </c>
      <c r="O6" s="204">
        <v>10</v>
      </c>
      <c r="P6" s="204">
        <v>10000</v>
      </c>
      <c r="Q6" s="204">
        <v>10</v>
      </c>
      <c r="R6" s="205">
        <f>SUMIF('M-CitaServicio'!$B$4:$B$14,S6,'M-CitaServicio'!$D$4:$D$14)*(1-IF(D6='M-Estado'!$D$9,O6,0)/100)</f>
        <v>15000</v>
      </c>
      <c r="S6" s="86" t="str">
        <f t="shared" si="3"/>
        <v>+57-3214533321-Jueves-09:00-19:00-12/11/2023-1/01/1000-13:00-19:00-14/05/2026-13:00</v>
      </c>
    </row>
    <row r="7" spans="1:19" ht="41.25" customHeight="1" x14ac:dyDescent="0.3">
      <c r="A7" s="56">
        <v>4</v>
      </c>
      <c r="B7" s="134" t="str">
        <f>'M-Cliente'!J7</f>
        <v>+58-4127359182</v>
      </c>
      <c r="C7" s="200" t="str">
        <f>'M-Agenda'!D8</f>
        <v>+91-9876543210-Sábado-08:00-21:00-12/12/2024-1/01/1000-08:00-14:00-22/11/2025</v>
      </c>
      <c r="D7" s="200" t="str">
        <f>'M-Estado'!D10</f>
        <v>Inasistencia del cliente</v>
      </c>
      <c r="E7" s="201">
        <v>0.54166666666666696</v>
      </c>
      <c r="F7" s="201">
        <f t="shared" si="0"/>
        <v>0.57638888888888917</v>
      </c>
      <c r="G7" s="201">
        <v>0</v>
      </c>
      <c r="H7" s="201">
        <v>0.52777777777777801</v>
      </c>
      <c r="I7" s="201">
        <v>0</v>
      </c>
      <c r="J7" s="201">
        <v>0</v>
      </c>
      <c r="K7" s="202">
        <f>INT((SUMIF('M-CitaServicio'!$B$4:$B$14,S7,'M-CitaServicio'!$F$4:$F$14)+SUMIF('M-CitaServicio'!$B$4:$B$14,S7,'M-CitaServicio'!$G$4:$G$14))/60)</f>
        <v>0</v>
      </c>
      <c r="L7" s="134">
        <f>MOD((SUMIF('M-CitaServicio'!$B$4:$B$14,S7,'M-CitaServicio'!$F$4:$F$14)+SUMIF('M-CitaServicio'!$B$4:$B$14,S7,'M-CitaServicio'!$G$4:$G$14)),60)</f>
        <v>50</v>
      </c>
      <c r="M7" s="203">
        <f t="shared" si="1"/>
        <v>0</v>
      </c>
      <c r="N7" s="204">
        <f t="shared" si="2"/>
        <v>0</v>
      </c>
      <c r="O7" s="204">
        <v>10</v>
      </c>
      <c r="P7" s="204">
        <v>12000</v>
      </c>
      <c r="Q7" s="204">
        <v>15</v>
      </c>
      <c r="R7" s="205">
        <f>SUMIF('M-CitaServicio'!$B$4:$B$14,S7,'M-CitaServicio'!$D$4:$D$14)*(1-IF(D7='M-Estado'!$D$9,O7,0)/100)</f>
        <v>35000</v>
      </c>
      <c r="S7" s="86" t="str">
        <f t="shared" si="3"/>
        <v>+91-9876543210-Sábado-08:00-21:00-12/12/2024-1/01/1000-08:00-14:00-22/11/2025-13:00</v>
      </c>
    </row>
    <row r="8" spans="1:19" ht="41.25" customHeight="1" x14ac:dyDescent="0.3">
      <c r="A8" s="56">
        <v>5</v>
      </c>
      <c r="B8" s="134" t="str">
        <f>'M-Cliente'!J7</f>
        <v>+58-4127359182</v>
      </c>
      <c r="C8" s="200" t="str">
        <f>'M-Agenda'!D9</f>
        <v>+57-3214533321-Jueves-09:00-19:00-12/11/2023-1/01/1000-13:00-19:00-06/08/2026</v>
      </c>
      <c r="D8" s="200" t="str">
        <f>'M-Estado'!D9</f>
        <v>El barbero se demoro</v>
      </c>
      <c r="E8" s="201">
        <v>0.75</v>
      </c>
      <c r="F8" s="201">
        <f t="shared" si="0"/>
        <v>0.76388888888888884</v>
      </c>
      <c r="G8" s="201">
        <v>0.74861111111111101</v>
      </c>
      <c r="H8" s="201">
        <v>0.76388888888888895</v>
      </c>
      <c r="I8" s="201">
        <v>0.76388888888888895</v>
      </c>
      <c r="J8" s="201">
        <v>0.77777777777777801</v>
      </c>
      <c r="K8" s="202">
        <f>INT((SUMIF('M-CitaServicio'!$B$4:$B$14,S8,'M-CitaServicio'!$F$4:$F$14)+SUMIF('M-CitaServicio'!$B$4:$B$14,S8,'M-CitaServicio'!$G$4:$G$14))/60)</f>
        <v>0</v>
      </c>
      <c r="L8" s="134">
        <f>MOD((SUMIF('M-CitaServicio'!$B$4:$B$14,S8,'M-CitaServicio'!$F$4:$F$14)+SUMIF('M-CitaServicio'!$B$4:$B$14,S8,'M-CitaServicio'!$G$4:$G$14)),60)</f>
        <v>20</v>
      </c>
      <c r="M8" s="203">
        <f t="shared" si="1"/>
        <v>0</v>
      </c>
      <c r="N8" s="204">
        <f t="shared" si="2"/>
        <v>20</v>
      </c>
      <c r="O8" s="204">
        <v>10</v>
      </c>
      <c r="P8" s="204">
        <v>10000</v>
      </c>
      <c r="Q8" s="204">
        <v>10</v>
      </c>
      <c r="R8" s="205">
        <f>SUMIF('M-CitaServicio'!$B$4:$B$14,S8,'M-CitaServicio'!$D$4:$D$14)*(1-IF(D8='M-Estado'!$D$9,O8,0)/100)</f>
        <v>10800</v>
      </c>
      <c r="S8" s="86" t="str">
        <f t="shared" si="3"/>
        <v>+57-3214533321-Jueves-09:00-19:00-12/11/2023-1/01/1000-13:00-19:00-06/08/2026-18:00</v>
      </c>
    </row>
    <row r="9" spans="1:19" ht="41.25" customHeight="1" x14ac:dyDescent="0.3">
      <c r="A9" s="56">
        <v>6</v>
      </c>
      <c r="B9" s="134" t="str">
        <f>'M-Cliente'!J4</f>
        <v>+57-3234528921</v>
      </c>
      <c r="C9" s="200" t="str">
        <f>'M-Agenda'!D7</f>
        <v>+91-9876543210-Festivo-10:00-15:00-12/12/2024-1/01/1000-12:00-15:00-20/02/2026</v>
      </c>
      <c r="D9" s="200" t="str">
        <f>'M-Estado'!D5</f>
        <v>Finalizada</v>
      </c>
      <c r="E9" s="201">
        <v>0.58333333333333304</v>
      </c>
      <c r="F9" s="201">
        <f t="shared" si="0"/>
        <v>0.61805555555555525</v>
      </c>
      <c r="G9" s="201">
        <v>0.58194444444444504</v>
      </c>
      <c r="H9" s="201">
        <v>0.58333333333333304</v>
      </c>
      <c r="I9" s="201">
        <v>0.58333333333333304</v>
      </c>
      <c r="J9" s="201">
        <v>0.61805555555555602</v>
      </c>
      <c r="K9" s="202">
        <f>INT((SUMIF('M-CitaServicio'!$B$4:$B$14,S9,'M-CitaServicio'!$F$4:$F$14)+SUMIF('M-CitaServicio'!$B$4:$B$14,S9,'M-CitaServicio'!$G$4:$G$14))/60)</f>
        <v>0</v>
      </c>
      <c r="L9" s="134">
        <f>MOD((SUMIF('M-CitaServicio'!$B$4:$B$14,S9,'M-CitaServicio'!$F$4:$F$14)+SUMIF('M-CitaServicio'!$B$4:$B$14,S9,'M-CitaServicio'!$G$4:$G$14)),60)</f>
        <v>50</v>
      </c>
      <c r="M9" s="203">
        <f t="shared" si="1"/>
        <v>0</v>
      </c>
      <c r="N9" s="204">
        <f t="shared" si="2"/>
        <v>0</v>
      </c>
      <c r="O9" s="204">
        <v>10</v>
      </c>
      <c r="P9" s="204">
        <v>10000</v>
      </c>
      <c r="Q9" s="204">
        <v>10</v>
      </c>
      <c r="R9" s="205">
        <f>SUMIF('M-CitaServicio'!$B$4:$B$14,S9,'M-CitaServicio'!$D$4:$D$14)*(1-IF(D9='M-Estado'!$D$9,O9,0)/100)</f>
        <v>35000</v>
      </c>
      <c r="S9" s="86" t="str">
        <f t="shared" si="3"/>
        <v>+91-9876543210-Festivo-10:00-15:00-12/12/2024-1/01/1000-12:00-15:00-20/02/2026-14:00</v>
      </c>
    </row>
    <row r="10" spans="1:19" ht="41.25" customHeight="1" x14ac:dyDescent="0.3">
      <c r="A10" s="56">
        <v>7</v>
      </c>
      <c r="B10" s="134" t="str">
        <f>'M-Cliente'!J8</f>
        <v>+57-3005544332</v>
      </c>
      <c r="C10" s="200" t="str">
        <f>'M-Agenda'!D10</f>
        <v>+57-3245627890-Lunes-09:00-19:00-12/11/2023-1/01/1000-10:00-16:00-01/06/2026</v>
      </c>
      <c r="D10" s="200" t="str">
        <f>'M-Estado'!D10</f>
        <v>Inasistencia del cliente</v>
      </c>
      <c r="E10" s="201">
        <v>0.41666666666666702</v>
      </c>
      <c r="F10" s="201">
        <f t="shared" si="0"/>
        <v>0.4583333333333337</v>
      </c>
      <c r="G10" s="201">
        <v>0</v>
      </c>
      <c r="H10" s="201">
        <v>0</v>
      </c>
      <c r="I10" s="201">
        <v>0</v>
      </c>
      <c r="J10" s="201">
        <v>0</v>
      </c>
      <c r="K10" s="202">
        <f>INT((SUMIF('M-CitaServicio'!$B$4:$B$14,S10,'M-CitaServicio'!$F$4:$F$14)+SUMIF('M-CitaServicio'!$B$4:$B$14,S10,'M-CitaServicio'!$G$4:$G$14))/60)</f>
        <v>1</v>
      </c>
      <c r="L10" s="134">
        <f>MOD((SUMIF('M-CitaServicio'!$B$4:$B$14,S10,'M-CitaServicio'!$F$4:$F$14)+SUMIF('M-CitaServicio'!$B$4:$B$14,S10,'M-CitaServicio'!$G$4:$G$14)),60)</f>
        <v>0</v>
      </c>
      <c r="M10" s="203">
        <f t="shared" si="1"/>
        <v>0</v>
      </c>
      <c r="N10" s="204">
        <f t="shared" si="2"/>
        <v>0</v>
      </c>
      <c r="O10" s="204">
        <v>10</v>
      </c>
      <c r="P10" s="204">
        <v>12000</v>
      </c>
      <c r="Q10" s="204">
        <v>15</v>
      </c>
      <c r="R10" s="205">
        <f>SUMIF('M-CitaServicio'!$B$4:$B$14,S10,'M-CitaServicio'!$D$4:$D$14)*(1-IF(D10='M-Estado'!$D$9,O10,0)/100)</f>
        <v>22000</v>
      </c>
      <c r="S10" s="86" t="str">
        <f t="shared" si="3"/>
        <v>+57-3245627890-Lunes-09:00-19:00-12/11/2023-1/01/1000-10:00-16:00-01/06/2026-10:00</v>
      </c>
    </row>
    <row r="11" spans="1:19" ht="41.25" customHeight="1" x14ac:dyDescent="0.3">
      <c r="A11" s="56">
        <v>8</v>
      </c>
      <c r="B11" s="134" t="str">
        <f>'M-Cliente'!J8</f>
        <v>+57-3005544332</v>
      </c>
      <c r="C11" s="200" t="str">
        <f>'M-Agenda'!D11</f>
        <v>+57-3124518923-Martes-09:00-19:00-12/11/2023-1/01/1000-09:00-15:00-16/06/2026</v>
      </c>
      <c r="D11" s="200" t="str">
        <f>'M-Estado'!D10</f>
        <v>Inasistencia del cliente</v>
      </c>
      <c r="E11" s="201">
        <v>0.375</v>
      </c>
      <c r="F11" s="201">
        <f t="shared" si="0"/>
        <v>0.38541666666666669</v>
      </c>
      <c r="G11" s="201">
        <v>0</v>
      </c>
      <c r="H11" s="201">
        <v>0</v>
      </c>
      <c r="I11" s="201">
        <v>0</v>
      </c>
      <c r="J11" s="201">
        <v>0</v>
      </c>
      <c r="K11" s="202">
        <f>INT((SUMIF('M-CitaServicio'!$B$4:$B$14,S11,'M-CitaServicio'!$F$4:$F$14)+SUMIF('M-CitaServicio'!$B$4:$B$14,S11,'M-CitaServicio'!$G$4:$G$14))/60)</f>
        <v>0</v>
      </c>
      <c r="L11" s="134">
        <f>MOD((SUMIF('M-CitaServicio'!$B$4:$B$14,S11,'M-CitaServicio'!$F$4:$F$14)+SUMIF('M-CitaServicio'!$B$4:$B$14,S11,'M-CitaServicio'!$G$4:$G$14)),60)</f>
        <v>15</v>
      </c>
      <c r="M11" s="203">
        <f t="shared" si="1"/>
        <v>0</v>
      </c>
      <c r="N11" s="204">
        <f t="shared" si="2"/>
        <v>0</v>
      </c>
      <c r="O11" s="204">
        <v>5</v>
      </c>
      <c r="P11" s="204">
        <v>10000</v>
      </c>
      <c r="Q11" s="204">
        <v>10</v>
      </c>
      <c r="R11" s="205">
        <f>SUMIF('M-CitaServicio'!$B$4:$B$14,S11,'M-CitaServicio'!$D$4:$D$14)*(1-IF(D11='M-Estado'!$D$9,O11,0)/100)</f>
        <v>12000</v>
      </c>
      <c r="S11" s="86" t="str">
        <f t="shared" si="3"/>
        <v>+57-3124518923-Martes-09:00-19:00-12/11/2023-1/01/1000-09:00-15:00-16/06/2026-09:00</v>
      </c>
    </row>
    <row r="12" spans="1:19" ht="41.25" customHeight="1" x14ac:dyDescent="0.3">
      <c r="A12" s="56">
        <v>9</v>
      </c>
      <c r="B12" s="134" t="str">
        <f>'M-Cliente'!J8</f>
        <v>+57-3005544332</v>
      </c>
      <c r="C12" s="200" t="str">
        <f>'M-Agenda'!D12</f>
        <v>+57-3214533321-Jueves-09:00-19:00-12/11/2023-1/01/1000-13:00-19:00-02/07/2026</v>
      </c>
      <c r="D12" s="200" t="str">
        <f>'M-Estado'!D10</f>
        <v>Inasistencia del cliente</v>
      </c>
      <c r="E12" s="201">
        <v>0.625</v>
      </c>
      <c r="F12" s="201">
        <f t="shared" si="0"/>
        <v>0.63888888888888884</v>
      </c>
      <c r="G12" s="201">
        <v>0</v>
      </c>
      <c r="H12" s="201">
        <v>0</v>
      </c>
      <c r="I12" s="201">
        <v>0</v>
      </c>
      <c r="J12" s="201">
        <v>0</v>
      </c>
      <c r="K12" s="202">
        <f>INT((SUMIF('M-CitaServicio'!$B$4:$B$14,S12,'M-CitaServicio'!$F$4:$F$14)+SUMIF('M-CitaServicio'!$B$4:$B$14,S12,'M-CitaServicio'!$G$4:$G$14))/60)</f>
        <v>0</v>
      </c>
      <c r="L12" s="134">
        <f>MOD((SUMIF('M-CitaServicio'!$B$4:$B$14,S12,'M-CitaServicio'!$F$4:$F$14)+SUMIF('M-CitaServicio'!$B$4:$B$14,S12,'M-CitaServicio'!$G$4:$G$14)),60)</f>
        <v>20</v>
      </c>
      <c r="M12" s="203">
        <f t="shared" si="1"/>
        <v>0</v>
      </c>
      <c r="N12" s="204">
        <f t="shared" si="2"/>
        <v>0</v>
      </c>
      <c r="O12" s="204">
        <v>15</v>
      </c>
      <c r="P12" s="204">
        <v>10000</v>
      </c>
      <c r="Q12" s="204">
        <v>10</v>
      </c>
      <c r="R12" s="205">
        <f>SUMIF('M-CitaServicio'!$B$4:$B$14,S12,'M-CitaServicio'!$D$4:$D$14)*(1-IF(D12='M-Estado'!$D$9,O12,0)/100)</f>
        <v>15000</v>
      </c>
      <c r="S12" s="86" t="str">
        <f t="shared" si="3"/>
        <v>+57-3214533321-Jueves-09:00-19:00-12/11/2023-1/01/1000-13:00-19:00-02/07/2026-15:00</v>
      </c>
    </row>
    <row r="13" spans="1:19" ht="45" customHeight="1" x14ac:dyDescent="0.3">
      <c r="A13" s="56">
        <v>10</v>
      </c>
      <c r="B13" s="134" t="str">
        <f>'M-Cliente'!J5</f>
        <v>+57-3161657782</v>
      </c>
      <c r="C13" s="200" t="str">
        <f>'M-Agenda'!D6</f>
        <v>+57-3214533321-Jueves-09:00-19:00-12/11/2023-1/01/1000-13:00-19:00-14/05/2026</v>
      </c>
      <c r="D13" s="134" t="str">
        <f>'M-Estado'!D5</f>
        <v>Finalizada</v>
      </c>
      <c r="E13" s="201">
        <v>0.5625</v>
      </c>
      <c r="F13" s="201">
        <f t="shared" si="0"/>
        <v>0.59027777777777779</v>
      </c>
      <c r="G13" s="201">
        <v>0.56111111111111101</v>
      </c>
      <c r="H13" s="201">
        <v>0.55902777777777801</v>
      </c>
      <c r="I13" s="201">
        <v>0.5625</v>
      </c>
      <c r="J13" s="201">
        <v>0.59027777777777801</v>
      </c>
      <c r="K13" s="202">
        <f>INT((SUMIF('M-CitaServicio'!$B$4:$B$14,S13,'M-CitaServicio'!$F$4:$F$14)+SUMIF('M-CitaServicio'!$B$4:$B$14,S13,'M-CitaServicio'!$G$4:$G$14))/60)</f>
        <v>0</v>
      </c>
      <c r="L13" s="134">
        <f>MOD((SUMIF('M-CitaServicio'!$B$4:$B$14,S13,'M-CitaServicio'!$F$4:$F$14)+SUMIF('M-CitaServicio'!$B$4:$B$14,S13,'M-CitaServicio'!$G$4:$G$14)),60)</f>
        <v>40</v>
      </c>
      <c r="M13" s="203">
        <f t="shared" si="1"/>
        <v>0</v>
      </c>
      <c r="N13" s="204">
        <f t="shared" si="2"/>
        <v>0</v>
      </c>
      <c r="O13" s="204">
        <v>0</v>
      </c>
      <c r="P13" s="204">
        <v>10000</v>
      </c>
      <c r="Q13" s="204">
        <v>15</v>
      </c>
      <c r="R13" s="205">
        <f>SUMIF('M-CitaServicio'!$B$4:$B$14,S13,'M-CitaServicio'!$D$4:$D$14)*(1-IF(D13='M-Estado'!$D$9,O13,0)/100)</f>
        <v>27000</v>
      </c>
      <c r="S13" s="86" t="str">
        <f t="shared" si="3"/>
        <v>+57-3214533321-Jueves-09:00-19:00-12/11/2023-1/01/1000-13:00-19:00-14/05/2026-13:30</v>
      </c>
    </row>
    <row r="14" spans="1:19" ht="14.25" customHeight="1" x14ac:dyDescent="0.3">
      <c r="B14" s="60"/>
    </row>
    <row r="19" spans="1:2" ht="28.5" customHeight="1" x14ac:dyDescent="0.3">
      <c r="A19" s="59"/>
      <c r="B19" s="60" t="s">
        <v>139</v>
      </c>
    </row>
    <row r="20" spans="1:2" ht="28.5" customHeight="1" x14ac:dyDescent="0.3">
      <c r="A20" s="61"/>
      <c r="B20" s="60" t="s">
        <v>140</v>
      </c>
    </row>
    <row r="21" spans="1:2" ht="28.5" customHeight="1" x14ac:dyDescent="0.3">
      <c r="A21" s="135"/>
      <c r="B21" s="60" t="s">
        <v>441</v>
      </c>
    </row>
    <row r="22" spans="1:2" ht="28.5" customHeight="1" x14ac:dyDescent="0.3">
      <c r="A22" s="148"/>
      <c r="B22" s="60" t="s">
        <v>517</v>
      </c>
    </row>
    <row r="23" spans="1:2" ht="28.5" customHeight="1" x14ac:dyDescent="0.3">
      <c r="A23" s="62"/>
      <c r="B23" s="60" t="s">
        <v>141</v>
      </c>
    </row>
    <row r="24" spans="1:2" ht="28.5" customHeight="1" x14ac:dyDescent="0.3">
      <c r="A24" s="166"/>
      <c r="B24" s="60" t="s">
        <v>142</v>
      </c>
    </row>
    <row r="25" spans="1:2" x14ac:dyDescent="0.3">
      <c r="B25" s="60"/>
    </row>
  </sheetData>
  <hyperlinks>
    <hyperlink ref="A1" location="'Modelo de Dominio'!A1" display="&lt;&lt;&lt;&lt; Ir al modulo de dominio" xr:uid="{00000000-0004-0000-3500-000000000000}"/>
    <hyperlink ref="B1" location="'Objetos de Dominio'!A1" display="&lt;&lt;&lt;&lt; Ir a objetos de dominio" xr:uid="{00000000-0004-0000-3500-000001000000}"/>
    <hyperlink ref="B3" location="'M-Cliente'!A1" display="cliente" xr:uid="{00000000-0004-0000-3500-000002000000}"/>
    <hyperlink ref="C3" location="'M-Agenda'!A1" display="agenda" xr:uid="{00000000-0004-0000-3500-000003000000}"/>
    <hyperlink ref="D3" location="'M-Estado'!A1" display="estado" xr:uid="{00000000-0004-0000-3500-000004000000}"/>
    <hyperlink ref="B4" location="'M-Cliente'!A4" display="#'M-Cliente'.A4" xr:uid="{00000000-0004-0000-3500-000005000000}"/>
    <hyperlink ref="C4" location="'M-Agenda'!A4" display="#'M-Agenda'.A4" xr:uid="{00000000-0004-0000-3500-000006000000}"/>
    <hyperlink ref="D4" location="'M-Estado'!A4" display="#'M-Estado'.A4" xr:uid="{00000000-0004-0000-3500-000007000000}"/>
    <hyperlink ref="K4" location="'M-CitaServicio'!A4" display="#'M-CitaServicio'.A4" xr:uid="{00000000-0004-0000-3500-000008000000}"/>
    <hyperlink ref="L4" location="'M-CitaServicio'!A4" display="#'M-CitaServicio'.A4" xr:uid="{00000000-0004-0000-3500-000009000000}"/>
    <hyperlink ref="R4" location="'M-CitaServicio'!A4" display="#'M-CitaServicio'.A4" xr:uid="{00000000-0004-0000-3500-00000A000000}"/>
    <hyperlink ref="B5" location="'M-Cliente'!A5" display="#'M-Cliente'.A5" xr:uid="{00000000-0004-0000-3500-00000B000000}"/>
    <hyperlink ref="C5" location="'M-Agenda'!A5" display="#'M-Agenda'.A5" xr:uid="{00000000-0004-0000-3500-00000C000000}"/>
    <hyperlink ref="D5" location="'M-Estado'!A5" display="#'M-Estado'.A5" xr:uid="{00000000-0004-0000-3500-00000D000000}"/>
    <hyperlink ref="K5" location="'M-CitaServicio'!A4" display="#'M-CitaServicio'.A4" xr:uid="{00000000-0004-0000-3500-00000E000000}"/>
    <hyperlink ref="L5" location="'M-CitaServicio'!A4" display="#'M-CitaServicio'.A4" xr:uid="{00000000-0004-0000-3500-00000F000000}"/>
    <hyperlink ref="R5" location="'M-CitaServicio'!A4" display="#'M-CitaServicio'.A4" xr:uid="{00000000-0004-0000-3500-000010000000}"/>
    <hyperlink ref="B6" location="'M-Cliente'!A6" display="#'M-Cliente'.A6" xr:uid="{00000000-0004-0000-3500-000011000000}"/>
    <hyperlink ref="C6" location="'M-Agenda'!A6" display="#'M-Agenda'.A6" xr:uid="{00000000-0004-0000-3500-000012000000}"/>
    <hyperlink ref="D6" location="'M-Estado'!A8" display="#'M-Estado'.A8" xr:uid="{00000000-0004-0000-3500-000013000000}"/>
    <hyperlink ref="K6" location="'M-CitaServicio'!A4" display="#'M-CitaServicio'.A4" xr:uid="{00000000-0004-0000-3500-000014000000}"/>
    <hyperlink ref="L6" location="'M-CitaServicio'!A4" display="#'M-CitaServicio'.A4" xr:uid="{00000000-0004-0000-3500-000015000000}"/>
    <hyperlink ref="R6" location="'M-CitaServicio'!A4" display="#'M-CitaServicio'.A4" xr:uid="{00000000-0004-0000-3500-000016000000}"/>
    <hyperlink ref="B7" location="'M-Cliente'!A7" display="#'M-Cliente'.A7" xr:uid="{00000000-0004-0000-3500-000017000000}"/>
    <hyperlink ref="C7" location="'M-Agenda'!A8" display="#'M-Agenda'.A8" xr:uid="{00000000-0004-0000-3500-000018000000}"/>
    <hyperlink ref="D7" location="'M-Estado'!A10" display="#'M-Estado'.A10" xr:uid="{00000000-0004-0000-3500-000019000000}"/>
    <hyperlink ref="K7" location="'M-CitaServicio'!A4" display="#'M-CitaServicio'.A4" xr:uid="{00000000-0004-0000-3500-00001A000000}"/>
    <hyperlink ref="L7" location="'M-CitaServicio'!A4" display="#'M-CitaServicio'.A4" xr:uid="{00000000-0004-0000-3500-00001B000000}"/>
    <hyperlink ref="R7" location="'M-CitaServicio'!A4" display="#'M-CitaServicio'.A4" xr:uid="{00000000-0004-0000-3500-00001C000000}"/>
    <hyperlink ref="B8" location="'M-Cliente'!A7" display="#'M-Cliente'.A7" xr:uid="{00000000-0004-0000-3500-00001D000000}"/>
    <hyperlink ref="C8" location="'M-Agenda'!A9" display="#'M-Agenda'.A9" xr:uid="{00000000-0004-0000-3500-00001E000000}"/>
    <hyperlink ref="D8" location="'M-Estado'!A9" display="#'M-Estado'.A9" xr:uid="{00000000-0004-0000-3500-00001F000000}"/>
    <hyperlink ref="K8" location="'M-CitaServicio'!A4" display="#'M-CitaServicio'.A4" xr:uid="{00000000-0004-0000-3500-000020000000}"/>
    <hyperlink ref="L8" location="'M-CitaServicio'!A4" display="#'M-CitaServicio'.A4" xr:uid="{00000000-0004-0000-3500-000021000000}"/>
    <hyperlink ref="R8" location="'M-CitaServicio'!A4" display="#'M-CitaServicio'.A4" xr:uid="{00000000-0004-0000-3500-000022000000}"/>
    <hyperlink ref="B9" location="'M-Cliente'!A4" display="#'M-Cliente'.A4" xr:uid="{00000000-0004-0000-3500-000023000000}"/>
    <hyperlink ref="C9" location="'M-Agenda'!A7" display="#'M-Agenda'.A7" xr:uid="{00000000-0004-0000-3500-000024000000}"/>
    <hyperlink ref="D9" location="'M-Estado'!A5" display="#'M-Estado'.A5" xr:uid="{00000000-0004-0000-3500-000025000000}"/>
    <hyperlink ref="K9" location="'M-CitaServicio'!A4" display="#'M-CitaServicio'.A4" xr:uid="{00000000-0004-0000-3500-000026000000}"/>
    <hyperlink ref="L9" location="'M-CitaServicio'!A4" display="#'M-CitaServicio'.A4" xr:uid="{00000000-0004-0000-3500-000027000000}"/>
    <hyperlink ref="R9" location="'M-CitaServicio'!A4" display="#'M-CitaServicio'.A4" xr:uid="{00000000-0004-0000-3500-000028000000}"/>
    <hyperlink ref="B10" location="'M-Cliente'!A8" display="#'M-Cliente'.A8" xr:uid="{00000000-0004-0000-3500-000029000000}"/>
    <hyperlink ref="C10" location="'M-Agenda'!A10" display="#'M-Agenda'.A10" xr:uid="{00000000-0004-0000-3500-00002A000000}"/>
    <hyperlink ref="D10" location="'M-Estado'!A10" display="#'M-Estado'.A10" xr:uid="{00000000-0004-0000-3500-00002B000000}"/>
    <hyperlink ref="K10" location="'M-CitaServicio'!A4" display="#'M-CitaServicio'.A4" xr:uid="{00000000-0004-0000-3500-00002C000000}"/>
    <hyperlink ref="L10" location="'M-CitaServicio'!A4" display="#'M-CitaServicio'.A4" xr:uid="{00000000-0004-0000-3500-00002D000000}"/>
    <hyperlink ref="R10" location="'M-CitaServicio'!A4" display="#'M-CitaServicio'.A4" xr:uid="{00000000-0004-0000-3500-00002E000000}"/>
    <hyperlink ref="B11" location="'M-Cliente'!A8" display="#'M-Cliente'.A8" xr:uid="{00000000-0004-0000-3500-00002F000000}"/>
    <hyperlink ref="C11" location="'M-Agenda'!A11" display="#'M-Agenda'.A11" xr:uid="{00000000-0004-0000-3500-000030000000}"/>
    <hyperlink ref="D11" location="'M-Estado'!A10" display="#'M-Estado'.A10" xr:uid="{00000000-0004-0000-3500-000031000000}"/>
    <hyperlink ref="K11" location="'M-CitaServicio'!A4" display="#'M-CitaServicio'.A4" xr:uid="{00000000-0004-0000-3500-000032000000}"/>
    <hyperlink ref="L11" location="'M-CitaServicio'!A4" display="#'M-CitaServicio'.A4" xr:uid="{00000000-0004-0000-3500-000033000000}"/>
    <hyperlink ref="R11" location="'M-CitaServicio'!A4" display="#'M-CitaServicio'.A4" xr:uid="{00000000-0004-0000-3500-000034000000}"/>
    <hyperlink ref="B12" location="'M-Cliente'!A8" display="#'M-Cliente'.A8" xr:uid="{00000000-0004-0000-3500-000035000000}"/>
    <hyperlink ref="C12" location="'M-Agenda'!A12" display="#'M-Agenda'.A12" xr:uid="{00000000-0004-0000-3500-000036000000}"/>
    <hyperlink ref="D12" location="'M-Estado'!A10" display="#'M-Estado'.A10" xr:uid="{00000000-0004-0000-3500-000037000000}"/>
    <hyperlink ref="K12" location="'M-CitaServicio'!A4" display="#'M-CitaServicio'.A4" xr:uid="{00000000-0004-0000-3500-000038000000}"/>
    <hyperlink ref="L12" location="'M-CitaServicio'!A4" display="#'M-CitaServicio'.A4" xr:uid="{00000000-0004-0000-3500-000039000000}"/>
    <hyperlink ref="R12" location="'M-CitaServicio'!A4" display="#'M-CitaServicio'.A4" xr:uid="{00000000-0004-0000-3500-00003A000000}"/>
    <hyperlink ref="B13" location="'M-Cliente'!A5" display="#'M-Cliente'.A5" xr:uid="{00000000-0004-0000-3500-00003B000000}"/>
    <hyperlink ref="C13" location="'M-Agenda'!A6" display="#'M-Agenda'.A6" xr:uid="{00000000-0004-0000-3500-00003C000000}"/>
    <hyperlink ref="D13" location="'M-Estado'!A5" display="#'M-Estado'.A5" xr:uid="{00000000-0004-0000-3500-00003D000000}"/>
    <hyperlink ref="K13" location="'M-CitaServicio'!A4" display="#'M-CitaServicio'.A4" xr:uid="{00000000-0004-0000-3500-00003E000000}"/>
    <hyperlink ref="L13" location="'M-CitaServicio'!A4" display="#'M-CitaServicio'.A4" xr:uid="{00000000-0004-0000-3500-00003F000000}"/>
    <hyperlink ref="R13" location="'M-CitaServicio'!A4" display="#'M-CitaServicio'.A4" xr:uid="{00000000-0004-0000-3500-000040000000}"/>
  </hyperlink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W18"/>
  <sheetViews>
    <sheetView zoomScaleNormal="100" workbookViewId="0">
      <selection activeCell="Q12" sqref="Q12"/>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5" width="18" customWidth="1"/>
    <col min="7" max="9" width="13" customWidth="1"/>
    <col min="10" max="10" width="17.5546875" bestFit="1" customWidth="1"/>
    <col min="11" max="11" width="13" customWidth="1"/>
    <col min="12" max="12" width="9.109375" bestFit="1" customWidth="1"/>
    <col min="13" max="13" width="40" customWidth="1"/>
    <col min="14" max="14" width="18" customWidth="1"/>
    <col min="15" max="15" width="13" customWidth="1"/>
    <col min="16" max="16" width="16.33203125" customWidth="1"/>
    <col min="17" max="17" width="13" customWidth="1"/>
    <col min="18" max="18" width="13.6640625" customWidth="1"/>
    <col min="22" max="22" width="24.6640625" customWidth="1"/>
    <col min="23" max="23" width="22" customWidth="1"/>
  </cols>
  <sheetData>
    <row r="1" spans="1:23" ht="15" customHeight="1" x14ac:dyDescent="0.3">
      <c r="A1" s="8" t="s">
        <v>1</v>
      </c>
      <c r="B1" s="8" t="s">
        <v>43</v>
      </c>
    </row>
    <row r="2" spans="1:23" ht="45" customHeight="1" x14ac:dyDescent="0.3">
      <c r="A2" s="167" t="s">
        <v>44</v>
      </c>
      <c r="B2" s="167" t="s">
        <v>45</v>
      </c>
      <c r="C2" s="167" t="s">
        <v>46</v>
      </c>
      <c r="D2" s="167" t="s">
        <v>47</v>
      </c>
      <c r="E2" s="167" t="s">
        <v>48</v>
      </c>
      <c r="F2" s="167" t="s">
        <v>49</v>
      </c>
      <c r="G2" s="167" t="s">
        <v>50</v>
      </c>
      <c r="H2" s="167" t="s">
        <v>51</v>
      </c>
      <c r="I2" s="167" t="s">
        <v>52</v>
      </c>
      <c r="J2" s="167" t="s">
        <v>53</v>
      </c>
      <c r="K2" s="167" t="s">
        <v>54</v>
      </c>
      <c r="L2" s="167" t="s">
        <v>55</v>
      </c>
      <c r="M2" s="167" t="s">
        <v>56</v>
      </c>
      <c r="N2" s="167" t="s">
        <v>57</v>
      </c>
      <c r="O2" s="167" t="s">
        <v>58</v>
      </c>
      <c r="P2" s="167" t="s">
        <v>59</v>
      </c>
      <c r="Q2" s="167" t="s">
        <v>60</v>
      </c>
      <c r="R2" s="167" t="s">
        <v>61</v>
      </c>
      <c r="S2" s="167" t="s">
        <v>62</v>
      </c>
      <c r="T2" s="167" t="s">
        <v>63</v>
      </c>
      <c r="U2" s="167" t="s">
        <v>64</v>
      </c>
      <c r="V2" s="89" t="str">
        <f>A17</f>
        <v>consultarServiciosDeCita</v>
      </c>
      <c r="W2" s="90" t="str">
        <f>A18</f>
        <v>consultarPrecioDeCadaServicio</v>
      </c>
    </row>
    <row r="3" spans="1:23" ht="45" customHeight="1" x14ac:dyDescent="0.3">
      <c r="A3" s="118" t="str">
        <f>'M-CitaServicio'!A3</f>
        <v>id</v>
      </c>
      <c r="B3" s="168" t="str">
        <f>'M-CitaServicio'!A2</f>
        <v>Representa un identificador que hará unico cada objeto de dominio de este tipo, no se puede repetir</v>
      </c>
      <c r="C3" s="118" t="s">
        <v>65</v>
      </c>
      <c r="D3" s="118" t="s">
        <v>66</v>
      </c>
      <c r="E3" s="118" t="s">
        <v>65</v>
      </c>
      <c r="F3" s="118" t="s">
        <v>67</v>
      </c>
      <c r="G3" s="118" t="s">
        <v>67</v>
      </c>
      <c r="H3" s="118" t="s">
        <v>67</v>
      </c>
      <c r="I3" s="118" t="s">
        <v>67</v>
      </c>
      <c r="J3" s="118" t="s">
        <v>67</v>
      </c>
      <c r="K3" s="118" t="s">
        <v>67</v>
      </c>
      <c r="L3" s="118" t="s">
        <v>67</v>
      </c>
      <c r="M3" s="118" t="s">
        <v>67</v>
      </c>
      <c r="N3" s="118" t="s">
        <v>68</v>
      </c>
      <c r="O3" s="118" t="s">
        <v>68</v>
      </c>
      <c r="P3" s="118" t="s">
        <v>67</v>
      </c>
      <c r="Q3" s="118" t="s">
        <v>68</v>
      </c>
      <c r="R3" s="118" t="s">
        <v>68</v>
      </c>
      <c r="S3" s="118" t="s">
        <v>68</v>
      </c>
      <c r="T3" s="118" t="s">
        <v>69</v>
      </c>
      <c r="U3" s="118" t="s">
        <v>65</v>
      </c>
      <c r="V3" s="92" t="s">
        <v>70</v>
      </c>
      <c r="W3" s="93" t="s">
        <v>70</v>
      </c>
    </row>
    <row r="4" spans="1:23" ht="30" customHeight="1" x14ac:dyDescent="0.3">
      <c r="A4" s="186" t="str">
        <f>'M-CitaServicio'!B3</f>
        <v>cita</v>
      </c>
      <c r="B4" s="186" t="str">
        <f>'M-CitaServicio'!B2</f>
        <v>Hace referencia a la cita a la que pertenece este servicio pedido</v>
      </c>
      <c r="C4" s="186" t="s">
        <v>68</v>
      </c>
      <c r="D4" s="206" t="s">
        <v>37</v>
      </c>
      <c r="E4" s="186" t="s">
        <v>65</v>
      </c>
      <c r="F4" s="186" t="s">
        <v>67</v>
      </c>
      <c r="G4" s="186" t="s">
        <v>67</v>
      </c>
      <c r="H4" s="186" t="s">
        <v>67</v>
      </c>
      <c r="I4" s="186" t="s">
        <v>67</v>
      </c>
      <c r="J4" s="186" t="s">
        <v>67</v>
      </c>
      <c r="K4" s="186" t="s">
        <v>67</v>
      </c>
      <c r="L4" s="186" t="s">
        <v>67</v>
      </c>
      <c r="M4" s="192" t="s">
        <v>327</v>
      </c>
      <c r="N4" s="186" t="s">
        <v>68</v>
      </c>
      <c r="O4" s="186" t="s">
        <v>67</v>
      </c>
      <c r="P4" s="186" t="s">
        <v>67</v>
      </c>
      <c r="Q4" s="186" t="s">
        <v>67</v>
      </c>
      <c r="R4" s="186" t="s">
        <v>67</v>
      </c>
      <c r="S4" s="186" t="s">
        <v>68</v>
      </c>
      <c r="T4" s="186" t="s">
        <v>69</v>
      </c>
      <c r="U4" s="186" t="s">
        <v>68</v>
      </c>
      <c r="V4" s="92" t="s">
        <v>70</v>
      </c>
      <c r="W4" s="93" t="s">
        <v>70</v>
      </c>
    </row>
    <row r="5" spans="1:23" ht="60" customHeight="1" x14ac:dyDescent="0.3">
      <c r="A5" s="118" t="str">
        <f>'M-CitaServicio'!C3</f>
        <v>barberoServicio</v>
      </c>
      <c r="B5" s="168" t="str">
        <f>'M-CitaServicio'!C2</f>
        <v>Hace referencia a qué servicio, de qué barbero específico, se pidió en esta cita. No se referencia el Servicio directamente porque un barbero podría no ofrecerlo</v>
      </c>
      <c r="C5" s="118" t="s">
        <v>68</v>
      </c>
      <c r="D5" s="169" t="s">
        <v>31</v>
      </c>
      <c r="E5" s="118" t="s">
        <v>65</v>
      </c>
      <c r="F5" s="118" t="s">
        <v>67</v>
      </c>
      <c r="G5" s="118" t="s">
        <v>67</v>
      </c>
      <c r="H5" s="118" t="s">
        <v>67</v>
      </c>
      <c r="I5" s="118" t="s">
        <v>67</v>
      </c>
      <c r="J5" s="118" t="s">
        <v>67</v>
      </c>
      <c r="K5" s="118" t="s">
        <v>67</v>
      </c>
      <c r="L5" s="118" t="s">
        <v>67</v>
      </c>
      <c r="M5" s="192" t="s">
        <v>327</v>
      </c>
      <c r="N5" s="118" t="s">
        <v>68</v>
      </c>
      <c r="O5" s="118" t="s">
        <v>67</v>
      </c>
      <c r="P5" s="118" t="s">
        <v>67</v>
      </c>
      <c r="Q5" s="118" t="s">
        <v>67</v>
      </c>
      <c r="R5" s="118" t="s">
        <v>67</v>
      </c>
      <c r="S5" s="118" t="s">
        <v>68</v>
      </c>
      <c r="T5" s="118" t="s">
        <v>69</v>
      </c>
      <c r="U5" s="118" t="s">
        <v>68</v>
      </c>
      <c r="V5" s="92" t="s">
        <v>74</v>
      </c>
      <c r="W5" s="93" t="s">
        <v>74</v>
      </c>
    </row>
    <row r="6" spans="1:23" ht="75" customHeight="1" x14ac:dyDescent="0.3">
      <c r="A6" s="186" t="str">
        <f>'M-CitaServicio'!D3</f>
        <v>precioServicio</v>
      </c>
      <c r="B6" s="186" t="str">
        <f>'M-CitaServicio'!D2</f>
        <v>Representa el precio que tenía el servicio en el momento en que se agendó esta cita. Es un dato auto generado: copia de Servicio.precio, para que cambios futuros en el precio del catálogo no alteren una cita ya registrada</v>
      </c>
      <c r="C6" s="186" t="s">
        <v>68</v>
      </c>
      <c r="D6" s="186" t="s">
        <v>201</v>
      </c>
      <c r="E6" s="186" t="s">
        <v>65</v>
      </c>
      <c r="F6" s="186" t="s">
        <v>67</v>
      </c>
      <c r="G6" s="186" t="s">
        <v>67</v>
      </c>
      <c r="H6" s="186" t="s">
        <v>67</v>
      </c>
      <c r="I6" s="186" t="s">
        <v>67</v>
      </c>
      <c r="J6" s="186">
        <v>0</v>
      </c>
      <c r="K6" s="186">
        <v>2000000</v>
      </c>
      <c r="L6" s="118" t="s">
        <v>67</v>
      </c>
      <c r="M6" s="186" t="s">
        <v>943</v>
      </c>
      <c r="N6" s="186" t="s">
        <v>68</v>
      </c>
      <c r="O6" s="186" t="s">
        <v>67</v>
      </c>
      <c r="P6" s="186" t="s">
        <v>67</v>
      </c>
      <c r="Q6" s="186" t="s">
        <v>67</v>
      </c>
      <c r="R6" s="186" t="s">
        <v>67</v>
      </c>
      <c r="S6" s="186" t="s">
        <v>68</v>
      </c>
      <c r="T6" s="186" t="s">
        <v>329</v>
      </c>
      <c r="U6" s="186" t="s">
        <v>65</v>
      </c>
      <c r="V6" s="92" t="s">
        <v>74</v>
      </c>
      <c r="W6" s="93" t="s">
        <v>74</v>
      </c>
    </row>
    <row r="7" spans="1:23" ht="75" customHeight="1" x14ac:dyDescent="0.3">
      <c r="A7" s="186" t="str">
        <f>'M-CitaServicio'!E3</f>
        <v>duracionEnHorasElServicio</v>
      </c>
      <c r="B7" s="186" t="str">
        <f>'M-CitaServicio'!E2</f>
        <v>Representa la duración en horas que tenía el servicio para ese barbero en el momento en que se agendó esta cita. Es un dato auto generado: copia de BarberoServicio.duracionServicio</v>
      </c>
      <c r="C7" s="186" t="s">
        <v>68</v>
      </c>
      <c r="D7" s="186" t="s">
        <v>201</v>
      </c>
      <c r="E7" s="186" t="s">
        <v>65</v>
      </c>
      <c r="F7" s="186" t="s">
        <v>67</v>
      </c>
      <c r="G7" s="186" t="s">
        <v>67</v>
      </c>
      <c r="H7" s="186" t="s">
        <v>67</v>
      </c>
      <c r="I7" s="186" t="s">
        <v>67</v>
      </c>
      <c r="J7" s="186">
        <v>0</v>
      </c>
      <c r="K7" s="186">
        <v>3</v>
      </c>
      <c r="L7" s="118" t="s">
        <v>67</v>
      </c>
      <c r="M7" s="186" t="s">
        <v>944</v>
      </c>
      <c r="N7" s="186" t="s">
        <v>68</v>
      </c>
      <c r="O7" s="186" t="s">
        <v>67</v>
      </c>
      <c r="P7" s="186" t="s">
        <v>67</v>
      </c>
      <c r="Q7" s="186" t="s">
        <v>67</v>
      </c>
      <c r="R7" s="186" t="s">
        <v>67</v>
      </c>
      <c r="S7" s="186" t="s">
        <v>68</v>
      </c>
      <c r="T7" s="207">
        <v>0</v>
      </c>
      <c r="U7" s="186" t="s">
        <v>65</v>
      </c>
      <c r="V7" s="92" t="s">
        <v>74</v>
      </c>
      <c r="W7" s="93" t="s">
        <v>70</v>
      </c>
    </row>
    <row r="8" spans="1:23" ht="60" customHeight="1" x14ac:dyDescent="0.3">
      <c r="A8" s="118" t="str">
        <f>'M-CitaServicio'!F3</f>
        <v>duracionEnMinutosElServicio</v>
      </c>
      <c r="B8" s="168" t="str">
        <f>'M-CitaServicio'!F2</f>
        <v>Representa la duración en minutos que tenía el servicio para ese barbero en el momento en que se agendó esta cita. Es un dato auto generado: copia de BarberoServicio.duracionServicio</v>
      </c>
      <c r="C8" s="118" t="s">
        <v>68</v>
      </c>
      <c r="D8" s="118" t="s">
        <v>201</v>
      </c>
      <c r="E8" s="118" t="s">
        <v>65</v>
      </c>
      <c r="F8" s="118" t="s">
        <v>67</v>
      </c>
      <c r="G8" s="118" t="s">
        <v>67</v>
      </c>
      <c r="H8" s="118" t="s">
        <v>67</v>
      </c>
      <c r="I8" s="118" t="s">
        <v>67</v>
      </c>
      <c r="J8" s="118">
        <v>0</v>
      </c>
      <c r="K8" s="118">
        <v>59</v>
      </c>
      <c r="L8" s="118" t="s">
        <v>67</v>
      </c>
      <c r="M8" s="168" t="s">
        <v>945</v>
      </c>
      <c r="N8" s="118" t="s">
        <v>68</v>
      </c>
      <c r="O8" s="118" t="s">
        <v>67</v>
      </c>
      <c r="P8" s="118" t="s">
        <v>67</v>
      </c>
      <c r="Q8" s="118" t="s">
        <v>67</v>
      </c>
      <c r="R8" s="118" t="s">
        <v>67</v>
      </c>
      <c r="S8" s="118" t="s">
        <v>68</v>
      </c>
      <c r="T8" s="118" t="s">
        <v>329</v>
      </c>
      <c r="U8" s="118" t="s">
        <v>65</v>
      </c>
      <c r="V8" s="92" t="s">
        <v>74</v>
      </c>
      <c r="W8" s="93" t="s">
        <v>70</v>
      </c>
    </row>
    <row r="9" spans="1:23" ht="105" customHeight="1" x14ac:dyDescent="0.3">
      <c r="A9" s="186" t="str">
        <f>'M-CitaServicio'!G3</f>
        <v>tiempoExtra</v>
      </c>
      <c r="B9" s="186" t="str">
        <f>'M-CitaServicio'!G2</f>
        <v>Representa el tiempo extra en minutos que ese barbero tenía configurado para este servicio en el momento en que se agendó la cita. Es un dato auto generado: copia de BarberoServicio.tiempoExtra, para que cambios futuros en el tiempo extra no alteren una cita ya registrada</v>
      </c>
      <c r="C9" s="186" t="s">
        <v>68</v>
      </c>
      <c r="D9" s="186" t="s">
        <v>201</v>
      </c>
      <c r="E9" s="186" t="s">
        <v>65</v>
      </c>
      <c r="F9" s="186" t="s">
        <v>67</v>
      </c>
      <c r="G9" s="186" t="s">
        <v>67</v>
      </c>
      <c r="H9" s="186" t="s">
        <v>67</v>
      </c>
      <c r="I9" s="186" t="s">
        <v>67</v>
      </c>
      <c r="J9" s="186">
        <v>0</v>
      </c>
      <c r="K9" s="186">
        <v>59</v>
      </c>
      <c r="L9" s="118" t="s">
        <v>67</v>
      </c>
      <c r="M9" s="186" t="s">
        <v>946</v>
      </c>
      <c r="N9" s="186" t="s">
        <v>68</v>
      </c>
      <c r="O9" s="186" t="s">
        <v>67</v>
      </c>
      <c r="P9" s="186" t="s">
        <v>67</v>
      </c>
      <c r="Q9" s="186" t="s">
        <v>67</v>
      </c>
      <c r="R9" s="186" t="s">
        <v>67</v>
      </c>
      <c r="S9" s="186" t="s">
        <v>68</v>
      </c>
      <c r="T9" s="186" t="s">
        <v>329</v>
      </c>
      <c r="U9" s="186" t="s">
        <v>65</v>
      </c>
      <c r="V9" s="92" t="s">
        <v>74</v>
      </c>
      <c r="W9" s="93" t="s">
        <v>70</v>
      </c>
    </row>
    <row r="11" spans="1:23" ht="15" customHeight="1" x14ac:dyDescent="0.3">
      <c r="A11" s="23" t="s">
        <v>75</v>
      </c>
      <c r="B11" s="23" t="s">
        <v>76</v>
      </c>
      <c r="C11" s="23" t="s">
        <v>77</v>
      </c>
    </row>
    <row r="12" spans="1:23" ht="57" customHeight="1" x14ac:dyDescent="0.3">
      <c r="A12" s="300" t="str">
        <f>'M-CitaServicio'!H3</f>
        <v xml:space="preserve">Combinación única </v>
      </c>
      <c r="B12" s="301" t="str">
        <f>'M-CitaServicio'!H2</f>
        <v>Combinación única que indica que un mismo servicio no se puede pedir dos veces en la misma cita, es decir que CitaServicio no puede tener la misma cita y el barberoServicio</v>
      </c>
      <c r="C12" s="24" t="str">
        <f>A4</f>
        <v>cita</v>
      </c>
    </row>
    <row r="13" spans="1:23" ht="15" customHeight="1" x14ac:dyDescent="0.3">
      <c r="A13" s="300"/>
      <c r="B13" s="300"/>
      <c r="C13" s="24" t="str">
        <f>A5</f>
        <v>barberoServicio</v>
      </c>
    </row>
    <row r="15" spans="1:23" x14ac:dyDescent="0.3">
      <c r="A15" s="243" t="s">
        <v>79</v>
      </c>
      <c r="B15" s="243"/>
      <c r="C15" s="239" t="s">
        <v>76</v>
      </c>
      <c r="D15" s="239"/>
      <c r="E15" s="239"/>
      <c r="F15" s="239"/>
      <c r="G15" s="239" t="s">
        <v>80</v>
      </c>
      <c r="H15" s="239"/>
      <c r="I15" s="239"/>
      <c r="J15" s="239" t="s">
        <v>81</v>
      </c>
      <c r="K15" s="239"/>
      <c r="L15" s="239"/>
      <c r="M15" s="239"/>
      <c r="N15" s="239"/>
      <c r="O15" s="239" t="s">
        <v>82</v>
      </c>
      <c r="P15" s="239"/>
      <c r="Q15" s="239" t="s">
        <v>83</v>
      </c>
      <c r="R15" s="239"/>
    </row>
    <row r="16" spans="1:23" x14ac:dyDescent="0.3">
      <c r="A16" s="243"/>
      <c r="B16" s="243"/>
      <c r="C16" s="239"/>
      <c r="D16" s="239"/>
      <c r="E16" s="239"/>
      <c r="F16" s="239"/>
      <c r="G16" s="27" t="s">
        <v>84</v>
      </c>
      <c r="H16" s="27" t="s">
        <v>47</v>
      </c>
      <c r="I16" s="27" t="s">
        <v>76</v>
      </c>
      <c r="J16" s="27" t="s">
        <v>85</v>
      </c>
      <c r="K16" s="240" t="s">
        <v>76</v>
      </c>
      <c r="L16" s="240"/>
      <c r="M16" s="240"/>
      <c r="N16" s="240"/>
      <c r="O16" s="27" t="s">
        <v>86</v>
      </c>
      <c r="P16" s="27" t="s">
        <v>76</v>
      </c>
      <c r="Q16" s="27" t="s">
        <v>87</v>
      </c>
      <c r="R16" s="28" t="s">
        <v>88</v>
      </c>
    </row>
    <row r="17" spans="1:18" ht="63.75" customHeight="1" x14ac:dyDescent="0.3">
      <c r="A17" s="297" t="s">
        <v>947</v>
      </c>
      <c r="B17" s="297"/>
      <c r="C17" s="242" t="s">
        <v>948</v>
      </c>
      <c r="D17" s="242"/>
      <c r="E17" s="242"/>
      <c r="F17" s="242"/>
      <c r="G17" s="30" t="s">
        <v>949</v>
      </c>
      <c r="H17" s="30" t="s">
        <v>39</v>
      </c>
      <c r="I17" s="31" t="s">
        <v>950</v>
      </c>
      <c r="J17" s="32" t="s">
        <v>951</v>
      </c>
      <c r="K17" s="242" t="s">
        <v>952</v>
      </c>
      <c r="L17" s="242"/>
      <c r="M17" s="242"/>
      <c r="N17" s="242"/>
      <c r="O17" s="30"/>
      <c r="P17" s="29"/>
      <c r="Q17" s="29"/>
      <c r="R17" s="22"/>
    </row>
    <row r="18" spans="1:18" ht="76.5" customHeight="1" x14ac:dyDescent="0.3">
      <c r="A18" s="561" t="s">
        <v>953</v>
      </c>
      <c r="B18" s="561"/>
      <c r="C18" s="266" t="s">
        <v>954</v>
      </c>
      <c r="D18" s="266"/>
      <c r="E18" s="266"/>
      <c r="F18" s="266"/>
      <c r="G18" s="67" t="s">
        <v>949</v>
      </c>
      <c r="H18" s="67" t="s">
        <v>39</v>
      </c>
      <c r="I18" s="71" t="s">
        <v>955</v>
      </c>
      <c r="J18" s="181" t="s">
        <v>951</v>
      </c>
      <c r="K18" s="266" t="s">
        <v>956</v>
      </c>
      <c r="L18" s="266"/>
      <c r="M18" s="266"/>
      <c r="N18" s="266"/>
      <c r="O18" s="67"/>
      <c r="P18" s="70"/>
      <c r="Q18" s="70"/>
      <c r="R18" s="101"/>
    </row>
  </sheetData>
  <mergeCells count="15">
    <mergeCell ref="A18:B18"/>
    <mergeCell ref="C18:F18"/>
    <mergeCell ref="K18:N18"/>
    <mergeCell ref="J15:N15"/>
    <mergeCell ref="O15:P15"/>
    <mergeCell ref="Q15:R15"/>
    <mergeCell ref="K16:N16"/>
    <mergeCell ref="A17:B17"/>
    <mergeCell ref="C17:F17"/>
    <mergeCell ref="K17:N17"/>
    <mergeCell ref="A12:A13"/>
    <mergeCell ref="B12:B13"/>
    <mergeCell ref="A15:B16"/>
    <mergeCell ref="C15:F16"/>
    <mergeCell ref="G15:I15"/>
  </mergeCells>
  <hyperlinks>
    <hyperlink ref="A1" location="'Modelo de Dominio'!A1" display="&lt;&lt;&lt;&lt; Ir al modulo de dominio" xr:uid="{00000000-0004-0000-3600-000000000000}"/>
    <hyperlink ref="B1" location="'Objetos de Dominio'!A1" display="&lt;&lt;&lt;&lt; Ir a objetos de dominio" xr:uid="{00000000-0004-0000-3600-000001000000}"/>
    <hyperlink ref="V2" location="'C-CitaServicio'!A17" display="#'C-CitaServicio'.A17" xr:uid="{00000000-0004-0000-3600-000002000000}"/>
    <hyperlink ref="W2" location="'C-CitaServicio'!A18" display="#'C-CitaServicio'.A18" xr:uid="{00000000-0004-0000-3600-000003000000}"/>
    <hyperlink ref="A3" location="'M-CitaServicio'!A3" display="#'M-CitaServicio'.A3" xr:uid="{00000000-0004-0000-3600-000004000000}"/>
    <hyperlink ref="B3" location="'M-CitaServicio'!A2" display="#'M-CitaServicio'.A2" xr:uid="{00000000-0004-0000-3600-000005000000}"/>
    <hyperlink ref="A4" location="'M-CitaServicio'!A3" display="#'M-CitaServicio'.A3" xr:uid="{00000000-0004-0000-3600-000006000000}"/>
    <hyperlink ref="B4" location="'M-CitaServicio'!A2" display="#'M-CitaServicio'.A2" xr:uid="{00000000-0004-0000-3600-000007000000}"/>
    <hyperlink ref="D4" location="'C-Cita'!A1" display="Cita" xr:uid="{00000000-0004-0000-3600-000008000000}"/>
    <hyperlink ref="A5" location="'M-CitaServicio'!A3" display="#'M-CitaServicio'.A3" xr:uid="{00000000-0004-0000-3600-000009000000}"/>
    <hyperlink ref="B5" location="'M-CitaServicio'!A2" display="#'M-CitaServicio'.A2" xr:uid="{00000000-0004-0000-3600-00000A000000}"/>
    <hyperlink ref="D5" location="'C-BarberoServicio'!A1" display="BarberoServicio" xr:uid="{00000000-0004-0000-3600-00000B000000}"/>
    <hyperlink ref="A6" location="'M-CitaServicio'!A3" display="#'M-CitaServicio'.A3" xr:uid="{00000000-0004-0000-3600-00000C000000}"/>
    <hyperlink ref="B6" location="'M-CitaServicio'!A2" display="#'M-CitaServicio'.A2" xr:uid="{00000000-0004-0000-3600-00000D000000}"/>
    <hyperlink ref="A8" location="'M-CitaServicio'!A3" display="#'M-CitaServicio'.A3" xr:uid="{00000000-0004-0000-3600-00000E000000}"/>
    <hyperlink ref="B8" location="'M-CitaServicio'!A2" display="#'M-CitaServicio'.A2" xr:uid="{00000000-0004-0000-3600-00000F000000}"/>
    <hyperlink ref="A9" location="'M-CitaServicio'!A3" display="#'M-CitaServicio'.A3" xr:uid="{00000000-0004-0000-3600-000010000000}"/>
    <hyperlink ref="B9" location="'M-CitaServicio'!A2" display="#'M-CitaServicio'.A2" xr:uid="{00000000-0004-0000-3600-000011000000}"/>
    <hyperlink ref="A12" location="'M-CitaServicio'!A3" display="#'M-CitaServicio'.A3" xr:uid="{00000000-0004-0000-3600-000012000000}"/>
    <hyperlink ref="B12" location="'M-CitaServicio'!A2" display="#'M-CitaServicio'.A2" xr:uid="{00000000-0004-0000-3600-000013000000}"/>
    <hyperlink ref="A17" location="'C-CitaServicio'!V2" display="consultarServiciosDeCita" xr:uid="{00000000-0004-0000-3600-000014000000}"/>
    <hyperlink ref="A18" location="'C-CitaServicio'!W2" display="consultarPrecioDeCadaServicio" xr:uid="{00000000-0004-0000-3600-000015000000}"/>
  </hyperlink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6"/>
  <sheetViews>
    <sheetView showGridLines="0" zoomScaleNormal="100" workbookViewId="0">
      <selection activeCell="A2" sqref="A2"/>
    </sheetView>
  </sheetViews>
  <sheetFormatPr baseColWidth="10" defaultColWidth="8.6640625" defaultRowHeight="14.4" x14ac:dyDescent="0.3"/>
  <cols>
    <col min="1" max="1" width="16" customWidth="1"/>
    <col min="2" max="2" width="29.109375" customWidth="1"/>
    <col min="3" max="3" width="36.33203125" customWidth="1"/>
    <col min="4" max="4" width="37.6640625" customWidth="1"/>
    <col min="5" max="5" width="36.332031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Dominio'!A16</f>
        <v>CitaServicio</v>
      </c>
      <c r="C2" s="244"/>
      <c r="D2" s="244"/>
      <c r="E2" s="244"/>
    </row>
    <row r="3" spans="1:5" ht="30" customHeight="1" x14ac:dyDescent="0.3">
      <c r="A3" s="35" t="s">
        <v>99</v>
      </c>
      <c r="B3" s="245" t="str">
        <f>'Objetos de Dominio'!B16</f>
        <v>Representa cada servicio incluido dentro de una cita puntual, guardando el precio y la duración que tenía ese servicio para ese barbero en el momento exacto en que se agendó, para que cambios futuros en el catálogo no alteren citas ya registradas.</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0" customHeight="1" x14ac:dyDescent="0.3">
      <c r="A6" s="36"/>
      <c r="B6" s="296" t="s">
        <v>104</v>
      </c>
      <c r="C6" s="296"/>
      <c r="D6" s="37"/>
      <c r="E6" s="37"/>
    </row>
  </sheetData>
  <mergeCells count="7">
    <mergeCell ref="B6:C6"/>
    <mergeCell ref="B2:E2"/>
    <mergeCell ref="B3:E3"/>
    <mergeCell ref="A4:A5"/>
    <mergeCell ref="B4:C5"/>
    <mergeCell ref="D4:D5"/>
    <mergeCell ref="E4:E5"/>
  </mergeCells>
  <hyperlinks>
    <hyperlink ref="A1" location="'Modelo de Dominio'!A1" display="&lt;&lt; Ir al modelo de dominio" xr:uid="{00000000-0004-0000-3700-000000000000}"/>
    <hyperlink ref="B1" location="'Objetos de Dominio'!A1" display="&lt;&lt; Ir al listado de objetos de dominio" xr:uid="{00000000-0004-0000-3700-000001000000}"/>
    <hyperlink ref="C1" location="'C-CitaServicio'!A1" display="&lt;&lt; Ir a la caracterización del objeto de dominio" xr:uid="{00000000-0004-0000-3700-000002000000}"/>
    <hyperlink ref="D1" location="'M-CitaServicio'!A1" display="Ir al muestreo de datos del objeto de dominio &gt;&gt;" xr:uid="{00000000-0004-0000-3700-000003000000}"/>
    <hyperlink ref="E1" location="'E-CitaServicio'!A1" display="Ir al event storming del objeto de dominio &gt;&gt;" xr:uid="{00000000-0004-0000-3700-000004000000}"/>
  </hyperlink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10"/>
  <sheetViews>
    <sheetView showGridLines="0" zoomScaleNormal="100" workbookViewId="0">
      <selection activeCell="F1" sqref="F1:I1"/>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10.441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150" t="s">
        <v>98</v>
      </c>
      <c r="B2" s="324" t="str">
        <f>'Objetos de Dominio'!A16</f>
        <v>CitaServicio</v>
      </c>
      <c r="C2" s="324"/>
      <c r="D2" s="324"/>
      <c r="E2" s="324"/>
      <c r="F2" s="324"/>
      <c r="G2" s="324"/>
      <c r="H2" s="324"/>
      <c r="I2" s="324"/>
      <c r="J2" s="324"/>
      <c r="K2" s="324"/>
    </row>
    <row r="3" spans="1:11" ht="30" customHeight="1" x14ac:dyDescent="0.3">
      <c r="A3" s="151" t="s">
        <v>99</v>
      </c>
      <c r="B3" s="325" t="str">
        <f>'Objetos de Dominio'!B16</f>
        <v>Representa cada servicio incluido dentro de una cita puntual, guardando el precio y la duración que tenía ese servicio para ese barbero en el momento exacto en que se agendó, para que cambios futuros en el catálogo no alteren citas ya registradas.</v>
      </c>
      <c r="C3" s="325"/>
      <c r="D3" s="325"/>
      <c r="E3" s="325"/>
      <c r="F3" s="325"/>
      <c r="G3" s="325"/>
      <c r="H3" s="325"/>
      <c r="I3" s="325"/>
      <c r="J3" s="325"/>
      <c r="K3" s="325"/>
    </row>
    <row r="4" spans="1:11" ht="34.5" customHeight="1" x14ac:dyDescent="0.3">
      <c r="A4" s="5" t="s">
        <v>105</v>
      </c>
      <c r="B4" s="326" t="s">
        <v>106</v>
      </c>
      <c r="C4" s="326"/>
      <c r="D4" s="4" t="s">
        <v>107</v>
      </c>
      <c r="E4" s="327" t="s">
        <v>108</v>
      </c>
      <c r="F4" s="327"/>
      <c r="G4" s="328" t="s">
        <v>109</v>
      </c>
      <c r="H4" s="328"/>
      <c r="I4" s="152" t="s">
        <v>110</v>
      </c>
      <c r="J4" s="3" t="s">
        <v>111</v>
      </c>
      <c r="K4" s="153" t="s">
        <v>112</v>
      </c>
    </row>
    <row r="5" spans="1:11" ht="15" customHeight="1" x14ac:dyDescent="0.3">
      <c r="A5" s="329" t="s">
        <v>105</v>
      </c>
      <c r="B5" s="326" t="s">
        <v>113</v>
      </c>
      <c r="C5" s="326" t="s">
        <v>76</v>
      </c>
      <c r="D5" s="330" t="s">
        <v>114</v>
      </c>
      <c r="E5" s="327" t="s">
        <v>115</v>
      </c>
      <c r="F5" s="327"/>
      <c r="G5" s="328" t="s">
        <v>116</v>
      </c>
      <c r="H5" s="328"/>
      <c r="I5" s="331" t="s">
        <v>117</v>
      </c>
      <c r="J5" s="332" t="s">
        <v>118</v>
      </c>
      <c r="K5" s="333" t="s">
        <v>119</v>
      </c>
    </row>
    <row r="6" spans="1:11" ht="15" customHeight="1" x14ac:dyDescent="0.3">
      <c r="A6" s="329"/>
      <c r="B6" s="329"/>
      <c r="C6" s="329"/>
      <c r="D6" s="329"/>
      <c r="E6" s="6" t="s">
        <v>120</v>
      </c>
      <c r="F6" s="6" t="s">
        <v>76</v>
      </c>
      <c r="G6" s="154" t="s">
        <v>121</v>
      </c>
      <c r="H6" s="154" t="s">
        <v>76</v>
      </c>
      <c r="I6" s="331"/>
      <c r="J6" s="331"/>
      <c r="K6" s="331"/>
    </row>
    <row r="7" spans="1:11" ht="30" customHeight="1" x14ac:dyDescent="0.3">
      <c r="A7" s="2" t="s">
        <v>23</v>
      </c>
      <c r="B7" s="1" t="s">
        <v>957</v>
      </c>
      <c r="C7" s="1" t="s">
        <v>948</v>
      </c>
      <c r="D7" s="2" t="str">
        <f>$B$2</f>
        <v>CitaServicio</v>
      </c>
      <c r="E7" s="1"/>
      <c r="F7" s="1"/>
      <c r="G7" s="2"/>
      <c r="H7" s="183"/>
      <c r="I7" s="2"/>
      <c r="J7" s="1" t="s">
        <v>958</v>
      </c>
      <c r="K7" s="1"/>
    </row>
    <row r="8" spans="1:11" ht="30" customHeight="1" x14ac:dyDescent="0.3">
      <c r="A8" s="2" t="s">
        <v>25</v>
      </c>
      <c r="B8" s="1" t="s">
        <v>957</v>
      </c>
      <c r="C8" s="1" t="s">
        <v>948</v>
      </c>
      <c r="D8" s="2" t="str">
        <f>$B$2</f>
        <v>CitaServicio</v>
      </c>
      <c r="E8" s="1"/>
      <c r="F8" s="1"/>
      <c r="G8" s="2"/>
      <c r="H8" s="183"/>
      <c r="I8" s="2"/>
      <c r="J8" s="1" t="s">
        <v>958</v>
      </c>
      <c r="K8" s="1"/>
    </row>
    <row r="9" spans="1:11" ht="42" customHeight="1" x14ac:dyDescent="0.3">
      <c r="A9" s="2" t="s">
        <v>23</v>
      </c>
      <c r="B9" s="1" t="s">
        <v>959</v>
      </c>
      <c r="C9" s="1" t="s">
        <v>954</v>
      </c>
      <c r="D9" s="2" t="str">
        <f>$B$2</f>
        <v>CitaServicio</v>
      </c>
      <c r="E9" s="1"/>
      <c r="F9" s="1"/>
      <c r="G9" s="2"/>
      <c r="H9" s="183"/>
      <c r="I9" s="2"/>
      <c r="J9" s="1" t="s">
        <v>960</v>
      </c>
      <c r="K9" s="1"/>
    </row>
    <row r="10" spans="1:11" ht="41.25" customHeight="1" x14ac:dyDescent="0.3">
      <c r="A10" s="2" t="s">
        <v>25</v>
      </c>
      <c r="B10" s="1" t="s">
        <v>959</v>
      </c>
      <c r="C10" s="1" t="s">
        <v>954</v>
      </c>
      <c r="D10" s="2" t="str">
        <f>$B$2</f>
        <v>CitaServicio</v>
      </c>
      <c r="E10" s="1"/>
      <c r="F10" s="1"/>
      <c r="G10" s="2"/>
      <c r="H10" s="183"/>
      <c r="I10" s="2"/>
      <c r="J10" s="1" t="s">
        <v>960</v>
      </c>
      <c r="K10" s="1"/>
    </row>
  </sheetData>
  <mergeCells count="1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3800-000000000000}"/>
    <hyperlink ref="C1" location="'Objetos de Dominio'!A1" display="&lt;&lt; Ir al listado de objetos de dominio" xr:uid="{00000000-0004-0000-3800-000001000000}"/>
    <hyperlink ref="F1" location="'C-CitaServicio'!A1" display="&lt;&lt; Ir a la caracterización del objeto de dominio" xr:uid="{00000000-0004-0000-3800-000002000000}"/>
    <hyperlink ref="J1" location="'M-CitaServicio'!A1" display="Ir al muestreo de datos del objeto de dominio &gt;&gt;" xr:uid="{00000000-0004-0000-3800-000003000000}"/>
  </hyperlink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24"/>
  <sheetViews>
    <sheetView topLeftCell="A2" zoomScaleNormal="100" workbookViewId="0">
      <selection activeCell="D4" sqref="D4"/>
    </sheetView>
  </sheetViews>
  <sheetFormatPr baseColWidth="10" defaultColWidth="8.6640625" defaultRowHeight="14.4" x14ac:dyDescent="0.3"/>
  <cols>
    <col min="1" max="1" width="27" customWidth="1"/>
    <col min="2" max="2" width="33.6640625" customWidth="1"/>
    <col min="3" max="3" width="26.109375" customWidth="1"/>
    <col min="4" max="4" width="36.109375" customWidth="1"/>
    <col min="5" max="5" width="25.5546875" customWidth="1"/>
    <col min="6" max="6" width="27.33203125" customWidth="1"/>
    <col min="7" max="7" width="45.44140625" customWidth="1"/>
    <col min="8" max="8" width="29.33203125" customWidth="1"/>
  </cols>
  <sheetData>
    <row r="1" spans="1:8" ht="14.25" customHeight="1" x14ac:dyDescent="0.3">
      <c r="A1" s="8" t="s">
        <v>1</v>
      </c>
      <c r="B1" s="8" t="s">
        <v>43</v>
      </c>
      <c r="C1" s="84"/>
      <c r="D1" s="84"/>
      <c r="E1" s="84"/>
      <c r="F1" s="84"/>
    </row>
    <row r="2" spans="1:8" ht="49.5" customHeight="1" x14ac:dyDescent="0.3">
      <c r="A2" s="51" t="s">
        <v>126</v>
      </c>
      <c r="B2" s="51" t="s">
        <v>961</v>
      </c>
      <c r="C2" s="51" t="s">
        <v>962</v>
      </c>
      <c r="D2" s="51" t="s">
        <v>963</v>
      </c>
      <c r="E2" s="51" t="s">
        <v>964</v>
      </c>
      <c r="F2" s="51" t="s">
        <v>965</v>
      </c>
      <c r="G2" s="108" t="s">
        <v>966</v>
      </c>
      <c r="H2" s="52" t="s">
        <v>967</v>
      </c>
    </row>
    <row r="3" spans="1:8" ht="14.25" customHeight="1" x14ac:dyDescent="0.3">
      <c r="A3" s="53" t="s">
        <v>129</v>
      </c>
      <c r="B3" s="132" t="s">
        <v>968</v>
      </c>
      <c r="C3" s="132" t="s">
        <v>969</v>
      </c>
      <c r="D3" s="217" t="s">
        <v>970</v>
      </c>
      <c r="E3" s="217" t="s">
        <v>971</v>
      </c>
      <c r="F3" s="217" t="s">
        <v>972</v>
      </c>
      <c r="G3" s="217" t="s">
        <v>699</v>
      </c>
      <c r="H3" s="55" t="s">
        <v>130</v>
      </c>
    </row>
    <row r="4" spans="1:8" ht="45" customHeight="1" x14ac:dyDescent="0.3">
      <c r="A4" s="56">
        <v>1</v>
      </c>
      <c r="B4" s="208" t="str">
        <f>'M-Cita'!S4</f>
        <v>+57-3245627890-Lunes-09:00-19:00-12/11/2023-1/01/1000-10:00-16:00-31/08/2026-10:00</v>
      </c>
      <c r="C4" s="208" t="str">
        <f>'M-BarberoServicio'!H4</f>
        <v>Juan García-Motilada</v>
      </c>
      <c r="D4" s="185">
        <f>'M-Servicio'!D4</f>
        <v>22000</v>
      </c>
      <c r="E4" s="229">
        <f>'M-BarberoServicio'!D4</f>
        <v>0</v>
      </c>
      <c r="F4" s="185">
        <f>'M-BarberoServicio'!E4</f>
        <v>45</v>
      </c>
      <c r="G4" s="185">
        <f>'M-BarberoServicio'!F4</f>
        <v>15</v>
      </c>
      <c r="H4" s="85" t="str">
        <f t="shared" ref="H4:H14" si="0">_xlfn.CONCAT(B4,"-",C4)</f>
        <v>+57-3245627890-Lunes-09:00-19:00-12/11/2023-1/01/1000-10:00-16:00-31/08/2026-10:00-Juan García-Motilada</v>
      </c>
    </row>
    <row r="5" spans="1:8" ht="45" customHeight="1" x14ac:dyDescent="0.3">
      <c r="A5" s="56">
        <v>2</v>
      </c>
      <c r="B5" s="200" t="str">
        <f>'M-Cita'!S5</f>
        <v>+57-3124518923-Martes-09:00-19:00-12/11/2023-1/01/1000-09:00-15:00-10/03/2026-09:30</v>
      </c>
      <c r="C5" s="200" t="str">
        <f>'M-BarberoServicio'!H5</f>
        <v>Juan Ortiz-Corte de barba</v>
      </c>
      <c r="D5" s="185">
        <f>'M-Servicio'!D5</f>
        <v>12000</v>
      </c>
      <c r="E5" s="229">
        <f>'M-BarberoServicio'!D5</f>
        <v>0</v>
      </c>
      <c r="F5" s="185">
        <f>'M-BarberoServicio'!E5</f>
        <v>10</v>
      </c>
      <c r="G5" s="185">
        <f>'M-BarberoServicio'!F5</f>
        <v>5</v>
      </c>
      <c r="H5" s="85" t="str">
        <f t="shared" si="0"/>
        <v>+57-3124518923-Martes-09:00-19:00-12/11/2023-1/01/1000-09:00-15:00-10/03/2026-09:30-Juan Ortiz-Corte de barba</v>
      </c>
    </row>
    <row r="6" spans="1:8" ht="60" customHeight="1" x14ac:dyDescent="0.3">
      <c r="A6" s="56">
        <v>3</v>
      </c>
      <c r="B6" s="200" t="str">
        <f>'M-Cita'!S6</f>
        <v>+57-3214533321-Jueves-09:00-19:00-12/11/2023-1/01/1000-13:00-19:00-14/05/2026-13:00</v>
      </c>
      <c r="C6" s="200" t="str">
        <f>'M-BarberoServicio'!H6</f>
        <v>Carlos Arbeladez-Perfilada de barba</v>
      </c>
      <c r="D6" s="185">
        <f>'M-Servicio'!D6</f>
        <v>15000</v>
      </c>
      <c r="E6" s="229">
        <f>'M-BarberoServicio'!D6</f>
        <v>0</v>
      </c>
      <c r="F6" s="185">
        <f>'M-BarberoServicio'!E6</f>
        <v>15</v>
      </c>
      <c r="G6" s="185">
        <f>'M-BarberoServicio'!F6</f>
        <v>5</v>
      </c>
      <c r="H6" s="85" t="str">
        <f t="shared" si="0"/>
        <v>+57-3214533321-Jueves-09:00-19:00-12/11/2023-1/01/1000-13:00-19:00-14/05/2026-13:00-Carlos Arbeladez-Perfilada de barba</v>
      </c>
    </row>
    <row r="7" spans="1:8" ht="75" customHeight="1" x14ac:dyDescent="0.3">
      <c r="A7" s="56">
        <v>4</v>
      </c>
      <c r="B7" s="200" t="str">
        <f>'M-Cita'!S7</f>
        <v>+91-9876543210-Sábado-08:00-21:00-12/12/2024-1/01/1000-08:00-14:00-22/11/2025-13:00</v>
      </c>
      <c r="C7" s="200" t="str">
        <f>'M-BarberoServicio'!H7</f>
        <v>Andres Ramirez-Arreglo completo de barba con toalla caliente</v>
      </c>
      <c r="D7" s="185">
        <f>'M-Servicio'!D7</f>
        <v>35000</v>
      </c>
      <c r="E7" s="229">
        <f>'M-BarberoServicio'!D7</f>
        <v>0</v>
      </c>
      <c r="F7" s="185">
        <f>'M-BarberoServicio'!E7</f>
        <v>40</v>
      </c>
      <c r="G7" s="185">
        <f>'M-BarberoServicio'!F7</f>
        <v>10</v>
      </c>
      <c r="H7" s="85" t="str">
        <f t="shared" si="0"/>
        <v>+91-9876543210-Sábado-08:00-21:00-12/12/2024-1/01/1000-08:00-14:00-22/11/2025-13:00-Andres Ramirez-Arreglo completo de barba con toalla caliente</v>
      </c>
    </row>
    <row r="8" spans="1:8" ht="60" customHeight="1" x14ac:dyDescent="0.3">
      <c r="A8" s="56">
        <v>5</v>
      </c>
      <c r="B8" s="200" t="str">
        <f>'M-Cita'!S8</f>
        <v>+57-3214533321-Jueves-09:00-19:00-12/11/2023-1/01/1000-13:00-19:00-06/08/2026-18:00</v>
      </c>
      <c r="C8" s="200" t="str">
        <f>'M-BarberoServicio'!H9</f>
        <v>Carlos Arbeladez-Corte de barba</v>
      </c>
      <c r="D8" s="185">
        <f>'M-Servicio'!D5</f>
        <v>12000</v>
      </c>
      <c r="E8" s="229">
        <f>'M-BarberoServicio'!D9</f>
        <v>0</v>
      </c>
      <c r="F8" s="185">
        <f>'M-BarberoServicio'!E9</f>
        <v>15</v>
      </c>
      <c r="G8" s="185">
        <f>'M-BarberoServicio'!F9</f>
        <v>5</v>
      </c>
      <c r="H8" s="85" t="str">
        <f t="shared" si="0"/>
        <v>+57-3214533321-Jueves-09:00-19:00-12/11/2023-1/01/1000-13:00-19:00-06/08/2026-18:00-Carlos Arbeladez-Corte de barba</v>
      </c>
    </row>
    <row r="9" spans="1:8" ht="75" customHeight="1" x14ac:dyDescent="0.3">
      <c r="A9" s="56">
        <v>6</v>
      </c>
      <c r="B9" s="200" t="str">
        <f>'M-Cita'!S9</f>
        <v>+91-9876543210-Festivo-10:00-15:00-12/12/2024-1/01/1000-12:00-15:00-20/02/2026-14:00</v>
      </c>
      <c r="C9" s="200" t="str">
        <f>'M-BarberoServicio'!H7</f>
        <v>Andres Ramirez-Arreglo completo de barba con toalla caliente</v>
      </c>
      <c r="D9" s="185">
        <f>'M-Servicio'!D7</f>
        <v>35000</v>
      </c>
      <c r="E9" s="229">
        <f>'M-BarberoServicio'!D7</f>
        <v>0</v>
      </c>
      <c r="F9" s="185">
        <f>'M-BarberoServicio'!E7</f>
        <v>40</v>
      </c>
      <c r="G9" s="185">
        <f>'M-BarberoServicio'!F7</f>
        <v>10</v>
      </c>
      <c r="H9" s="85" t="str">
        <f t="shared" si="0"/>
        <v>+91-9876543210-Festivo-10:00-15:00-12/12/2024-1/01/1000-12:00-15:00-20/02/2026-14:00-Andres Ramirez-Arreglo completo de barba con toalla caliente</v>
      </c>
    </row>
    <row r="10" spans="1:8" ht="45" customHeight="1" x14ac:dyDescent="0.3">
      <c r="A10" s="56">
        <v>7</v>
      </c>
      <c r="B10" s="200" t="str">
        <f>'M-Cita'!S10</f>
        <v>+57-3245627890-Lunes-09:00-19:00-12/11/2023-1/01/1000-10:00-16:00-01/06/2026-10:00</v>
      </c>
      <c r="C10" s="200" t="str">
        <f>'M-BarberoServicio'!H4</f>
        <v>Juan García-Motilada</v>
      </c>
      <c r="D10" s="185">
        <f>'M-Servicio'!D4</f>
        <v>22000</v>
      </c>
      <c r="E10" s="229">
        <f>'M-BarberoServicio'!D4</f>
        <v>0</v>
      </c>
      <c r="F10" s="185">
        <f>'M-BarberoServicio'!E4</f>
        <v>45</v>
      </c>
      <c r="G10" s="185">
        <f>'M-BarberoServicio'!F4</f>
        <v>15</v>
      </c>
      <c r="H10" s="86" t="str">
        <f t="shared" si="0"/>
        <v>+57-3245627890-Lunes-09:00-19:00-12/11/2023-1/01/1000-10:00-16:00-01/06/2026-10:00-Juan García-Motilada</v>
      </c>
    </row>
    <row r="11" spans="1:8" ht="45" customHeight="1" x14ac:dyDescent="0.3">
      <c r="A11" s="56">
        <v>8</v>
      </c>
      <c r="B11" s="200" t="str">
        <f>'M-Cita'!S11</f>
        <v>+57-3124518923-Martes-09:00-19:00-12/11/2023-1/01/1000-09:00-15:00-16/06/2026-09:00</v>
      </c>
      <c r="C11" s="200" t="str">
        <f>'M-BarberoServicio'!H5</f>
        <v>Juan Ortiz-Corte de barba</v>
      </c>
      <c r="D11" s="185">
        <f>'M-Servicio'!D5</f>
        <v>12000</v>
      </c>
      <c r="E11" s="229">
        <f>'M-BarberoServicio'!D5</f>
        <v>0</v>
      </c>
      <c r="F11" s="185">
        <f>'M-BarberoServicio'!E5</f>
        <v>10</v>
      </c>
      <c r="G11" s="185">
        <f>'M-BarberoServicio'!F5</f>
        <v>5</v>
      </c>
      <c r="H11" s="86" t="str">
        <f t="shared" si="0"/>
        <v>+57-3124518923-Martes-09:00-19:00-12/11/2023-1/01/1000-09:00-15:00-16/06/2026-09:00-Juan Ortiz-Corte de barba</v>
      </c>
    </row>
    <row r="12" spans="1:8" ht="60" customHeight="1" x14ac:dyDescent="0.3">
      <c r="A12" s="56">
        <v>9</v>
      </c>
      <c r="B12" s="200" t="str">
        <f>'M-Cita'!S12</f>
        <v>+57-3214533321-Jueves-09:00-19:00-12/11/2023-1/01/1000-13:00-19:00-02/07/2026-15:00</v>
      </c>
      <c r="C12" s="200" t="str">
        <f>'M-BarberoServicio'!H6</f>
        <v>Carlos Arbeladez-Perfilada de barba</v>
      </c>
      <c r="D12" s="185">
        <f>'M-Servicio'!D6</f>
        <v>15000</v>
      </c>
      <c r="E12" s="229">
        <f>'M-BarberoServicio'!D6</f>
        <v>0</v>
      </c>
      <c r="F12" s="185">
        <f>'M-BarberoServicio'!E6</f>
        <v>15</v>
      </c>
      <c r="G12" s="185">
        <f>'M-BarberoServicio'!F6</f>
        <v>5</v>
      </c>
      <c r="H12" s="86" t="str">
        <f t="shared" si="0"/>
        <v>+57-3214533321-Jueves-09:00-19:00-12/11/2023-1/01/1000-13:00-19:00-02/07/2026-15:00-Carlos Arbeladez-Perfilada de barba</v>
      </c>
    </row>
    <row r="13" spans="1:8" ht="60" customHeight="1" x14ac:dyDescent="0.3">
      <c r="A13" s="56">
        <v>10</v>
      </c>
      <c r="B13" s="200" t="str">
        <f>'M-Cita'!S13</f>
        <v>+57-3214533321-Jueves-09:00-19:00-12/11/2023-1/01/1000-13:00-19:00-14/05/2026-13:30</v>
      </c>
      <c r="C13" s="200" t="str">
        <f>'M-BarberoServicio'!H6</f>
        <v>Carlos Arbeladez-Perfilada de barba</v>
      </c>
      <c r="D13" s="185">
        <f>'M-Servicio'!D6</f>
        <v>15000</v>
      </c>
      <c r="E13" s="229">
        <f>'M-BarberoServicio'!D6</f>
        <v>0</v>
      </c>
      <c r="F13" s="185">
        <f>'M-BarberoServicio'!E6</f>
        <v>15</v>
      </c>
      <c r="G13" s="185">
        <f>'M-BarberoServicio'!F6</f>
        <v>5</v>
      </c>
      <c r="H13" s="86" t="str">
        <f t="shared" si="0"/>
        <v>+57-3214533321-Jueves-09:00-19:00-12/11/2023-1/01/1000-13:00-19:00-14/05/2026-13:30-Carlos Arbeladez-Perfilada de barba</v>
      </c>
    </row>
    <row r="14" spans="1:8" ht="60" customHeight="1" x14ac:dyDescent="0.3">
      <c r="A14" s="56">
        <v>11</v>
      </c>
      <c r="B14" s="200" t="str">
        <f>'M-Cita'!S13</f>
        <v>+57-3214533321-Jueves-09:00-19:00-12/11/2023-1/01/1000-13:00-19:00-14/05/2026-13:30</v>
      </c>
      <c r="C14" s="200" t="str">
        <f>'M-BarberoServicio'!H9</f>
        <v>Carlos Arbeladez-Corte de barba</v>
      </c>
      <c r="D14" s="185">
        <f>'M-Servicio'!D5</f>
        <v>12000</v>
      </c>
      <c r="E14" s="229">
        <f>'M-BarberoServicio'!D9</f>
        <v>0</v>
      </c>
      <c r="F14" s="185">
        <f>'M-BarberoServicio'!E9</f>
        <v>15</v>
      </c>
      <c r="G14" s="185">
        <f>'M-BarberoServicio'!F9</f>
        <v>5</v>
      </c>
      <c r="H14" s="86" t="str">
        <f t="shared" si="0"/>
        <v>+57-3214533321-Jueves-09:00-19:00-12/11/2023-1/01/1000-13:00-19:00-14/05/2026-13:30-Carlos Arbeladez-Corte de barba</v>
      </c>
    </row>
    <row r="15" spans="1:8" ht="28.5" customHeight="1" x14ac:dyDescent="0.3">
      <c r="B15" s="60"/>
    </row>
    <row r="16" spans="1:8" ht="28.5" customHeight="1" x14ac:dyDescent="0.3">
      <c r="B16" s="60"/>
    </row>
    <row r="17" spans="1:2" ht="28.5" customHeight="1" x14ac:dyDescent="0.3">
      <c r="B17" s="60"/>
    </row>
    <row r="18" spans="1:2" ht="28.5" customHeight="1" x14ac:dyDescent="0.3">
      <c r="B18" s="60"/>
    </row>
    <row r="19" spans="1:2" ht="28.5" customHeight="1" x14ac:dyDescent="0.3">
      <c r="B19" s="60"/>
    </row>
    <row r="20" spans="1:2" ht="28.5" customHeight="1" x14ac:dyDescent="0.3">
      <c r="A20" s="59"/>
      <c r="B20" s="60" t="s">
        <v>139</v>
      </c>
    </row>
    <row r="21" spans="1:2" ht="28.5" customHeight="1" x14ac:dyDescent="0.3">
      <c r="A21" s="61"/>
      <c r="B21" s="60" t="s">
        <v>140</v>
      </c>
    </row>
    <row r="22" spans="1:2" ht="28.5" customHeight="1" x14ac:dyDescent="0.3">
      <c r="A22" s="135"/>
      <c r="B22" s="60" t="s">
        <v>441</v>
      </c>
    </row>
    <row r="23" spans="1:2" ht="33" customHeight="1" x14ac:dyDescent="0.3">
      <c r="A23" s="136"/>
      <c r="B23" s="60" t="s">
        <v>442</v>
      </c>
    </row>
    <row r="24" spans="1:2" ht="14.25" customHeight="1" x14ac:dyDescent="0.3">
      <c r="A24" s="63"/>
      <c r="B24" t="s">
        <v>142</v>
      </c>
    </row>
  </sheetData>
  <hyperlinks>
    <hyperlink ref="A1" location="'Modelo de Dominio'!A1" display="&lt;&lt;&lt;&lt; Ir al modulo de dominio" xr:uid="{00000000-0004-0000-3900-000000000000}"/>
    <hyperlink ref="B1" location="'Objetos de Dominio'!A1" display="&lt;&lt;&lt;&lt; Ir a objetos de dominio" xr:uid="{00000000-0004-0000-3900-000001000000}"/>
    <hyperlink ref="B3" location="'M-Cita'!A1" display="cita" xr:uid="{00000000-0004-0000-3900-000002000000}"/>
    <hyperlink ref="C3" location="'M-BarberoServicio'!A1" display="barberoServicio" xr:uid="{00000000-0004-0000-3900-000003000000}"/>
    <hyperlink ref="B4" location="'M-Cita'!A4" display="#'M-Cita'.A4" xr:uid="{00000000-0004-0000-3900-000004000000}"/>
    <hyperlink ref="C4" location="'M-BarberoServicio'!A4" display="#'M-BarberoServicio'.A4" xr:uid="{00000000-0004-0000-3900-000005000000}"/>
    <hyperlink ref="B5" location="'M-Cita'!A5" display="#'M-Cita'.A5" xr:uid="{00000000-0004-0000-3900-000009000000}"/>
    <hyperlink ref="C5" location="'M-BarberoServicio'!A5" display="#'M-BarberoServicio'.A5" xr:uid="{00000000-0004-0000-3900-00000A000000}"/>
    <hyperlink ref="B6" location="'M-Cita'!A6" display="#'M-Cita'.A6" xr:uid="{00000000-0004-0000-3900-00000E000000}"/>
    <hyperlink ref="C6" location="'M-BarberoServicio'!A6" display="#'M-BarberoServicio'.A6" xr:uid="{00000000-0004-0000-3900-00000F000000}"/>
    <hyperlink ref="B7" location="'M-Cita'!A7" display="#'M-Cita'.A7" xr:uid="{00000000-0004-0000-3900-000013000000}"/>
    <hyperlink ref="C7" location="'M-BarberoServicio'!A7" display="#'M-BarberoServicio'.A7" xr:uid="{00000000-0004-0000-3900-000014000000}"/>
    <hyperlink ref="B8" location="'M-Cita'!A8" display="#'M-Cita'.A8" xr:uid="{00000000-0004-0000-3900-000018000000}"/>
    <hyperlink ref="C8" location="'M-BarberoServicio'!A9" display="#'M-BarberoServicio'.A9" xr:uid="{00000000-0004-0000-3900-000019000000}"/>
    <hyperlink ref="B9" location="'M-Cita'!A9" display="#'M-Cita'.A9" xr:uid="{00000000-0004-0000-3900-00001D000000}"/>
    <hyperlink ref="C9" location="'M-BarberoServicio'!A7" display="#'M-BarberoServicio'.A7" xr:uid="{00000000-0004-0000-3900-00001E000000}"/>
    <hyperlink ref="B10" location="'M-Cita'!A10" display="#'M-Cita'.A10" xr:uid="{00000000-0004-0000-3900-000022000000}"/>
    <hyperlink ref="C10" location="'M-BarberoServicio'!A4" display="#'M-BarberoServicio'.A4" xr:uid="{00000000-0004-0000-3900-000023000000}"/>
    <hyperlink ref="B11" location="'M-Cita'!A11" display="#'M-Cita'.A11" xr:uid="{00000000-0004-0000-3900-000027000000}"/>
    <hyperlink ref="C11" location="'M-BarberoServicio'!A5" display="#'M-BarberoServicio'.A5" xr:uid="{00000000-0004-0000-3900-000028000000}"/>
    <hyperlink ref="B12" location="'M-Cita'!A12" display="#'M-Cita'.A12" xr:uid="{00000000-0004-0000-3900-00002C000000}"/>
    <hyperlink ref="C12" location="'M-BarberoServicio'!A6" display="#'M-BarberoServicio'.A6" xr:uid="{00000000-0004-0000-3900-00002D000000}"/>
    <hyperlink ref="B13" location="'M-Cita'!A13" display="#'M-Cita'.A13" xr:uid="{00000000-0004-0000-3900-000031000000}"/>
    <hyperlink ref="C13" location="'M-BarberoServicio'!A6" display="#'M-BarberoServicio'.A6" xr:uid="{00000000-0004-0000-3900-000032000000}"/>
    <hyperlink ref="B14" location="'M-Cita'!A13" display="#'M-Cita'.A13" xr:uid="{00000000-0004-0000-3900-000036000000}"/>
    <hyperlink ref="C14" location="'M-BarberoServicio'!A9" display="#'M-BarberoServicio'.A9" xr:uid="{00000000-0004-0000-3900-000037000000}"/>
  </hyperlink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Y20"/>
  <sheetViews>
    <sheetView topLeftCell="A13" zoomScaleNormal="100" workbookViewId="0">
      <selection activeCell="K15" sqref="K15:N15"/>
    </sheetView>
  </sheetViews>
  <sheetFormatPr baseColWidth="10" defaultColWidth="8.6640625" defaultRowHeight="14.4" x14ac:dyDescent="0.3"/>
  <cols>
    <col min="1" max="1" width="26.6640625" customWidth="1"/>
    <col min="2" max="2" width="45" customWidth="1"/>
    <col min="3" max="3" width="21.5546875" customWidth="1"/>
    <col min="4" max="4" width="24.33203125" customWidth="1"/>
    <col min="5" max="5" width="18" customWidth="1"/>
    <col min="7" max="7" width="16.33203125" customWidth="1"/>
    <col min="8" max="11" width="13" customWidth="1"/>
    <col min="13" max="13" width="40" customWidth="1"/>
    <col min="14" max="14" width="18" customWidth="1"/>
    <col min="15" max="15" width="13" customWidth="1"/>
    <col min="16" max="16" width="20.5546875" customWidth="1"/>
    <col min="17" max="17" width="19.44140625" customWidth="1"/>
    <col min="18" max="18" width="17.6640625" customWidth="1"/>
    <col min="22" max="23" width="22" customWidth="1"/>
    <col min="24" max="24" width="13" customWidth="1"/>
    <col min="25" max="25" width="15.44140625" customWidth="1"/>
  </cols>
  <sheetData>
    <row r="1" spans="1:25" ht="15" customHeight="1" x14ac:dyDescent="0.3">
      <c r="A1" s="8" t="s">
        <v>1</v>
      </c>
      <c r="B1" s="8" t="s">
        <v>43</v>
      </c>
    </row>
    <row r="2" spans="1:25" ht="45" customHeight="1" x14ac:dyDescent="0.3">
      <c r="A2" s="167" t="s">
        <v>44</v>
      </c>
      <c r="B2" s="167" t="s">
        <v>45</v>
      </c>
      <c r="C2" s="167" t="s">
        <v>46</v>
      </c>
      <c r="D2" s="167" t="s">
        <v>47</v>
      </c>
      <c r="E2" s="167" t="s">
        <v>48</v>
      </c>
      <c r="F2" s="167" t="s">
        <v>49</v>
      </c>
      <c r="G2" s="167" t="s">
        <v>50</v>
      </c>
      <c r="H2" s="167" t="s">
        <v>51</v>
      </c>
      <c r="I2" s="167" t="s">
        <v>52</v>
      </c>
      <c r="J2" s="167" t="s">
        <v>53</v>
      </c>
      <c r="K2" s="167" t="s">
        <v>54</v>
      </c>
      <c r="L2" s="167" t="s">
        <v>55</v>
      </c>
      <c r="M2" s="167" t="s">
        <v>56</v>
      </c>
      <c r="N2" s="167" t="s">
        <v>57</v>
      </c>
      <c r="O2" s="167" t="s">
        <v>58</v>
      </c>
      <c r="P2" s="167" t="s">
        <v>59</v>
      </c>
      <c r="Q2" s="167" t="s">
        <v>60</v>
      </c>
      <c r="R2" s="167" t="s">
        <v>61</v>
      </c>
      <c r="S2" s="167" t="s">
        <v>62</v>
      </c>
      <c r="T2" s="167" t="s">
        <v>63</v>
      </c>
      <c r="U2" s="167" t="s">
        <v>64</v>
      </c>
      <c r="V2" s="176" t="str">
        <f>A16</f>
        <v>imponerMultaCliente</v>
      </c>
      <c r="W2" s="177" t="str">
        <f>A18</f>
        <v>consultarMultasDeCliente</v>
      </c>
      <c r="X2" s="562" t="str">
        <f>A19</f>
        <v>registrarPagoMulta</v>
      </c>
      <c r="Y2" s="562"/>
    </row>
    <row r="3" spans="1:25" ht="45" customHeight="1" x14ac:dyDescent="0.3">
      <c r="A3" s="118" t="str">
        <f>'M-Multa'!A3</f>
        <v>id</v>
      </c>
      <c r="B3" s="168" t="str">
        <f>'M-Multa'!A2</f>
        <v>Representa un identificador que hará unico cada objeto de dominio de este tipo, no se puede repetir</v>
      </c>
      <c r="C3" s="118" t="s">
        <v>65</v>
      </c>
      <c r="D3" s="118" t="s">
        <v>66</v>
      </c>
      <c r="E3" s="118" t="s">
        <v>65</v>
      </c>
      <c r="F3" s="118" t="s">
        <v>67</v>
      </c>
      <c r="G3" s="118" t="s">
        <v>67</v>
      </c>
      <c r="H3" s="118" t="s">
        <v>67</v>
      </c>
      <c r="I3" s="118" t="s">
        <v>67</v>
      </c>
      <c r="J3" s="118" t="s">
        <v>67</v>
      </c>
      <c r="K3" s="118" t="s">
        <v>67</v>
      </c>
      <c r="L3" s="118" t="s">
        <v>67</v>
      </c>
      <c r="M3" s="168" t="s">
        <v>67</v>
      </c>
      <c r="N3" s="118" t="s">
        <v>68</v>
      </c>
      <c r="O3" s="186" t="s">
        <v>67</v>
      </c>
      <c r="P3" s="118" t="s">
        <v>67</v>
      </c>
      <c r="Q3" s="186" t="s">
        <v>67</v>
      </c>
      <c r="R3" s="186" t="s">
        <v>67</v>
      </c>
      <c r="S3" s="186" t="s">
        <v>68</v>
      </c>
      <c r="T3" s="118" t="s">
        <v>69</v>
      </c>
      <c r="U3" s="118" t="s">
        <v>65</v>
      </c>
      <c r="V3" s="92" t="s">
        <v>147</v>
      </c>
      <c r="W3" s="93" t="s">
        <v>70</v>
      </c>
      <c r="X3" s="94" t="s">
        <v>144</v>
      </c>
      <c r="Y3" s="94" t="s">
        <v>145</v>
      </c>
    </row>
    <row r="4" spans="1:25" ht="75" customHeight="1" x14ac:dyDescent="0.3">
      <c r="A4" s="186" t="str">
        <f>'M-Multa'!B3</f>
        <v>cita</v>
      </c>
      <c r="B4" s="186" t="str">
        <f>'M-Multa'!B2</f>
        <v>Hace referencia a la cita puntual que el cliente incumplió (llegando tarde fuera de la tolerancia o no presentándose), de esa cita es de donde sale el valor de monto si fue el caso de no presentase</v>
      </c>
      <c r="C4" s="186" t="s">
        <v>68</v>
      </c>
      <c r="D4" s="206" t="s">
        <v>37</v>
      </c>
      <c r="E4" s="186" t="s">
        <v>65</v>
      </c>
      <c r="F4" s="186" t="s">
        <v>67</v>
      </c>
      <c r="G4" s="186" t="s">
        <v>67</v>
      </c>
      <c r="H4" s="186" t="s">
        <v>67</v>
      </c>
      <c r="I4" s="186" t="s">
        <v>67</v>
      </c>
      <c r="J4" s="186" t="s">
        <v>67</v>
      </c>
      <c r="K4" s="186" t="s">
        <v>67</v>
      </c>
      <c r="L4" s="186" t="s">
        <v>67</v>
      </c>
      <c r="M4" s="186" t="s">
        <v>327</v>
      </c>
      <c r="N4" s="186" t="s">
        <v>68</v>
      </c>
      <c r="O4" s="186" t="s">
        <v>67</v>
      </c>
      <c r="P4" s="186" t="s">
        <v>67</v>
      </c>
      <c r="Q4" s="186" t="s">
        <v>67</v>
      </c>
      <c r="R4" s="186" t="s">
        <v>67</v>
      </c>
      <c r="S4" s="186" t="s">
        <v>68</v>
      </c>
      <c r="T4" s="186" t="s">
        <v>69</v>
      </c>
      <c r="U4" s="186" t="s">
        <v>68</v>
      </c>
      <c r="V4" s="92" t="s">
        <v>144</v>
      </c>
      <c r="W4" s="93" t="s">
        <v>74</v>
      </c>
      <c r="X4" s="94" t="s">
        <v>147</v>
      </c>
      <c r="Y4" s="94" t="s">
        <v>145</v>
      </c>
    </row>
    <row r="5" spans="1:25" ht="45" customHeight="1" x14ac:dyDescent="0.3">
      <c r="A5" s="118" t="str">
        <f>'M-Multa'!C3</f>
        <v>tipo</v>
      </c>
      <c r="B5" s="168" t="str">
        <f>'M-Multa'!C2</f>
        <v>Hace referencia al tipo de multa -tardanza o inasistencia- según lo que haya ocurrido con la cita</v>
      </c>
      <c r="C5" s="118" t="s">
        <v>68</v>
      </c>
      <c r="D5" s="169" t="s">
        <v>21</v>
      </c>
      <c r="E5" s="118" t="s">
        <v>65</v>
      </c>
      <c r="F5" s="118" t="s">
        <v>67</v>
      </c>
      <c r="G5" s="118" t="s">
        <v>67</v>
      </c>
      <c r="H5" s="118" t="s">
        <v>67</v>
      </c>
      <c r="I5" s="118" t="s">
        <v>67</v>
      </c>
      <c r="J5" s="118" t="s">
        <v>67</v>
      </c>
      <c r="K5" s="118" t="s">
        <v>67</v>
      </c>
      <c r="L5" s="118" t="s">
        <v>67</v>
      </c>
      <c r="M5" s="168" t="s">
        <v>327</v>
      </c>
      <c r="N5" s="118" t="s">
        <v>68</v>
      </c>
      <c r="O5" s="118" t="s">
        <v>67</v>
      </c>
      <c r="P5" s="118" t="s">
        <v>67</v>
      </c>
      <c r="Q5" s="118" t="s">
        <v>67</v>
      </c>
      <c r="R5" s="118" t="s">
        <v>67</v>
      </c>
      <c r="S5" s="118" t="s">
        <v>68</v>
      </c>
      <c r="T5" s="118" t="s">
        <v>69</v>
      </c>
      <c r="U5" s="118" t="s">
        <v>68</v>
      </c>
      <c r="V5" s="92" t="s">
        <v>144</v>
      </c>
      <c r="W5" s="93" t="s">
        <v>74</v>
      </c>
      <c r="X5" s="94" t="s">
        <v>147</v>
      </c>
      <c r="Y5" s="94" t="s">
        <v>145</v>
      </c>
    </row>
    <row r="6" spans="1:25" ht="105" customHeight="1" x14ac:dyDescent="0.3">
      <c r="A6" s="186" t="str">
        <f>'M-Multa'!D3</f>
        <v>monto</v>
      </c>
      <c r="B6" s="186" t="str">
        <f>'M-Multa'!D2</f>
        <v>Representa cuánto dinero en pesos colombianos debe pagar el cliente por esta multa. Es un dato auto generado: si el tipo es Tardanza copia el valor de multa de la Cita incumplida; si el tipo es Inasistencia copia el precioTotal de la Cita incumplida</v>
      </c>
      <c r="C6" s="186" t="s">
        <v>68</v>
      </c>
      <c r="D6" s="186" t="s">
        <v>201</v>
      </c>
      <c r="E6" s="186" t="s">
        <v>65</v>
      </c>
      <c r="F6" s="186" t="s">
        <v>67</v>
      </c>
      <c r="G6" s="186" t="s">
        <v>67</v>
      </c>
      <c r="H6" s="186" t="s">
        <v>67</v>
      </c>
      <c r="I6" s="186" t="s">
        <v>67</v>
      </c>
      <c r="J6" s="186">
        <v>0</v>
      </c>
      <c r="K6" s="209">
        <v>1000000</v>
      </c>
      <c r="L6" s="118" t="s">
        <v>67</v>
      </c>
      <c r="M6" s="186" t="s">
        <v>973</v>
      </c>
      <c r="N6" s="186" t="s">
        <v>68</v>
      </c>
      <c r="O6" s="186" t="s">
        <v>67</v>
      </c>
      <c r="P6" s="186" t="s">
        <v>67</v>
      </c>
      <c r="Q6" s="186" t="s">
        <v>67</v>
      </c>
      <c r="R6" s="186" t="s">
        <v>67</v>
      </c>
      <c r="S6" s="186" t="s">
        <v>68</v>
      </c>
      <c r="T6" s="186" t="s">
        <v>329</v>
      </c>
      <c r="U6" s="186" t="s">
        <v>65</v>
      </c>
      <c r="V6" s="92" t="s">
        <v>147</v>
      </c>
      <c r="W6" s="93" t="s">
        <v>74</v>
      </c>
      <c r="X6" s="94" t="s">
        <v>147</v>
      </c>
      <c r="Y6" s="94" t="s">
        <v>145</v>
      </c>
    </row>
    <row r="7" spans="1:25" ht="105" customHeight="1" x14ac:dyDescent="0.3">
      <c r="A7" s="118" t="str">
        <f>'M-Multa'!E3</f>
        <v>horaGeneracion</v>
      </c>
      <c r="B7" s="168" t="str">
        <f>'M-Multa'!E2</f>
        <v>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v>
      </c>
      <c r="C7" s="118" t="s">
        <v>68</v>
      </c>
      <c r="D7" s="118" t="s">
        <v>518</v>
      </c>
      <c r="E7" s="118" t="s">
        <v>65</v>
      </c>
      <c r="F7" s="118" t="s">
        <v>67</v>
      </c>
      <c r="G7" s="118" t="s">
        <v>67</v>
      </c>
      <c r="H7" s="118" t="s">
        <v>67</v>
      </c>
      <c r="I7" s="118" t="s">
        <v>67</v>
      </c>
      <c r="J7" s="118" t="s">
        <v>67</v>
      </c>
      <c r="K7" s="118" t="s">
        <v>67</v>
      </c>
      <c r="L7" s="118" t="s">
        <v>67</v>
      </c>
      <c r="M7" s="168" t="s">
        <v>974</v>
      </c>
      <c r="N7" s="118" t="s">
        <v>68</v>
      </c>
      <c r="O7" s="118" t="s">
        <v>67</v>
      </c>
      <c r="P7" s="118" t="s">
        <v>67</v>
      </c>
      <c r="Q7" s="118" t="s">
        <v>67</v>
      </c>
      <c r="R7" s="118" t="s">
        <v>67</v>
      </c>
      <c r="S7" s="118" t="s">
        <v>68</v>
      </c>
      <c r="T7" s="118" t="s">
        <v>519</v>
      </c>
      <c r="U7" s="118" t="s">
        <v>65</v>
      </c>
      <c r="V7" s="92" t="s">
        <v>147</v>
      </c>
      <c r="W7" s="93" t="s">
        <v>74</v>
      </c>
      <c r="X7" s="94" t="s">
        <v>147</v>
      </c>
      <c r="Y7" s="94" t="s">
        <v>145</v>
      </c>
    </row>
    <row r="8" spans="1:25" ht="60" customHeight="1" x14ac:dyDescent="0.3">
      <c r="A8" s="186" t="str">
        <f>'M-Multa'!F3</f>
        <v>fechaHoraPago</v>
      </c>
      <c r="B8" s="186" t="str">
        <f>'M-Multa'!F2</f>
        <v>Representa la fecha y hora en la que el cliente pagó esta multa. Su valor por defecto es 01/01/1000 00:00 y es permitido: significa que la multa sigue sin pagar</v>
      </c>
      <c r="C8" s="186" t="s">
        <v>68</v>
      </c>
      <c r="D8" s="186" t="s">
        <v>975</v>
      </c>
      <c r="E8" s="186" t="s">
        <v>68</v>
      </c>
      <c r="F8" s="186" t="s">
        <v>67</v>
      </c>
      <c r="G8" s="186" t="s">
        <v>67</v>
      </c>
      <c r="H8" s="186" t="s">
        <v>67</v>
      </c>
      <c r="I8" s="186" t="s">
        <v>67</v>
      </c>
      <c r="J8" s="186" t="s">
        <v>67</v>
      </c>
      <c r="K8" s="186" t="s">
        <v>67</v>
      </c>
      <c r="L8" s="118" t="s">
        <v>67</v>
      </c>
      <c r="M8" s="186" t="s">
        <v>67</v>
      </c>
      <c r="N8" s="186" t="s">
        <v>68</v>
      </c>
      <c r="O8" s="186" t="s">
        <v>67</v>
      </c>
      <c r="P8" s="186" t="s">
        <v>67</v>
      </c>
      <c r="Q8" s="186" t="s">
        <v>67</v>
      </c>
      <c r="R8" s="186" t="s">
        <v>67</v>
      </c>
      <c r="S8" s="186" t="s">
        <v>68</v>
      </c>
      <c r="T8" s="186" t="s">
        <v>582</v>
      </c>
      <c r="U8" s="186" t="s">
        <v>68</v>
      </c>
      <c r="V8" s="92" t="s">
        <v>147</v>
      </c>
      <c r="W8" s="93" t="s">
        <v>74</v>
      </c>
      <c r="X8" s="94" t="s">
        <v>144</v>
      </c>
      <c r="Y8" s="94" t="s">
        <v>149</v>
      </c>
    </row>
    <row r="9" spans="1:25" ht="60" customHeight="1" x14ac:dyDescent="0.3">
      <c r="A9" s="118" t="str">
        <f>'M-Multa'!G3</f>
        <v>pagada</v>
      </c>
      <c r="B9" s="168" t="str">
        <f>'M-Multa'!G2</f>
        <v>Representa si el cliente ya pagó o no esta multa, es el dato que se revisa para decidir si un cliente queda vetado: mientras tenga una multa sin pagar no puede agendar</v>
      </c>
      <c r="C9" s="118" t="s">
        <v>68</v>
      </c>
      <c r="D9" s="118" t="s">
        <v>202</v>
      </c>
      <c r="E9" s="118" t="s">
        <v>68</v>
      </c>
      <c r="F9" s="118" t="s">
        <v>67</v>
      </c>
      <c r="G9" s="118" t="s">
        <v>67</v>
      </c>
      <c r="H9" s="118" t="s">
        <v>67</v>
      </c>
      <c r="I9" s="118" t="s">
        <v>67</v>
      </c>
      <c r="J9" s="118" t="s">
        <v>67</v>
      </c>
      <c r="K9" s="118" t="s">
        <v>67</v>
      </c>
      <c r="L9" s="118" t="s">
        <v>67</v>
      </c>
      <c r="M9" s="168" t="s">
        <v>67</v>
      </c>
      <c r="N9" s="118" t="s">
        <v>68</v>
      </c>
      <c r="O9" s="118" t="s">
        <v>67</v>
      </c>
      <c r="P9" s="118" t="s">
        <v>67</v>
      </c>
      <c r="Q9" s="118" t="s">
        <v>67</v>
      </c>
      <c r="R9" s="118" t="s">
        <v>67</v>
      </c>
      <c r="S9" s="118" t="s">
        <v>68</v>
      </c>
      <c r="T9" s="118" t="s">
        <v>68</v>
      </c>
      <c r="U9" s="118" t="s">
        <v>68</v>
      </c>
      <c r="V9" s="92" t="s">
        <v>147</v>
      </c>
      <c r="W9" s="93" t="s">
        <v>74</v>
      </c>
      <c r="X9" s="94" t="s">
        <v>147</v>
      </c>
      <c r="Y9" s="94" t="s">
        <v>149</v>
      </c>
    </row>
    <row r="11" spans="1:25" ht="15" customHeight="1" x14ac:dyDescent="0.3">
      <c r="A11" s="23" t="s">
        <v>75</v>
      </c>
      <c r="B11" s="23" t="s">
        <v>76</v>
      </c>
      <c r="C11" s="23" t="s">
        <v>77</v>
      </c>
    </row>
    <row r="12" spans="1:25" ht="30" customHeight="1" x14ac:dyDescent="0.3">
      <c r="A12" s="120" t="str">
        <f>'M-Multa'!H3</f>
        <v>Combinación única</v>
      </c>
      <c r="B12" s="121" t="str">
        <f>'M-Multa'!H2</f>
        <v>Combinación única que indica que una misma cita no puede generar más de una multa</v>
      </c>
      <c r="C12" s="24" t="str">
        <f>A4</f>
        <v>cita</v>
      </c>
    </row>
    <row r="14" spans="1:25" x14ac:dyDescent="0.3">
      <c r="A14" s="243" t="s">
        <v>79</v>
      </c>
      <c r="B14" s="243"/>
      <c r="C14" s="239" t="s">
        <v>76</v>
      </c>
      <c r="D14" s="239"/>
      <c r="E14" s="239"/>
      <c r="F14" s="239"/>
      <c r="G14" s="239" t="s">
        <v>80</v>
      </c>
      <c r="H14" s="239"/>
      <c r="I14" s="239"/>
      <c r="J14" s="239" t="s">
        <v>81</v>
      </c>
      <c r="K14" s="239"/>
      <c r="L14" s="239"/>
      <c r="M14" s="239"/>
      <c r="N14" s="239"/>
      <c r="O14" s="239" t="s">
        <v>82</v>
      </c>
      <c r="P14" s="239"/>
      <c r="Q14" s="239" t="s">
        <v>83</v>
      </c>
      <c r="R14" s="239"/>
    </row>
    <row r="15" spans="1:25" x14ac:dyDescent="0.3">
      <c r="A15" s="243"/>
      <c r="B15" s="243"/>
      <c r="C15" s="239"/>
      <c r="D15" s="239"/>
      <c r="E15" s="239"/>
      <c r="F15" s="239"/>
      <c r="G15" s="27" t="s">
        <v>84</v>
      </c>
      <c r="H15" s="27" t="s">
        <v>47</v>
      </c>
      <c r="I15" s="27" t="s">
        <v>76</v>
      </c>
      <c r="J15" s="27" t="s">
        <v>85</v>
      </c>
      <c r="K15" s="403" t="s">
        <v>76</v>
      </c>
      <c r="L15" s="404"/>
      <c r="M15" s="404"/>
      <c r="N15" s="405"/>
      <c r="O15" s="27" t="s">
        <v>86</v>
      </c>
      <c r="P15" s="27" t="s">
        <v>76</v>
      </c>
      <c r="Q15" s="27" t="s">
        <v>87</v>
      </c>
      <c r="R15" s="28" t="s">
        <v>88</v>
      </c>
    </row>
    <row r="16" spans="1:25" ht="124.2" x14ac:dyDescent="0.3">
      <c r="A16" s="565" t="s">
        <v>976</v>
      </c>
      <c r="B16" s="565"/>
      <c r="C16" s="285" t="s">
        <v>977</v>
      </c>
      <c r="D16" s="285"/>
      <c r="E16" s="285"/>
      <c r="F16" s="285"/>
      <c r="G16" s="303" t="s">
        <v>978</v>
      </c>
      <c r="H16" s="303" t="s">
        <v>41</v>
      </c>
      <c r="I16" s="285" t="s">
        <v>979</v>
      </c>
      <c r="J16" s="304" t="s">
        <v>41</v>
      </c>
      <c r="K16" s="285" t="s">
        <v>980</v>
      </c>
      <c r="L16" s="285"/>
      <c r="M16" s="285"/>
      <c r="N16" s="285"/>
      <c r="O16" s="116" t="str">
        <f>'P-Multa'!A6</f>
        <v>P-MUL-0001</v>
      </c>
      <c r="P16" s="31" t="str">
        <f>'P-Multa'!B6</f>
        <v>Congelar el motivo (tipo de multa) y el monto en el momento de generarse: si es por tardanza se copia Cita.multa y si es por inasistencia se copia Cita.precioTotal, sin recalcular después</v>
      </c>
      <c r="Q16" s="31" t="s">
        <v>981</v>
      </c>
      <c r="R16" s="122" t="s">
        <v>164</v>
      </c>
    </row>
    <row r="17" spans="1:18" ht="82.8" x14ac:dyDescent="0.3">
      <c r="A17" s="565"/>
      <c r="B17" s="565"/>
      <c r="C17" s="285"/>
      <c r="D17" s="285"/>
      <c r="E17" s="285"/>
      <c r="F17" s="285"/>
      <c r="G17" s="303"/>
      <c r="H17" s="303"/>
      <c r="I17" s="303"/>
      <c r="J17" s="303"/>
      <c r="K17" s="285"/>
      <c r="L17" s="285"/>
      <c r="M17" s="285"/>
      <c r="N17" s="285"/>
      <c r="O17" s="116" t="str">
        <f>'P-Multa'!A8</f>
        <v>P-MUL-0003</v>
      </c>
      <c r="P17" s="31" t="str">
        <f>'P-Multa'!B8</f>
        <v>Al generarse una multa dejar vetado al cliente, y quitarle el veto en el momento en que registre el pago de esa multa</v>
      </c>
      <c r="Q17" s="31" t="s">
        <v>982</v>
      </c>
      <c r="R17" s="122" t="s">
        <v>720</v>
      </c>
    </row>
    <row r="18" spans="1:18" ht="63.75" customHeight="1" x14ac:dyDescent="0.3">
      <c r="A18" s="564" t="s">
        <v>983</v>
      </c>
      <c r="B18" s="564"/>
      <c r="C18" s="322" t="s">
        <v>984</v>
      </c>
      <c r="D18" s="322"/>
      <c r="E18" s="322"/>
      <c r="F18" s="322"/>
      <c r="G18" s="123" t="s">
        <v>985</v>
      </c>
      <c r="H18" s="123" t="s">
        <v>41</v>
      </c>
      <c r="I18" s="71" t="s">
        <v>986</v>
      </c>
      <c r="J18" s="141" t="s">
        <v>987</v>
      </c>
      <c r="K18" s="322" t="s">
        <v>988</v>
      </c>
      <c r="L18" s="322"/>
      <c r="M18" s="322"/>
      <c r="N18" s="322"/>
      <c r="O18" s="123"/>
      <c r="P18" s="71"/>
      <c r="Q18" s="71"/>
      <c r="R18" s="124"/>
    </row>
    <row r="19" spans="1:18" ht="96.6" x14ac:dyDescent="0.3">
      <c r="A19" s="563" t="s">
        <v>989</v>
      </c>
      <c r="B19" s="563"/>
      <c r="C19" s="319" t="s">
        <v>990</v>
      </c>
      <c r="D19" s="319"/>
      <c r="E19" s="319"/>
      <c r="F19" s="319"/>
      <c r="G19" s="126" t="s">
        <v>129</v>
      </c>
      <c r="H19" s="126" t="s">
        <v>156</v>
      </c>
      <c r="I19" s="75" t="s">
        <v>991</v>
      </c>
      <c r="J19" s="140" t="s">
        <v>41</v>
      </c>
      <c r="K19" s="319" t="s">
        <v>992</v>
      </c>
      <c r="L19" s="319"/>
      <c r="M19" s="319"/>
      <c r="N19" s="319"/>
      <c r="O19" s="126" t="str">
        <f>'P-Multa'!A9</f>
        <v>P-MUL-0004</v>
      </c>
      <c r="P19" s="75" t="str">
        <f>'P-Multa'!B9</f>
        <v>Asegurar que exista la multa con el id enviado</v>
      </c>
      <c r="Q19" s="75" t="s">
        <v>993</v>
      </c>
      <c r="R19" s="127" t="s">
        <v>164</v>
      </c>
    </row>
    <row r="20" spans="1:18" ht="63.75" customHeight="1" x14ac:dyDescent="0.3">
      <c r="A20" s="563"/>
      <c r="B20" s="563"/>
      <c r="C20" s="319"/>
      <c r="D20" s="319"/>
      <c r="E20" s="319"/>
      <c r="F20" s="319"/>
      <c r="G20" s="126" t="s">
        <v>994</v>
      </c>
      <c r="H20" s="126" t="s">
        <v>975</v>
      </c>
      <c r="I20" s="75" t="s">
        <v>995</v>
      </c>
      <c r="J20" s="140"/>
      <c r="K20" s="319"/>
      <c r="L20" s="319"/>
      <c r="M20" s="319"/>
      <c r="N20" s="319"/>
      <c r="O20" s="126" t="str">
        <f>'P-Multa'!A7</f>
        <v>P-MUL-0002</v>
      </c>
      <c r="P20" s="75" t="str">
        <f>'P-Multa'!B7</f>
        <v>Asegurar que la multa no esté ya pagada antes de registrar un nuevo pago</v>
      </c>
      <c r="Q20" s="75" t="s">
        <v>996</v>
      </c>
      <c r="R20" s="127" t="s">
        <v>164</v>
      </c>
    </row>
  </sheetData>
  <mergeCells count="22">
    <mergeCell ref="A19:B20"/>
    <mergeCell ref="C19:F20"/>
    <mergeCell ref="K19:N19"/>
    <mergeCell ref="K20:N20"/>
    <mergeCell ref="J16:J17"/>
    <mergeCell ref="K16:N17"/>
    <mergeCell ref="A18:B18"/>
    <mergeCell ref="C18:F18"/>
    <mergeCell ref="K18:N18"/>
    <mergeCell ref="A16:B17"/>
    <mergeCell ref="C16:F17"/>
    <mergeCell ref="G16:G17"/>
    <mergeCell ref="H16:H17"/>
    <mergeCell ref="I16:I17"/>
    <mergeCell ref="X2:Y2"/>
    <mergeCell ref="A14:B15"/>
    <mergeCell ref="C14:F15"/>
    <mergeCell ref="G14:I14"/>
    <mergeCell ref="J14:N14"/>
    <mergeCell ref="O14:P14"/>
    <mergeCell ref="Q14:R14"/>
    <mergeCell ref="K15:N15"/>
  </mergeCells>
  <hyperlinks>
    <hyperlink ref="A1" location="'Modelo de Dominio'!A1" display="&lt;&lt;&lt;&lt; Ir al modulo de dominio" xr:uid="{00000000-0004-0000-3A00-000000000000}"/>
    <hyperlink ref="B1" location="'Objetos de Dominio'!A1" display="&lt;&lt;&lt;&lt; Ir a objetos de dominio" xr:uid="{00000000-0004-0000-3A00-000001000000}"/>
    <hyperlink ref="V2" location="'C-Multa'!A16" display="#'C-Multa'.A16" xr:uid="{00000000-0004-0000-3A00-000002000000}"/>
    <hyperlink ref="W2" location="'C-Multa'!A18" display="#'C-Multa'.A18" xr:uid="{00000000-0004-0000-3A00-000003000000}"/>
    <hyperlink ref="X2" location="'C-Multa'!A19" display="#'C-Multa'.A19" xr:uid="{00000000-0004-0000-3A00-000004000000}"/>
    <hyperlink ref="A3" location="'M-Multa'!A3" display="#'M-Multa'.A3" xr:uid="{00000000-0004-0000-3A00-000005000000}"/>
    <hyperlink ref="B3" location="'M-Multa'!A2" display="#'M-Multa'.A2" xr:uid="{00000000-0004-0000-3A00-000006000000}"/>
    <hyperlink ref="A4" location="'M-Multa'!A3" display="#'M-Multa'.A3" xr:uid="{00000000-0004-0000-3A00-000007000000}"/>
    <hyperlink ref="B4" location="'M-Multa'!A2" display="#'M-Multa'.A2" xr:uid="{00000000-0004-0000-3A00-000008000000}"/>
    <hyperlink ref="D4" location="'C-Cita'!A1" display="Cita" xr:uid="{00000000-0004-0000-3A00-000009000000}"/>
    <hyperlink ref="A5" location="'M-Multa'!A3" display="#'M-Multa'.A3" xr:uid="{00000000-0004-0000-3A00-00000A000000}"/>
    <hyperlink ref="B5" location="'M-Multa'!A2" display="#'M-Multa'.A2" xr:uid="{00000000-0004-0000-3A00-00000B000000}"/>
    <hyperlink ref="D5" location="'C-TipoMulta'!A1" display="TipoMulta" xr:uid="{00000000-0004-0000-3A00-00000C000000}"/>
    <hyperlink ref="A6" location="'M-Multa'!A3" display="#'M-Multa'.A3" xr:uid="{00000000-0004-0000-3A00-00000D000000}"/>
    <hyperlink ref="B6" location="'M-Multa'!A2" display="#'M-Multa'.A2" xr:uid="{00000000-0004-0000-3A00-00000E000000}"/>
    <hyperlink ref="A7" location="'M-Multa'!A3" display="#'M-Multa'.A3" xr:uid="{00000000-0004-0000-3A00-00000F000000}"/>
    <hyperlink ref="B7" location="'M-Multa'!A2" display="#'M-Multa'.A2" xr:uid="{00000000-0004-0000-3A00-000010000000}"/>
    <hyperlink ref="A8" location="'M-Multa'!A3" display="#'M-Multa'.A3" xr:uid="{00000000-0004-0000-3A00-000011000000}"/>
    <hyperlink ref="B8" location="'M-Multa'!A2" display="#'M-Multa'.A2" xr:uid="{00000000-0004-0000-3A00-000012000000}"/>
    <hyperlink ref="A9" location="'M-Multa'!A3" display="#'M-Multa'.A3" xr:uid="{00000000-0004-0000-3A00-000013000000}"/>
    <hyperlink ref="B9" location="'M-Multa'!A2" display="#'M-Multa'.A2" xr:uid="{00000000-0004-0000-3A00-000014000000}"/>
    <hyperlink ref="A12" location="'M-Multa'!A3" display="#'M-Multa'.A3" xr:uid="{00000000-0004-0000-3A00-000015000000}"/>
    <hyperlink ref="B12" location="'M-Multa'!A2" display="#'M-Multa'.A2" xr:uid="{00000000-0004-0000-3A00-000016000000}"/>
    <hyperlink ref="A16" location="'C-Multa'!V2" display="imponerMultaCliente" xr:uid="{00000000-0004-0000-3A00-000017000000}"/>
    <hyperlink ref="A18" location="'C-Multa'!W2" display="consultarMultasDeCliente" xr:uid="{00000000-0004-0000-3A00-000018000000}"/>
    <hyperlink ref="A19" location="'C-Multa'!X2" display="registrarPagoMulta" xr:uid="{00000000-0004-0000-3A00-000019000000}"/>
  </hyperlinks>
  <pageMargins left="0.75" right="0.75" top="1" bottom="1" header="0.511811023622047" footer="0.511811023622047"/>
  <pageSetup paperSize="9"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9"/>
  <sheetViews>
    <sheetView showGridLines="0" zoomScaleNormal="100" workbookViewId="0">
      <selection activeCell="B9" sqref="B9:C9"/>
    </sheetView>
  </sheetViews>
  <sheetFormatPr baseColWidth="10" defaultColWidth="8.6640625" defaultRowHeight="14.4" x14ac:dyDescent="0.3"/>
  <cols>
    <col min="1" max="1" width="21.33203125" customWidth="1"/>
    <col min="2" max="2" width="29.109375" customWidth="1"/>
    <col min="3" max="3" width="36.33203125" customWidth="1"/>
    <col min="4" max="4" width="37.6640625" customWidth="1"/>
    <col min="5" max="5" width="36.33203125" customWidth="1"/>
  </cols>
  <sheetData>
    <row r="1" spans="1:5" ht="15" customHeight="1" x14ac:dyDescent="0.3">
      <c r="A1" s="7" t="s">
        <v>93</v>
      </c>
      <c r="B1" s="7" t="s">
        <v>94</v>
      </c>
      <c r="C1" s="7" t="s">
        <v>95</v>
      </c>
      <c r="D1" s="7" t="s">
        <v>96</v>
      </c>
      <c r="E1" s="77" t="s">
        <v>97</v>
      </c>
    </row>
    <row r="2" spans="1:5" ht="15" customHeight="1" x14ac:dyDescent="0.3">
      <c r="A2" s="34" t="s">
        <v>98</v>
      </c>
      <c r="B2" s="244" t="str">
        <f>'Objetos de Dominio'!A17</f>
        <v>Multa</v>
      </c>
      <c r="C2" s="244"/>
      <c r="D2" s="244"/>
      <c r="E2" s="244"/>
    </row>
    <row r="3" spans="1:5" ht="30" customHeight="1" x14ac:dyDescent="0.3">
      <c r="A3" s="35" t="s">
        <v>99</v>
      </c>
      <c r="B3" s="245" t="str">
        <f>'Objetos de Dominio'!B17</f>
        <v>Representa la sanción económica que se le impone a un cliente por incumplir una cita, ya sea por llegar tarde fuera de tolerancia o por no presentarse, calculada a partir de la cita específica que la originó.</v>
      </c>
      <c r="C3" s="245"/>
      <c r="D3" s="245"/>
      <c r="E3" s="245"/>
    </row>
    <row r="4" spans="1:5" ht="15" customHeight="1" x14ac:dyDescent="0.3">
      <c r="A4" s="246" t="s">
        <v>100</v>
      </c>
      <c r="B4" s="247" t="s">
        <v>101</v>
      </c>
      <c r="C4" s="247"/>
      <c r="D4" s="247" t="s">
        <v>102</v>
      </c>
      <c r="E4" s="246" t="s">
        <v>103</v>
      </c>
    </row>
    <row r="5" spans="1:5" ht="15" customHeight="1" x14ac:dyDescent="0.3">
      <c r="A5" s="246"/>
      <c r="B5" s="247"/>
      <c r="C5" s="247"/>
      <c r="D5" s="247"/>
      <c r="E5" s="246"/>
    </row>
    <row r="6" spans="1:5" ht="30" customHeight="1" x14ac:dyDescent="0.3">
      <c r="A6" s="36" t="s">
        <v>997</v>
      </c>
      <c r="B6" s="296" t="s">
        <v>998</v>
      </c>
      <c r="C6" s="296"/>
      <c r="D6" s="37" t="s">
        <v>37</v>
      </c>
      <c r="E6" s="37"/>
    </row>
    <row r="7" spans="1:5" ht="30" customHeight="1" x14ac:dyDescent="0.3">
      <c r="A7" s="36" t="s">
        <v>999</v>
      </c>
      <c r="B7" s="296" t="s">
        <v>1000</v>
      </c>
      <c r="C7" s="296"/>
      <c r="D7" s="37" t="s">
        <v>41</v>
      </c>
      <c r="E7" s="37"/>
    </row>
    <row r="8" spans="1:5" ht="30" customHeight="1" x14ac:dyDescent="0.3">
      <c r="A8" s="36" t="s">
        <v>1001</v>
      </c>
      <c r="B8" s="296" t="s">
        <v>1002</v>
      </c>
      <c r="C8" s="296"/>
      <c r="D8" s="37" t="s">
        <v>25</v>
      </c>
      <c r="E8" s="37"/>
    </row>
    <row r="9" spans="1:5" ht="30" customHeight="1" x14ac:dyDescent="0.3">
      <c r="A9" s="36" t="s">
        <v>1003</v>
      </c>
      <c r="B9" s="401" t="s">
        <v>1004</v>
      </c>
      <c r="C9" s="402"/>
      <c r="D9" s="37" t="s">
        <v>41</v>
      </c>
      <c r="E9" s="37"/>
    </row>
  </sheetData>
  <mergeCells count="10">
    <mergeCell ref="B9:C9"/>
    <mergeCell ref="B7:C7"/>
    <mergeCell ref="B8:C8"/>
    <mergeCell ref="B2:E2"/>
    <mergeCell ref="B3:E3"/>
    <mergeCell ref="A4:A5"/>
    <mergeCell ref="B4:C5"/>
    <mergeCell ref="D4:D5"/>
    <mergeCell ref="E4:E5"/>
    <mergeCell ref="B6:C6"/>
  </mergeCells>
  <hyperlinks>
    <hyperlink ref="A1" location="'Modelo de Dominio'!A1" display="&lt;&lt; Ir al modelo de dominio" xr:uid="{00000000-0004-0000-3B00-000000000000}"/>
    <hyperlink ref="B1" location="'Objetos de Dominio'!A1" display="&lt;&lt; Ir al listado de objetos de dominio" xr:uid="{00000000-0004-0000-3B00-000001000000}"/>
    <hyperlink ref="C1" location="'C-Multa'!A1" display="&lt;&lt; Ir a la caracterización del objeto de dominio" xr:uid="{00000000-0004-0000-3B00-000002000000}"/>
    <hyperlink ref="D1" location="'M-Multa'!A1" display="Ir al muestreo de datos del objeto de dominio &gt;&gt;" xr:uid="{00000000-0004-0000-3B00-000003000000}"/>
    <hyperlink ref="E1" location="'E-Multa'!A1" display="Ir al event storming del objeto de dominio &gt;&gt;" xr:uid="{00000000-0004-0000-3B00-000004000000}"/>
  </hyperlink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K10"/>
  <sheetViews>
    <sheetView showGridLines="0" zoomScaleNormal="100" workbookViewId="0">
      <selection activeCell="H7" sqref="H7"/>
    </sheetView>
  </sheetViews>
  <sheetFormatPr baseColWidth="10" defaultColWidth="8.6640625" defaultRowHeight="14.4" x14ac:dyDescent="0.3"/>
  <cols>
    <col min="1" max="1" width="20" customWidth="1"/>
    <col min="2" max="2" width="30" customWidth="1"/>
    <col min="3" max="3" width="42" customWidth="1"/>
    <col min="4" max="4" width="16" customWidth="1"/>
    <col min="5" max="5" width="22" customWidth="1"/>
    <col min="6" max="6" width="40" customWidth="1"/>
    <col min="7" max="7" width="10" customWidth="1"/>
    <col min="8" max="8" width="38.44140625" customWidth="1"/>
    <col min="9" max="9" width="16" customWidth="1"/>
    <col min="10" max="11" width="34" customWidth="1"/>
  </cols>
  <sheetData>
    <row r="1" spans="1:11" ht="12" customHeight="1" x14ac:dyDescent="0.3">
      <c r="A1" s="253" t="s">
        <v>93</v>
      </c>
      <c r="B1" s="253"/>
      <c r="C1" s="253" t="s">
        <v>94</v>
      </c>
      <c r="D1" s="253"/>
      <c r="E1" s="253"/>
      <c r="F1" s="253" t="s">
        <v>95</v>
      </c>
      <c r="G1" s="253"/>
      <c r="H1" s="253"/>
      <c r="I1" s="253"/>
      <c r="J1" s="253" t="s">
        <v>96</v>
      </c>
      <c r="K1" s="253"/>
    </row>
    <row r="2" spans="1:11" ht="15" customHeight="1" x14ac:dyDescent="0.3">
      <c r="A2" s="150" t="s">
        <v>98</v>
      </c>
      <c r="B2" s="324" t="str">
        <f>'Objetos de Dominio'!A17</f>
        <v>Multa</v>
      </c>
      <c r="C2" s="324"/>
      <c r="D2" s="324"/>
      <c r="E2" s="324"/>
      <c r="F2" s="324"/>
      <c r="G2" s="324"/>
      <c r="H2" s="324"/>
      <c r="I2" s="324"/>
      <c r="J2" s="324"/>
      <c r="K2" s="324"/>
    </row>
    <row r="3" spans="1:11" ht="30" customHeight="1" x14ac:dyDescent="0.3">
      <c r="A3" s="151" t="s">
        <v>99</v>
      </c>
      <c r="B3" s="325" t="str">
        <f>'Objetos de Dominio'!B17</f>
        <v>Representa la sanción económica que se le impone a un cliente por incumplir una cita, ya sea por llegar tarde fuera de tolerancia o por no presentarse, calculada a partir de la cita específica que la originó.</v>
      </c>
      <c r="C3" s="325"/>
      <c r="D3" s="325"/>
      <c r="E3" s="325"/>
      <c r="F3" s="325"/>
      <c r="G3" s="325"/>
      <c r="H3" s="325"/>
      <c r="I3" s="325"/>
      <c r="J3" s="325"/>
      <c r="K3" s="325"/>
    </row>
    <row r="4" spans="1:11" ht="34.5" customHeight="1" x14ac:dyDescent="0.3">
      <c r="A4" s="5" t="s">
        <v>105</v>
      </c>
      <c r="B4" s="326" t="s">
        <v>106</v>
      </c>
      <c r="C4" s="326"/>
      <c r="D4" s="4" t="s">
        <v>107</v>
      </c>
      <c r="E4" s="327" t="s">
        <v>108</v>
      </c>
      <c r="F4" s="327"/>
      <c r="G4" s="328" t="s">
        <v>109</v>
      </c>
      <c r="H4" s="328"/>
      <c r="I4" s="152" t="s">
        <v>110</v>
      </c>
      <c r="J4" s="3" t="s">
        <v>111</v>
      </c>
      <c r="K4" s="153" t="s">
        <v>112</v>
      </c>
    </row>
    <row r="5" spans="1:11" ht="15" customHeight="1" x14ac:dyDescent="0.3">
      <c r="A5" s="329" t="s">
        <v>105</v>
      </c>
      <c r="B5" s="326" t="s">
        <v>113</v>
      </c>
      <c r="C5" s="326" t="s">
        <v>76</v>
      </c>
      <c r="D5" s="330" t="s">
        <v>114</v>
      </c>
      <c r="E5" s="327" t="s">
        <v>115</v>
      </c>
      <c r="F5" s="327"/>
      <c r="G5" s="328" t="s">
        <v>116</v>
      </c>
      <c r="H5" s="328"/>
      <c r="I5" s="331" t="s">
        <v>117</v>
      </c>
      <c r="J5" s="332" t="s">
        <v>118</v>
      </c>
      <c r="K5" s="333" t="s">
        <v>119</v>
      </c>
    </row>
    <row r="6" spans="1:11" ht="15" customHeight="1" x14ac:dyDescent="0.3">
      <c r="A6" s="329"/>
      <c r="B6" s="329"/>
      <c r="C6" s="329"/>
      <c r="D6" s="329"/>
      <c r="E6" s="6" t="s">
        <v>120</v>
      </c>
      <c r="F6" s="6" t="s">
        <v>76</v>
      </c>
      <c r="G6" s="154" t="s">
        <v>121</v>
      </c>
      <c r="H6" s="154" t="s">
        <v>76</v>
      </c>
      <c r="I6" s="331"/>
      <c r="J6" s="331"/>
      <c r="K6" s="331"/>
    </row>
    <row r="7" spans="1:11" ht="72" customHeight="1" x14ac:dyDescent="0.3">
      <c r="A7" s="334" t="s">
        <v>493</v>
      </c>
      <c r="B7" s="335" t="s">
        <v>1005</v>
      </c>
      <c r="C7" s="335" t="s">
        <v>977</v>
      </c>
      <c r="D7" s="334" t="str">
        <f>$B$2</f>
        <v>Multa</v>
      </c>
      <c r="E7" s="1" t="s">
        <v>37</v>
      </c>
      <c r="F7" s="1" t="s">
        <v>1006</v>
      </c>
      <c r="G7" s="155" t="str">
        <f>'P-Multa'!A6</f>
        <v>P-MUL-0001</v>
      </c>
      <c r="H7" s="210" t="str">
        <f>'P-Multa'!B6</f>
        <v>Congelar el motivo (tipo de multa) y el monto en el momento de generarse: si es por tardanza se copia Cita.multa y si es por inasistencia se copia Cita.precioTotal, sin recalcular después</v>
      </c>
      <c r="I7" s="334"/>
      <c r="J7" s="335" t="s">
        <v>1007</v>
      </c>
      <c r="K7" s="335"/>
    </row>
    <row r="8" spans="1:11" ht="42.75" customHeight="1" x14ac:dyDescent="0.3">
      <c r="A8" s="334"/>
      <c r="B8" s="334"/>
      <c r="C8" s="334"/>
      <c r="D8" s="334"/>
      <c r="E8" s="1" t="s">
        <v>25</v>
      </c>
      <c r="F8" s="1" t="s">
        <v>1008</v>
      </c>
      <c r="G8" s="155" t="str">
        <f>'P-Multa'!A8</f>
        <v>P-MUL-0003</v>
      </c>
      <c r="H8" s="172" t="str">
        <f>'P-Multa'!B8</f>
        <v>Al generarse una multa dejar vetado al cliente, y quitarle el veto en el momento en que registre el pago de esa multa</v>
      </c>
      <c r="I8" s="334"/>
      <c r="J8" s="334"/>
      <c r="K8" s="334"/>
    </row>
    <row r="9" spans="1:11" ht="30" customHeight="1" x14ac:dyDescent="0.3">
      <c r="A9" s="2" t="s">
        <v>25</v>
      </c>
      <c r="B9" s="1" t="s">
        <v>1009</v>
      </c>
      <c r="C9" s="1" t="s">
        <v>984</v>
      </c>
      <c r="D9" s="2" t="str">
        <f>$B$2</f>
        <v>Multa</v>
      </c>
      <c r="E9" s="1" t="s">
        <v>21</v>
      </c>
      <c r="F9" s="1" t="s">
        <v>1010</v>
      </c>
      <c r="G9" s="2"/>
      <c r="H9" s="172"/>
      <c r="I9" s="2"/>
      <c r="J9" s="1" t="s">
        <v>1011</v>
      </c>
      <c r="K9" s="1"/>
    </row>
    <row r="10" spans="1:11" ht="28.5" customHeight="1" x14ac:dyDescent="0.3">
      <c r="A10" s="2" t="s">
        <v>23</v>
      </c>
      <c r="B10" s="1" t="s">
        <v>1012</v>
      </c>
      <c r="C10" s="1" t="s">
        <v>990</v>
      </c>
      <c r="D10" s="2" t="str">
        <f>$B$2</f>
        <v>Multa</v>
      </c>
      <c r="E10" s="1" t="s">
        <v>25</v>
      </c>
      <c r="F10" s="1" t="s">
        <v>1013</v>
      </c>
      <c r="G10" s="155" t="str">
        <f>'P-Multa'!A7</f>
        <v>P-MUL-0002</v>
      </c>
      <c r="H10" s="172" t="str">
        <f>'P-Multa'!B7</f>
        <v>Asegurar que la multa no esté ya pagada antes de registrar un nuevo pago</v>
      </c>
      <c r="I10" s="2"/>
      <c r="J10" s="1" t="s">
        <v>1014</v>
      </c>
      <c r="K10" s="1"/>
    </row>
  </sheetData>
  <mergeCells count="25">
    <mergeCell ref="J7:J8"/>
    <mergeCell ref="K7:K8"/>
    <mergeCell ref="A7:A8"/>
    <mergeCell ref="B7:B8"/>
    <mergeCell ref="C7:C8"/>
    <mergeCell ref="D7:D8"/>
    <mergeCell ref="I7:I8"/>
    <mergeCell ref="B3:K3"/>
    <mergeCell ref="B4:C4"/>
    <mergeCell ref="E4:F4"/>
    <mergeCell ref="G4:H4"/>
    <mergeCell ref="A5:A6"/>
    <mergeCell ref="B5:B6"/>
    <mergeCell ref="C5:C6"/>
    <mergeCell ref="D5:D6"/>
    <mergeCell ref="E5:F5"/>
    <mergeCell ref="G5:H5"/>
    <mergeCell ref="I5:I6"/>
    <mergeCell ref="J5:J6"/>
    <mergeCell ref="K5:K6"/>
    <mergeCell ref="A1:B1"/>
    <mergeCell ref="C1:E1"/>
    <mergeCell ref="F1:I1"/>
    <mergeCell ref="J1:K1"/>
    <mergeCell ref="B2:K2"/>
  </mergeCells>
  <hyperlinks>
    <hyperlink ref="A1" location="'Modelo de Dominio'!A1" display="&lt;&lt; Ir al modelo de dominio" xr:uid="{00000000-0004-0000-3C00-000000000000}"/>
    <hyperlink ref="C1" location="'Objetos de Dominio'!A1" display="&lt;&lt; Ir al listado de objetos de dominio" xr:uid="{00000000-0004-0000-3C00-000001000000}"/>
    <hyperlink ref="F1" location="'C-Multa'!A1" display="&lt;&lt; Ir a la caracterización del objeto de dominio" xr:uid="{00000000-0004-0000-3C00-000002000000}"/>
    <hyperlink ref="J1" location="'M-Multa'!A1" display="Ir al muestreo de datos del objeto de dominio &gt;&gt;" xr:uid="{00000000-0004-0000-3C00-000003000000}"/>
    <hyperlink ref="G7" location="'P-Multa'!A6" display="#'P-Multa'.A6" xr:uid="{00000000-0004-0000-3C00-000004000000}"/>
  </hyperlinks>
  <pageMargins left="0.75" right="0.75" top="1" bottom="1"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21"/>
  <sheetViews>
    <sheetView zoomScaleNormal="100" workbookViewId="0">
      <selection activeCell="B1" sqref="B1"/>
    </sheetView>
  </sheetViews>
  <sheetFormatPr baseColWidth="10" defaultColWidth="8.6640625" defaultRowHeight="14.4" x14ac:dyDescent="0.3"/>
  <cols>
    <col min="1" max="1" width="25" customWidth="1"/>
    <col min="2" max="2" width="33.6640625" customWidth="1"/>
    <col min="3" max="3" width="24.6640625" customWidth="1"/>
    <col min="4" max="4" width="35.5546875" customWidth="1"/>
    <col min="5" max="5" width="40.88671875" customWidth="1"/>
    <col min="6" max="6" width="35.5546875" customWidth="1"/>
    <col min="7" max="7" width="27.109375" customWidth="1"/>
    <col min="8" max="8" width="30.44140625" customWidth="1"/>
  </cols>
  <sheetData>
    <row r="1" spans="1:8" ht="14.25" customHeight="1" x14ac:dyDescent="0.3">
      <c r="A1" s="8" t="s">
        <v>1</v>
      </c>
      <c r="B1" s="8" t="s">
        <v>43</v>
      </c>
    </row>
    <row r="2" spans="1:8" ht="54" customHeight="1" x14ac:dyDescent="0.3">
      <c r="A2" s="51" t="s">
        <v>126</v>
      </c>
      <c r="B2" s="51" t="s">
        <v>1015</v>
      </c>
      <c r="C2" s="51" t="s">
        <v>1016</v>
      </c>
      <c r="D2" s="51" t="s">
        <v>1017</v>
      </c>
      <c r="E2" s="51" t="s">
        <v>1018</v>
      </c>
      <c r="F2" s="51" t="s">
        <v>1019</v>
      </c>
      <c r="G2" s="51" t="s">
        <v>1020</v>
      </c>
      <c r="H2" s="51" t="s">
        <v>1021</v>
      </c>
    </row>
    <row r="3" spans="1:8" ht="14.25" customHeight="1" x14ac:dyDescent="0.3">
      <c r="A3" s="53" t="s">
        <v>129</v>
      </c>
      <c r="B3" s="132" t="s">
        <v>968</v>
      </c>
      <c r="C3" s="146" t="s">
        <v>1022</v>
      </c>
      <c r="D3" s="217" t="s">
        <v>1023</v>
      </c>
      <c r="E3" s="217" t="s">
        <v>1024</v>
      </c>
      <c r="F3" s="54" t="s">
        <v>994</v>
      </c>
      <c r="G3" s="54" t="s">
        <v>1025</v>
      </c>
      <c r="H3" s="55" t="s">
        <v>319</v>
      </c>
    </row>
    <row r="4" spans="1:8" ht="42.75" customHeight="1" x14ac:dyDescent="0.3">
      <c r="A4" s="56">
        <v>1</v>
      </c>
      <c r="B4" s="200" t="str">
        <f>'M-Cita'!S6</f>
        <v>+57-3214533321-Jueves-09:00-19:00-12/11/2023-1/01/1000-13:00-19:00-14/05/2026-13:00</v>
      </c>
      <c r="C4" s="134" t="str">
        <f>'M-TipoMulta'!D4</f>
        <v>Tardanza</v>
      </c>
      <c r="D4" s="230">
        <f>'M-Cita'!P6</f>
        <v>10000</v>
      </c>
      <c r="E4" s="231">
        <f>'M-Cita'!G6</f>
        <v>0.55208333333333304</v>
      </c>
      <c r="F4" s="211">
        <v>46233.416666666701</v>
      </c>
      <c r="G4" s="56" t="s">
        <v>253</v>
      </c>
      <c r="H4" s="86" t="str">
        <f>B4</f>
        <v>+57-3214533321-Jueves-09:00-19:00-12/11/2023-1/01/1000-13:00-19:00-14/05/2026-13:00</v>
      </c>
    </row>
    <row r="5" spans="1:8" ht="42.75" customHeight="1" x14ac:dyDescent="0.3">
      <c r="A5" s="56">
        <v>2</v>
      </c>
      <c r="B5" s="200" t="str">
        <f>'M-Cita'!S7</f>
        <v>+91-9876543210-Sábado-08:00-21:00-12/12/2024-1/01/1000-08:00-14:00-22/11/2025-13:00</v>
      </c>
      <c r="C5" s="134" t="str">
        <f>'M-TipoMulta'!D5</f>
        <v>Inasistencia</v>
      </c>
      <c r="D5" s="230">
        <f>'M-Cita'!R7</f>
        <v>35000</v>
      </c>
      <c r="E5" s="231">
        <f>'M-Cita'!F7</f>
        <v>0.57638888888888917</v>
      </c>
      <c r="F5" s="56" t="s">
        <v>1026</v>
      </c>
      <c r="G5" s="56" t="s">
        <v>438</v>
      </c>
      <c r="H5" s="86" t="str">
        <f>B5</f>
        <v>+91-9876543210-Sábado-08:00-21:00-12/12/2024-1/01/1000-08:00-14:00-22/11/2025-13:00</v>
      </c>
    </row>
    <row r="6" spans="1:8" ht="57" customHeight="1" x14ac:dyDescent="0.3">
      <c r="A6" s="56">
        <v>3</v>
      </c>
      <c r="B6" s="200" t="str">
        <f>'M-Cita'!S10</f>
        <v>+57-3245627890-Lunes-09:00-19:00-12/11/2023-1/01/1000-10:00-16:00-01/06/2026-10:00</v>
      </c>
      <c r="C6" s="134" t="str">
        <f>'M-TipoMulta'!D5</f>
        <v>Inasistencia</v>
      </c>
      <c r="D6" s="230">
        <f>'M-Cita'!R10</f>
        <v>22000</v>
      </c>
      <c r="E6" s="231">
        <f>'M-Cita'!F10</f>
        <v>0.4583333333333337</v>
      </c>
      <c r="F6" s="56" t="s">
        <v>1026</v>
      </c>
      <c r="G6" s="56" t="s">
        <v>438</v>
      </c>
      <c r="H6" s="86" t="str">
        <f>B6</f>
        <v>+57-3245627890-Lunes-09:00-19:00-12/11/2023-1/01/1000-10:00-16:00-01/06/2026-10:00</v>
      </c>
    </row>
    <row r="7" spans="1:8" ht="57" customHeight="1" x14ac:dyDescent="0.3">
      <c r="A7" s="56">
        <v>4</v>
      </c>
      <c r="B7" s="200" t="str">
        <f>'M-Cita'!S11</f>
        <v>+57-3124518923-Martes-09:00-19:00-12/11/2023-1/01/1000-09:00-15:00-16/06/2026-09:00</v>
      </c>
      <c r="C7" s="134" t="str">
        <f>'M-TipoMulta'!D5</f>
        <v>Inasistencia</v>
      </c>
      <c r="D7" s="230">
        <f>'M-Cita'!R11</f>
        <v>12000</v>
      </c>
      <c r="E7" s="231">
        <f>'M-Cita'!F11</f>
        <v>0.38541666666666669</v>
      </c>
      <c r="F7" s="56" t="s">
        <v>1026</v>
      </c>
      <c r="G7" s="56" t="s">
        <v>438</v>
      </c>
      <c r="H7" s="86" t="str">
        <f>B7</f>
        <v>+57-3124518923-Martes-09:00-19:00-12/11/2023-1/01/1000-09:00-15:00-16/06/2026-09:00</v>
      </c>
    </row>
    <row r="8" spans="1:8" ht="57" customHeight="1" x14ac:dyDescent="0.3">
      <c r="A8" s="56">
        <v>5</v>
      </c>
      <c r="B8" s="200" t="str">
        <f>'M-Cita'!S12</f>
        <v>+57-3214533321-Jueves-09:00-19:00-12/11/2023-1/01/1000-13:00-19:00-02/07/2026-15:00</v>
      </c>
      <c r="C8" s="134" t="str">
        <f>'M-TipoMulta'!D5</f>
        <v>Inasistencia</v>
      </c>
      <c r="D8" s="230">
        <f>'M-Cita'!R12</f>
        <v>15000</v>
      </c>
      <c r="E8" s="231">
        <f>'M-Cita'!F12</f>
        <v>0.63888888888888884</v>
      </c>
      <c r="F8" s="56" t="s">
        <v>1026</v>
      </c>
      <c r="G8" s="56" t="s">
        <v>438</v>
      </c>
      <c r="H8" s="86" t="str">
        <f>B8</f>
        <v>+57-3214533321-Jueves-09:00-19:00-12/11/2023-1/01/1000-13:00-19:00-02/07/2026-15:00</v>
      </c>
    </row>
    <row r="14" spans="1:8" ht="28.5" customHeight="1" x14ac:dyDescent="0.3">
      <c r="A14" s="51"/>
      <c r="B14" s="60" t="s">
        <v>139</v>
      </c>
    </row>
    <row r="15" spans="1:8" ht="28.5" customHeight="1" x14ac:dyDescent="0.3">
      <c r="A15" s="53"/>
      <c r="B15" s="60" t="s">
        <v>140</v>
      </c>
    </row>
    <row r="16" spans="1:8" ht="28.5" customHeight="1" x14ac:dyDescent="0.3">
      <c r="A16" s="212"/>
      <c r="B16" s="60" t="s">
        <v>441</v>
      </c>
    </row>
    <row r="17" spans="1:2" ht="27.75" customHeight="1" x14ac:dyDescent="0.3">
      <c r="A17" s="133"/>
      <c r="B17" s="60" t="s">
        <v>442</v>
      </c>
    </row>
    <row r="18" spans="1:2" ht="28.8" x14ac:dyDescent="0.3">
      <c r="A18" s="54"/>
      <c r="B18" s="60" t="s">
        <v>141</v>
      </c>
    </row>
    <row r="19" spans="1:2" ht="28.5" customHeight="1" x14ac:dyDescent="0.3">
      <c r="A19" s="55"/>
      <c r="B19" s="60" t="s">
        <v>142</v>
      </c>
    </row>
    <row r="20" spans="1:2" ht="14.25" customHeight="1" x14ac:dyDescent="0.3">
      <c r="A20" s="213"/>
    </row>
    <row r="21" spans="1:2" ht="14.25" customHeight="1" x14ac:dyDescent="0.3">
      <c r="A21" s="213"/>
    </row>
  </sheetData>
  <hyperlinks>
    <hyperlink ref="A1" location="'Modelo de Dominio'!A1" display="&lt;&lt;&lt;&lt; Ir al modulo de dominio" xr:uid="{00000000-0004-0000-3D00-000000000000}"/>
    <hyperlink ref="B1" location="'Objetos de Dominio'!A1" display="&lt;&lt;&lt;&lt; Ir a objetos de dominio" xr:uid="{00000000-0004-0000-3D00-000001000000}"/>
    <hyperlink ref="B3" location="'M-Cita'!A1" display="cita" xr:uid="{00000000-0004-0000-3D00-000002000000}"/>
    <hyperlink ref="C3" location="'M-TipoMulta'!A1" display="tipo" xr:uid="{00000000-0004-0000-3D00-000003000000}"/>
    <hyperlink ref="B4" location="'M-Cita'!S6" display="#'M-Cita'.S6" xr:uid="{00000000-0004-0000-3D00-000004000000}"/>
    <hyperlink ref="C4" location="'M-TipoMulta'!A4" display="#'M-TipoMulta'.A4" xr:uid="{00000000-0004-0000-3D00-000005000000}"/>
    <hyperlink ref="B5" location="'M-Cita'!S7" display="#'M-Cita'.S7" xr:uid="{00000000-0004-0000-3D00-000008000000}"/>
    <hyperlink ref="C5" location="'M-TipoMulta'!A5" display="#'M-TipoMulta'.A5" xr:uid="{00000000-0004-0000-3D00-000009000000}"/>
    <hyperlink ref="B6" location="'M-Cita'!S10" display="#'M-Cita'.S10" xr:uid="{00000000-0004-0000-3D00-00000C000000}"/>
    <hyperlink ref="C6" location="'M-TipoMulta'!A5" display="#'M-TipoMulta'.A5" xr:uid="{00000000-0004-0000-3D00-00000D000000}"/>
    <hyperlink ref="B7" location="'M-Cita'!S11" display="#'M-Cita'.S11" xr:uid="{00000000-0004-0000-3D00-000010000000}"/>
    <hyperlink ref="C7" location="'M-TipoMulta'!A5" display="#'M-TipoMulta'.A5" xr:uid="{00000000-0004-0000-3D00-000011000000}"/>
    <hyperlink ref="B8" location="'M-Cita'!S12" display="#'M-Cita'.S12" xr:uid="{00000000-0004-0000-3D00-000014000000}"/>
    <hyperlink ref="C8" location="'M-TipoMulta'!A5" display="#'M-TipoMulta'.A5" xr:uid="{00000000-0004-0000-3D00-000015000000}"/>
    <hyperlink ref="E8" location="'M-Cita'!A12" display="#'M-Cita'.A12" xr:uid="{00000000-0004-0000-3D00-000017000000}"/>
    <hyperlink ref="D8" location="'M-Cita'!R12" display="#'M-Cita'!R12" xr:uid="{00000000-0004-0000-3D00-000016000000}"/>
    <hyperlink ref="E7" location="'M-Cita'!A11" display="#'M-Cita'.A11" xr:uid="{00000000-0004-0000-3D00-000013000000}"/>
    <hyperlink ref="D7" location="'M-Cita'!R11" display="#'M-Cita'!R11" xr:uid="{00000000-0004-0000-3D00-000012000000}"/>
    <hyperlink ref="E6" location="'M-Cita'!A10" display="#'M-Cita'.A10" xr:uid="{00000000-0004-0000-3D00-00000F000000}"/>
    <hyperlink ref="D6" location="'M-Cita'!R10" display="#'M-Cita'!R10" xr:uid="{00000000-0004-0000-3D00-00000E000000}"/>
    <hyperlink ref="E5" location="'M-Cita'!A7" display="#'M-Cita'.A7" xr:uid="{00000000-0004-0000-3D00-00000B000000}"/>
    <hyperlink ref="D5" location="'M-Cita'!R7" display="#'M-Cita'!R7" xr:uid="{00000000-0004-0000-3D00-00000A000000}"/>
    <hyperlink ref="E4" location="'M-Cita'!A6" display="#'M-Cita'.A6" xr:uid="{00000000-0004-0000-3D00-000007000000}"/>
    <hyperlink ref="D4" location="'M-Cita'!P6" display="#'M-Cita'.P6" xr:uid="{00000000-0004-0000-3D00-000006000000}"/>
  </hyperlink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CA4BE53A4AA0F4CB08FF25AA3B9819F" ma:contentTypeVersion="0" ma:contentTypeDescription="Crear nuevo documento." ma:contentTypeScope="" ma:versionID="3e9a29a193e387f43749495b8c596a54">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5D0D27-E49E-4485-9B0A-189627DF9FB9}">
  <ds:schemaRefs>
    <ds:schemaRef ds:uri="http://schemas.microsoft.com/sharepoint/v3/contenttype/forms"/>
  </ds:schemaRefs>
</ds:datastoreItem>
</file>

<file path=customXml/itemProps2.xml><?xml version="1.0" encoding="utf-8"?>
<ds:datastoreItem xmlns:ds="http://schemas.openxmlformats.org/officeDocument/2006/customXml" ds:itemID="{9599CBB6-51AB-4347-90C3-9594A564ACC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D142F3D-06BC-4DFF-936E-3E5F6ABEEF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62</vt:i4>
      </vt:variant>
    </vt:vector>
  </HeadingPairs>
  <TitlesOfParts>
    <vt:vector size="62" baseType="lpstr">
      <vt:lpstr>Modelo de Dominio</vt:lpstr>
      <vt:lpstr>Objetos de Dominio</vt:lpstr>
      <vt:lpstr>C-DiaSemana</vt:lpstr>
      <vt:lpstr>P-DiaSemana</vt:lpstr>
      <vt:lpstr>E-DiaSemana</vt:lpstr>
      <vt:lpstr>M-DiaSemana</vt:lpstr>
      <vt:lpstr>C-Estado</vt:lpstr>
      <vt:lpstr>P-Estado</vt:lpstr>
      <vt:lpstr>E-Estado</vt:lpstr>
      <vt:lpstr>M-Estado</vt:lpstr>
      <vt:lpstr>C-Servicio</vt:lpstr>
      <vt:lpstr>P-Servicio</vt:lpstr>
      <vt:lpstr>E-Servicio</vt:lpstr>
      <vt:lpstr>M-Servicio</vt:lpstr>
      <vt:lpstr>C-PrefijoCelular</vt:lpstr>
      <vt:lpstr>P-PrefijoCelular</vt:lpstr>
      <vt:lpstr>E-PrefijoCelular</vt:lpstr>
      <vt:lpstr>M-PrefijoCelular</vt:lpstr>
      <vt:lpstr>C-TipoMulta</vt:lpstr>
      <vt:lpstr>P-TipoMulta</vt:lpstr>
      <vt:lpstr>E-TipoMulta</vt:lpstr>
      <vt:lpstr>M-TipoMulta</vt:lpstr>
      <vt:lpstr>C-Barbero</vt:lpstr>
      <vt:lpstr>P-Barbero</vt:lpstr>
      <vt:lpstr>E-Barbero</vt:lpstr>
      <vt:lpstr>M-Barbero</vt:lpstr>
      <vt:lpstr>C-Cliente</vt:lpstr>
      <vt:lpstr>P-Cliente</vt:lpstr>
      <vt:lpstr>E-Cliente</vt:lpstr>
      <vt:lpstr>M-Cliente</vt:lpstr>
      <vt:lpstr>C-HorarioBarberia</vt:lpstr>
      <vt:lpstr>P-HorarioBarberia</vt:lpstr>
      <vt:lpstr>E-HorarioBarberia</vt:lpstr>
      <vt:lpstr>M-HorarioBarberia</vt:lpstr>
      <vt:lpstr>C-Bloqueo</vt:lpstr>
      <vt:lpstr>P-Bloqueo</vt:lpstr>
      <vt:lpstr>E-Bloqueo</vt:lpstr>
      <vt:lpstr>M-Bloqueo</vt:lpstr>
      <vt:lpstr>C-BarberoServicio</vt:lpstr>
      <vt:lpstr>P-BarberoServicio</vt:lpstr>
      <vt:lpstr>E-BarberoServicio</vt:lpstr>
      <vt:lpstr>M-BarberoServicio</vt:lpstr>
      <vt:lpstr>C-HorarioBarbero</vt:lpstr>
      <vt:lpstr>P-HorarioBarbero</vt:lpstr>
      <vt:lpstr>E-HorarioBarbero</vt:lpstr>
      <vt:lpstr>M-HorarioBarbero</vt:lpstr>
      <vt:lpstr>C-Agenda</vt:lpstr>
      <vt:lpstr>P-Agenda</vt:lpstr>
      <vt:lpstr>E-Agenda</vt:lpstr>
      <vt:lpstr>M-Agenda</vt:lpstr>
      <vt:lpstr>C-Cita</vt:lpstr>
      <vt:lpstr>P-Cita</vt:lpstr>
      <vt:lpstr>E-Cita</vt:lpstr>
      <vt:lpstr>M-Cita</vt:lpstr>
      <vt:lpstr>C-CitaServicio</vt:lpstr>
      <vt:lpstr>P-CitaServicio</vt:lpstr>
      <vt:lpstr>E-CitaServicio</vt:lpstr>
      <vt:lpstr>M-CitaServicio</vt:lpstr>
      <vt:lpstr>C-Multa</vt:lpstr>
      <vt:lpstr>P-Multa</vt:lpstr>
      <vt:lpstr>E-Multa</vt:lpstr>
      <vt:lpstr>M-Multa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Gomez</dc:creator>
  <dc:description/>
  <cp:lastModifiedBy>Leo 1000</cp:lastModifiedBy>
  <cp:revision>0</cp:revision>
  <dcterms:created xsi:type="dcterms:W3CDTF">2015-06-05T18:19:34Z</dcterms:created>
  <dcterms:modified xsi:type="dcterms:W3CDTF">2026-09-23T00:16:13Z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0x010100BCA4BE53A4AA0F4CB08FF25AA3B9819F</vt:lpwstr>
  </property>
</Properties>
</file>