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4"/>
  </bookViews>
  <sheets>
    <sheet name="Modelo de Dominio" sheetId="1" state="visible" r:id="rId3"/>
    <sheet name="Objetos de Dominio" sheetId="2" state="visible" r:id="rId4"/>
    <sheet name="M-Dueño" sheetId="3" state="visible" r:id="rId5"/>
    <sheet name="M-Barbero" sheetId="4" state="visible" r:id="rId6"/>
    <sheet name="M-Cliente" sheetId="5" state="visible" r:id="rId7"/>
    <sheet name="M-HorarioBarberia" sheetId="6" state="visible" r:id="rId8"/>
    <sheet name="M-Regla" sheetId="7" state="visible" r:id="rId9"/>
    <sheet name="M-Servicio" sheetId="8" state="visible" r:id="rId10"/>
    <sheet name="M-BarberoServicio" sheetId="9" state="visible" r:id="rId11"/>
    <sheet name="M-Agenda" sheetId="10" state="visible" r:id="rId12"/>
    <sheet name="M-Descanso" sheetId="11" state="visible" r:id="rId13"/>
    <sheet name="M-Bloqueo" sheetId="12" state="visible" r:id="rId14"/>
    <sheet name="M-Cita" sheetId="13" state="visible" r:id="rId15"/>
    <sheet name="M-CitaServicio" sheetId="14" state="visible" r:id="rId16"/>
    <sheet name="M-Multa"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<sst xmlns="http://schemas.openxmlformats.org/spreadsheetml/2006/main" count="457" uniqueCount="244">
  <si>
    <t xml:space="preserve">Ir a objetos de dominio &gt;&gt;&gt;&gt;</t>
  </si>
  <si>
    <t xml:space="preserve">&lt;&lt;&lt;&lt; Ir al modulo de dominio</t>
  </si>
  <si>
    <t xml:space="preserve">Nombre</t>
  </si>
  <si>
    <t xml:space="preserve">Descripcion</t>
  </si>
  <si>
    <t xml:space="preserve">Linea de vida</t>
  </si>
  <si>
    <t xml:space="preserve">Datos</t>
  </si>
  <si>
    <t xml:space="preserve">Dueño</t>
  </si>
  <si>
    <t xml:space="preserve">Representa a quien va crear la regla de la barberia, los horarios de la barberia y los servicios de la barberia</t>
  </si>
  <si>
    <t xml:space="preserve">Barbero</t>
  </si>
  <si>
    <t xml:space="preserve">Representa a un trabajador de la barbería que atiende clientes según los servicios que sabe realizar y que organiza su tiempo a través de su propia agenda</t>
  </si>
  <si>
    <t xml:space="preserve">Cliente</t>
  </si>
  <si>
    <t xml:space="preserve">Representa a la persona que solicita citas en la barbería, el se las pide a un barbero por WhatsApp. Su valor esta en darle al sistema un historial por persona: que citas ha pedido, que multas tiene y si esta o no vetado, para que cualquier barbero sepa con quien esta tratando antes de agendarle</t>
  </si>
  <si>
    <t xml:space="preserve">HorarioBarberia</t>
  </si>
  <si>
    <t xml:space="preserve">Representa, día por día, a que hora abre y cierra el negocio. Es el límite dentro del cual tiene que caber el horario de cualquier barbero, nadie puede trabajar antes de que abra ni después de que cierre</t>
  </si>
  <si>
    <t xml:space="preserve">Regla</t>
  </si>
  <si>
    <t xml:space="preserve">Representa las políticas de la barbería frente al incumplimiento de los clientes: cuantos minutos de tolerancia se dan antes de considerar tardanza, cuanto vale la multa fija por llegar tarde, y cuantas multas sin pagar activan un veto</t>
  </si>
  <si>
    <t xml:space="preserve">Servicio</t>
  </si>
  <si>
    <t xml:space="preserve">Representa cada tipo de corte o arreglo que ha definido el dueño, con su nombre y su precio.</t>
  </si>
  <si>
    <t xml:space="preserve">BarberoServicio</t>
  </si>
  <si>
    <t xml:space="preserve">Representa que servicios realiza cada barbero, ya que no todos los barberos de la barbería ofrecen los mismos servicios, mostrando lo que demora cada barbero en realizar ese servicio y un tiempo de desfase en caso de que se demore más en realizar el servicio</t>
  </si>
  <si>
    <t xml:space="preserve">Agenda</t>
  </si>
  <si>
    <t xml:space="preserve">Representa la agenda propia de un barbero. Es donde se organiza su horario de trabajo, las citas que se le van agendando, sus descansos de trabajo y momentos del tiempo en el que no pueda trabajr en el horario de trabajo</t>
  </si>
  <si>
    <t xml:space="preserve">Descanso</t>
  </si>
  <si>
    <t xml:space="preserve">Representa los momentos dentro del horario semanal de un barbero en los que no está disponible para atender, aunque ese día sí trabaje (por ejemplo, la hora del almuerzo). Se repite cada semana junto con el horario de barbero de la agenda</t>
  </si>
  <si>
    <t xml:space="preserve">Bloqueo</t>
  </si>
  <si>
    <t xml:space="preserve">Representa un momento puntual en una fecha y hora específica, en el que un barbero no puede trabajar por un compromiso personal, aunque ese día normalmente sí trabaje según su horario. A diferencia de Descanso, no se repite semana a semana: aplica solo para esa fecha y hora, y es lo que le permite a la agenda del barbero reflejar cambios temporales sin alterar su horario habitual</t>
  </si>
  <si>
    <t xml:space="preserve">Cita</t>
  </si>
  <si>
    <t xml:space="preserve">Representa la reserva de un cliente con un barbero para una fecha y hora puntual. La cita puede tener cinco estados (agendada, atendida, retraso, incumplida, cancelada)</t>
  </si>
  <si>
    <t xml:space="preserve">CitaServicio</t>
  </si>
  <si>
    <t xml:space="preserve">Representa cada servicio incluido dentro de una cita puntual, guardando el precio y la duración que tenía ese servicio en el momento exacto en que se agendó, para que cambios futuros en el catálogo no alteren citas ya registradas</t>
  </si>
  <si>
    <t xml:space="preserve">Multa</t>
  </si>
  <si>
    <t xml:space="preserve">Representa la sanción económica que se le impone a un cliente por incumplir una cita (llegar tarde fuera de tolerancia o no presentarse), calculada a partir de la cita específica que la originó</t>
  </si>
  <si>
    <t xml:space="preserve">&lt;&lt;&lt;&lt; Ir a objetos de dominio</t>
  </si>
  <si>
    <t xml:space="preserve">Representa un identificador que hará unico cada objeto de dominio de este tipo, no se puede repetir</t>
  </si>
  <si>
    <t xml:space="preserve">Representa el correo electronico del dueño de la barberia, con el que se va a registrar o iniciar seción. Su valor por defecto es el vacio y no es permitido</t>
  </si>
  <si>
    <t xml:space="preserve">Representa la contraseña encriptada del dueño de la barberia. Su tipo de dato es alfanumérico, su valor por defecto es el vacio y no esta permitido</t>
  </si>
  <si>
    <t xml:space="preserve">Representa el nombre de como el dueño quiere que los barberos vean su nombre en las desiciones de la barberia</t>
  </si>
  <si>
    <t xml:space="preserve">id</t>
  </si>
  <si>
    <t xml:space="preserve">correo</t>
  </si>
  <si>
    <t xml:space="preserve">contraseña</t>
  </si>
  <si>
    <t xml:space="preserve">nombre</t>
  </si>
  <si>
    <t xml:space="preserve">dueniodelabarberia12345@gmail.com</t>
  </si>
  <si>
    <t xml:space="preserve">$2b$12$ArgOhAQEFEYiMG55jPsz9uVYEx8lc35b7Y8CJbpqSk0nB079OkbO.</t>
  </si>
  <si>
    <t xml:space="preserve">Carlos</t>
  </si>
  <si>
    <t xml:space="preserve">Corresponde a la descripcion de los atributos</t>
  </si>
  <si>
    <t xml:space="preserve">Corresponde al identificador unico del objeto de dominio</t>
  </si>
  <si>
    <t xml:space="preserve">Corresponde a los datos de tipo alfanumerico</t>
  </si>
  <si>
    <t xml:space="preserve">Representa el primer nombre del barbero que trabaja en barbería. Su tipo de dato es texto, su valor por defecto es el vacio y no es permitido</t>
  </si>
  <si>
    <t xml:space="preserve">Representa el segundo nombre del barbero que trabaja en barbería. Su tipo de dato es texto, su valor por defecto es el vacio y es permitido</t>
  </si>
  <si>
    <t xml:space="preserve">Representa el primer apellido del barbero que trabaja en la barbería. Su tipo de dato es texto, su valor por defecto es el vacio y no es permitido</t>
  </si>
  <si>
    <t xml:space="preserve">Representa el segundo apellido del barbero que trabaja en la barbería. Su tipo de dato es texto, su valor por defecto es el vacio y es permitido</t>
  </si>
  <si>
    <t xml:space="preserve">Representa de que pais es el numero de celular del barbero. Su tipo de dato es alfanumérico, su valor por defecto es +0 y no es permitido</t>
  </si>
  <si>
    <t xml:space="preserve">Representa el número de celular del barbero. Su valor por defecto es 0 y no es permitido</t>
  </si>
  <si>
    <t xml:space="preserve">Representa el correo electronico del barbero, con el que se va a registrar o iniciar seción. Su valor por defecto es el vacio y no es permitido</t>
  </si>
  <si>
    <t xml:space="preserve">Representa la contraseña encriptada del barbero. Su tipo de dato es alfanumérico, su valor por defecto es el vacio y no esta permitido</t>
  </si>
  <si>
    <t xml:space="preserve">Representa si el barbero sigue o no trabajando. Es un dato calculado, si el barbero tiene en su agenda un horario de trabajo si es vigente y si no tiene horario de trabajo dice no es vigente</t>
  </si>
  <si>
    <t xml:space="preserve">Combinacion única que indica que no puede existir más de un barbero con el mismo nombre, apellidos, prefijo de celular y número de celular</t>
  </si>
  <si>
    <t xml:space="preserve">primerNombre</t>
  </si>
  <si>
    <t xml:space="preserve">segundoNombre</t>
  </si>
  <si>
    <t xml:space="preserve">primerApellido</t>
  </si>
  <si>
    <t xml:space="preserve">segundoApellido</t>
  </si>
  <si>
    <t xml:space="preserve">prefijo</t>
  </si>
  <si>
    <t xml:space="preserve">celular</t>
  </si>
  <si>
    <t xml:space="preserve">vigente</t>
  </si>
  <si>
    <t xml:space="preserve">Combinación única </t>
  </si>
  <si>
    <t xml:space="preserve">Juan</t>
  </si>
  <si>
    <t xml:space="preserve">Fernando</t>
  </si>
  <si>
    <t xml:space="preserve">García</t>
  </si>
  <si>
    <t xml:space="preserve">Lopez</t>
  </si>
  <si>
    <t xml:space="preserve">+57</t>
  </si>
  <si>
    <t xml:space="preserve">juanfer234535@gmail.com</t>
  </si>
  <si>
    <t xml:space="preserve">$2b$12$Ce2ZsSJaOpx4iq5W.LNrCuvonh1fxNgpYYqBddeR50IjtYsh9n97C</t>
  </si>
  <si>
    <t xml:space="preserve">si</t>
  </si>
  <si>
    <t xml:space="preserve">David</t>
  </si>
  <si>
    <t xml:space="preserve">Ortiz</t>
  </si>
  <si>
    <t xml:space="preserve">Sanchez</t>
  </si>
  <si>
    <t xml:space="preserve">juandaviddd2525@gmail.com</t>
  </si>
  <si>
    <t xml:space="preserve">$2b$12$4dn1n10vtv3SpDX5ryR2FOluaaros/pqDXz8liKcEp/7JG7TBvqAK</t>
  </si>
  <si>
    <t xml:space="preserve">Arbeladez</t>
  </si>
  <si>
    <t xml:space="preserve">carlosbeladez@gmail.com</t>
  </si>
  <si>
    <t xml:space="preserve">$2b$12$htWWNCh.2QPjVycBmNb5ROHBO21L9p7hlWyFtctUtP4SbV3yBNqei</t>
  </si>
  <si>
    <t xml:space="preserve">Andres</t>
  </si>
  <si>
    <t xml:space="preserve">Ramirez</t>
  </si>
  <si>
    <t xml:space="preserve">Patiño</t>
  </si>
  <si>
    <t xml:space="preserve">+91</t>
  </si>
  <si>
    <t xml:space="preserve">andresramirezpatino123@gmail.com</t>
  </si>
  <si>
    <t xml:space="preserve">$2b$12$IzNJVnlQl1UX5Py84yi5jOE1yuEdUrA.0Okt.BidVKs8biBdotH7W</t>
  </si>
  <si>
    <t xml:space="preserve">no</t>
  </si>
  <si>
    <t xml:space="preserve">Zambrano</t>
  </si>
  <si>
    <t xml:space="preserve">Perez</t>
  </si>
  <si>
    <t xml:space="preserve">+593</t>
  </si>
  <si>
    <t xml:space="preserve">juancarloszambrano4394@gmail.com</t>
  </si>
  <si>
    <t xml:space="preserve">$2b$12$mlxS0WUooP1stXSQdVR8EeBoYrgBrP5czZRqSvIgvelxUIGcwFgh.</t>
  </si>
  <si>
    <t xml:space="preserve">Corresponde a los datos calculados por el sistema</t>
  </si>
  <si>
    <t xml:space="preserve">Corresponde a la combinacion única</t>
  </si>
  <si>
    <t xml:space="preserve">Representa el primer nombre de la persona, que va a estar llendo a la barberia para las citas. Su valor por defecto es el vacío y no es permitido</t>
  </si>
  <si>
    <t xml:space="preserve">Representa el segundo nombre de la persona, que va a estar llendo a la barberia para las citas. Su valor por defecto es el vacío y es permitido</t>
  </si>
  <si>
    <t xml:space="preserve">Representa el primer apellido de la persona, que va a estar llendo a la barberia para las citas. Su valor por defecto es el vacío y no es permitido</t>
  </si>
  <si>
    <t xml:space="preserve">Representa el segundo apellido de la persona, que va a estar llendo a la barberia para las citas. Su valor por defecto es el vacío y es permitido</t>
  </si>
  <si>
    <t xml:space="preserve">Representa de que pais es el numero de celular del cliente. Su valor por defecto es +0 (este prefijo no representa a ningún país) y no es permitido</t>
  </si>
  <si>
    <t xml:space="preserve">Representa el numero de celular de la persona que le va a escribir al barbero por WhatsApp para pedirle una cita. Su valor por defecto es el 0 y no es permitido</t>
  </si>
  <si>
    <t xml:space="preserve">Representa la cantidad de multas que tiene sin pagar en las citas que ha tenido, ya sea multa por tardanza o por no llegar</t>
  </si>
  <si>
    <t xml:space="preserve">Representa si el cliente esta en estado de veto o no, cuando el cliente esta vetado el sistema no va a permitir agendar citas con este cliente con ningun barbero</t>
  </si>
  <si>
    <t xml:space="preserve">Combinacion única que indica que no puede existir más de un cliente con un mismo nombre, apellidos, prefijo de celular y número de celular</t>
  </si>
  <si>
    <t xml:space="preserve">prefijoCelular</t>
  </si>
  <si>
    <t xml:space="preserve">multasSinPagar</t>
  </si>
  <si>
    <t xml:space="preserve">estaVetado</t>
  </si>
  <si>
    <t xml:space="preserve">Combinación única</t>
  </si>
  <si>
    <t xml:space="preserve">Gómez</t>
  </si>
  <si>
    <t xml:space="preserve">Jose</t>
  </si>
  <si>
    <t xml:space="preserve">Miguel</t>
  </si>
  <si>
    <t xml:space="preserve">Simon</t>
  </si>
  <si>
    <t xml:space="preserve">Ochoa</t>
  </si>
  <si>
    <t xml:space="preserve">Alexis</t>
  </si>
  <si>
    <t xml:space="preserve">Gallego</t>
  </si>
  <si>
    <t xml:space="preserve">+58</t>
  </si>
  <si>
    <t xml:space="preserve">Kevin</t>
  </si>
  <si>
    <t xml:space="preserve">Andrés</t>
  </si>
  <si>
    <t xml:space="preserve">Muñoz</t>
  </si>
  <si>
    <t xml:space="preserve">Salazar</t>
  </si>
  <si>
    <t xml:space="preserve">Representa que el dueño tomo la decisión de agregar un horario para la barberia</t>
  </si>
  <si>
    <t xml:space="preserve">Representa el día de la semana en que aplica este horario, es necesario para saber que días abrirá la barberia. Su valor por defecto es el vacio y no es permitido, el barbero solo podra seleccionar los días de la semana</t>
  </si>
  <si>
    <t xml:space="preserve">Representa la hora a la que abre la barbería. Su valor por defecto es 00:00 y es permitido</t>
  </si>
  <si>
    <t xml:space="preserve">Representa la hora a la que cierra la barbería. Su valor por defecto es 00:00 y no es permitido</t>
  </si>
  <si>
    <t xml:space="preserve">Combinacion única que indica que no puede existir más de un horario con la misma barberia, dia de la semana, hora de apertura y cierre</t>
  </si>
  <si>
    <t xml:space="preserve">dueño</t>
  </si>
  <si>
    <t xml:space="preserve">dia</t>
  </si>
  <si>
    <t xml:space="preserve">horaApertura</t>
  </si>
  <si>
    <t xml:space="preserve">horaCierre</t>
  </si>
  <si>
    <t xml:space="preserve">fechaCreacion</t>
  </si>
  <si>
    <t xml:space="preserve">fechaDesactivacion</t>
  </si>
  <si>
    <t xml:space="preserve">Lunes</t>
  </si>
  <si>
    <t xml:space="preserve">01/01/1000</t>
  </si>
  <si>
    <t xml:space="preserve">Martes</t>
  </si>
  <si>
    <t xml:space="preserve">Miércoles</t>
  </si>
  <si>
    <t xml:space="preserve">Jueves</t>
  </si>
  <si>
    <t xml:space="preserve">Viernes</t>
  </si>
  <si>
    <t xml:space="preserve">Sábado</t>
  </si>
  <si>
    <t xml:space="preserve">Festivo</t>
  </si>
  <si>
    <t xml:space="preserve">Corresponde a referencias de objetos de dominio</t>
  </si>
  <si>
    <t xml:space="preserve">Corresponde a los datos de tipo hora</t>
  </si>
  <si>
    <t xml:space="preserve">Corresponde a los datos de tipo logico</t>
  </si>
  <si>
    <t xml:space="preserve">Representa la cantidad de minutos que el cliente puede llegarle tarde un cliente a la cita establecida con el barbero, despues de eso el barbero lo podrá multar. Debe de ser mayor o igual a 0, su valor por defecto es el 0 y no es permitido</t>
  </si>
  <si>
    <t xml:space="preserve">Representa la cantidad de dinero que el cliente debe de pagar en pesos colombianos, por superar la toleranciaTardanza. Debe de ser mayor a cero, su valor por defecto es 0 y no es permitido</t>
  </si>
  <si>
    <t xml:space="preserve">Representa la maxima de multas que pueda tener un cliente sin pagar, a partir de esta cantidad se le hace un veto al cliente. Debe de ser mayor o igual a cero, su valor por defecto es 0 y es no es permitido</t>
  </si>
  <si>
    <t xml:space="preserve">Representa la cantidad de minutos que un barbero puede demorarse en atender a un cliente, en caso de que el barbero se demore mas de lo previsto en su cita anterior</t>
  </si>
  <si>
    <t xml:space="preserve">Representa la cantidad cuanto descuento va a tener un cliente en la cita con el barbero, como recompesa por esperar al barbero mas de la tolerancia permitida</t>
  </si>
  <si>
    <t xml:space="preserve">toleranciaTardanzaCliente</t>
  </si>
  <si>
    <t xml:space="preserve">montoMultaTardanzaCliente</t>
  </si>
  <si>
    <t xml:space="preserve">numeroMultasMaxima</t>
  </si>
  <si>
    <t xml:space="preserve">toleranciaTardanzaBarbero</t>
  </si>
  <si>
    <t xml:space="preserve">porcentajeDescuentoCita</t>
  </si>
  <si>
    <t xml:space="preserve">Corresponde a los datos de tipo entero</t>
  </si>
  <si>
    <t xml:space="preserve">Representa que el dueño tomo la decisión de agregar un servicio para la barberia</t>
  </si>
  <si>
    <t xml:space="preserve">Representa el nombre del servicio que va estar en la barberia, que el barbero ofrece y en las citas que esta. Su valor por defecto es el vacio y no es permitido</t>
  </si>
  <si>
    <t xml:space="preserve">Representa como el dueño describe que va a hacer cada servicio, para que el barbero sepa que hace el servicio</t>
  </si>
  <si>
    <t xml:space="preserve">Representa cuanto va a valer el servicio en pesos colombianos. Debe de ser mayor a cero, su valor por defecto es 0 y no esta permitido</t>
  </si>
  <si>
    <t xml:space="preserve">Combinacion única que indica que no puede existir más de un servicio con el mismo nombre</t>
  </si>
  <si>
    <t xml:space="preserve">descripcion</t>
  </si>
  <si>
    <t xml:space="preserve">precio</t>
  </si>
  <si>
    <t xml:space="preserve">Combinacion única </t>
  </si>
  <si>
    <t xml:space="preserve">Motilada</t>
  </si>
  <si>
    <t xml:space="preserve">Corte de cabello completo con máquina y tijera, incluye lavado y secado</t>
  </si>
  <si>
    <t xml:space="preserve">Corte de barba</t>
  </si>
  <si>
    <t xml:space="preserve">Recorte de la barba con máquina para dejarla pareja y a la medida que pide el cliente</t>
  </si>
  <si>
    <t xml:space="preserve">Perfilada de barba</t>
  </si>
  <si>
    <t xml:space="preserve">Delineado de los bordes de la barba y el bigote con navaja, sin recortar el largo</t>
  </si>
  <si>
    <t xml:space="preserve">Arreglo completo de barba con toalla caliente</t>
  </si>
  <si>
    <t xml:space="preserve">Recorte, perfilado con navaja, toalla caliente, exfoliación y aceite para la barba</t>
  </si>
  <si>
    <t xml:space="preserve">Corresponde a los datos de referencia de otros objetos de dominio</t>
  </si>
  <si>
    <t xml:space="preserve">Representa el nombre y apellidos del barbero</t>
  </si>
  <si>
    <t xml:space="preserve">Representa el nombre del servicio de la barberia </t>
  </si>
  <si>
    <t xml:space="preserve">Representa la cantidad de minutos que un barbero tarda en realizar un servicio, esta duracion el barbero debe de ser consiente de cuanto se demora en realizarlo</t>
  </si>
  <si>
    <t xml:space="preserve">Representa la cantidad de minutos que un barbero pone de tiempo extra en las citas de su agenda, cada barbero usa este tiempo porque hay ocaciones que la cita se puede demorar más de lo previsto. Este tiempo les ayuda a evitar que se les retrase la agenda</t>
  </si>
  <si>
    <t xml:space="preserve">Combinación única que indica que un mismo barbero no puede aparecer dos veces ofreciendo el mismo servicio</t>
  </si>
  <si>
    <t xml:space="preserve">barbero</t>
  </si>
  <si>
    <t xml:space="preserve">servicio</t>
  </si>
  <si>
    <t xml:space="preserve">duracionServicio</t>
  </si>
  <si>
    <t xml:space="preserve">tiempoExtra</t>
  </si>
  <si>
    <t xml:space="preserve">Creo que ese mejor dejar este atributo en cita, que el barbero lo decida con el cliente</t>
  </si>
  <si>
    <t xml:space="preserve">Referencia a que barbero va a ser dueño de esta agenda, es el dato que conecta el calendario con la persona que lo usa para organizar su tiempo y sus citas</t>
  </si>
  <si>
    <t xml:space="preserve">Representa el día de la semana en que aplica este horario que para la agenda del barbero, es necesario porque un barbero puede trabajar unos días sí y otros no. Su valor por defecto es el vacío y no es permitido, el barbero solo podra seleccionar los días de la semana que la barberia tiene en su horario</t>
  </si>
  <si>
    <t xml:space="preserve">Representa la hora en la que el barbero empieza a estar disponible ese dia. Su valor por defecto es 00:00 y es permitido. La hora debe de estar dentro del horario barberia</t>
  </si>
  <si>
    <t xml:space="preserve">Representa la hora en la que el barbero deja de estar disponible ese día, junto con horaInicio, es lo que la aplicación usa para saber si hay campo para agendar una cita nueva. Su valor por defecto es 00:00 y no es permitido. Esta hora debe de ser mayor a horaInicio y también debe de estar dentro de horario barberia</t>
  </si>
  <si>
    <t xml:space="preserve">Combinación única que indica que un barbero no puede tener más de una agenda, cada barbero organiza todo su tiempo en un único lugar</t>
  </si>
  <si>
    <t xml:space="preserve">horaInicio</t>
  </si>
  <si>
    <t xml:space="preserve">horaFinal</t>
  </si>
  <si>
    <t xml:space="preserve">1/01/1000</t>
  </si>
  <si>
    <t xml:space="preserve">Hace referencia al dia y las horas que trabaja el barbero</t>
  </si>
  <si>
    <t xml:space="preserve">Representa la hora en que el barbero empieza su descanso de trabajo. Su valor por defecto es 00:00 y es permitido. La hora debe de estar dentro del horario del barbero, es decir que no se puede salir del horario</t>
  </si>
  <si>
    <t xml:space="preserve">Representa la hora en que el barbero termina su descanso de trabajo. Su valor por defecto es 00:00 no es permitido. La hora debe de ser mayor a la horaInicio y debe estar dentro del horario barbero</t>
  </si>
  <si>
    <t xml:space="preserve">Representa el nombre del descanso que el barbero considere para su horario de trabajo. Su valor por defecto es vacio y no es permitido</t>
  </si>
  <si>
    <t xml:space="preserve">Representa la cantidad de minutos dura el descanso de la agenda. Es un dato calculado a partir de la horaInicio y horaFinal, usando horaFinal - horaInicio</t>
  </si>
  <si>
    <t xml:space="preserve">Combinación única que indica que un mismo horario no puede tener dos mismas horas en la que empieze y termine</t>
  </si>
  <si>
    <t xml:space="preserve">agenda</t>
  </si>
  <si>
    <t xml:space="preserve">duracion</t>
  </si>
  <si>
    <t xml:space="preserve">Hora de almuerzo</t>
  </si>
  <si>
    <t xml:space="preserve">Hora de descanso</t>
  </si>
  <si>
    <t xml:space="preserve">Descansito</t>
  </si>
  <si>
    <t xml:space="preserve">Hora en la que almuezo</t>
  </si>
  <si>
    <t xml:space="preserve">
Hace referencia a la agenda (y por lo tanto al barbero) a la que pertenece este bloqueo, permite saber en cual agenda se va agregar el bloqueo</t>
  </si>
  <si>
    <t xml:space="preserve">Representa la fecha y la hora en el que va a empezar el bloqueo para la agenda del barbero. Su valor por defecto es 01/01/1000 00:00 y no es permitido. No se puden seleccionar fechas antes del momento de hoy, solo fechas futuras</t>
  </si>
  <si>
    <t xml:space="preserve">Representa la fecha y la hora en el que va a terminar el bloqueo para la agenda del barbero. Su valor por defecto es 01/01/1000 00:00 y no es permitido, la fecha debe de ser mayor a la fecha de inicio</t>
  </si>
  <si>
    <t xml:space="preserve">Representa como el barbero va a llamar este bloqueo para su agenda. Su valor por defecto es el vacio y no es permitido</t>
  </si>
  <si>
    <t xml:space="preserve">Representa la cantidad de minutos dura el bloqueo de la agenda. Es un dato calculado a partir de la fechaHoraInicio y fechaHoraFinal</t>
  </si>
  <si>
    <t xml:space="preserve">Combinación única que indica que una misma agenda no puede tener dos bloqueos en una misma fecha, horaInicio y horaFinal</t>
  </si>
  <si>
    <t xml:space="preserve">fechaHoraInicio</t>
  </si>
  <si>
    <t xml:space="preserve">fechaHoraFinal</t>
  </si>
  <si>
    <t xml:space="preserve">Cita medica</t>
  </si>
  <si>
    <t xml:space="preserve">Vueltas que voy a hacer</t>
  </si>
  <si>
    <t xml:space="preserve">Incoveniente</t>
  </si>
  <si>
    <t xml:space="preserve">Compromiso</t>
  </si>
  <si>
    <t xml:space="preserve">Corresponde a los datos de tipo fecha y hora</t>
  </si>
  <si>
    <t xml:space="preserve">Representa el nombre completo del cliente que va a estar en la cita, para que luego el barbero se acuerde a quien tiene que atender</t>
  </si>
  <si>
    <t xml:space="preserve">Hace referencia a en la agenda de que barbero quedó registrada esta cita, es lo que permite validar que no se cruce con otra cita del mismo barbero</t>
  </si>
  <si>
    <t xml:space="preserve">Representa la fecha y la hora en el que se va a realizar la cita al cliente. Su valor por defecto es 01/01/1000 00:00 y no es permitido</t>
  </si>
  <si>
    <t xml:space="preserve">Representa la fecha y hora prevista a la que finaliza una cita, es un dato calculado a partir de la fecha y hora en que empieza la cita y la duración del servicio, sumándole la duración del servicio a fechaHora</t>
  </si>
  <si>
    <t xml:space="preserve">Representa en que momento del proceso está la cita: agendada (se creó y espera a que el cliente llegue), atendida (la cita se cumplió sin ningún inconveniente), retraso (el cliente llegó, pero pasada la tolerancia de tiempo) ,incumplida (el cliente nunca llegó) o cancelada (el cliente avisó con anticipación que ya no la quiere). Su valor por defecto es agendada y es permitido</t>
  </si>
  <si>
    <t xml:space="preserve">
Combinación única que indica que una cita no puede existir dentro de una agenda con la misma fecha y hora de inicio para la cita</t>
  </si>
  <si>
    <t xml:space="preserve">cliente</t>
  </si>
  <si>
    <t xml:space="preserve">fechaHora</t>
  </si>
  <si>
    <t xml:space="preserve">fechaHoraFin</t>
  </si>
  <si>
    <t xml:space="preserve">estado</t>
  </si>
  <si>
    <t xml:space="preserve">agendada</t>
  </si>
  <si>
    <t xml:space="preserve">atendida</t>
  </si>
  <si>
    <t xml:space="preserve">retraso</t>
  </si>
  <si>
    <t xml:space="preserve">incumplida</t>
  </si>
  <si>
    <t xml:space="preserve">cancelada</t>
  </si>
  <si>
    <t xml:space="preserve">Corresponde a los datos de tipo texto</t>
  </si>
  <si>
    <t xml:space="preserve">Hace referencia a la cita puntual en la que se pidió este servicio</t>
  </si>
  <si>
    <t xml:space="preserve">Hace referencia a cual servicio del catalogo fue el que se pidió en esa cita</t>
  </si>
  <si>
    <t xml:space="preserve">Representa cuanto valía el servicio en el momento exacto en que se agendó la cita, se guarda aparte del precio del catalogo por si el precio de ese servicio cambia después (por si el dueño cambio de precio), las citas ya registradas no se vean afectadas</t>
  </si>
  <si>
    <t xml:space="preserve">Combinación única que indica que un mismo servicio no puede repetirse dos veces dentro de la misma cita</t>
  </si>
  <si>
    <t xml:space="preserve">cita</t>
  </si>
  <si>
    <t xml:space="preserve">precioAlMomento</t>
  </si>
  <si>
    <t xml:space="preserve">Hace referencia a que cliente se le esta cobrando la multa, es el dato que se usa para sumar cuántas multas sin pagar tiene una persona y decidir si debe ser vetada, dependiendo de como se definio en regla</t>
  </si>
  <si>
    <t xml:space="preserve">Hace referencia a la cita puntual que el cliente incumplió (llegando tarde fuera de la tolerancia o no presentándose), de esa cita es de donde sale el valor de monto si fue el caso de no presentase</t>
  </si>
  <si>
    <t xml:space="preserve">Representa cuanto dinero en pesos colombianos debe pagar el cliente la multa. Es un dato calculado si es por retraso el monto es el que dice en regla y si es por incumplida el monto es del o los servicios que pidió</t>
  </si>
  <si>
    <t xml:space="preserve">Representa el tipo de multa con el que se va sancionar, si es retraso o incumplida. Este es un dato obtenido del estado de cita</t>
  </si>
  <si>
    <t xml:space="preserve">Representa si el cliente ya pagó o no esta multa, es el dato que se revisa para decidir si un cliente llega al número de multas sin pagar que activa el veto</t>
  </si>
  <si>
    <t xml:space="preserve">Combinación única que indica que una misma cita no puede generar más de una multa</t>
  </si>
  <si>
    <t xml:space="preserve">monto</t>
  </si>
  <si>
    <t xml:space="preserve">tipo</t>
  </si>
  <si>
    <t xml:space="preserve">pagada</t>
  </si>
</sst>
</file>

<file path=xl/styles.xml><?xml version="1.0" encoding="utf-8"?>
<styleSheet xmlns="http://schemas.openxmlformats.org/spreadsheetml/2006/main">
  <numFmts count="7">
    <numFmt numFmtId="164" formatCode="General"/>
    <numFmt numFmtId="165" formatCode="@"/>
    <numFmt numFmtId="166" formatCode="h:mm\ AM/PM"/>
    <numFmt numFmtId="167" formatCode="h:mm"/>
    <numFmt numFmtId="168" formatCode="m/d/yyyy"/>
    <numFmt numFmtId="169" formatCode="&quot;$ &quot;#,##0"/>
    <numFmt numFmtId="170" formatCode="m/d/yyyy\ h:mm"/>
  </numFmts>
  <fonts count="14">
    <font>
      <sz val="11"/>
      <color theme="1"/>
      <name val="Calibri"/>
      <family val="2"/>
      <charset val="1"/>
    </font>
    <font>
      <sz val="10"/>
      <name val="Arial"/>
      <family val="0"/>
    </font>
    <font>
      <sz val="10"/>
      <name val="Arial"/>
      <family val="0"/>
    </font>
    <font>
      <sz val="10"/>
      <name val="Arial"/>
      <family val="0"/>
    </font>
    <font>
      <u val="single"/>
      <sz val="11"/>
      <color theme="10"/>
      <name val="Calibri"/>
      <family val="2"/>
      <charset val="1"/>
    </font>
    <font>
      <b val="true"/>
      <sz val="11"/>
      <color theme="1"/>
      <name val="Calibri"/>
      <family val="2"/>
      <charset val="1"/>
    </font>
    <font>
      <sz val="7"/>
      <name val="Calibri"/>
      <family val="2"/>
      <charset val="1"/>
    </font>
    <font>
      <sz val="7"/>
      <color theme="1"/>
      <name val="Calibri"/>
      <family val="2"/>
      <charset val="1"/>
    </font>
    <font>
      <sz val="11"/>
      <name val="Calibri"/>
      <family val="2"/>
      <charset val="1"/>
    </font>
    <font>
      <b val="true"/>
      <u val="single"/>
      <sz val="11"/>
      <color theme="10"/>
      <name val="Calibri"/>
      <family val="2"/>
      <charset val="1"/>
    </font>
    <font>
      <b val="true"/>
      <sz val="11"/>
      <name val="Calibri"/>
      <family val="2"/>
      <charset val="1"/>
    </font>
    <font>
      <u val="single"/>
      <sz val="11"/>
      <color rgb="FF467886"/>
      <name val="Calibri"/>
      <family val="2"/>
      <charset val="1"/>
    </font>
    <font>
      <b val="true"/>
      <sz val="11"/>
      <color rgb="FF000000"/>
      <name val="Calibri"/>
      <family val="2"/>
      <charset val="1"/>
    </font>
    <font>
      <b val="true"/>
      <u val="single"/>
      <sz val="11"/>
      <color rgb="FF467886"/>
      <name val="Calibri"/>
      <family val="2"/>
      <charset val="1"/>
    </font>
  </fonts>
  <fills count="21">
    <fill>
      <patternFill patternType="none"/>
    </fill>
    <fill>
      <patternFill patternType="gray125"/>
    </fill>
    <fill>
      <patternFill patternType="solid">
        <fgColor theme="0"/>
        <bgColor rgb="FFCCFFFF"/>
      </patternFill>
    </fill>
    <fill>
      <patternFill patternType="solid">
        <fgColor theme="0" tint="-0.15"/>
        <bgColor rgb="FFD0D0D0"/>
      </patternFill>
    </fill>
    <fill>
      <patternFill patternType="solid">
        <fgColor theme="9"/>
        <bgColor rgb="FF4EA72E"/>
      </patternFill>
    </fill>
    <fill>
      <patternFill patternType="solid">
        <fgColor theme="4" tint="-0.25"/>
        <bgColor rgb="FF467886"/>
      </patternFill>
    </fill>
    <fill>
      <patternFill patternType="solid">
        <fgColor theme="2" tint="-0.1"/>
        <bgColor rgb="FFD0D0D0"/>
      </patternFill>
    </fill>
    <fill>
      <patternFill patternType="solid">
        <fgColor rgb="FFF1ABE9"/>
        <bgColor rgb="FFE49EDD"/>
      </patternFill>
    </fill>
    <fill>
      <patternFill patternType="solid">
        <fgColor theme="7" tint="0.5999"/>
        <bgColor rgb="FFFFD966"/>
      </patternFill>
    </fill>
    <fill>
      <patternFill patternType="solid">
        <fgColor theme="7" tint="0.3999"/>
        <bgColor rgb="FFFFE699"/>
      </patternFill>
    </fill>
    <fill>
      <patternFill patternType="solid">
        <fgColor theme="5" tint="0.5999"/>
        <bgColor rgb="FFF7C7AC"/>
      </patternFill>
    </fill>
    <fill>
      <patternFill patternType="solid">
        <fgColor rgb="FFFFFF00"/>
        <bgColor rgb="FFFFFF00"/>
      </patternFill>
    </fill>
    <fill>
      <patternFill patternType="solid">
        <fgColor rgb="FF00B0F0"/>
        <bgColor rgb="FF33CCCC"/>
      </patternFill>
    </fill>
    <fill>
      <patternFill patternType="solid">
        <fgColor rgb="FF7030A0"/>
        <bgColor rgb="FF993366"/>
      </patternFill>
    </fill>
    <fill>
      <patternFill patternType="solid">
        <fgColor theme="5" tint="-0.25"/>
        <bgColor rgb="FF993300"/>
      </patternFill>
    </fill>
    <fill>
      <patternFill patternType="solid">
        <fgColor rgb="FFD0D0D0"/>
        <bgColor rgb="FFD0CECE"/>
      </patternFill>
    </fill>
    <fill>
      <patternFill patternType="solid">
        <fgColor rgb="FF4EA72E"/>
        <bgColor rgb="FF70AD47"/>
      </patternFill>
    </fill>
    <fill>
      <patternFill patternType="solid">
        <fgColor rgb="FFF7C7AC"/>
        <bgColor rgb="FFF8CBAD"/>
      </patternFill>
    </fill>
    <fill>
      <patternFill patternType="solid">
        <fgColor rgb="FFE49EDD"/>
        <bgColor rgb="FFF1ABE9"/>
      </patternFill>
    </fill>
    <fill>
      <patternFill patternType="solid">
        <fgColor theme="4" tint="0.3999"/>
        <bgColor rgb="FF94DCF8"/>
      </patternFill>
    </fill>
    <fill>
      <patternFill patternType="solid">
        <fgColor rgb="FF94DCF8"/>
        <bgColor rgb="FF9DC3E6"/>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right style="thin"/>
      <top style="thin"/>
      <bottom/>
      <diagonal/>
    </border>
    <border diagonalUp="false" diagonalDown="false">
      <left/>
      <right/>
      <top style="thin"/>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0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2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4" fillId="0" borderId="0" xfId="2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0" fillId="0" borderId="2" xfId="0" applyFont="true" applyBorder="tru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3" borderId="1" xfId="0" applyFont="true" applyBorder="true" applyAlignment="true" applyProtection="false">
      <alignment horizontal="center" vertical="bottom" textRotation="0" wrapText="tru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5" fillId="4" borderId="1" xfId="0" applyFont="true" applyBorder="true" applyAlignment="true" applyProtection="false">
      <alignment horizontal="center" vertical="bottom" textRotation="0" wrapText="false" indent="0" shrinkToFit="false"/>
      <protection locked="true" hidden="false"/>
    </xf>
    <xf numFmtId="164" fontId="5" fillId="5" borderId="1" xfId="0" applyFont="true" applyBorder="true" applyAlignment="true" applyProtection="false">
      <alignment horizontal="center" vertical="bottom" textRotation="0" wrapText="false" indent="0" shrinkToFit="false"/>
      <protection locked="true" hidden="false"/>
    </xf>
    <xf numFmtId="164" fontId="5" fillId="5" borderId="1" xfId="0" applyFont="true" applyBorder="true" applyAlignment="true" applyProtection="false">
      <alignment horizontal="center" vertical="bottom" textRotation="0" wrapText="tru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4" fillId="0" borderId="1" xfId="20" applyFont="true" applyBorder="true" applyAlignment="true" applyProtection="false">
      <alignment horizontal="center"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6" fillId="3" borderId="1" xfId="20" applyFont="true" applyBorder="true" applyAlignment="true" applyProtection="false">
      <alignment horizontal="center" vertical="bottom" textRotation="0" wrapText="true" indent="0" shrinkToFit="false"/>
      <protection locked="true" hidden="false"/>
    </xf>
    <xf numFmtId="164" fontId="6" fillId="3" borderId="1" xfId="0" applyFont="true" applyBorder="true" applyAlignment="true" applyProtection="false">
      <alignment horizontal="center" vertical="bottom" textRotation="0" wrapText="true" indent="0" shrinkToFit="false"/>
      <protection locked="true" hidden="false"/>
    </xf>
    <xf numFmtId="164" fontId="7" fillId="3" borderId="1" xfId="0" applyFont="true" applyBorder="true" applyAlignment="true" applyProtection="false">
      <alignment horizontal="center" vertical="bottom" textRotation="0" wrapText="true" indent="0" shrinkToFit="false"/>
      <protection locked="true" hidden="false"/>
    </xf>
    <xf numFmtId="164" fontId="5" fillId="7" borderId="1" xfId="0" applyFont="true" applyBorder="true" applyAlignment="true" applyProtection="false">
      <alignment horizontal="center" vertical="bottom" textRotation="0" wrapText="false" indent="0" shrinkToFit="false"/>
      <protection locked="true" hidden="false"/>
    </xf>
    <xf numFmtId="164" fontId="5" fillId="8" borderId="1" xfId="0" applyFont="true" applyBorder="true" applyAlignment="true" applyProtection="false">
      <alignment horizontal="center" vertical="bottom" textRotation="0" wrapText="false" indent="0" shrinkToFit="false"/>
      <protection locked="true" hidden="false"/>
    </xf>
    <xf numFmtId="165" fontId="0" fillId="0" borderId="1" xfId="0" applyFont="true" applyBorder="true" applyAlignment="true" applyProtection="false">
      <alignment horizontal="center" vertical="bottom" textRotation="0" wrapText="false" indent="0" shrinkToFit="false"/>
      <protection locked="true" hidden="false"/>
    </xf>
    <xf numFmtId="164" fontId="8" fillId="0" borderId="1" xfId="2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6" fillId="6" borderId="1" xfId="20" applyFont="true" applyBorder="true" applyAlignment="true" applyProtection="false">
      <alignment horizontal="center" vertical="bottom" textRotation="0" wrapText="true" indent="0" shrinkToFit="false"/>
      <protection locked="true" hidden="false"/>
    </xf>
    <xf numFmtId="164" fontId="7" fillId="6" borderId="1" xfId="0" applyFont="true" applyBorder="true" applyAlignment="true" applyProtection="false">
      <alignment horizontal="center" vertical="bottom" textRotation="0" wrapText="true" indent="0" shrinkToFit="false"/>
      <protection locked="true" hidden="false"/>
    </xf>
    <xf numFmtId="164" fontId="7" fillId="6" borderId="1" xfId="0" applyFont="true" applyBorder="true" applyAlignment="true" applyProtection="false">
      <alignment horizontal="general" vertical="bottom" textRotation="0" wrapText="true" indent="0" shrinkToFit="false"/>
      <protection locked="true" hidden="false"/>
    </xf>
    <xf numFmtId="164" fontId="5" fillId="9" borderId="1" xfId="0" applyFont="true" applyBorder="true" applyAlignment="true" applyProtection="false">
      <alignment horizontal="center" vertical="bottom" textRotation="0" wrapText="false" indent="0" shrinkToFit="false"/>
      <protection locked="true" hidden="false"/>
    </xf>
    <xf numFmtId="164" fontId="9" fillId="10" borderId="1" xfId="20" applyFont="true" applyBorder="true" applyAlignment="true" applyProtection="false">
      <alignment horizontal="center" vertical="bottom" textRotation="0" wrapText="false" indent="0" shrinkToFit="false"/>
      <protection locked="true" hidden="false"/>
    </xf>
    <xf numFmtId="164" fontId="10" fillId="5" borderId="1" xfId="0" applyFont="true" applyBorder="true" applyAlignment="true" applyProtection="false">
      <alignment horizontal="center" vertical="bottom" textRotation="0" wrapText="false" indent="0" shrinkToFit="false"/>
      <protection locked="true" hidden="false"/>
    </xf>
    <xf numFmtId="164" fontId="5" fillId="11" borderId="1" xfId="0" applyFont="true" applyBorder="true" applyAlignment="true" applyProtection="false">
      <alignment horizontal="center" vertical="bottom" textRotation="0" wrapText="true" indent="0" shrinkToFit="false"/>
      <protection locked="true" hidden="false"/>
    </xf>
    <xf numFmtId="164" fontId="5" fillId="11" borderId="1" xfId="0" applyFont="true" applyBorder="true" applyAlignment="true" applyProtection="false">
      <alignment horizontal="center" vertical="bottom" textRotation="0" wrapText="false" indent="0" shrinkToFit="false"/>
      <protection locked="true" hidden="false"/>
    </xf>
    <xf numFmtId="164" fontId="5" fillId="12" borderId="1" xfId="0" applyFont="true" applyBorder="true" applyAlignment="true" applyProtection="false">
      <alignment horizontal="center" vertical="bottom" textRotation="0" wrapText="false" indent="0" shrinkToFit="false"/>
      <protection locked="true" hidden="false"/>
    </xf>
    <xf numFmtId="164" fontId="10" fillId="8" borderId="1" xfId="0" applyFont="true" applyBorder="true" applyAlignment="true" applyProtection="false">
      <alignment horizontal="center" vertical="bottom" textRotation="0" wrapText="false" indent="0" shrinkToFit="false"/>
      <protection locked="true" hidden="false"/>
    </xf>
    <xf numFmtId="166" fontId="0" fillId="0" borderId="1" xfId="0" applyFont="true" applyBorder="true" applyAlignment="true" applyProtection="false">
      <alignment horizontal="center" vertical="bottom" textRotation="0" wrapText="false" indent="0" shrinkToFit="false"/>
      <protection locked="true" hidden="false"/>
    </xf>
    <xf numFmtId="167" fontId="0" fillId="0" borderId="1" xfId="0" applyFont="true" applyBorder="true" applyAlignment="true" applyProtection="false">
      <alignment horizontal="center" vertical="bottom" textRotation="0" wrapText="false" indent="0" shrinkToFit="false"/>
      <protection locked="true" hidden="false"/>
    </xf>
    <xf numFmtId="168" fontId="0" fillId="0" borderId="1" xfId="0" applyFont="true" applyBorder="true" applyAlignment="true" applyProtection="false">
      <alignment horizontal="center" vertical="bottom" textRotation="0" wrapText="false" indent="0" shrinkToFit="false"/>
      <protection locked="true" hidden="false"/>
    </xf>
    <xf numFmtId="167" fontId="0" fillId="0" borderId="1" xfId="0" applyFont="true" applyBorder="true" applyAlignment="true" applyProtection="false">
      <alignment horizontal="center" vertical="top" textRotation="0" wrapText="false" indent="0" shrinkToFit="false"/>
      <protection locked="true" hidden="false"/>
    </xf>
    <xf numFmtId="164" fontId="0" fillId="10" borderId="0" xfId="0" applyFont="true" applyBorder="false" applyAlignment="false" applyProtection="false">
      <alignment horizontal="general" vertical="bottom" textRotation="0" wrapText="false" indent="0" shrinkToFit="false"/>
      <protection locked="true" hidden="false"/>
    </xf>
    <xf numFmtId="164" fontId="0" fillId="11" borderId="0" xfId="0" applyFont="true" applyBorder="false" applyAlignment="false" applyProtection="false">
      <alignment horizontal="general" vertical="bottom" textRotation="0" wrapText="false" indent="0" shrinkToFit="false"/>
      <protection locked="tru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5" fillId="13" borderId="1" xfId="0" applyFont="true" applyBorder="true" applyAlignment="true" applyProtection="false">
      <alignment horizontal="center" vertical="bottom" textRotation="0" wrapText="false" indent="0" shrinkToFit="false"/>
      <protection locked="true" hidden="false"/>
    </xf>
    <xf numFmtId="169" fontId="0" fillId="0" borderId="1" xfId="0" applyFont="true" applyBorder="true" applyAlignment="true" applyProtection="false">
      <alignment horizontal="center" vertical="bottom" textRotation="0" wrapText="false" indent="0" shrinkToFit="false"/>
      <protection locked="true" hidden="false"/>
    </xf>
    <xf numFmtId="164" fontId="8" fillId="13"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2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6" fillId="6" borderId="1" xfId="0" applyFont="true" applyBorder="true" applyAlignment="true" applyProtection="false">
      <alignment horizontal="center" vertical="bottom" textRotation="0" wrapText="true" indent="0" shrinkToFit="false"/>
      <protection locked="true" hidden="false"/>
    </xf>
    <xf numFmtId="164" fontId="10" fillId="4" borderId="1" xfId="0" applyFont="true" applyBorder="true" applyAlignment="true" applyProtection="false">
      <alignment horizontal="center" vertical="top" textRotation="0" wrapText="false" indent="0" shrinkToFit="false"/>
      <protection locked="true" hidden="false"/>
    </xf>
    <xf numFmtId="164" fontId="9" fillId="10" borderId="1" xfId="20" applyFont="true" applyBorder="true" applyAlignment="true" applyProtection="false">
      <alignment horizontal="center" vertical="top" textRotation="0" wrapText="false" indent="0" shrinkToFit="false"/>
      <protection locked="true" hidden="false"/>
    </xf>
    <xf numFmtId="164" fontId="10" fillId="5" borderId="1" xfId="0" applyFont="true" applyBorder="true" applyAlignment="true" applyProtection="false">
      <alignment horizontal="center" vertical="top" textRotation="0" wrapText="false" indent="0" shrinkToFit="false"/>
      <protection locked="true" hidden="false"/>
    </xf>
    <xf numFmtId="164" fontId="10" fillId="13" borderId="1" xfId="0" applyFont="true" applyBorder="true" applyAlignment="true" applyProtection="false">
      <alignment horizontal="center" vertical="top" textRotation="0" wrapText="false" indent="0" shrinkToFit="false"/>
      <protection locked="true" hidden="false"/>
    </xf>
    <xf numFmtId="164" fontId="0" fillId="0" borderId="1" xfId="0" applyFont="true" applyBorder="true" applyAlignment="true" applyProtection="false">
      <alignment horizontal="center" vertical="top" textRotation="0" wrapText="false" indent="0" shrinkToFit="false"/>
      <protection locked="true" hidden="false"/>
    </xf>
    <xf numFmtId="169" fontId="0" fillId="0" borderId="1" xfId="0" applyFont="true" applyBorder="true" applyAlignment="true" applyProtection="false">
      <alignment horizontal="center" vertical="top" textRotation="0" wrapText="false" indent="0" shrinkToFit="false"/>
      <protection locked="true" hidden="false"/>
    </xf>
    <xf numFmtId="164" fontId="0" fillId="0" borderId="1" xfId="0" applyFont="true" applyBorder="true" applyAlignment="true" applyProtection="false">
      <alignment horizontal="center" vertical="top" textRotation="0" wrapText="true" indent="0" shrinkToFit="false"/>
      <protection locked="true" hidden="false"/>
    </xf>
    <xf numFmtId="164" fontId="0" fillId="0" borderId="1" xfId="0" applyFont="true" applyBorder="true" applyAlignment="true" applyProtection="false">
      <alignment horizontal="center" vertical="bottom" textRotation="0" wrapText="true" indent="0" shrinkToFit="false"/>
      <protection locked="true" hidden="false"/>
    </xf>
    <xf numFmtId="164" fontId="0" fillId="13" borderId="0" xfId="0" applyFont="true" applyBorder="false" applyAlignment="false" applyProtection="fals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6" fillId="6" borderId="1" xfId="20" applyFont="true" applyBorder="true" applyAlignment="true" applyProtection="false">
      <alignment horizontal="center" vertical="bottom" textRotation="0" wrapText="false" indent="0" shrinkToFit="false"/>
      <protection locked="true" hidden="false"/>
    </xf>
    <xf numFmtId="164" fontId="7" fillId="6" borderId="1" xfId="0" applyFont="true" applyBorder="true" applyAlignment="true" applyProtection="false">
      <alignment horizontal="center" vertical="bottom" textRotation="0" wrapText="false" indent="0" shrinkToFit="false"/>
      <protection locked="true" hidden="false"/>
    </xf>
    <xf numFmtId="164" fontId="10" fillId="13" borderId="1" xfId="20" applyFont="true" applyBorder="true" applyAlignment="true" applyProtection="false">
      <alignment horizontal="center" vertical="bottom" textRotation="0" wrapText="false" indent="0" shrinkToFit="false"/>
      <protection locked="true" hidden="false"/>
    </xf>
    <xf numFmtId="164" fontId="10" fillId="5" borderId="1" xfId="20" applyFont="true" applyBorder="true" applyAlignment="true" applyProtection="false">
      <alignment horizontal="center" vertical="bottom" textRotation="0" wrapText="false" indent="0" shrinkToFit="false"/>
      <protection locked="true" hidden="false"/>
    </xf>
    <xf numFmtId="164" fontId="10" fillId="11" borderId="1" xfId="20" applyFont="true" applyBorder="true" applyAlignment="true" applyProtection="false">
      <alignment horizontal="center" vertical="bottom" textRotation="0" wrapText="false" indent="0" shrinkToFit="false"/>
      <protection locked="true" hidden="false"/>
    </xf>
    <xf numFmtId="164" fontId="10" fillId="7" borderId="1" xfId="20" applyFont="true" applyBorder="true" applyAlignment="true" applyProtection="false">
      <alignment horizontal="center" vertical="bottom" textRotation="0" wrapText="false" indent="0" shrinkToFit="false"/>
      <protection locked="true" hidden="false"/>
    </xf>
    <xf numFmtId="164" fontId="10" fillId="12" borderId="1" xfId="20" applyFont="true" applyBorder="true" applyAlignment="true" applyProtection="false">
      <alignment horizontal="center" vertical="bottom" textRotation="0" wrapText="false" indent="0" shrinkToFit="false"/>
      <protection locked="true" hidden="false"/>
    </xf>
    <xf numFmtId="168" fontId="0" fillId="0" borderId="3" xfId="0" applyFont="true" applyBorder="true" applyAlignment="true" applyProtection="false">
      <alignment horizontal="center" vertical="bottom" textRotation="0" wrapText="false" indent="0" shrinkToFit="false"/>
      <protection locked="true" hidden="false"/>
    </xf>
    <xf numFmtId="168" fontId="0" fillId="0" borderId="4" xfId="0" applyFont="true" applyBorder="true" applyAlignment="true" applyProtection="false">
      <alignment horizontal="center" vertical="bottom" textRotation="0" wrapText="false" indent="0" shrinkToFit="false"/>
      <protection locked="true" hidden="false"/>
    </xf>
    <xf numFmtId="167" fontId="0" fillId="0" borderId="5" xfId="0" applyFont="true" applyBorder="true" applyAlignment="true" applyProtection="false">
      <alignment horizontal="center" vertical="bottom" textRotation="0" wrapText="false" indent="0" shrinkToFit="false"/>
      <protection locked="true" hidden="false"/>
    </xf>
    <xf numFmtId="168" fontId="0" fillId="0" borderId="0" xfId="0" applyFont="true" applyBorder="false" applyAlignment="true" applyProtection="false">
      <alignment horizontal="center" vertical="bottom" textRotation="0" wrapText="false" indent="0" shrinkToFit="false"/>
      <protection locked="true" hidden="false"/>
    </xf>
    <xf numFmtId="167" fontId="0" fillId="0" borderId="1" xfId="0" applyFont="true" applyBorder="true" applyAlignment="true" applyProtection="false">
      <alignment horizontal="center" vertical="bottom" textRotation="0" wrapText="true" indent="0" shrinkToFit="false"/>
      <protection locked="true" hidden="false"/>
    </xf>
    <xf numFmtId="168" fontId="0" fillId="0" borderId="6" xfId="0" applyFont="true" applyBorder="true" applyAlignment="true" applyProtection="false">
      <alignment horizontal="center" vertical="bottom" textRotation="0" wrapText="false" indent="0" shrinkToFit="false"/>
      <protection locked="true" hidden="false"/>
    </xf>
    <xf numFmtId="167" fontId="0" fillId="0" borderId="7" xfId="0" applyFont="true" applyBorder="true" applyAlignment="true" applyProtection="false">
      <alignment horizontal="center" vertical="bottom" textRotation="0" wrapText="false" indent="0" shrinkToFit="false"/>
      <protection locked="true" hidden="false"/>
    </xf>
    <xf numFmtId="168" fontId="0" fillId="0" borderId="8" xfId="0" applyFont="true" applyBorder="true" applyAlignment="true" applyProtection="false">
      <alignment horizontal="center" vertical="bottom" textRotation="0" wrapText="false" indent="0" shrinkToFit="false"/>
      <protection locked="true" hidden="false"/>
    </xf>
    <xf numFmtId="167" fontId="0" fillId="0" borderId="8" xfId="0" applyFont="true" applyBorder="true" applyAlignment="true" applyProtection="false">
      <alignment horizontal="center" vertical="bottom" textRotation="0" wrapText="false" indent="0" shrinkToFit="false"/>
      <protection locked="true" hidden="false"/>
    </xf>
    <xf numFmtId="164" fontId="10" fillId="14" borderId="1" xfId="20" applyFont="true" applyBorder="true" applyAlignment="true" applyProtection="false">
      <alignment horizontal="center" vertical="bottom" textRotation="0" wrapText="false" indent="0" shrinkToFit="false"/>
      <protection locked="true" hidden="false"/>
    </xf>
    <xf numFmtId="170" fontId="8" fillId="0" borderId="1" xfId="20" applyFont="true" applyBorder="true" applyAlignment="true" applyProtection="false">
      <alignment horizontal="center" vertical="bottom" textRotation="0" wrapText="false" indent="0" shrinkToFit="false"/>
      <protection locked="true" hidden="false"/>
    </xf>
    <xf numFmtId="166" fontId="8" fillId="0" borderId="1" xfId="2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0" fillId="14" borderId="0" xfId="0" applyFont="true" applyBorder="false" applyAlignment="false" applyProtection="false">
      <alignment horizontal="general" vertical="bottom" textRotation="0" wrapText="false" indent="0" shrinkToFit="false"/>
      <protection locked="true" hidden="false"/>
    </xf>
    <xf numFmtId="164" fontId="11" fillId="0" borderId="0" xfId="20" applyFont="true" applyBorder="false" applyAlignment="false" applyProtection="false">
      <alignment horizontal="general" vertical="bottom" textRotation="0" wrapText="false" indent="0" shrinkToFit="false"/>
      <protection locked="true" hidden="false"/>
    </xf>
    <xf numFmtId="164" fontId="6" fillId="15" borderId="1" xfId="20" applyFont="true" applyBorder="true" applyAlignment="true" applyProtection="false">
      <alignment horizontal="center" vertical="bottom" textRotation="0" wrapText="true" indent="0" shrinkToFit="false"/>
      <protection locked="true" hidden="false"/>
    </xf>
    <xf numFmtId="164" fontId="6" fillId="15" borderId="1" xfId="0" applyFont="true" applyBorder="true" applyAlignment="true" applyProtection="false">
      <alignment horizontal="center" vertical="bottom" textRotation="0" wrapText="true" indent="0" shrinkToFit="false"/>
      <protection locked="true" hidden="false"/>
    </xf>
    <xf numFmtId="164" fontId="12" fillId="16" borderId="1" xfId="0" applyFont="true" applyBorder="true" applyAlignment="true" applyProtection="false">
      <alignment horizontal="center" vertical="bottom" textRotation="0" wrapText="false" indent="0" shrinkToFit="false"/>
      <protection locked="true" hidden="false"/>
    </xf>
    <xf numFmtId="164" fontId="13" fillId="17" borderId="1" xfId="20" applyFont="true" applyBorder="true" applyAlignment="true" applyProtection="false">
      <alignment horizontal="center" vertical="bottom" textRotation="0" wrapText="false" indent="0" shrinkToFit="false"/>
      <protection locked="true" hidden="false"/>
    </xf>
    <xf numFmtId="164" fontId="12" fillId="14" borderId="1" xfId="0" applyFont="true" applyBorder="true" applyAlignment="true" applyProtection="false">
      <alignment horizontal="center" vertical="bottom" textRotation="0" wrapText="false" indent="0" shrinkToFit="false"/>
      <protection locked="true" hidden="false"/>
    </xf>
    <xf numFmtId="164" fontId="12" fillId="18" borderId="1" xfId="0" applyFont="true" applyBorder="true" applyAlignment="true" applyProtection="false">
      <alignment horizontal="center" vertical="bottom" textRotation="0" wrapText="false" indent="0" shrinkToFit="false"/>
      <protection locked="true" hidden="false"/>
    </xf>
    <xf numFmtId="164" fontId="12" fillId="19" borderId="1" xfId="0" applyFont="true" applyBorder="true" applyAlignment="true" applyProtection="false">
      <alignment horizontal="center" vertical="bottom" textRotation="0" wrapText="false" indent="0" shrinkToFit="false"/>
      <protection locked="true" hidden="false"/>
    </xf>
    <xf numFmtId="164" fontId="12" fillId="8" borderId="1" xfId="0" applyFont="true" applyBorder="true" applyAlignment="true" applyProtection="false">
      <alignment horizontal="center" vertical="bottom" textRotation="0" wrapText="false" indent="0" shrinkToFit="false"/>
      <protection locked="true" hidden="false"/>
    </xf>
    <xf numFmtId="164" fontId="11" fillId="0" borderId="1" xfId="20" applyFont="true" applyBorder="true" applyAlignment="true" applyProtection="false">
      <alignment horizontal="center" vertical="bottom" textRotation="0" wrapText="false" indent="0" shrinkToFit="false"/>
      <protection locked="true" hidden="false"/>
    </xf>
    <xf numFmtId="170" fontId="0" fillId="0" borderId="1" xfId="0" applyFont="true" applyBorder="true" applyAlignment="true" applyProtection="false">
      <alignment horizontal="center" vertical="bottom" textRotation="0" wrapText="false" indent="0" shrinkToFit="false"/>
      <protection locked="true" hidden="false"/>
    </xf>
    <xf numFmtId="164" fontId="0" fillId="19" borderId="0" xfId="0" applyFont="true" applyBorder="false" applyAlignment="false" applyProtection="false">
      <alignment horizontal="general" vertical="bottom" textRotation="0" wrapText="false" indent="0" shrinkToFit="false"/>
      <protection locked="true" hidden="false"/>
    </xf>
    <xf numFmtId="164" fontId="10" fillId="16" borderId="1" xfId="0" applyFont="true" applyBorder="true" applyAlignment="true" applyProtection="false">
      <alignment horizontal="center" vertical="bottom" textRotation="0" wrapText="false" indent="0" shrinkToFit="false"/>
      <protection locked="true" hidden="false"/>
    </xf>
    <xf numFmtId="164" fontId="12" fillId="7" borderId="1" xfId="0" applyFont="true" applyBorder="true" applyAlignment="true" applyProtection="false">
      <alignment horizontal="center" vertical="bottom" textRotation="0" wrapText="false" indent="0" shrinkToFit="false"/>
      <protection locked="true" hidden="false"/>
    </xf>
    <xf numFmtId="164" fontId="11" fillId="0" borderId="1" xfId="20" applyFont="true" applyBorder="true" applyAlignment="true" applyProtection="false">
      <alignment horizontal="center" vertical="bottom" textRotation="0" wrapText="true" indent="0" shrinkToFit="false"/>
      <protection locked="true" hidden="false"/>
    </xf>
    <xf numFmtId="164" fontId="10" fillId="17" borderId="1" xfId="0" applyFont="true" applyBorder="true" applyAlignment="true" applyProtection="false">
      <alignment horizontal="center" vertical="bottom" textRotation="0" wrapText="false" indent="0" shrinkToFit="false"/>
      <protection locked="true" hidden="false"/>
    </xf>
    <xf numFmtId="164" fontId="12" fillId="12" borderId="1" xfId="0" applyFont="true" applyBorder="true" applyAlignment="true" applyProtection="false">
      <alignment horizontal="center" vertical="bottom" textRotation="0" wrapText="false" indent="0" shrinkToFit="false"/>
      <protection locked="true" hidden="false"/>
    </xf>
    <xf numFmtId="164" fontId="12" fillId="20" borderId="1" xfId="0" applyFont="true" applyBorder="true" applyAlignment="true" applyProtection="false">
      <alignment horizontal="center"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7030A0"/>
      <rgbColor rgb="FFF7C7AC"/>
      <rgbColor rgb="FF94DCF8"/>
      <rgbColor rgb="FF660066"/>
      <rgbColor rgb="FFFF8080"/>
      <rgbColor rgb="FF0563C1"/>
      <rgbColor rgb="FFD0D0D0"/>
      <rgbColor rgb="FF000080"/>
      <rgbColor rgb="FFFF00FF"/>
      <rgbColor rgb="FFFFFF00"/>
      <rgbColor rgb="FF00FFFF"/>
      <rgbColor rgb="FF800080"/>
      <rgbColor rgb="FF800000"/>
      <rgbColor rgb="FF008080"/>
      <rgbColor rgb="FF0000FF"/>
      <rgbColor rgb="FF00B0F0"/>
      <rgbColor rgb="FFCCFFFF"/>
      <rgbColor rgb="FFD9D9D9"/>
      <rgbColor rgb="FFFFE699"/>
      <rgbColor rgb="FF9DC3E6"/>
      <rgbColor rgb="FFE49EDD"/>
      <rgbColor rgb="FFF1ABE9"/>
      <rgbColor rgb="FFF8CBAD"/>
      <rgbColor rgb="FF2E75B6"/>
      <rgbColor rgb="FF33CCCC"/>
      <rgbColor rgb="FF99CC00"/>
      <rgbColor rgb="FFFFD966"/>
      <rgbColor rgb="FFFF9900"/>
      <rgbColor rgb="FFC55A11"/>
      <rgbColor rgb="FF467886"/>
      <rgbColor rgb="FF70AD47"/>
      <rgbColor rgb="FF003366"/>
      <rgbColor rgb="FF4EA72E"/>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14</xdr:col>
      <xdr:colOff>609120</xdr:colOff>
      <xdr:row>37</xdr:row>
      <xdr:rowOff>32760</xdr:rowOff>
    </xdr:to>
    <xdr:pic>
      <xdr:nvPicPr>
        <xdr:cNvPr id="0" name="Imagen 2" descr=""/>
        <xdr:cNvPicPr/>
      </xdr:nvPicPr>
      <xdr:blipFill>
        <a:blip r:embed="rId1"/>
        <a:stretch/>
      </xdr:blipFill>
      <xdr:spPr>
        <a:xfrm>
          <a:off x="0" y="190440"/>
          <a:ext cx="10830600" cy="68907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mailto:dueniodelabarberia12345@gmail.com" TargetMode="External"/>
</Relationships>
</file>

<file path=xl/worksheets/_rels/sheet4.xml.rels><?xml version="1.0" encoding="UTF-8"?>
<Relationships xmlns="http://schemas.openxmlformats.org/package/2006/relationships"><Relationship Id="rId1" Type="http://schemas.openxmlformats.org/officeDocument/2006/relationships/hyperlink" Target="mailto:juanfer234535@gmail.com" TargetMode="External"/><Relationship Id="rId2" Type="http://schemas.openxmlformats.org/officeDocument/2006/relationships/hyperlink" Target="mailto:juandaviddd2525@gmail.com" TargetMode="External"/><Relationship Id="rId3" Type="http://schemas.openxmlformats.org/officeDocument/2006/relationships/hyperlink" Target="mailto:carlosbeladez@gmail.com" TargetMode="External"/><Relationship Id="rId4" Type="http://schemas.openxmlformats.org/officeDocument/2006/relationships/hyperlink" Target="mailto:andresramirezpatino123@gmail.com" TargetMode="External"/><Relationship Id="rId5" Type="http://schemas.openxmlformats.org/officeDocument/2006/relationships/hyperlink" Target="mailto:juancarloszambrano4394@g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5" zeroHeight="false" outlineLevelRow="0" outlineLevelCol="0"/>
  <cols>
    <col collapsed="false" customWidth="true" hidden="false" outlineLevel="0" max="1" min="1" style="0" width="26.15"/>
  </cols>
  <sheetData>
    <row r="1" customFormat="false" ht="15" hidden="false" customHeight="false" outlineLevel="0" collapsed="false">
      <c r="A1" s="1" t="s">
        <v>0</v>
      </c>
      <c r="B1" s="2"/>
      <c r="C1" s="2"/>
      <c r="D1" s="2"/>
      <c r="E1" s="2"/>
      <c r="F1" s="2"/>
      <c r="G1" s="2"/>
      <c r="H1" s="2"/>
      <c r="I1" s="2"/>
      <c r="J1" s="2"/>
      <c r="K1" s="2"/>
      <c r="L1" s="2"/>
      <c r="M1" s="2"/>
      <c r="N1" s="2"/>
      <c r="O1" s="2"/>
      <c r="P1" s="2"/>
      <c r="Q1" s="2"/>
      <c r="R1" s="2"/>
      <c r="S1" s="2"/>
      <c r="T1" s="2"/>
      <c r="U1" s="2"/>
      <c r="V1" s="2"/>
      <c r="W1" s="2"/>
      <c r="X1" s="2"/>
      <c r="Y1" s="2"/>
      <c r="Z1" s="2"/>
      <c r="AA1" s="2"/>
      <c r="AB1" s="2"/>
      <c r="AC1" s="2"/>
    </row>
    <row r="2" customFormat="false" ht="15" hidden="false" customHeight="false" outlineLevel="0" collapsed="false">
      <c r="B2" s="2"/>
      <c r="C2" s="2"/>
      <c r="D2" s="2"/>
      <c r="E2" s="2"/>
      <c r="F2" s="2"/>
      <c r="G2" s="2"/>
      <c r="H2" s="2"/>
      <c r="I2" s="2"/>
      <c r="J2" s="2"/>
      <c r="K2" s="2"/>
      <c r="L2" s="2"/>
      <c r="M2" s="2"/>
      <c r="N2" s="2"/>
      <c r="O2" s="2"/>
      <c r="P2" s="2"/>
      <c r="Q2" s="2"/>
      <c r="R2" s="2"/>
      <c r="S2" s="2"/>
      <c r="T2" s="2"/>
      <c r="U2" s="2"/>
      <c r="V2" s="2"/>
      <c r="W2" s="2"/>
      <c r="X2" s="2"/>
      <c r="Y2" s="2"/>
      <c r="Z2" s="2"/>
      <c r="AA2" s="2"/>
      <c r="AB2" s="2"/>
      <c r="AC2" s="2"/>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c r="AA3" s="2"/>
      <c r="AB3" s="2"/>
      <c r="AC3" s="2"/>
    </row>
    <row r="4" customFormat="false" ht="15" hidden="false" customHeight="false" outlineLevel="0" collapsed="false">
      <c r="A4" s="2"/>
      <c r="B4" s="2"/>
      <c r="C4" s="2"/>
      <c r="D4" s="2"/>
      <c r="E4" s="2"/>
      <c r="F4" s="2"/>
      <c r="G4" s="2"/>
      <c r="H4" s="2"/>
      <c r="I4" s="2"/>
      <c r="J4" s="2"/>
      <c r="K4" s="2"/>
      <c r="L4" s="2"/>
      <c r="M4" s="2"/>
      <c r="N4" s="2"/>
      <c r="O4" s="2"/>
      <c r="P4" s="2"/>
      <c r="Q4" s="2"/>
      <c r="R4" s="2"/>
      <c r="S4" s="2"/>
      <c r="T4" s="2"/>
      <c r="U4" s="2"/>
      <c r="V4" s="2"/>
      <c r="W4" s="2"/>
      <c r="X4" s="2"/>
      <c r="Y4" s="2"/>
      <c r="Z4" s="2"/>
      <c r="AA4" s="2"/>
      <c r="AB4" s="2"/>
      <c r="AC4" s="2"/>
    </row>
    <row r="5" customFormat="false" ht="15" hidden="false" customHeight="false" outlineLevel="0" collapsed="false">
      <c r="A5" s="2"/>
      <c r="B5" s="2"/>
      <c r="C5" s="2"/>
      <c r="D5" s="2"/>
      <c r="E5" s="2"/>
      <c r="F5" s="2"/>
      <c r="G5" s="2"/>
      <c r="H5" s="2"/>
      <c r="I5" s="2"/>
      <c r="J5" s="2"/>
      <c r="K5" s="2"/>
      <c r="L5" s="2"/>
      <c r="M5" s="2"/>
      <c r="N5" s="2"/>
      <c r="O5" s="2"/>
      <c r="P5" s="2"/>
      <c r="Q5" s="2"/>
      <c r="R5" s="2"/>
      <c r="S5" s="2"/>
      <c r="T5" s="2"/>
      <c r="U5" s="2"/>
      <c r="V5" s="2"/>
      <c r="W5" s="2"/>
      <c r="X5" s="2"/>
      <c r="Y5" s="2"/>
      <c r="Z5" s="2"/>
      <c r="AA5" s="2"/>
      <c r="AB5" s="2"/>
      <c r="AC5" s="2"/>
    </row>
    <row r="6" customFormat="false" ht="15" hidden="false" customHeight="false" outlineLevel="0" collapsed="false">
      <c r="A6" s="2"/>
      <c r="B6" s="2"/>
      <c r="C6" s="2"/>
      <c r="D6" s="2"/>
      <c r="E6" s="2"/>
      <c r="F6" s="2"/>
      <c r="G6" s="2"/>
      <c r="H6" s="2"/>
      <c r="I6" s="2"/>
      <c r="J6" s="2"/>
      <c r="K6" s="2"/>
      <c r="L6" s="2"/>
      <c r="M6" s="2"/>
      <c r="N6" s="2"/>
      <c r="O6" s="2"/>
      <c r="P6" s="2"/>
      <c r="Q6" s="2"/>
      <c r="R6" s="2"/>
      <c r="S6" s="2"/>
      <c r="T6" s="2"/>
      <c r="U6" s="2"/>
      <c r="V6" s="2"/>
      <c r="W6" s="2"/>
      <c r="X6" s="2"/>
      <c r="Y6" s="2"/>
      <c r="Z6" s="2"/>
      <c r="AA6" s="2"/>
      <c r="AB6" s="2"/>
      <c r="AC6" s="2"/>
    </row>
    <row r="7" customFormat="false" ht="15" hidden="false" customHeight="false" outlineLevel="0" collapsed="false">
      <c r="A7" s="2"/>
      <c r="B7" s="2"/>
      <c r="C7" s="2"/>
      <c r="D7" s="2"/>
      <c r="E7" s="2"/>
      <c r="F7" s="2"/>
      <c r="G7" s="2"/>
      <c r="H7" s="2"/>
      <c r="I7" s="2"/>
      <c r="J7" s="2"/>
      <c r="K7" s="2"/>
      <c r="L7" s="2"/>
      <c r="M7" s="2"/>
      <c r="N7" s="2"/>
      <c r="O7" s="2"/>
      <c r="P7" s="2"/>
      <c r="Q7" s="2"/>
      <c r="R7" s="2"/>
      <c r="S7" s="2"/>
      <c r="T7" s="2"/>
      <c r="U7" s="2"/>
      <c r="V7" s="2"/>
      <c r="W7" s="2"/>
      <c r="X7" s="2"/>
      <c r="Y7" s="2"/>
      <c r="Z7" s="2"/>
      <c r="AA7" s="2"/>
      <c r="AB7" s="2"/>
      <c r="AC7" s="2"/>
    </row>
    <row r="8" customFormat="false" ht="15" hidden="false" customHeight="false" outlineLevel="0" collapsed="false">
      <c r="A8" s="2"/>
      <c r="B8" s="2"/>
      <c r="C8" s="2"/>
      <c r="D8" s="2"/>
      <c r="E8" s="2"/>
      <c r="F8" s="2"/>
      <c r="G8" s="2"/>
      <c r="H8" s="2"/>
      <c r="I8" s="2"/>
      <c r="J8" s="2"/>
      <c r="K8" s="2"/>
      <c r="L8" s="2"/>
      <c r="M8" s="2"/>
      <c r="N8" s="2"/>
      <c r="O8" s="2"/>
      <c r="P8" s="2"/>
      <c r="Q8" s="2"/>
      <c r="R8" s="2"/>
      <c r="S8" s="2"/>
      <c r="T8" s="2"/>
      <c r="U8" s="2"/>
      <c r="V8" s="2"/>
      <c r="W8" s="2"/>
      <c r="X8" s="2"/>
      <c r="Y8" s="2"/>
      <c r="Z8" s="2"/>
      <c r="AA8" s="2"/>
      <c r="AB8" s="2"/>
      <c r="AC8" s="2"/>
    </row>
    <row r="9" customFormat="false" ht="15" hidden="false" customHeight="false" outlineLevel="0" collapsed="false">
      <c r="A9" s="2"/>
      <c r="B9" s="2"/>
      <c r="C9" s="2"/>
      <c r="D9" s="2"/>
      <c r="E9" s="2"/>
      <c r="F9" s="2"/>
      <c r="G9" s="2"/>
      <c r="H9" s="2"/>
      <c r="I9" s="2"/>
      <c r="J9" s="2"/>
      <c r="K9" s="2"/>
      <c r="L9" s="2"/>
      <c r="M9" s="2"/>
      <c r="N9" s="2"/>
      <c r="O9" s="2"/>
      <c r="P9" s="2"/>
      <c r="Q9" s="2"/>
      <c r="R9" s="2"/>
      <c r="S9" s="2"/>
      <c r="T9" s="2"/>
      <c r="U9" s="2"/>
      <c r="V9" s="2"/>
      <c r="W9" s="2"/>
      <c r="X9" s="2"/>
      <c r="Y9" s="2"/>
      <c r="Z9" s="2"/>
      <c r="AA9" s="2"/>
      <c r="AB9" s="2"/>
      <c r="AC9" s="2"/>
    </row>
    <row r="10" customFormat="false" ht="15" hidden="false" customHeight="false" outlineLevel="0" collapsed="false">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row>
    <row r="11" customFormat="false" ht="15" hidden="false" customHeight="false" outlineLevel="0" collapsed="false">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row>
    <row r="12" customFormat="false" ht="15" hidden="false" customHeight="false" outlineLevel="0" collapsed="false">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row>
    <row r="13" customFormat="false" ht="15" hidden="false" customHeight="false" outlineLevel="0" collapsed="false">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row>
    <row r="14" customFormat="false" ht="15" hidden="false" customHeight="fals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row>
    <row r="15" customFormat="false" ht="15" hidden="false" customHeight="fals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row>
    <row r="16" customFormat="false" ht="15" hidden="false" customHeight="fals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row>
    <row r="17" customFormat="false" ht="15" hidden="false" customHeight="fals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customFormat="false" ht="15" hidden="false" customHeight="fals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row>
    <row r="19" customFormat="false" ht="15" hidden="false" customHeight="fals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row>
    <row r="20" customFormat="false" ht="15" hidden="false" customHeight="fals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row>
    <row r="21" customFormat="false" ht="15" hidden="false" customHeight="fals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row>
    <row r="22" customFormat="false" ht="15" hidden="false" customHeight="fals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customFormat="false" ht="15" hidden="false" customHeight="fals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customFormat="false" ht="15" hidden="false" customHeight="fals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customFormat="false" ht="15" hidden="false" customHeight="fals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customFormat="false" ht="15" hidden="false" customHeight="fals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customFormat="false" ht="15"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customFormat="false" ht="15" hidden="false" customHeight="fals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customFormat="false" ht="15"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customFormat="false" ht="15"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customFormat="false" ht="15"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customFormat="false" ht="15"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customFormat="false" ht="15"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customFormat="false" ht="15"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customFormat="false" ht="15"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customFormat="false" ht="15"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customFormat="false" ht="1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customFormat="false" ht="15"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customFormat="false" ht="1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customFormat="false" ht="15"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customFormat="false" ht="15"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customFormat="false" ht="1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customFormat="false" ht="15"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customFormat="false" ht="1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customFormat="false" ht="15"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customFormat="false" ht="1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ustomFormat="false" ht="1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ustomFormat="false" ht="1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ustomFormat="false" ht="1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ustomFormat="false" ht="1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ustomFormat="false" ht="1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ustomFormat="false" ht="15"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ustomFormat="false" ht="1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ustomFormat="false" ht="1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ustomFormat="false" ht="15"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ustomFormat="false" ht="15"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ustomFormat="false" ht="15"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ustomFormat="false" ht="15"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sheetData>
  <hyperlinks>
    <hyperlink ref="A1" location="'Objetos de Dominio'!A1" display="Ir a objetos de dominio &gt;&gt;&gt;&gt;"/>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zeroHeight="false" outlineLevelRow="0" outlineLevelCol="0"/>
  <cols>
    <col collapsed="false" customWidth="true" hidden="false" outlineLevel="0" max="1" min="1" style="0" width="27"/>
    <col collapsed="false" customWidth="true" hidden="false" outlineLevel="0" max="2" min="2" style="0" width="62.86"/>
    <col collapsed="false" customWidth="true" hidden="false" outlineLevel="0" max="3" min="3" style="0" width="12.57"/>
  </cols>
  <sheetData>
    <row r="1" customFormat="false" ht="15" hidden="false" customHeight="false" outlineLevel="0" collapsed="false">
      <c r="A1" s="3" t="s">
        <v>1</v>
      </c>
    </row>
    <row r="2" customFormat="false" ht="15" hidden="false" customHeight="false" outlineLevel="0" collapsed="false">
      <c r="A2" s="4" t="s">
        <v>2</v>
      </c>
      <c r="B2" s="4" t="s">
        <v>3</v>
      </c>
      <c r="C2" s="4" t="s">
        <v>4</v>
      </c>
      <c r="D2" s="4" t="s">
        <v>5</v>
      </c>
    </row>
    <row r="3" customFormat="false" ht="30" hidden="false" customHeight="true" outlineLevel="0" collapsed="false">
      <c r="A3" s="5" t="s">
        <v>6</v>
      </c>
      <c r="B3" s="6" t="s">
        <v>7</v>
      </c>
      <c r="C3" s="5" t="n">
        <v>1</v>
      </c>
      <c r="D3" s="5"/>
    </row>
    <row r="4" customFormat="false" ht="45" hidden="false" customHeight="true" outlineLevel="0" collapsed="false">
      <c r="A4" s="5" t="s">
        <v>8</v>
      </c>
      <c r="B4" s="6" t="s">
        <v>9</v>
      </c>
      <c r="C4" s="5" t="n">
        <v>1</v>
      </c>
      <c r="D4" s="5"/>
    </row>
    <row r="5" customFormat="false" ht="89.25" hidden="false" customHeight="true" outlineLevel="0" collapsed="false">
      <c r="A5" s="5" t="s">
        <v>10</v>
      </c>
      <c r="B5" s="6" t="s">
        <v>11</v>
      </c>
      <c r="C5" s="5" t="n">
        <v>1</v>
      </c>
      <c r="D5" s="5"/>
    </row>
    <row r="6" customFormat="false" ht="60" hidden="false" customHeight="true" outlineLevel="0" collapsed="false">
      <c r="A6" s="5" t="s">
        <v>12</v>
      </c>
      <c r="B6" s="6" t="s">
        <v>13</v>
      </c>
      <c r="C6" s="5" t="n">
        <v>2</v>
      </c>
      <c r="D6" s="5"/>
    </row>
    <row r="7" customFormat="false" ht="60" hidden="false" customHeight="true" outlineLevel="0" collapsed="false">
      <c r="A7" s="5" t="s">
        <v>14</v>
      </c>
      <c r="B7" s="6" t="s">
        <v>15</v>
      </c>
      <c r="C7" s="5" t="n">
        <v>2</v>
      </c>
      <c r="D7" s="5"/>
    </row>
    <row r="8" customFormat="false" ht="30" hidden="false" customHeight="true" outlineLevel="0" collapsed="false">
      <c r="A8" s="5" t="s">
        <v>16</v>
      </c>
      <c r="B8" s="6" t="s">
        <v>17</v>
      </c>
      <c r="C8" s="5" t="n">
        <v>2</v>
      </c>
      <c r="D8" s="5"/>
    </row>
    <row r="9" customFormat="false" ht="60" hidden="false" customHeight="true" outlineLevel="0" collapsed="false">
      <c r="A9" s="5" t="s">
        <v>18</v>
      </c>
      <c r="B9" s="6" t="s">
        <v>19</v>
      </c>
      <c r="C9" s="5" t="n">
        <v>3</v>
      </c>
      <c r="D9" s="5"/>
    </row>
    <row r="10" customFormat="false" ht="60" hidden="false" customHeight="true" outlineLevel="0" collapsed="false">
      <c r="A10" s="5" t="s">
        <v>20</v>
      </c>
      <c r="B10" s="6" t="s">
        <v>21</v>
      </c>
      <c r="C10" s="5" t="n">
        <v>3</v>
      </c>
      <c r="D10" s="5"/>
    </row>
    <row r="11" customFormat="false" ht="60" hidden="false" customHeight="true" outlineLevel="0" collapsed="false">
      <c r="A11" s="5" t="s">
        <v>22</v>
      </c>
      <c r="B11" s="6" t="s">
        <v>23</v>
      </c>
      <c r="C11" s="5" t="n">
        <v>4</v>
      </c>
      <c r="D11" s="5"/>
    </row>
    <row r="12" customFormat="false" ht="90" hidden="false" customHeight="true" outlineLevel="0" collapsed="false">
      <c r="A12" s="5" t="s">
        <v>24</v>
      </c>
      <c r="B12" s="6" t="s">
        <v>25</v>
      </c>
      <c r="C12" s="5" t="n">
        <v>4</v>
      </c>
      <c r="D12" s="5"/>
    </row>
    <row r="13" customFormat="false" ht="45" hidden="false" customHeight="true" outlineLevel="0" collapsed="false">
      <c r="A13" s="5" t="s">
        <v>26</v>
      </c>
      <c r="B13" s="6" t="s">
        <v>27</v>
      </c>
      <c r="C13" s="5" t="n">
        <v>4</v>
      </c>
      <c r="D13" s="5"/>
    </row>
    <row r="14" customFormat="false" ht="60" hidden="false" customHeight="true" outlineLevel="0" collapsed="false">
      <c r="A14" s="5" t="s">
        <v>28</v>
      </c>
      <c r="B14" s="7" t="s">
        <v>29</v>
      </c>
      <c r="C14" s="5" t="n">
        <v>5</v>
      </c>
      <c r="D14" s="5"/>
    </row>
    <row r="15" customFormat="false" ht="45" hidden="false" customHeight="true" outlineLevel="0" collapsed="false">
      <c r="A15" s="5" t="s">
        <v>30</v>
      </c>
      <c r="B15" s="6" t="s">
        <v>31</v>
      </c>
      <c r="C15" s="5" t="n">
        <v>6</v>
      </c>
      <c r="D15" s="5"/>
    </row>
    <row r="16" customFormat="false" ht="15" hidden="false" customHeight="false" outlineLevel="0" collapsed="false">
      <c r="A16" s="8"/>
      <c r="B16" s="8"/>
      <c r="C16" s="8"/>
      <c r="D16" s="8"/>
    </row>
    <row r="17" customFormat="false" ht="15" hidden="false" customHeight="false" outlineLevel="0" collapsed="false">
      <c r="A17" s="8"/>
      <c r="B17" s="8"/>
      <c r="C17" s="8"/>
      <c r="D17" s="8"/>
    </row>
    <row r="18" customFormat="false" ht="15" hidden="false" customHeight="false" outlineLevel="0" collapsed="false">
      <c r="A18" s="8"/>
      <c r="B18" s="8"/>
      <c r="C18" s="8"/>
      <c r="D18" s="8"/>
    </row>
    <row r="19" customFormat="false" ht="15" hidden="false" customHeight="false" outlineLevel="0" collapsed="false">
      <c r="A19" s="8"/>
      <c r="B19" s="8"/>
      <c r="C19" s="8"/>
      <c r="D19" s="8"/>
    </row>
    <row r="20" customFormat="false" ht="15" hidden="false" customHeight="false" outlineLevel="0" collapsed="false">
      <c r="A20" s="8"/>
      <c r="B20" s="8"/>
      <c r="C20" s="8"/>
      <c r="D20" s="8"/>
    </row>
    <row r="21" customFormat="false" ht="15" hidden="false" customHeight="false" outlineLevel="0" collapsed="false">
      <c r="A21" s="8"/>
      <c r="B21" s="8"/>
      <c r="C21" s="8"/>
      <c r="D21" s="8"/>
    </row>
    <row r="22" customFormat="false" ht="15" hidden="false" customHeight="false" outlineLevel="0" collapsed="false">
      <c r="A22" s="8"/>
      <c r="B22" s="8"/>
      <c r="C22" s="8"/>
      <c r="D22" s="8"/>
    </row>
    <row r="23" customFormat="false" ht="15" hidden="false" customHeight="false" outlineLevel="0" collapsed="false">
      <c r="A23" s="8"/>
      <c r="B23" s="8"/>
      <c r="C23" s="8"/>
      <c r="D23" s="8"/>
    </row>
    <row r="24" customFormat="false" ht="15" hidden="false" customHeight="false" outlineLevel="0" collapsed="false">
      <c r="A24" s="8"/>
      <c r="B24" s="8"/>
      <c r="C24" s="8"/>
      <c r="D24" s="8"/>
    </row>
    <row r="25" customFormat="false" ht="15" hidden="false" customHeight="false" outlineLevel="0" collapsed="false">
      <c r="A25" s="8"/>
      <c r="B25" s="8"/>
      <c r="C25" s="8"/>
      <c r="D25" s="8"/>
    </row>
    <row r="26" customFormat="false" ht="15" hidden="false" customHeight="false" outlineLevel="0" collapsed="false">
      <c r="A26" s="8"/>
      <c r="B26" s="8"/>
      <c r="C26" s="8"/>
      <c r="D26" s="8"/>
    </row>
    <row r="27" customFormat="false" ht="15" hidden="false" customHeight="false" outlineLevel="0" collapsed="false">
      <c r="A27" s="8"/>
      <c r="B27" s="8"/>
      <c r="C27" s="8"/>
      <c r="D27" s="8"/>
    </row>
    <row r="28" customFormat="false" ht="15" hidden="false" customHeight="false" outlineLevel="0" collapsed="false">
      <c r="A28" s="8"/>
      <c r="B28" s="8"/>
      <c r="C28" s="8"/>
      <c r="D28" s="8"/>
    </row>
    <row r="29" customFormat="false" ht="15" hidden="false" customHeight="false" outlineLevel="0" collapsed="false">
      <c r="A29" s="8"/>
      <c r="B29" s="8"/>
      <c r="C29" s="8"/>
      <c r="D29" s="8"/>
    </row>
    <row r="30" customFormat="false" ht="15" hidden="false" customHeight="false" outlineLevel="0" collapsed="false">
      <c r="A30" s="8"/>
      <c r="B30" s="8"/>
      <c r="C30" s="8"/>
      <c r="D30" s="8"/>
    </row>
    <row r="31" customFormat="false" ht="15" hidden="false" customHeight="false" outlineLevel="0" collapsed="false">
      <c r="A31" s="8"/>
      <c r="B31" s="8"/>
      <c r="C31" s="8"/>
      <c r="D31" s="8"/>
    </row>
    <row r="32" customFormat="false" ht="15" hidden="false" customHeight="false" outlineLevel="0" collapsed="false">
      <c r="A32" s="8"/>
      <c r="B32" s="8"/>
      <c r="C32" s="8"/>
      <c r="D32" s="8"/>
    </row>
    <row r="33" customFormat="false" ht="15" hidden="false" customHeight="false" outlineLevel="0" collapsed="false">
      <c r="A33" s="8"/>
      <c r="B33" s="8"/>
      <c r="C33" s="8"/>
      <c r="D33" s="8"/>
    </row>
    <row r="34" customFormat="false" ht="15" hidden="false" customHeight="false" outlineLevel="0" collapsed="false">
      <c r="A34" s="8"/>
      <c r="B34" s="8"/>
      <c r="C34" s="8"/>
      <c r="D34" s="8"/>
    </row>
    <row r="35" customFormat="false" ht="15" hidden="false" customHeight="false" outlineLevel="0" collapsed="false">
      <c r="A35" s="8"/>
      <c r="B35" s="8"/>
      <c r="C35" s="8"/>
      <c r="D35" s="8"/>
    </row>
    <row r="36" customFormat="false" ht="15" hidden="false" customHeight="false" outlineLevel="0" collapsed="false">
      <c r="A36" s="8"/>
      <c r="B36" s="8"/>
      <c r="C36" s="8"/>
      <c r="D36" s="8"/>
    </row>
    <row r="37" customFormat="false" ht="15" hidden="false" customHeight="false" outlineLevel="0" collapsed="false">
      <c r="A37" s="8"/>
      <c r="B37" s="8"/>
      <c r="C37" s="8"/>
      <c r="D37" s="8"/>
    </row>
    <row r="38" customFormat="false" ht="15" hidden="false" customHeight="false" outlineLevel="0" collapsed="false">
      <c r="A38" s="8"/>
      <c r="B38" s="8"/>
      <c r="C38" s="8"/>
      <c r="D38" s="8"/>
    </row>
    <row r="39" customFormat="false" ht="15" hidden="false" customHeight="false" outlineLevel="0" collapsed="false">
      <c r="A39" s="8"/>
      <c r="B39" s="8"/>
      <c r="C39" s="8"/>
      <c r="D39" s="8"/>
    </row>
    <row r="40" customFormat="false" ht="15" hidden="false" customHeight="false" outlineLevel="0" collapsed="false">
      <c r="A40" s="8"/>
      <c r="B40" s="8"/>
      <c r="C40" s="8"/>
      <c r="D40" s="8"/>
    </row>
    <row r="41" customFormat="false" ht="15" hidden="false" customHeight="false" outlineLevel="0" collapsed="false">
      <c r="A41" s="8"/>
      <c r="B41" s="8"/>
      <c r="C41" s="8"/>
      <c r="D41" s="8"/>
    </row>
    <row r="42" customFormat="false" ht="15" hidden="false" customHeight="false" outlineLevel="0" collapsed="false">
      <c r="A42" s="8"/>
      <c r="B42" s="8"/>
      <c r="C42" s="8"/>
      <c r="D42" s="8"/>
    </row>
    <row r="43" customFormat="false" ht="15" hidden="false" customHeight="false" outlineLevel="0" collapsed="false">
      <c r="A43" s="8"/>
      <c r="B43" s="8"/>
      <c r="C43" s="8"/>
      <c r="D43" s="8"/>
    </row>
  </sheetData>
  <hyperlinks>
    <hyperlink ref="A1" location="'Modelo de Dominio'!A1" display="&lt;&lt;&lt;&lt; Ir al modulo de dominio"/>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15" zoomScaleNormal="115" zoomScalePageLayoutView="100" workbookViewId="0">
      <selection pane="topLeft" activeCell="C15" activeCellId="0" sqref="C15"/>
    </sheetView>
  </sheetViews>
  <sheetFormatPr defaultColWidth="10.6796875" defaultRowHeight="15" zeroHeight="false" outlineLevelRow="0" outlineLevelCol="0"/>
  <cols>
    <col collapsed="false" customWidth="true" hidden="false" outlineLevel="0" max="1" min="1" style="0" width="39.85"/>
    <col collapsed="false" customWidth="true" hidden="false" outlineLevel="0" max="2" min="2" style="0" width="49"/>
    <col collapsed="false" customWidth="true" hidden="false" outlineLevel="0" max="3" min="3" style="0" width="121.42"/>
    <col collapsed="false" customWidth="true" hidden="false" outlineLevel="0" max="4" min="4" style="0" width="45.71"/>
    <col collapsed="false" customWidth="true" hidden="false" outlineLevel="0" max="5" min="5" style="0" width="35.14"/>
  </cols>
  <sheetData>
    <row r="1" customFormat="false" ht="15" hidden="false" customHeight="false" outlineLevel="0" collapsed="false">
      <c r="A1" s="3" t="s">
        <v>1</v>
      </c>
      <c r="B1" s="3" t="s">
        <v>32</v>
      </c>
    </row>
    <row r="2" customFormat="false" ht="45" hidden="false" customHeight="true" outlineLevel="0" collapsed="false">
      <c r="A2" s="9" t="s">
        <v>33</v>
      </c>
      <c r="B2" s="9" t="s">
        <v>34</v>
      </c>
      <c r="C2" s="10" t="s">
        <v>35</v>
      </c>
      <c r="D2" s="9" t="s">
        <v>36</v>
      </c>
      <c r="E2" s="11"/>
    </row>
    <row r="3" customFormat="false" ht="15" hidden="false" customHeight="false" outlineLevel="0" collapsed="false">
      <c r="A3" s="12" t="s">
        <v>37</v>
      </c>
      <c r="B3" s="13" t="s">
        <v>38</v>
      </c>
      <c r="C3" s="13" t="s">
        <v>39</v>
      </c>
      <c r="D3" s="14" t="s">
        <v>40</v>
      </c>
      <c r="E3" s="11"/>
    </row>
    <row r="4" customFormat="false" ht="15" hidden="false" customHeight="false" outlineLevel="0" collapsed="false">
      <c r="A4" s="15" t="n">
        <v>1</v>
      </c>
      <c r="B4" s="16" t="s">
        <v>41</v>
      </c>
      <c r="C4" s="15" t="s">
        <v>42</v>
      </c>
      <c r="D4" s="15" t="s">
        <v>43</v>
      </c>
      <c r="E4" s="11"/>
    </row>
    <row r="10" customFormat="false" ht="15" hidden="false" customHeight="false" outlineLevel="0" collapsed="false">
      <c r="A10" s="17"/>
      <c r="B10" s="18" t="s">
        <v>44</v>
      </c>
    </row>
    <row r="11" customFormat="false" ht="30" hidden="false" customHeight="true" outlineLevel="0" collapsed="false">
      <c r="A11" s="19"/>
      <c r="B11" s="18" t="s">
        <v>45</v>
      </c>
    </row>
    <row r="12" customFormat="false" ht="15" hidden="false" customHeight="false" outlineLevel="0" collapsed="false">
      <c r="A12" s="20"/>
      <c r="B12" s="18" t="s">
        <v>46</v>
      </c>
    </row>
  </sheetData>
  <hyperlinks>
    <hyperlink ref="A1" location="'Modelo de Dominio'!A1" display="&lt;&lt;&lt;&lt; Ir al modulo de dominio"/>
    <hyperlink ref="B1" location="'Objetos de Dominio'!A1" display="&lt;&lt;&lt;&lt; Ir a objetos de dominio"/>
    <hyperlink ref="B4" r:id="rId1" display="dueniodelabarberia12345@gmail.co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B18" activeCellId="0" sqref="B18"/>
    </sheetView>
  </sheetViews>
  <sheetFormatPr defaultColWidth="10.6796875" defaultRowHeight="15" zeroHeight="false" outlineLevelRow="0" outlineLevelCol="0"/>
  <cols>
    <col collapsed="false" customWidth="true" hidden="false" outlineLevel="0" max="1" min="1" style="0" width="27"/>
    <col collapsed="false" customWidth="true" hidden="false" outlineLevel="0" max="2" min="2" style="0" width="26.15"/>
    <col collapsed="false" customWidth="true" hidden="false" outlineLevel="0" max="3" min="3" style="0" width="23.29"/>
    <col collapsed="false" customWidth="true" hidden="false" outlineLevel="0" max="4" min="4" style="0" width="24.14"/>
    <col collapsed="false" customWidth="true" hidden="false" outlineLevel="0" max="5" min="5" style="0" width="25.57"/>
    <col collapsed="false" customWidth="true" hidden="false" outlineLevel="0" max="6" min="6" style="0" width="23.29"/>
    <col collapsed="false" customWidth="true" hidden="false" outlineLevel="0" max="7" min="7" style="0" width="19.29"/>
    <col collapsed="false" customWidth="true" hidden="false" outlineLevel="0" max="8" min="8" style="0" width="34.29"/>
    <col collapsed="false" customWidth="true" hidden="false" outlineLevel="0" max="9" min="9" style="0" width="68.57"/>
    <col collapsed="false" customWidth="true" hidden="false" outlineLevel="0" max="10" min="10" style="0" width="32"/>
    <col collapsed="false" customWidth="true" hidden="false" outlineLevel="0" max="11" min="11" style="0" width="41.57"/>
  </cols>
  <sheetData>
    <row r="1" customFormat="false" ht="15" hidden="false" customHeight="false" outlineLevel="0" collapsed="false">
      <c r="A1" s="3" t="s">
        <v>1</v>
      </c>
      <c r="B1" s="3" t="s">
        <v>32</v>
      </c>
      <c r="C1" s="3"/>
      <c r="D1" s="3"/>
      <c r="E1" s="3"/>
      <c r="F1" s="3"/>
    </row>
    <row r="2" customFormat="false" ht="41.25" hidden="false" customHeight="true" outlineLevel="0" collapsed="false">
      <c r="A2" s="21" t="s">
        <v>33</v>
      </c>
      <c r="B2" s="21" t="s">
        <v>47</v>
      </c>
      <c r="C2" s="21" t="s">
        <v>48</v>
      </c>
      <c r="D2" s="21" t="s">
        <v>49</v>
      </c>
      <c r="E2" s="21" t="s">
        <v>50</v>
      </c>
      <c r="F2" s="21" t="s">
        <v>51</v>
      </c>
      <c r="G2" s="22" t="s">
        <v>52</v>
      </c>
      <c r="H2" s="22" t="s">
        <v>53</v>
      </c>
      <c r="I2" s="22" t="s">
        <v>54</v>
      </c>
      <c r="J2" s="22" t="s">
        <v>55</v>
      </c>
      <c r="K2" s="23" t="s">
        <v>56</v>
      </c>
    </row>
    <row r="3" customFormat="false" ht="15" hidden="false" customHeight="false" outlineLevel="0" collapsed="false">
      <c r="A3" s="12" t="s">
        <v>37</v>
      </c>
      <c r="B3" s="13" t="s">
        <v>57</v>
      </c>
      <c r="C3" s="13" t="s">
        <v>58</v>
      </c>
      <c r="D3" s="13" t="s">
        <v>59</v>
      </c>
      <c r="E3" s="13" t="s">
        <v>60</v>
      </c>
      <c r="F3" s="13" t="s">
        <v>61</v>
      </c>
      <c r="G3" s="13" t="s">
        <v>62</v>
      </c>
      <c r="H3" s="13" t="s">
        <v>38</v>
      </c>
      <c r="I3" s="13" t="s">
        <v>39</v>
      </c>
      <c r="J3" s="24" t="s">
        <v>63</v>
      </c>
      <c r="K3" s="25" t="s">
        <v>64</v>
      </c>
    </row>
    <row r="4" customFormat="false" ht="15" hidden="false" customHeight="false" outlineLevel="0" collapsed="false">
      <c r="A4" s="15" t="n">
        <v>1</v>
      </c>
      <c r="B4" s="15" t="s">
        <v>65</v>
      </c>
      <c r="C4" s="15" t="s">
        <v>66</v>
      </c>
      <c r="D4" s="15" t="s">
        <v>67</v>
      </c>
      <c r="E4" s="15" t="s">
        <v>68</v>
      </c>
      <c r="F4" s="26" t="s">
        <v>69</v>
      </c>
      <c r="G4" s="15" t="n">
        <v>3245627890</v>
      </c>
      <c r="H4" s="16" t="s">
        <v>70</v>
      </c>
      <c r="I4" s="27" t="s">
        <v>71</v>
      </c>
      <c r="J4" s="15" t="s">
        <v>72</v>
      </c>
      <c r="K4" s="15" t="str">
        <f aca="false">_xlfn.CONCAT(B4,"-",C4,"-",D4,"-",E4,"-",F4,"-",G4)</f>
        <v>Juan-Fernando-García-Lopez-+57-3245627890</v>
      </c>
    </row>
    <row r="5" customFormat="false" ht="15" hidden="false" customHeight="false" outlineLevel="0" collapsed="false">
      <c r="A5" s="15" t="n">
        <v>2</v>
      </c>
      <c r="B5" s="15" t="s">
        <v>65</v>
      </c>
      <c r="C5" s="15" t="s">
        <v>73</v>
      </c>
      <c r="D5" s="15" t="s">
        <v>74</v>
      </c>
      <c r="E5" s="15" t="s">
        <v>75</v>
      </c>
      <c r="F5" s="26" t="s">
        <v>69</v>
      </c>
      <c r="G5" s="15" t="n">
        <v>3124518923</v>
      </c>
      <c r="H5" s="16" t="s">
        <v>76</v>
      </c>
      <c r="I5" s="27" t="s">
        <v>77</v>
      </c>
      <c r="J5" s="15" t="s">
        <v>72</v>
      </c>
      <c r="K5" s="15" t="str">
        <f aca="false">_xlfn.CONCAT(B5,"-",C5,"-",D5,"-",E5,"-",F5,"-",G5)</f>
        <v>Juan-David-Ortiz-Sanchez-+57-3124518923</v>
      </c>
    </row>
    <row r="6" customFormat="false" ht="15" hidden="false" customHeight="false" outlineLevel="0" collapsed="false">
      <c r="A6" s="15" t="n">
        <v>3</v>
      </c>
      <c r="B6" s="15" t="s">
        <v>43</v>
      </c>
      <c r="C6" s="15"/>
      <c r="D6" s="15" t="s">
        <v>78</v>
      </c>
      <c r="E6" s="15"/>
      <c r="F6" s="26" t="s">
        <v>69</v>
      </c>
      <c r="G6" s="15" t="n">
        <v>3214533321</v>
      </c>
      <c r="H6" s="16" t="s">
        <v>79</v>
      </c>
      <c r="I6" s="28" t="s">
        <v>80</v>
      </c>
      <c r="J6" s="15" t="s">
        <v>72</v>
      </c>
      <c r="K6" s="15" t="str">
        <f aca="false">_xlfn.CONCAT(B6,"-",C6,"-",D6,"-",E6,"-",F6,"-",G6)</f>
        <v>Carlos--Arbeladez--+57-3214533321</v>
      </c>
    </row>
    <row r="7" customFormat="false" ht="15" hidden="false" customHeight="false" outlineLevel="0" collapsed="false">
      <c r="A7" s="15" t="n">
        <v>4</v>
      </c>
      <c r="B7" s="15" t="s">
        <v>81</v>
      </c>
      <c r="C7" s="15"/>
      <c r="D7" s="15" t="s">
        <v>82</v>
      </c>
      <c r="E7" s="15" t="s">
        <v>83</v>
      </c>
      <c r="F7" s="26" t="s">
        <v>84</v>
      </c>
      <c r="G7" s="15" t="n">
        <v>9876543210</v>
      </c>
      <c r="H7" s="16" t="s">
        <v>85</v>
      </c>
      <c r="I7" s="27" t="s">
        <v>86</v>
      </c>
      <c r="J7" s="15" t="s">
        <v>87</v>
      </c>
      <c r="K7" s="15" t="str">
        <f aca="false">_xlfn.CONCAT(B7,"-",C7,"-",D7,"-",E7,"-",F7,"-",G7)</f>
        <v>Andres--Ramirez-Patiño-+91-9876543210</v>
      </c>
    </row>
    <row r="8" customFormat="false" ht="15" hidden="false" customHeight="false" outlineLevel="0" collapsed="false">
      <c r="A8" s="15" t="n">
        <v>5</v>
      </c>
      <c r="B8" s="15" t="s">
        <v>65</v>
      </c>
      <c r="C8" s="15" t="s">
        <v>43</v>
      </c>
      <c r="D8" s="15" t="s">
        <v>88</v>
      </c>
      <c r="E8" s="15" t="s">
        <v>89</v>
      </c>
      <c r="F8" s="26" t="s">
        <v>90</v>
      </c>
      <c r="G8" s="15" t="n">
        <v>998765432</v>
      </c>
      <c r="H8" s="16" t="s">
        <v>91</v>
      </c>
      <c r="I8" s="15" t="s">
        <v>92</v>
      </c>
      <c r="J8" s="15" t="s">
        <v>87</v>
      </c>
      <c r="K8" s="15" t="str">
        <f aca="false">_xlfn.CONCAT(B8,"-",C8,"-",D8,"-",E8,"-",F8,"-",G8)</f>
        <v>Juan-Carlos-Zambrano-Perez-+593-998765432</v>
      </c>
    </row>
    <row r="14" customFormat="false" ht="30" hidden="false" customHeight="true" outlineLevel="0" collapsed="false">
      <c r="A14" s="17"/>
      <c r="B14" s="18" t="s">
        <v>44</v>
      </c>
    </row>
    <row r="15" customFormat="false" ht="45" hidden="false" customHeight="true" outlineLevel="0" collapsed="false">
      <c r="A15" s="19"/>
      <c r="B15" s="18" t="s">
        <v>45</v>
      </c>
    </row>
    <row r="16" customFormat="false" ht="30" hidden="false" customHeight="true" outlineLevel="0" collapsed="false">
      <c r="A16" s="20"/>
      <c r="B16" s="18" t="s">
        <v>46</v>
      </c>
    </row>
    <row r="17" customFormat="false" ht="30" hidden="false" customHeight="true" outlineLevel="0" collapsed="false">
      <c r="A17" s="29"/>
      <c r="B17" s="18" t="s">
        <v>93</v>
      </c>
    </row>
    <row r="18" customFormat="false" ht="30" hidden="false" customHeight="true" outlineLevel="0" collapsed="false">
      <c r="A18" s="30"/>
      <c r="B18" s="18" t="s">
        <v>94</v>
      </c>
    </row>
  </sheetData>
  <hyperlinks>
    <hyperlink ref="A1" location="'Modelo de Dominio'!A1" display="&lt;&lt;&lt;&lt; Ir al modulo de dominio"/>
    <hyperlink ref="B1" location="'Objetos de Dominio'!A1" display="&lt;&lt;&lt;&lt; Ir a objetos de dominio"/>
    <hyperlink ref="H4" r:id="rId1" display="juanfer234535@gmail.com"/>
    <hyperlink ref="H5" r:id="rId2" display="juandaviddd2525@gmail.com"/>
    <hyperlink ref="H6" r:id="rId3" display="carlosbeladez@gmail.com"/>
    <hyperlink ref="H7" r:id="rId4" display="andresramirezpatino123@gmail.com"/>
    <hyperlink ref="H8" r:id="rId5" display="juancarloszambrano4394@gmail.co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H2" activeCellId="0" sqref="H2"/>
    </sheetView>
  </sheetViews>
  <sheetFormatPr defaultColWidth="10.6796875" defaultRowHeight="15" zeroHeight="false" outlineLevelRow="0" outlineLevelCol="0"/>
  <cols>
    <col collapsed="false" customWidth="true" hidden="false" outlineLevel="0" max="1" min="1" style="0" width="27"/>
    <col collapsed="false" customWidth="true" hidden="false" outlineLevel="0" max="2" min="2" style="0" width="26.15"/>
    <col collapsed="false" customWidth="true" hidden="false" outlineLevel="0" max="3" min="3" style="0" width="23.57"/>
    <col collapsed="false" customWidth="true" hidden="false" outlineLevel="0" max="4" min="4" style="0" width="24.29"/>
    <col collapsed="false" customWidth="true" hidden="false" outlineLevel="0" max="5" min="5" style="0" width="26.15"/>
    <col collapsed="false" customWidth="true" hidden="false" outlineLevel="0" max="6" min="6" style="0" width="29"/>
    <col collapsed="false" customWidth="true" hidden="false" outlineLevel="0" max="9" min="7" style="0" width="26.42"/>
    <col collapsed="false" customWidth="true" hidden="false" outlineLevel="0" max="10" min="10" style="0" width="40.43"/>
  </cols>
  <sheetData>
    <row r="1" customFormat="false" ht="15" hidden="false" customHeight="false" outlineLevel="0" collapsed="false">
      <c r="A1" s="16" t="s">
        <v>1</v>
      </c>
      <c r="B1" s="16" t="s">
        <v>32</v>
      </c>
      <c r="C1" s="16"/>
      <c r="D1" s="16"/>
      <c r="E1" s="16"/>
      <c r="F1" s="16"/>
      <c r="G1" s="15"/>
      <c r="H1" s="15"/>
      <c r="I1" s="15"/>
      <c r="J1" s="15"/>
    </row>
    <row r="2" customFormat="false" ht="46.5" hidden="false" customHeight="true" outlineLevel="0" collapsed="false">
      <c r="A2" s="31" t="s">
        <v>33</v>
      </c>
      <c r="B2" s="31" t="s">
        <v>95</v>
      </c>
      <c r="C2" s="31" t="s">
        <v>96</v>
      </c>
      <c r="D2" s="31" t="s">
        <v>97</v>
      </c>
      <c r="E2" s="31" t="s">
        <v>98</v>
      </c>
      <c r="F2" s="31" t="s">
        <v>99</v>
      </c>
      <c r="G2" s="32" t="s">
        <v>100</v>
      </c>
      <c r="H2" s="32" t="s">
        <v>101</v>
      </c>
      <c r="I2" s="32" t="s">
        <v>102</v>
      </c>
      <c r="J2" s="33" t="s">
        <v>103</v>
      </c>
    </row>
    <row r="3" customFormat="false" ht="15" hidden="false" customHeight="false" outlineLevel="0" collapsed="false">
      <c r="A3" s="12" t="s">
        <v>37</v>
      </c>
      <c r="B3" s="13" t="s">
        <v>57</v>
      </c>
      <c r="C3" s="13" t="s">
        <v>58</v>
      </c>
      <c r="D3" s="13" t="s">
        <v>59</v>
      </c>
      <c r="E3" s="13" t="s">
        <v>60</v>
      </c>
      <c r="F3" s="13" t="s">
        <v>104</v>
      </c>
      <c r="G3" s="13" t="s">
        <v>62</v>
      </c>
      <c r="H3" s="24" t="s">
        <v>105</v>
      </c>
      <c r="I3" s="24" t="s">
        <v>106</v>
      </c>
      <c r="J3" s="34" t="s">
        <v>107</v>
      </c>
    </row>
    <row r="4" customFormat="false" ht="15" hidden="false" customHeight="false" outlineLevel="0" collapsed="false">
      <c r="A4" s="15" t="n">
        <v>1</v>
      </c>
      <c r="B4" s="15" t="s">
        <v>65</v>
      </c>
      <c r="C4" s="15"/>
      <c r="D4" s="15" t="s">
        <v>108</v>
      </c>
      <c r="E4" s="15"/>
      <c r="F4" s="26" t="s">
        <v>69</v>
      </c>
      <c r="G4" s="15" t="n">
        <v>3234528921</v>
      </c>
      <c r="H4" s="15" t="n">
        <v>0</v>
      </c>
      <c r="I4" s="15" t="s">
        <v>87</v>
      </c>
      <c r="J4" s="15" t="str">
        <f aca="false">_xlfn.CONCAT(B4,"-",C4,"-",D4,"-",E4,"-",F4,"-",G4)</f>
        <v>Juan--Gómez--+57-3234528921</v>
      </c>
    </row>
    <row r="5" customFormat="false" ht="15" hidden="false" customHeight="false" outlineLevel="0" collapsed="false">
      <c r="A5" s="15" t="n">
        <v>2</v>
      </c>
      <c r="B5" s="15" t="s">
        <v>109</v>
      </c>
      <c r="C5" s="15" t="s">
        <v>110</v>
      </c>
      <c r="D5" s="15" t="s">
        <v>82</v>
      </c>
      <c r="E5" s="15" t="s">
        <v>89</v>
      </c>
      <c r="F5" s="26" t="s">
        <v>69</v>
      </c>
      <c r="G5" s="15" t="n">
        <v>3161657782</v>
      </c>
      <c r="H5" s="15" t="n">
        <v>0</v>
      </c>
      <c r="I5" s="15" t="s">
        <v>87</v>
      </c>
      <c r="J5" s="15" t="str">
        <f aca="false">_xlfn.CONCAT(B5,"-",C5,"-",D5,"-",E5,"-",F5,"-",G5)</f>
        <v>Jose-Miguel-Ramirez-Perez-+57-3161657782</v>
      </c>
    </row>
    <row r="6" customFormat="false" ht="15" hidden="false" customHeight="false" outlineLevel="0" collapsed="false">
      <c r="A6" s="15" t="n">
        <v>3</v>
      </c>
      <c r="B6" s="15" t="s">
        <v>111</v>
      </c>
      <c r="C6" s="15"/>
      <c r="D6" s="15" t="s">
        <v>112</v>
      </c>
      <c r="E6" s="15" t="s">
        <v>82</v>
      </c>
      <c r="F6" s="26" t="s">
        <v>69</v>
      </c>
      <c r="G6" s="15" t="n">
        <v>3119884321</v>
      </c>
      <c r="H6" s="15" t="n">
        <v>0</v>
      </c>
      <c r="I6" s="15" t="s">
        <v>87</v>
      </c>
      <c r="J6" s="15" t="str">
        <f aca="false">_xlfn.CONCAT(B6,"-",C6,"-",D6,"-",E6,"-",F6,"-",G6)</f>
        <v>Simon--Ochoa-Ramirez-+57-3119884321</v>
      </c>
    </row>
    <row r="7" customFormat="false" ht="15" hidden="false" customHeight="false" outlineLevel="0" collapsed="false">
      <c r="A7" s="15" t="n">
        <v>4</v>
      </c>
      <c r="B7" s="15" t="s">
        <v>113</v>
      </c>
      <c r="C7" s="15"/>
      <c r="D7" s="15" t="s">
        <v>114</v>
      </c>
      <c r="E7" s="15"/>
      <c r="F7" s="26" t="s">
        <v>115</v>
      </c>
      <c r="G7" s="15" t="n">
        <v>4127359182</v>
      </c>
      <c r="H7" s="15" t="n">
        <v>1</v>
      </c>
      <c r="I7" s="15" t="s">
        <v>87</v>
      </c>
      <c r="J7" s="15" t="str">
        <f aca="false">_xlfn.CONCAT(B7,"-",C7,"-",D7,"-",E7,"-",F7,"-",G7)</f>
        <v>Alexis--Gallego--+58-4127359182</v>
      </c>
    </row>
    <row r="8" customFormat="false" ht="15" hidden="false" customHeight="false" outlineLevel="0" collapsed="false">
      <c r="A8" s="15" t="n">
        <v>5</v>
      </c>
      <c r="B8" s="15" t="s">
        <v>116</v>
      </c>
      <c r="C8" s="15" t="s">
        <v>117</v>
      </c>
      <c r="D8" s="15" t="s">
        <v>118</v>
      </c>
      <c r="E8" s="15" t="s">
        <v>119</v>
      </c>
      <c r="F8" s="26" t="s">
        <v>69</v>
      </c>
      <c r="G8" s="15" t="n">
        <v>3005544332</v>
      </c>
      <c r="H8" s="15" t="n">
        <v>3</v>
      </c>
      <c r="I8" s="15" t="s">
        <v>72</v>
      </c>
      <c r="J8" s="15" t="str">
        <f aca="false">_xlfn.CONCAT(B8,"-",C8,"-",D8,"-",E8,"-",F8,"-",G8)</f>
        <v>Kevin-Andrés-Muñoz-Salazar-+57-3005544332</v>
      </c>
    </row>
    <row r="13" customFormat="false" ht="30" hidden="false" customHeight="true" outlineLevel="0" collapsed="false">
      <c r="A13" s="17"/>
      <c r="B13" s="18"/>
    </row>
    <row r="14" customFormat="false" ht="45" hidden="false" customHeight="true" outlineLevel="0" collapsed="false">
      <c r="A14" s="17"/>
      <c r="B14" s="18" t="s">
        <v>44</v>
      </c>
    </row>
    <row r="15" customFormat="false" ht="30" hidden="false" customHeight="true" outlineLevel="0" collapsed="false">
      <c r="A15" s="19"/>
      <c r="B15" s="18" t="s">
        <v>45</v>
      </c>
    </row>
    <row r="16" customFormat="false" ht="30" hidden="false" customHeight="true" outlineLevel="0" collapsed="false">
      <c r="A16" s="20"/>
      <c r="B16" s="18" t="s">
        <v>46</v>
      </c>
    </row>
    <row r="17" customFormat="false" ht="30" hidden="false" customHeight="true" outlineLevel="0" collapsed="false">
      <c r="A17" s="29"/>
      <c r="B17" s="18" t="s">
        <v>93</v>
      </c>
    </row>
    <row r="18" customFormat="false" ht="28.35" hidden="false" customHeight="false" outlineLevel="0" collapsed="false">
      <c r="A18" s="30"/>
      <c r="B18" s="18" t="s">
        <v>94</v>
      </c>
    </row>
  </sheetData>
  <hyperlinks>
    <hyperlink ref="A1" location="'Modelo de Dominio'!A1" display="&lt;&lt;&lt;&lt; Ir al modulo de dominio"/>
    <hyperlink ref="B1" location="'Objetos de Dominio'!A1" display="&lt;&lt;&lt;&lt; Ir a objetos de dominio"/>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A21" activeCellId="0" sqref="A21"/>
    </sheetView>
  </sheetViews>
  <sheetFormatPr defaultColWidth="10.6796875" defaultRowHeight="15" zeroHeight="false" outlineLevelRow="0" outlineLevelCol="0"/>
  <cols>
    <col collapsed="false" customWidth="true" hidden="false" outlineLevel="0" max="1" min="1" style="0" width="27"/>
    <col collapsed="false" customWidth="true" hidden="false" outlineLevel="0" max="2" min="2" style="0" width="24.71"/>
    <col collapsed="false" customWidth="true" hidden="false" outlineLevel="0" max="3" min="3" style="0" width="39.85"/>
    <col collapsed="false" customWidth="true" hidden="false" outlineLevel="0" max="4" min="4" style="0" width="22"/>
    <col collapsed="false" customWidth="true" hidden="false" outlineLevel="0" max="8" min="5" style="0" width="21.57"/>
    <col collapsed="false" customWidth="true" hidden="false" outlineLevel="0" max="9" min="9" style="0" width="43"/>
  </cols>
  <sheetData>
    <row r="1" customFormat="false" ht="15" hidden="false" customHeight="false" outlineLevel="0" collapsed="false">
      <c r="A1" s="3" t="s">
        <v>1</v>
      </c>
      <c r="B1" s="3" t="s">
        <v>32</v>
      </c>
    </row>
    <row r="2" customFormat="false" ht="43.5" hidden="false" customHeight="true" outlineLevel="0" collapsed="false">
      <c r="A2" s="32" t="s">
        <v>33</v>
      </c>
      <c r="B2" s="32" t="s">
        <v>120</v>
      </c>
      <c r="C2" s="32" t="s">
        <v>121</v>
      </c>
      <c r="D2" s="32" t="s">
        <v>122</v>
      </c>
      <c r="E2" s="32" t="s">
        <v>123</v>
      </c>
      <c r="F2" s="32"/>
      <c r="G2" s="32"/>
      <c r="H2" s="32"/>
      <c r="I2" s="32" t="s">
        <v>124</v>
      </c>
    </row>
    <row r="3" customFormat="false" ht="15" hidden="false" customHeight="false" outlineLevel="0" collapsed="false">
      <c r="A3" s="12" t="s">
        <v>37</v>
      </c>
      <c r="B3" s="35" t="s">
        <v>125</v>
      </c>
      <c r="C3" s="36" t="s">
        <v>126</v>
      </c>
      <c r="D3" s="37" t="s">
        <v>127</v>
      </c>
      <c r="E3" s="38" t="s">
        <v>128</v>
      </c>
      <c r="F3" s="24" t="s">
        <v>129</v>
      </c>
      <c r="G3" s="24" t="s">
        <v>130</v>
      </c>
      <c r="H3" s="39" t="s">
        <v>63</v>
      </c>
      <c r="I3" s="40" t="s">
        <v>107</v>
      </c>
    </row>
    <row r="4" customFormat="false" ht="15" hidden="false" customHeight="false" outlineLevel="0" collapsed="false">
      <c r="A4" s="15" t="n">
        <v>1</v>
      </c>
      <c r="B4" s="16" t="str">
        <f aca="false">'M-Dueño'!D4</f>
        <v>Carlos</v>
      </c>
      <c r="C4" s="41" t="s">
        <v>131</v>
      </c>
      <c r="D4" s="42" t="n">
        <v>0.375</v>
      </c>
      <c r="E4" s="42" t="n">
        <v>0.791666666666667</v>
      </c>
      <c r="F4" s="43" t="n">
        <v>44265</v>
      </c>
      <c r="G4" s="42" t="s">
        <v>132</v>
      </c>
      <c r="H4" s="42" t="s">
        <v>72</v>
      </c>
      <c r="I4" s="15" t="str">
        <f aca="false">_xlfn.CONCAT(C4,"-",TEXT(D4,"hh:mm"),"-",TEXT(E4,"hh:mm"),"-",TEXT(F4,"dd/mm/yyyy"),"-",TEXT(G4,"dd/mm/yyyy"))</f>
        <v>Lunes-09:00-19:00-10/03/2021-01/01/1000</v>
      </c>
    </row>
    <row r="5" customFormat="false" ht="15" hidden="false" customHeight="false" outlineLevel="0" collapsed="false">
      <c r="A5" s="15" t="n">
        <v>2</v>
      </c>
      <c r="B5" s="16" t="str">
        <f aca="false">'M-Dueño'!D4</f>
        <v>Carlos</v>
      </c>
      <c r="C5" s="15" t="s">
        <v>133</v>
      </c>
      <c r="D5" s="42" t="n">
        <v>0.375</v>
      </c>
      <c r="E5" s="42" t="n">
        <v>0.791666666666667</v>
      </c>
      <c r="F5" s="43" t="n">
        <v>44265</v>
      </c>
      <c r="G5" s="42" t="s">
        <v>132</v>
      </c>
      <c r="H5" s="42" t="s">
        <v>72</v>
      </c>
      <c r="I5" s="15" t="str">
        <f aca="false">_xlfn.CONCAT(C5,"-",TEXT(D5,"hh:mm"),"-",TEXT(E5,"hh:mm"),"-",TEXT(F5,"dd/mm/yyyy"),"-",TEXT(G5,"dd/mm/yyyy"))</f>
        <v>Martes-09:00-19:00-10/03/2021-01/01/1000</v>
      </c>
    </row>
    <row r="6" customFormat="false" ht="15" hidden="false" customHeight="false" outlineLevel="0" collapsed="false">
      <c r="A6" s="15" t="n">
        <v>3</v>
      </c>
      <c r="B6" s="16" t="str">
        <f aca="false">'M-Dueño'!D4</f>
        <v>Carlos</v>
      </c>
      <c r="C6" s="41" t="s">
        <v>134</v>
      </c>
      <c r="D6" s="42" t="n">
        <v>0.375</v>
      </c>
      <c r="E6" s="42" t="n">
        <v>0.791666666666667</v>
      </c>
      <c r="F6" s="43" t="n">
        <v>44265</v>
      </c>
      <c r="G6" s="42" t="s">
        <v>132</v>
      </c>
      <c r="H6" s="42" t="s">
        <v>72</v>
      </c>
      <c r="I6" s="15" t="str">
        <f aca="false">_xlfn.CONCAT(C6,"-",TEXT(D6,"hh:mm"),"-",TEXT(E6,"hh:mm"),"-",TEXT(F6,"dd/mm/yyyy"),"-",TEXT(G6,"dd/mm/yyyy"))</f>
        <v>Miércoles-09:00-19:00-10/03/2021-01/01/1000</v>
      </c>
    </row>
    <row r="7" customFormat="false" ht="15" hidden="false" customHeight="false" outlineLevel="0" collapsed="false">
      <c r="A7" s="15" t="n">
        <v>4</v>
      </c>
      <c r="B7" s="16" t="str">
        <f aca="false">'M-Dueño'!D4</f>
        <v>Carlos</v>
      </c>
      <c r="C7" s="15" t="s">
        <v>135</v>
      </c>
      <c r="D7" s="42" t="n">
        <v>0.375</v>
      </c>
      <c r="E7" s="42" t="n">
        <v>0.791666666666667</v>
      </c>
      <c r="F7" s="43" t="n">
        <v>44265</v>
      </c>
      <c r="G7" s="42" t="s">
        <v>132</v>
      </c>
      <c r="H7" s="42" t="s">
        <v>72</v>
      </c>
      <c r="I7" s="15" t="str">
        <f aca="false">_xlfn.CONCAT(C7,"-",TEXT(D7,"hh:mm"),"-",TEXT(E7,"hh:mm"),"-",TEXT(F7,"dd/mm/yyyy"),"-",TEXT(G7,"dd/mm/yyyy"))</f>
        <v>Jueves-09:00-19:00-10/03/2021-01/01/1000</v>
      </c>
    </row>
    <row r="8" customFormat="false" ht="15" hidden="false" customHeight="false" outlineLevel="0" collapsed="false">
      <c r="A8" s="15" t="n">
        <v>5</v>
      </c>
      <c r="B8" s="16" t="str">
        <f aca="false">'M-Dueño'!D4</f>
        <v>Carlos</v>
      </c>
      <c r="C8" s="41" t="s">
        <v>136</v>
      </c>
      <c r="D8" s="42" t="n">
        <v>0.375</v>
      </c>
      <c r="E8" s="42" t="n">
        <v>0.791666666666667</v>
      </c>
      <c r="F8" s="43" t="n">
        <v>44265</v>
      </c>
      <c r="G8" s="42" t="s">
        <v>132</v>
      </c>
      <c r="H8" s="42" t="s">
        <v>72</v>
      </c>
      <c r="I8" s="15" t="str">
        <f aca="false">_xlfn.CONCAT(C8,"-",TEXT(D8,"hh:mm"),"-",TEXT(E8,"hh:mm"),"-",TEXT(F8,"dd/mm/yyyy"),"-",TEXT(G8,"dd/mm/yyyy"))</f>
        <v>Viernes-09:00-19:00-10/03/2021-01/01/1000</v>
      </c>
    </row>
    <row r="9" customFormat="false" ht="15" hidden="false" customHeight="false" outlineLevel="0" collapsed="false">
      <c r="A9" s="15" t="n">
        <v>6</v>
      </c>
      <c r="B9" s="16" t="str">
        <f aca="false">'M-Dueño'!D4</f>
        <v>Carlos</v>
      </c>
      <c r="C9" s="15" t="s">
        <v>137</v>
      </c>
      <c r="D9" s="44" t="n">
        <v>0.333333333333333</v>
      </c>
      <c r="E9" s="42" t="n">
        <v>0.875</v>
      </c>
      <c r="F9" s="43" t="n">
        <v>45626</v>
      </c>
      <c r="G9" s="43" t="n">
        <v>46023</v>
      </c>
      <c r="H9" s="42" t="s">
        <v>87</v>
      </c>
      <c r="I9" s="15" t="str">
        <f aca="false">_xlfn.CONCAT(C9,"-",TEXT(D9,"hh:mm"),"-",TEXT(E9,"hh:mm"),"-",TEXT(F9,"dd/mm/yyyy"),"-",TEXT(G9,"dd/mm/yyyy"))</f>
        <v>Sábado-08:00-21:00-30/11/2024-01/01/2026</v>
      </c>
    </row>
    <row r="10" customFormat="false" ht="15" hidden="false" customHeight="false" outlineLevel="0" collapsed="false">
      <c r="A10" s="15" t="n">
        <v>7</v>
      </c>
      <c r="B10" s="16" t="str">
        <f aca="false">'M-Dueño'!D4</f>
        <v>Carlos</v>
      </c>
      <c r="C10" s="41" t="s">
        <v>138</v>
      </c>
      <c r="D10" s="42" t="n">
        <v>0.416666666666667</v>
      </c>
      <c r="E10" s="42" t="n">
        <v>0.625</v>
      </c>
      <c r="F10" s="43" t="n">
        <v>45879</v>
      </c>
      <c r="G10" s="43" t="n">
        <v>46215</v>
      </c>
      <c r="H10" s="42" t="s">
        <v>87</v>
      </c>
      <c r="I10" s="15" t="str">
        <f aca="false">_xlfn.CONCAT(C10,"-",TEXT(D10,"hh:mm"),"-",TEXT(E10,"hh:mm"),"-",TEXT(F10,"dd/mm/yyyy"),"-",TEXT(G10,"dd/mm/yyyy"))</f>
        <v>Festivo-10:00-15:00-10/08/2025-12/07/2026</v>
      </c>
    </row>
    <row r="16" customFormat="false" ht="45" hidden="false" customHeight="true" outlineLevel="0" collapsed="false">
      <c r="A16" s="17"/>
      <c r="B16" s="18" t="s">
        <v>44</v>
      </c>
    </row>
    <row r="17" customFormat="false" ht="45" hidden="false" customHeight="true" outlineLevel="0" collapsed="false">
      <c r="A17" s="19"/>
      <c r="B17" s="18" t="s">
        <v>45</v>
      </c>
    </row>
    <row r="18" customFormat="false" ht="30" hidden="false" customHeight="true" outlineLevel="0" collapsed="false">
      <c r="A18" s="45"/>
      <c r="B18" s="18" t="s">
        <v>139</v>
      </c>
    </row>
    <row r="19" customFormat="false" ht="30" hidden="false" customHeight="true" outlineLevel="0" collapsed="false">
      <c r="A19" s="20"/>
      <c r="B19" s="18" t="s">
        <v>46</v>
      </c>
    </row>
    <row r="20" customFormat="false" ht="30" hidden="false" customHeight="true" outlineLevel="0" collapsed="false">
      <c r="A20" s="46"/>
      <c r="B20" s="18" t="s">
        <v>140</v>
      </c>
    </row>
    <row r="21" customFormat="false" ht="30" hidden="false" customHeight="true" outlineLevel="0" collapsed="false">
      <c r="A21" s="29"/>
      <c r="B21" s="18" t="s">
        <v>93</v>
      </c>
    </row>
    <row r="22" customFormat="false" ht="30" hidden="false" customHeight="true" outlineLevel="0" collapsed="false">
      <c r="A22" s="47"/>
      <c r="B22" s="18" t="s">
        <v>141</v>
      </c>
    </row>
    <row r="23" customFormat="false" ht="30" hidden="false" customHeight="true" outlineLevel="0" collapsed="false">
      <c r="A23" s="30"/>
      <c r="B23" s="18" t="s">
        <v>94</v>
      </c>
    </row>
  </sheetData>
  <hyperlinks>
    <hyperlink ref="A1" location="'Modelo de Dominio'!A1" display="&lt;&lt;&lt;&lt; Ir al modulo de dominio"/>
    <hyperlink ref="B1" location="'Objetos de Dominio'!A1" display="&lt;&lt;&lt;&lt; Ir a objetos de dominio"/>
    <hyperlink ref="B3" location="'M-Dueño'!A1" display="dueño"/>
    <hyperlink ref="B4" location="'M-Dueño'!A4" display="#'M-Dueño'.A4"/>
    <hyperlink ref="B5" location="'M-Dueño'!A4" display="#'M-Dueño'.A4"/>
    <hyperlink ref="B6" location="'M-Dueño'!A4" display="#'M-Dueño'.A4"/>
    <hyperlink ref="B7" location="'M-Dueño'!A4" display="#'M-Dueño'.A4"/>
    <hyperlink ref="B8" location="'M-Dueño'!A4" display="#'M-Dueño'.A4"/>
    <hyperlink ref="B9" location="'M-Dueño'!A4" display="#'M-Dueño'.A4"/>
    <hyperlink ref="B10" location="'M-Dueño'!A4" display="#'M-Dueño'.A4"/>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A9" activeCellId="0" sqref="A9"/>
    </sheetView>
  </sheetViews>
  <sheetFormatPr defaultColWidth="10.6796875" defaultRowHeight="15" zeroHeight="false" outlineLevelRow="0" outlineLevelCol="0"/>
  <cols>
    <col collapsed="false" customWidth="true" hidden="false" outlineLevel="0" max="1" min="1" style="0" width="27"/>
    <col collapsed="false" customWidth="true" hidden="false" outlineLevel="0" max="2" min="2" style="0" width="34.29"/>
    <col collapsed="false" customWidth="true" hidden="false" outlineLevel="0" max="3" min="3" style="0" width="34.14"/>
    <col collapsed="false" customWidth="true" hidden="false" outlineLevel="0" max="4" min="4" style="0" width="32.57"/>
    <col collapsed="false" customWidth="true" hidden="false" outlineLevel="0" max="5" min="5" style="0" width="25"/>
    <col collapsed="false" customWidth="true" hidden="false" outlineLevel="0" max="6" min="6" style="0" width="23.71"/>
  </cols>
  <sheetData>
    <row r="1" customFormat="false" ht="15" hidden="false" customHeight="false" outlineLevel="0" collapsed="false">
      <c r="A1" s="3" t="s">
        <v>1</v>
      </c>
      <c r="B1" s="3" t="s">
        <v>32</v>
      </c>
    </row>
    <row r="2" customFormat="false" ht="52.5" hidden="false" customHeight="true" outlineLevel="0" collapsed="false">
      <c r="A2" s="31" t="s">
        <v>33</v>
      </c>
      <c r="B2" s="32" t="s">
        <v>142</v>
      </c>
      <c r="C2" s="32" t="s">
        <v>143</v>
      </c>
      <c r="D2" s="32" t="s">
        <v>144</v>
      </c>
      <c r="E2" s="32" t="s">
        <v>145</v>
      </c>
      <c r="F2" s="32" t="s">
        <v>146</v>
      </c>
    </row>
    <row r="3" customFormat="false" ht="15" hidden="false" customHeight="false" outlineLevel="0" collapsed="false">
      <c r="A3" s="12" t="s">
        <v>37</v>
      </c>
      <c r="B3" s="48" t="s">
        <v>147</v>
      </c>
      <c r="C3" s="48" t="s">
        <v>148</v>
      </c>
      <c r="D3" s="48" t="s">
        <v>149</v>
      </c>
      <c r="E3" s="48" t="s">
        <v>150</v>
      </c>
      <c r="F3" s="48" t="s">
        <v>151</v>
      </c>
    </row>
    <row r="4" customFormat="false" ht="15" hidden="false" customHeight="false" outlineLevel="0" collapsed="false">
      <c r="A4" s="15" t="n">
        <v>1</v>
      </c>
      <c r="B4" s="15" t="n">
        <v>10</v>
      </c>
      <c r="C4" s="49" t="n">
        <v>10000</v>
      </c>
      <c r="D4" s="15" t="n">
        <v>3</v>
      </c>
      <c r="E4" s="15" t="n">
        <v>15</v>
      </c>
      <c r="F4" s="15" t="n">
        <v>10</v>
      </c>
    </row>
    <row r="9" customFormat="false" ht="30" hidden="false" customHeight="true" outlineLevel="0" collapsed="false">
      <c r="A9" s="17"/>
      <c r="B9" s="18" t="s">
        <v>44</v>
      </c>
    </row>
    <row r="10" customFormat="false" ht="30" hidden="false" customHeight="true" outlineLevel="0" collapsed="false">
      <c r="A10" s="19"/>
      <c r="B10" s="18" t="s">
        <v>45</v>
      </c>
    </row>
    <row r="11" customFormat="false" ht="15" hidden="false" customHeight="false" outlineLevel="0" collapsed="false">
      <c r="A11" s="50"/>
      <c r="B11" s="51" t="s">
        <v>152</v>
      </c>
    </row>
  </sheetData>
  <hyperlinks>
    <hyperlink ref="A1" location="'Modelo de Dominio'!A1" display="&lt;&lt;&lt;&lt; Ir al modulo de dominio"/>
    <hyperlink ref="B1" location="'Objetos de Dominio'!A1" display="&lt;&lt;&lt;&lt; Ir a objetos de dominio"/>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4" colorId="64" zoomScale="145" zoomScaleNormal="145" zoomScalePageLayoutView="100" workbookViewId="0">
      <selection pane="topLeft" activeCell="A13" activeCellId="0" sqref="A13"/>
    </sheetView>
  </sheetViews>
  <sheetFormatPr defaultColWidth="10.6796875" defaultRowHeight="15" zeroHeight="false" outlineLevelRow="0" outlineLevelCol="0"/>
  <cols>
    <col collapsed="false" customWidth="true" hidden="false" outlineLevel="0" max="2" min="1" style="0" width="27"/>
    <col collapsed="false" customWidth="true" hidden="false" outlineLevel="0" max="4" min="3" style="0" width="26.15"/>
    <col collapsed="false" customWidth="true" hidden="false" outlineLevel="0" max="5" min="5" style="0" width="22.86"/>
    <col collapsed="false" customWidth="true" hidden="false" outlineLevel="0" max="6" min="6" style="0" width="22"/>
  </cols>
  <sheetData>
    <row r="1" customFormat="false" ht="15" hidden="false" customHeight="false" outlineLevel="0" collapsed="false">
      <c r="A1" s="52" t="s">
        <v>1</v>
      </c>
      <c r="B1" s="52"/>
      <c r="C1" s="52" t="s">
        <v>32</v>
      </c>
      <c r="D1" s="52"/>
      <c r="E1" s="53"/>
      <c r="F1" s="11"/>
    </row>
    <row r="2" customFormat="false" ht="52.5" hidden="false" customHeight="true" outlineLevel="0" collapsed="false">
      <c r="A2" s="31" t="s">
        <v>33</v>
      </c>
      <c r="B2" s="31" t="s">
        <v>153</v>
      </c>
      <c r="C2" s="31" t="s">
        <v>154</v>
      </c>
      <c r="D2" s="31" t="s">
        <v>155</v>
      </c>
      <c r="E2" s="54" t="s">
        <v>156</v>
      </c>
      <c r="F2" s="32" t="s">
        <v>157</v>
      </c>
    </row>
    <row r="3" customFormat="false" ht="15" hidden="false" customHeight="false" outlineLevel="0" collapsed="false">
      <c r="A3" s="55" t="s">
        <v>37</v>
      </c>
      <c r="B3" s="56" t="s">
        <v>125</v>
      </c>
      <c r="C3" s="57" t="s">
        <v>40</v>
      </c>
      <c r="D3" s="57" t="s">
        <v>158</v>
      </c>
      <c r="E3" s="58" t="s">
        <v>159</v>
      </c>
      <c r="F3" s="25" t="s">
        <v>160</v>
      </c>
    </row>
    <row r="4" customFormat="false" ht="15" hidden="false" customHeight="false" outlineLevel="0" collapsed="false">
      <c r="A4" s="59" t="n">
        <v>1</v>
      </c>
      <c r="B4" s="59" t="str">
        <f aca="false">'M-Dueño'!D4</f>
        <v>Carlos</v>
      </c>
      <c r="C4" s="59" t="s">
        <v>161</v>
      </c>
      <c r="D4" s="59" t="s">
        <v>162</v>
      </c>
      <c r="E4" s="60" t="n">
        <v>22000</v>
      </c>
      <c r="F4" s="15" t="str">
        <f aca="false">C4</f>
        <v>Motilada</v>
      </c>
    </row>
    <row r="5" customFormat="false" ht="15" hidden="false" customHeight="false" outlineLevel="0" collapsed="false">
      <c r="A5" s="59" t="n">
        <v>2</v>
      </c>
      <c r="B5" s="59" t="str">
        <f aca="false">'M-Dueño'!D4</f>
        <v>Carlos</v>
      </c>
      <c r="C5" s="59" t="s">
        <v>163</v>
      </c>
      <c r="D5" s="59" t="s">
        <v>164</v>
      </c>
      <c r="E5" s="60" t="n">
        <v>12000</v>
      </c>
      <c r="F5" s="15" t="str">
        <f aca="false">C5</f>
        <v>Corte de barba</v>
      </c>
    </row>
    <row r="6" customFormat="false" ht="15" hidden="false" customHeight="false" outlineLevel="0" collapsed="false">
      <c r="A6" s="59" t="n">
        <v>3</v>
      </c>
      <c r="B6" s="59" t="str">
        <f aca="false">'M-Dueño'!D4</f>
        <v>Carlos</v>
      </c>
      <c r="C6" s="59" t="s">
        <v>165</v>
      </c>
      <c r="D6" s="59" t="s">
        <v>166</v>
      </c>
      <c r="E6" s="60" t="n">
        <v>15000</v>
      </c>
      <c r="F6" s="15" t="str">
        <f aca="false">C6</f>
        <v>Perfilada de barba</v>
      </c>
    </row>
    <row r="7" customFormat="false" ht="32.25" hidden="false" customHeight="true" outlineLevel="0" collapsed="false">
      <c r="A7" s="59" t="n">
        <v>4</v>
      </c>
      <c r="B7" s="59" t="str">
        <f aca="false">'M-Dueño'!D4</f>
        <v>Carlos</v>
      </c>
      <c r="C7" s="61" t="s">
        <v>167</v>
      </c>
      <c r="D7" s="61" t="s">
        <v>168</v>
      </c>
      <c r="E7" s="60" t="n">
        <v>35000</v>
      </c>
      <c r="F7" s="62" t="str">
        <f aca="false">C7</f>
        <v>Arreglo completo de barba con toalla caliente</v>
      </c>
    </row>
    <row r="13" customFormat="false" ht="30" hidden="false" customHeight="true" outlineLevel="0" collapsed="false">
      <c r="A13" s="17"/>
      <c r="B13" s="18" t="s">
        <v>44</v>
      </c>
    </row>
    <row r="14" customFormat="false" ht="30" hidden="false" customHeight="true" outlineLevel="0" collapsed="false">
      <c r="A14" s="19"/>
      <c r="B14" s="18" t="s">
        <v>45</v>
      </c>
    </row>
    <row r="15" customFormat="false" ht="45" hidden="false" customHeight="true" outlineLevel="0" collapsed="false">
      <c r="A15" s="45"/>
      <c r="B15" s="18" t="s">
        <v>169</v>
      </c>
    </row>
    <row r="16" customFormat="false" ht="30" hidden="false" customHeight="true" outlineLevel="0" collapsed="false">
      <c r="A16" s="20"/>
      <c r="B16" s="18" t="s">
        <v>46</v>
      </c>
    </row>
    <row r="17" customFormat="false" ht="30" hidden="false" customHeight="true" outlineLevel="0" collapsed="false">
      <c r="A17" s="63"/>
      <c r="B17" s="18" t="s">
        <v>152</v>
      </c>
    </row>
    <row r="18" customFormat="false" ht="30" hidden="false" customHeight="true" outlineLevel="0" collapsed="false">
      <c r="A18" s="64"/>
      <c r="B18" s="18" t="s">
        <v>94</v>
      </c>
    </row>
  </sheetData>
  <hyperlinks>
    <hyperlink ref="A1" location="'Modelo de Dominio'!A1" display="&lt;&lt;&lt;&lt; Ir al modulo de dominio"/>
    <hyperlink ref="C1" location="'Objetos de Dominio'!A1" display="&lt;&lt;&lt;&lt; Ir a objetos de dominio"/>
    <hyperlink ref="B3" location="'M-Dueño'!A1" display="dueño"/>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F3" activeCellId="0" sqref="F3"/>
    </sheetView>
  </sheetViews>
  <sheetFormatPr defaultColWidth="10.6796875" defaultRowHeight="15" zeroHeight="false" outlineLevelRow="0" outlineLevelCol="0"/>
  <cols>
    <col collapsed="false" customWidth="true" hidden="false" outlineLevel="0" max="1" min="1" style="0" width="27"/>
    <col collapsed="false" customWidth="true" hidden="false" outlineLevel="0" max="2" min="2" style="0" width="29.86"/>
    <col collapsed="false" customWidth="true" hidden="false" outlineLevel="0" max="5" min="3" style="0" width="42"/>
    <col collapsed="false" customWidth="true" hidden="false" outlineLevel="0" max="6" min="6" style="0" width="68.57"/>
  </cols>
  <sheetData>
    <row r="1" customFormat="false" ht="15" hidden="false" customHeight="false" outlineLevel="0" collapsed="false">
      <c r="A1" s="3" t="s">
        <v>1</v>
      </c>
      <c r="B1" s="3" t="s">
        <v>32</v>
      </c>
    </row>
    <row r="2" customFormat="false" ht="40.5" hidden="false" customHeight="true" outlineLevel="0" collapsed="false">
      <c r="A2" s="31" t="s">
        <v>33</v>
      </c>
      <c r="B2" s="65" t="s">
        <v>170</v>
      </c>
      <c r="C2" s="54" t="s">
        <v>171</v>
      </c>
      <c r="D2" s="54" t="s">
        <v>172</v>
      </c>
      <c r="E2" s="54" t="s">
        <v>173</v>
      </c>
      <c r="F2" s="66" t="s">
        <v>174</v>
      </c>
    </row>
    <row r="3" customFormat="false" ht="15" hidden="false" customHeight="false" outlineLevel="0" collapsed="false">
      <c r="A3" s="12" t="s">
        <v>37</v>
      </c>
      <c r="B3" s="35" t="s">
        <v>175</v>
      </c>
      <c r="C3" s="35" t="s">
        <v>176</v>
      </c>
      <c r="D3" s="67" t="s">
        <v>177</v>
      </c>
      <c r="E3" s="67" t="s">
        <v>178</v>
      </c>
      <c r="F3" s="40" t="s">
        <v>107</v>
      </c>
    </row>
    <row r="4" customFormat="false" ht="15" hidden="false" customHeight="false" outlineLevel="0" collapsed="false">
      <c r="A4" s="15" t="n">
        <v>1</v>
      </c>
      <c r="B4" s="16" t="str">
        <f aca="false">_xlfn.CONCAT('M-Barbero'!B4," ",'M-Barbero'!D4)</f>
        <v>Juan García</v>
      </c>
      <c r="C4" s="16" t="str">
        <f aca="false">'M-Servicio'!C4</f>
        <v>Motilada</v>
      </c>
      <c r="D4" s="27" t="n">
        <v>45</v>
      </c>
      <c r="E4" s="27" t="n">
        <v>15</v>
      </c>
      <c r="F4" s="15" t="str">
        <f aca="false">_xlfn.CONCAT(B4,"-",C4)</f>
        <v>Juan García-Motilada</v>
      </c>
    </row>
    <row r="5" customFormat="false" ht="15" hidden="false" customHeight="false" outlineLevel="0" collapsed="false">
      <c r="A5" s="15" t="n">
        <v>2</v>
      </c>
      <c r="B5" s="16" t="str">
        <f aca="false">_xlfn.CONCAT('M-Barbero'!B5," ",'M-Barbero'!D5)</f>
        <v>Juan Ortiz</v>
      </c>
      <c r="C5" s="16" t="str">
        <f aca="false">'M-Servicio'!C5</f>
        <v>Corte de barba</v>
      </c>
      <c r="D5" s="27" t="n">
        <v>10</v>
      </c>
      <c r="E5" s="27" t="n">
        <v>5</v>
      </c>
      <c r="F5" s="15" t="str">
        <f aca="false">_xlfn.CONCAT(B5,"-",C5)</f>
        <v>Juan Ortiz-Corte de barba</v>
      </c>
    </row>
    <row r="6" customFormat="false" ht="15" hidden="false" customHeight="false" outlineLevel="0" collapsed="false">
      <c r="A6" s="15" t="n">
        <v>3</v>
      </c>
      <c r="B6" s="16" t="str">
        <f aca="false">_xlfn.CONCAT('M-Barbero'!B6," ",'M-Barbero'!D6)</f>
        <v>Carlos Arbeladez</v>
      </c>
      <c r="C6" s="16" t="str">
        <f aca="false">'M-Servicio'!C6</f>
        <v>Perfilada de barba</v>
      </c>
      <c r="D6" s="27" t="n">
        <v>15</v>
      </c>
      <c r="E6" s="27" t="n">
        <v>5</v>
      </c>
      <c r="F6" s="15" t="str">
        <f aca="false">_xlfn.CONCAT(B6,"-",C6)</f>
        <v>Carlos Arbeladez-Perfilada de barba</v>
      </c>
    </row>
    <row r="7" customFormat="false" ht="15" hidden="false" customHeight="false" outlineLevel="0" collapsed="false">
      <c r="A7" s="15" t="n">
        <v>4</v>
      </c>
      <c r="B7" s="16" t="str">
        <f aca="false">_xlfn.CONCAT('M-Barbero'!B7," ",'M-Barbero'!D7)</f>
        <v>Andres Ramirez</v>
      </c>
      <c r="C7" s="16" t="str">
        <f aca="false">'M-Servicio'!C7</f>
        <v>Arreglo completo de barba con toalla caliente</v>
      </c>
      <c r="D7" s="27" t="n">
        <v>40</v>
      </c>
      <c r="E7" s="27" t="n">
        <v>10</v>
      </c>
      <c r="F7" s="15" t="str">
        <f aca="false">_xlfn.CONCAT(B7,"-",C7)</f>
        <v>Andres Ramirez-Arreglo completo de barba con toalla caliente</v>
      </c>
    </row>
    <row r="8" customFormat="false" ht="15" hidden="false" customHeight="false" outlineLevel="0" collapsed="false">
      <c r="A8" s="15" t="n">
        <v>5</v>
      </c>
      <c r="B8" s="16" t="str">
        <f aca="false">_xlfn.CONCAT('M-Barbero'!B5," ",'M-Barbero'!D5)</f>
        <v>Juan Ortiz</v>
      </c>
      <c r="C8" s="16" t="str">
        <f aca="false">'M-Servicio'!C4</f>
        <v>Motilada</v>
      </c>
      <c r="D8" s="27" t="n">
        <v>40</v>
      </c>
      <c r="E8" s="27" t="n">
        <v>10</v>
      </c>
      <c r="F8" s="15" t="str">
        <f aca="false">_xlfn.CONCAT(B8,"-",C8)</f>
        <v>Juan Ortiz-Motilada</v>
      </c>
    </row>
    <row r="9" customFormat="false" ht="15" hidden="false" customHeight="false" outlineLevel="0" collapsed="false">
      <c r="A9" s="15" t="n">
        <v>6</v>
      </c>
      <c r="B9" s="16" t="str">
        <f aca="false">_xlfn.CONCAT('M-Barbero'!B6," ",'M-Barbero'!D6)</f>
        <v>Carlos Arbeladez</v>
      </c>
      <c r="C9" s="16" t="str">
        <f aca="false">'M-Servicio'!C5</f>
        <v>Corte de barba</v>
      </c>
      <c r="D9" s="27" t="n">
        <v>15</v>
      </c>
      <c r="E9" s="27" t="n">
        <v>5</v>
      </c>
      <c r="F9" s="15" t="str">
        <f aca="false">_xlfn.CONCAT(B9,"-",C9)</f>
        <v>Carlos Arbeladez-Corte de barba</v>
      </c>
    </row>
    <row r="10" customFormat="false" ht="15" hidden="false" customHeight="false" outlineLevel="0" collapsed="false">
      <c r="A10" s="15" t="n">
        <v>7</v>
      </c>
      <c r="B10" s="16" t="str">
        <f aca="false">_xlfn.CONCAT('M-Barbero'!B4," ",'M-Barbero'!D4)</f>
        <v>Juan García</v>
      </c>
      <c r="C10" s="16" t="str">
        <f aca="false">'M-Servicio'!C6</f>
        <v>Perfilada de barba</v>
      </c>
      <c r="D10" s="27" t="n">
        <v>20</v>
      </c>
      <c r="E10" s="27" t="n">
        <v>5</v>
      </c>
      <c r="F10" s="15" t="str">
        <f aca="false">_xlfn.CONCAT(B10,"-",C10)</f>
        <v>Juan García-Perfilada de barba</v>
      </c>
    </row>
    <row r="11" customFormat="false" ht="15" hidden="false" customHeight="false" outlineLevel="0" collapsed="false">
      <c r="A11" s="15" t="n">
        <v>8</v>
      </c>
      <c r="B11" s="16" t="str">
        <f aca="false">_xlfn.CONCAT('M-Barbero'!B7," ",'M-Barbero'!D7)</f>
        <v>Andres Ramirez</v>
      </c>
      <c r="C11" s="16" t="str">
        <f aca="false">'M-Servicio'!C4</f>
        <v>Motilada</v>
      </c>
      <c r="D11" s="27" t="n">
        <v>50</v>
      </c>
      <c r="E11" s="27" t="n">
        <v>15</v>
      </c>
      <c r="F11" s="15" t="str">
        <f aca="false">_xlfn.CONCAT(B11,"-",C11)</f>
        <v>Andres Ramirez-Motilada</v>
      </c>
    </row>
    <row r="12" customFormat="false" ht="15" hidden="false" customHeight="false" outlineLevel="0" collapsed="false">
      <c r="A12" s="15" t="n">
        <v>9</v>
      </c>
      <c r="B12" s="16" t="str">
        <f aca="false">_xlfn.CONCAT('M-Barbero'!B8," ",'M-Barbero'!D8)</f>
        <v>Juan Zambrano</v>
      </c>
      <c r="C12" s="16" t="str">
        <f aca="false">'M-Servicio'!C5</f>
        <v>Corte de barba</v>
      </c>
      <c r="D12" s="27" t="n">
        <v>12</v>
      </c>
      <c r="E12" s="27" t="n">
        <v>5</v>
      </c>
      <c r="F12" s="15" t="str">
        <f aca="false">_xlfn.CONCAT(B12,"-",C12)</f>
        <v>Juan Zambrano-Corte de barba</v>
      </c>
    </row>
    <row r="13" customFormat="false" ht="30" hidden="false" customHeight="true" outlineLevel="0" collapsed="false">
      <c r="A13" s="17"/>
      <c r="B13" s="18"/>
      <c r="G13" s="51" t="s">
        <v>179</v>
      </c>
    </row>
    <row r="14" customFormat="false" ht="30" hidden="false" customHeight="true" outlineLevel="0" collapsed="false">
      <c r="A14" s="19"/>
      <c r="B14" s="18"/>
    </row>
    <row r="15" customFormat="false" ht="45" hidden="false" customHeight="true" outlineLevel="0" collapsed="false">
      <c r="A15" s="45"/>
      <c r="B15" s="18"/>
    </row>
    <row r="16" customFormat="false" ht="30" hidden="false" customHeight="true" outlineLevel="0" collapsed="false">
      <c r="A16" s="63"/>
      <c r="B16" s="18"/>
    </row>
    <row r="17" customFormat="false" ht="30" hidden="false" customHeight="true" outlineLevel="0" collapsed="false">
      <c r="A17" s="64"/>
      <c r="B17" s="18"/>
    </row>
    <row r="18" customFormat="false" ht="28.35" hidden="false" customHeight="false" outlineLevel="0" collapsed="false">
      <c r="A18" s="17"/>
      <c r="B18" s="18" t="s">
        <v>44</v>
      </c>
    </row>
    <row r="19" customFormat="false" ht="28.35" hidden="false" customHeight="false" outlineLevel="0" collapsed="false">
      <c r="A19" s="19"/>
      <c r="B19" s="18" t="s">
        <v>45</v>
      </c>
    </row>
    <row r="20" customFormat="false" ht="41.75" hidden="false" customHeight="false" outlineLevel="0" collapsed="false">
      <c r="A20" s="45"/>
      <c r="B20" s="18" t="s">
        <v>169</v>
      </c>
    </row>
    <row r="21" customFormat="false" ht="28.35" hidden="false" customHeight="false" outlineLevel="0" collapsed="false">
      <c r="A21" s="63"/>
      <c r="B21" s="18" t="s">
        <v>152</v>
      </c>
    </row>
    <row r="22" customFormat="false" ht="28.35" hidden="false" customHeight="false" outlineLevel="0" collapsed="false">
      <c r="A22" s="64"/>
      <c r="B22" s="18" t="s">
        <v>94</v>
      </c>
    </row>
  </sheetData>
  <hyperlinks>
    <hyperlink ref="A1" location="'Modelo de Dominio'!A1" display="&lt;&lt;&lt;&lt; Ir al modulo de dominio"/>
    <hyperlink ref="B1" location="'Objetos de Dominio'!A1" display="&lt;&lt;&lt;&lt; Ir a objetos de dominio"/>
    <hyperlink ref="B3" location="Barbero_D!A1" display="barbero"/>
    <hyperlink ref="C3" location="Servicio_D!A1" display="servicio"/>
    <hyperlink ref="B4" location="Barbero_D!A4" display="#Barbero_D.A4"/>
    <hyperlink ref="C4" location="Servicio_D!A4" display="#Servicio_D.A4"/>
    <hyperlink ref="B5" location="Barbero_D!A5" display="#Barbero_D.A5"/>
    <hyperlink ref="C5" location="Servicio_D!A5" display="#Servicio_D.A5"/>
    <hyperlink ref="B6" location="Barbero_D!A6" display="#Barbero_D.A6"/>
    <hyperlink ref="C6" location="Servicio_D!A6" display="#Servicio_D.A6"/>
    <hyperlink ref="B7" location="Barbero_D!A7" display="#Barbero_D.A7"/>
    <hyperlink ref="C7" location="Servicio_D!A7" display="#Servicio_D.A7"/>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3" colorId="64" zoomScale="130" zoomScaleNormal="130" zoomScalePageLayoutView="100" workbookViewId="0">
      <selection pane="topLeft" activeCell="C21" activeCellId="0" sqref="C21"/>
    </sheetView>
  </sheetViews>
  <sheetFormatPr defaultColWidth="10.6796875" defaultRowHeight="15" zeroHeight="false" outlineLevelRow="0" outlineLevelCol="0"/>
  <cols>
    <col collapsed="false" customWidth="true" hidden="false" outlineLevel="0" max="1" min="1" style="0" width="27"/>
    <col collapsed="false" customWidth="true" hidden="false" outlineLevel="0" max="2" min="2" style="0" width="26.15"/>
    <col collapsed="false" customWidth="true" hidden="false" outlineLevel="0" max="3" min="3" style="0" width="45.43"/>
    <col collapsed="false" customWidth="true" hidden="false" outlineLevel="0" max="4" min="4" style="0" width="23.57"/>
    <col collapsed="false" customWidth="true" hidden="false" outlineLevel="0" max="8" min="5" style="0" width="36"/>
    <col collapsed="false" customWidth="true" hidden="false" outlineLevel="0" max="9" min="9" style="0" width="55.15"/>
  </cols>
  <sheetData>
    <row r="1" customFormat="false" ht="15" hidden="false" customHeight="false" outlineLevel="0" collapsed="false">
      <c r="A1" s="3" t="s">
        <v>1</v>
      </c>
      <c r="B1" s="3" t="s">
        <v>32</v>
      </c>
      <c r="C1" s="3"/>
      <c r="D1" s="3"/>
      <c r="E1" s="3"/>
      <c r="F1" s="3"/>
      <c r="G1" s="3"/>
      <c r="H1" s="3"/>
    </row>
    <row r="2" customFormat="false" ht="69" hidden="false" customHeight="true" outlineLevel="0" collapsed="false">
      <c r="A2" s="31" t="s">
        <v>33</v>
      </c>
      <c r="B2" s="31" t="s">
        <v>180</v>
      </c>
      <c r="C2" s="31" t="s">
        <v>181</v>
      </c>
      <c r="D2" s="31" t="s">
        <v>182</v>
      </c>
      <c r="E2" s="31" t="s">
        <v>183</v>
      </c>
      <c r="F2" s="31"/>
      <c r="G2" s="31"/>
      <c r="H2" s="31"/>
      <c r="I2" s="32" t="s">
        <v>184</v>
      </c>
    </row>
    <row r="3" customFormat="false" ht="15" hidden="false" customHeight="false" outlineLevel="0" collapsed="false">
      <c r="A3" s="12" t="s">
        <v>37</v>
      </c>
      <c r="B3" s="35" t="s">
        <v>175</v>
      </c>
      <c r="C3" s="68" t="s">
        <v>126</v>
      </c>
      <c r="D3" s="69" t="s">
        <v>185</v>
      </c>
      <c r="E3" s="69" t="s">
        <v>186</v>
      </c>
      <c r="F3" s="70" t="s">
        <v>129</v>
      </c>
      <c r="G3" s="70" t="s">
        <v>130</v>
      </c>
      <c r="H3" s="71" t="s">
        <v>63</v>
      </c>
      <c r="I3" s="25" t="s">
        <v>107</v>
      </c>
    </row>
    <row r="4" customFormat="false" ht="15" hidden="false" customHeight="false" outlineLevel="0" collapsed="false">
      <c r="A4" s="15" t="n">
        <v>1</v>
      </c>
      <c r="B4" s="16" t="str">
        <f aca="false">_xlfn.CONCAT('M-Barbero'!B4," ",'M-Barbero'!D4)</f>
        <v>Juan García</v>
      </c>
      <c r="C4" s="41" t="s">
        <v>131</v>
      </c>
      <c r="D4" s="42" t="n">
        <v>0.416666666666667</v>
      </c>
      <c r="E4" s="42" t="n">
        <v>0.666666666666667</v>
      </c>
      <c r="F4" s="43" t="n">
        <v>45780</v>
      </c>
      <c r="G4" s="43" t="s">
        <v>187</v>
      </c>
      <c r="H4" s="42" t="s">
        <v>72</v>
      </c>
      <c r="I4" s="15" t="str">
        <f aca="false">_xlfn.CONCAT(B4,"-",C4,"-",TEXT(D4,"hh:mm"),"-",TEXT(E4,"hh:mm"),"-",TEXT(F4,"dd/mm/yyyy"),"-",TEXT(G4,"dd/mm/yyyy"))</f>
        <v>Juan García-Lunes-10:00-16:00-03/05/2025-01/01/1000</v>
      </c>
    </row>
    <row r="5" customFormat="false" ht="15" hidden="false" customHeight="false" outlineLevel="0" collapsed="false">
      <c r="A5" s="15" t="n">
        <v>2</v>
      </c>
      <c r="B5" s="16" t="str">
        <f aca="false">_xlfn.CONCAT('M-Barbero'!B5," ",'M-Barbero'!D5)</f>
        <v>Juan Ortiz</v>
      </c>
      <c r="C5" s="15" t="s">
        <v>133</v>
      </c>
      <c r="D5" s="42" t="n">
        <v>0.375</v>
      </c>
      <c r="E5" s="42" t="n">
        <v>0.625</v>
      </c>
      <c r="F5" s="43" t="n">
        <v>45718</v>
      </c>
      <c r="G5" s="43" t="s">
        <v>187</v>
      </c>
      <c r="H5" s="42" t="s">
        <v>72</v>
      </c>
      <c r="I5" s="15" t="str">
        <f aca="false">_xlfn.CONCAT(B5,"-",C5,"-",TEXT(D5,"hh:mm"),"-",TEXT(E5,"hh:mm"),"-",TEXT(F5,"dd/mm/yyyy"),"-",TEXT(G5,"dd/mm/yyyy"))</f>
        <v>Juan Ortiz-Martes-09:00-15:00-02/03/2025-01/01/1000</v>
      </c>
    </row>
    <row r="6" customFormat="false" ht="15" hidden="false" customHeight="false" outlineLevel="0" collapsed="false">
      <c r="A6" s="15" t="n">
        <v>3</v>
      </c>
      <c r="B6" s="16" t="str">
        <f aca="false">_xlfn.CONCAT('M-Barbero'!B6," ",'M-Barbero'!D6)</f>
        <v>Carlos Arbeladez</v>
      </c>
      <c r="C6" s="15" t="s">
        <v>135</v>
      </c>
      <c r="D6" s="42" t="n">
        <v>0.541666666666667</v>
      </c>
      <c r="E6" s="42" t="n">
        <v>0.791666666666667</v>
      </c>
      <c r="F6" s="43" t="n">
        <v>44917</v>
      </c>
      <c r="G6" s="72" t="s">
        <v>187</v>
      </c>
      <c r="H6" s="42" t="s">
        <v>72</v>
      </c>
      <c r="I6" s="15" t="str">
        <f aca="false">_xlfn.CONCAT(B6,"-",C6,"-",TEXT(D6,"hh:mm"),"-",TEXT(E6,"hh:mm"),"-",TEXT(F6,"dd/mm/yyyy"),"-",TEXT(G6,"dd/mm/yyyy"))</f>
        <v>Carlos Arbeladez-Jueves-13:00-19:00-22/12/2022-01/01/1000</v>
      </c>
    </row>
    <row r="7" customFormat="false" ht="15" hidden="false" customHeight="false" outlineLevel="0" collapsed="false">
      <c r="A7" s="15" t="n">
        <v>4</v>
      </c>
      <c r="B7" s="16" t="str">
        <f aca="false">_xlfn.CONCAT('M-Barbero'!B7," ",'M-Barbero'!D7)</f>
        <v>Andres Ramirez</v>
      </c>
      <c r="C7" s="15" t="s">
        <v>137</v>
      </c>
      <c r="D7" s="42" t="n">
        <v>0.333333333333333</v>
      </c>
      <c r="E7" s="42" t="n">
        <v>0.583333333333333</v>
      </c>
      <c r="F7" s="73" t="n">
        <v>45915</v>
      </c>
      <c r="G7" s="43" t="n">
        <v>46023</v>
      </c>
      <c r="H7" s="74" t="s">
        <v>87</v>
      </c>
      <c r="I7" s="15" t="str">
        <f aca="false">_xlfn.CONCAT(B7,"-",C7,"-",TEXT(D7,"hh:mm"),"-",TEXT(E7,"hh:mm"),"-",TEXT(F7,"dd/mm/yyyy"),"-",TEXT(G7,"dd/mm/yyyy"))</f>
        <v>Andres Ramirez-Sábado-08:00-14:00-15/09/2025-01/01/2026</v>
      </c>
    </row>
    <row r="8" customFormat="false" ht="15" hidden="false" customHeight="false" outlineLevel="0" collapsed="false">
      <c r="A8" s="15" t="n">
        <v>5</v>
      </c>
      <c r="B8" s="16" t="str">
        <f aca="false">_xlfn.CONCAT('M-Barbero'!B7," ",'M-Barbero'!D7)</f>
        <v>Andres Ramirez</v>
      </c>
      <c r="C8" s="15" t="s">
        <v>138</v>
      </c>
      <c r="D8" s="42" t="n">
        <v>0.5</v>
      </c>
      <c r="E8" s="42" t="n">
        <v>0.625</v>
      </c>
      <c r="F8" s="73" t="n">
        <v>46054</v>
      </c>
      <c r="G8" s="43" t="n">
        <v>46083</v>
      </c>
      <c r="H8" s="74" t="s">
        <v>87</v>
      </c>
      <c r="I8" s="15" t="str">
        <f aca="false">_xlfn.CONCAT(B8,"-",C8,"-",TEXT(D8,"hh:mm"),"-",TEXT(E8,"hh:mm"),"-",TEXT(F8,"dd/mm/yyyy"),"-",TEXT(G8,"dd/mm/yyyy"))</f>
        <v>Andres Ramirez-Festivo-12:00-15:00-01/02/2026-02/03/2026</v>
      </c>
    </row>
    <row r="10" customFormat="false" ht="15" hidden="false" customHeight="false" outlineLevel="0" collapsed="false">
      <c r="G10" s="75"/>
    </row>
    <row r="14" customFormat="false" ht="30" hidden="false" customHeight="true" outlineLevel="0" collapsed="false">
      <c r="A14" s="17"/>
      <c r="B14" s="18" t="s">
        <v>44</v>
      </c>
    </row>
    <row r="15" customFormat="false" ht="45" hidden="false" customHeight="true" outlineLevel="0" collapsed="false">
      <c r="A15" s="19"/>
      <c r="B15" s="18" t="s">
        <v>45</v>
      </c>
    </row>
    <row r="16" customFormat="false" ht="30" hidden="false" customHeight="true" outlineLevel="0" collapsed="false">
      <c r="A16" s="45"/>
      <c r="B16" s="18" t="s">
        <v>139</v>
      </c>
    </row>
    <row r="17" customFormat="false" ht="30" hidden="false" customHeight="true" outlineLevel="0" collapsed="false">
      <c r="A17" s="20"/>
      <c r="B17" s="18" t="s">
        <v>46</v>
      </c>
    </row>
    <row r="18" customFormat="false" ht="30" hidden="false" customHeight="true" outlineLevel="0" collapsed="false">
      <c r="A18" s="46"/>
      <c r="B18" s="18" t="s">
        <v>140</v>
      </c>
    </row>
    <row r="19" customFormat="false" ht="30" hidden="false" customHeight="true" outlineLevel="0" collapsed="false">
      <c r="A19" s="30"/>
      <c r="B19" s="18" t="s">
        <v>94</v>
      </c>
    </row>
  </sheetData>
  <hyperlinks>
    <hyperlink ref="A1" location="'Modelo de Dominio'!A1" display="&lt;&lt;&lt;&lt; Ir al modulo de dominio"/>
    <hyperlink ref="B1" location="'Objetos de Dominio'!A1" display="&lt;&lt;&lt;&lt; Ir a objetos de dominio"/>
    <hyperlink ref="B3" location="Barbero_D!A1" display="barbero"/>
    <hyperlink ref="B4" location="Barbero_D!A4" display="#Barbero_D.A4"/>
    <hyperlink ref="B5" location="Barbero_D!A5" display="#Barbero_D.A5"/>
    <hyperlink ref="B6" location="Barbero_D!A6" display="#Barbero_D.A6"/>
    <hyperlink ref="B7" location="Barbero_D!A7" display="#Barbero_D.A7"/>
    <hyperlink ref="B8" location="Barbero_D!A7" display="#Barbero_D.A7"/>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B18" activeCellId="0" sqref="B18"/>
    </sheetView>
  </sheetViews>
  <sheetFormatPr defaultColWidth="10.6796875" defaultRowHeight="15" zeroHeight="false" outlineLevelRow="0" outlineLevelCol="0"/>
  <cols>
    <col collapsed="false" customWidth="true" hidden="false" outlineLevel="0" max="1" min="1" style="0" width="27"/>
    <col collapsed="false" customWidth="true" hidden="false" outlineLevel="0" max="2" min="2" style="0" width="33.14"/>
    <col collapsed="false" customWidth="true" hidden="false" outlineLevel="0" max="3" min="3" style="0" width="31.57"/>
    <col collapsed="false" customWidth="true" hidden="false" outlineLevel="0" max="4" min="4" style="0" width="29.86"/>
    <col collapsed="false" customWidth="true" hidden="false" outlineLevel="0" max="5" min="5" style="0" width="28.71"/>
    <col collapsed="false" customWidth="true" hidden="false" outlineLevel="0" max="9" min="6" style="0" width="27.86"/>
    <col collapsed="false" customWidth="true" hidden="false" outlineLevel="0" max="10" min="10" style="0" width="38.71"/>
  </cols>
  <sheetData>
    <row r="1" customFormat="false" ht="15" hidden="false" customHeight="false" outlineLevel="0" collapsed="false">
      <c r="A1" s="3" t="s">
        <v>1</v>
      </c>
      <c r="B1" s="3" t="s">
        <v>32</v>
      </c>
      <c r="G1" s="3"/>
      <c r="H1" s="3"/>
      <c r="I1" s="3"/>
    </row>
    <row r="2" customFormat="false" ht="54" hidden="false" customHeight="true" outlineLevel="0" collapsed="false">
      <c r="A2" s="31" t="s">
        <v>33</v>
      </c>
      <c r="B2" s="32" t="s">
        <v>188</v>
      </c>
      <c r="C2" s="32" t="s">
        <v>189</v>
      </c>
      <c r="D2" s="32" t="s">
        <v>190</v>
      </c>
      <c r="E2" s="32" t="s">
        <v>191</v>
      </c>
      <c r="F2" s="54" t="s">
        <v>192</v>
      </c>
      <c r="G2" s="31"/>
      <c r="H2" s="31"/>
      <c r="I2" s="31"/>
      <c r="J2" s="32" t="s">
        <v>193</v>
      </c>
    </row>
    <row r="3" customFormat="false" ht="15" hidden="false" customHeight="false" outlineLevel="0" collapsed="false">
      <c r="A3" s="12" t="s">
        <v>37</v>
      </c>
      <c r="B3" s="35" t="s">
        <v>194</v>
      </c>
      <c r="C3" s="38" t="s">
        <v>185</v>
      </c>
      <c r="D3" s="38" t="s">
        <v>186</v>
      </c>
      <c r="E3" s="13" t="s">
        <v>40</v>
      </c>
      <c r="F3" s="70" t="s">
        <v>195</v>
      </c>
      <c r="G3" s="70" t="s">
        <v>129</v>
      </c>
      <c r="H3" s="70" t="s">
        <v>130</v>
      </c>
      <c r="I3" s="71" t="s">
        <v>63</v>
      </c>
      <c r="J3" s="25" t="s">
        <v>107</v>
      </c>
    </row>
    <row r="4" customFormat="false" ht="15" hidden="false" customHeight="false" outlineLevel="0" collapsed="false">
      <c r="A4" s="15" t="n">
        <v>1</v>
      </c>
      <c r="B4" s="16" t="str">
        <f aca="false">'M-Agenda'!I4</f>
        <v>Juan García-Lunes-10:00-16:00-03/05/2025-01/01/1000</v>
      </c>
      <c r="C4" s="42" t="n">
        <v>0.5</v>
      </c>
      <c r="D4" s="42" t="n">
        <v>0.583333333333333</v>
      </c>
      <c r="E4" s="41" t="s">
        <v>196</v>
      </c>
      <c r="F4" s="27" t="n">
        <v>120</v>
      </c>
      <c r="G4" s="43" t="n">
        <v>45780</v>
      </c>
      <c r="H4" s="43" t="s">
        <v>187</v>
      </c>
      <c r="I4" s="42" t="s">
        <v>72</v>
      </c>
      <c r="J4" s="15" t="str">
        <f aca="false">_xlfn.CONCAT(B4,"-",TEXT(C4,"hh:mm"),"-",TEXT(D4,"hh:mm"))</f>
        <v>Juan García-Lunes-10:00-16:00-03/05/2025-01/01/1000-12:00-14:00</v>
      </c>
    </row>
    <row r="5" customFormat="false" ht="15" hidden="false" customHeight="false" outlineLevel="0" collapsed="false">
      <c r="A5" s="15" t="n">
        <v>2</v>
      </c>
      <c r="B5" s="16" t="str">
        <f aca="false">'M-Agenda'!I7</f>
        <v>Andres Ramirez-Sábado-08:00-14:00-15/09/2025-01/01/2026</v>
      </c>
      <c r="C5" s="42" t="n">
        <v>0.520833333333333</v>
      </c>
      <c r="D5" s="76" t="n">
        <v>0.541666666666667</v>
      </c>
      <c r="E5" s="62" t="s">
        <v>197</v>
      </c>
      <c r="F5" s="15" t="n">
        <v>30</v>
      </c>
      <c r="G5" s="43" t="n">
        <v>45915</v>
      </c>
      <c r="H5" s="43" t="n">
        <v>46023</v>
      </c>
      <c r="I5" s="42" t="s">
        <v>87</v>
      </c>
      <c r="J5" s="15" t="str">
        <f aca="false">_xlfn.CONCAT(B5,"-",TEXT(C5,"hh:mm"),"-",TEXT(D5,"hh:mm"))</f>
        <v>Andres Ramirez-Sábado-08:00-14:00-15/09/2025-01/01/2026-12:30-13:00</v>
      </c>
    </row>
    <row r="6" customFormat="false" ht="15" hidden="false" customHeight="false" outlineLevel="0" collapsed="false">
      <c r="A6" s="15" t="n">
        <v>3</v>
      </c>
      <c r="B6" s="16" t="str">
        <f aca="false">'M-Agenda'!I6</f>
        <v>Carlos Arbeladez-Jueves-13:00-19:00-22/12/2022-01/01/1000</v>
      </c>
      <c r="C6" s="42" t="n">
        <v>0.583333333333333</v>
      </c>
      <c r="D6" s="42" t="n">
        <v>0.604166666666667</v>
      </c>
      <c r="E6" s="15" t="s">
        <v>198</v>
      </c>
      <c r="F6" s="15" t="n">
        <v>30</v>
      </c>
      <c r="G6" s="43" t="n">
        <v>44917</v>
      </c>
      <c r="H6" s="72" t="s">
        <v>187</v>
      </c>
      <c r="I6" s="42" t="s">
        <v>72</v>
      </c>
      <c r="J6" s="15" t="str">
        <f aca="false">_xlfn.CONCAT(B6,"-",TEXT(C6,"hh:mm"),"-",TEXT(D6,"hh:mm"))</f>
        <v>Carlos Arbeladez-Jueves-13:00-19:00-22/12/2022-01/01/1000-14:00-14:30</v>
      </c>
    </row>
    <row r="7" customFormat="false" ht="15" hidden="false" customHeight="false" outlineLevel="0" collapsed="false">
      <c r="A7" s="15" t="n">
        <v>4</v>
      </c>
      <c r="B7" s="16" t="str">
        <f aca="false">'M-Agenda'!I5</f>
        <v>Juan Ortiz-Martes-09:00-15:00-02/03/2025-01/01/1000</v>
      </c>
      <c r="C7" s="42" t="n">
        <v>0.479166666666667</v>
      </c>
      <c r="D7" s="42" t="n">
        <v>0.541666666666667</v>
      </c>
      <c r="E7" s="15" t="s">
        <v>199</v>
      </c>
      <c r="F7" s="15" t="n">
        <v>90</v>
      </c>
      <c r="G7" s="77" t="n">
        <v>45718</v>
      </c>
      <c r="H7" s="72" t="s">
        <v>187</v>
      </c>
      <c r="I7" s="78" t="s">
        <v>72</v>
      </c>
      <c r="J7" s="15" t="str">
        <f aca="false">_xlfn.CONCAT(B7,"-",TEXT(C7,"hh:mm"),"-",TEXT(D7,"hh:mm"))</f>
        <v>Juan Ortiz-Martes-09:00-15:00-02/03/2025-01/01/1000-11:30-13:00</v>
      </c>
    </row>
    <row r="8" customFormat="false" ht="15" hidden="false" customHeight="false" outlineLevel="0" collapsed="false">
      <c r="G8" s="79"/>
      <c r="H8" s="79"/>
      <c r="I8" s="80"/>
    </row>
    <row r="13" customFormat="false" ht="30" hidden="false" customHeight="true" outlineLevel="0" collapsed="false">
      <c r="A13" s="17"/>
      <c r="B13" s="18" t="s">
        <v>44</v>
      </c>
    </row>
    <row r="14" customFormat="false" ht="30" hidden="false" customHeight="true" outlineLevel="0" collapsed="false">
      <c r="A14" s="19"/>
      <c r="B14" s="18" t="s">
        <v>45</v>
      </c>
    </row>
    <row r="15" customFormat="false" ht="30" hidden="false" customHeight="true" outlineLevel="0" collapsed="false">
      <c r="A15" s="45"/>
      <c r="B15" s="18" t="s">
        <v>139</v>
      </c>
    </row>
    <row r="16" customFormat="false" ht="30" hidden="false" customHeight="true" outlineLevel="0" collapsed="false">
      <c r="A16" s="20"/>
      <c r="B16" s="18" t="s">
        <v>46</v>
      </c>
    </row>
    <row r="17" customFormat="false" ht="30" hidden="false" customHeight="true" outlineLevel="0" collapsed="false">
      <c r="A17" s="46"/>
      <c r="B17" s="18" t="s">
        <v>140</v>
      </c>
    </row>
    <row r="18" customFormat="false" ht="30" hidden="false" customHeight="true" outlineLevel="0" collapsed="false">
      <c r="A18" s="29"/>
      <c r="B18" s="18" t="s">
        <v>93</v>
      </c>
    </row>
    <row r="19" customFormat="false" ht="30" hidden="false" customHeight="true" outlineLevel="0" collapsed="false">
      <c r="A19" s="47"/>
      <c r="B19" s="18" t="s">
        <v>141</v>
      </c>
    </row>
    <row r="20" customFormat="false" ht="30" hidden="false" customHeight="true" outlineLevel="0" collapsed="false">
      <c r="A20" s="30"/>
      <c r="B20" s="18" t="s">
        <v>94</v>
      </c>
    </row>
  </sheetData>
  <hyperlinks>
    <hyperlink ref="A1" location="'Modelo de Dominio'!A1" display="&lt;&lt;&lt;&lt; Ir al modulo de dominio"/>
    <hyperlink ref="B1" location="'Objetos de Dominio'!A1" display="&lt;&lt;&lt;&lt; Ir a objetos de dominio"/>
    <hyperlink ref="B3" location="Agenda_D!A1" display="agenda"/>
    <hyperlink ref="B4" location="HorarioBarbero_D!A4" display="#HorarioBarbero_D.A4"/>
    <hyperlink ref="B5" location="HorarioBarbero_D!A5" display="#HorarioBarbero_D.A5"/>
    <hyperlink ref="B6" location="HorarioBarbero_D!A6" display="#HorarioBarbero_D.A6"/>
    <hyperlink ref="B7" location="HorarioBarbero_D!A7" display="#HorarioBarbero_D.A7"/>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15" zoomScaleNormal="115" zoomScalePageLayoutView="100" workbookViewId="0">
      <selection pane="topLeft" activeCell="D19" activeCellId="0" sqref="D19"/>
    </sheetView>
  </sheetViews>
  <sheetFormatPr defaultColWidth="10.6796875" defaultRowHeight="15" zeroHeight="false" outlineLevelRow="0" outlineLevelCol="0"/>
  <cols>
    <col collapsed="false" customWidth="true" hidden="false" outlineLevel="0" max="1" min="1" style="0" width="27"/>
    <col collapsed="false" customWidth="true" hidden="false" outlineLevel="0" max="2" min="2" style="0" width="33.71"/>
    <col collapsed="false" customWidth="true" hidden="false" outlineLevel="0" max="3" min="3" style="0" width="36.42"/>
    <col collapsed="false" customWidth="true" hidden="false" outlineLevel="0" max="4" min="4" style="0" width="32.29"/>
    <col collapsed="false" customWidth="true" hidden="false" outlineLevel="0" max="5" min="5" style="0" width="25.14"/>
    <col collapsed="false" customWidth="true" hidden="false" outlineLevel="0" max="6" min="6" style="0" width="25.57"/>
    <col collapsed="false" customWidth="true" hidden="false" outlineLevel="0" max="7" min="7" style="0" width="68.14"/>
  </cols>
  <sheetData>
    <row r="1" customFormat="false" ht="15" hidden="false" customHeight="false" outlineLevel="0" collapsed="false">
      <c r="A1" s="3" t="s">
        <v>1</v>
      </c>
      <c r="B1" s="3" t="s">
        <v>32</v>
      </c>
      <c r="C1" s="3"/>
      <c r="D1" s="3"/>
    </row>
    <row r="2" customFormat="false" ht="45.75" hidden="false" customHeight="true" outlineLevel="0" collapsed="false">
      <c r="A2" s="31" t="s">
        <v>33</v>
      </c>
      <c r="B2" s="32" t="s">
        <v>200</v>
      </c>
      <c r="C2" s="54" t="s">
        <v>201</v>
      </c>
      <c r="D2" s="54" t="s">
        <v>202</v>
      </c>
      <c r="E2" s="32" t="s">
        <v>203</v>
      </c>
      <c r="F2" s="32" t="s">
        <v>204</v>
      </c>
      <c r="G2" s="32" t="s">
        <v>205</v>
      </c>
    </row>
    <row r="3" customFormat="false" ht="15" hidden="false" customHeight="false" outlineLevel="0" collapsed="false">
      <c r="A3" s="12" t="s">
        <v>37</v>
      </c>
      <c r="B3" s="35" t="s">
        <v>194</v>
      </c>
      <c r="C3" s="81" t="s">
        <v>206</v>
      </c>
      <c r="D3" s="81" t="s">
        <v>207</v>
      </c>
      <c r="E3" s="68" t="s">
        <v>40</v>
      </c>
      <c r="F3" s="24" t="s">
        <v>195</v>
      </c>
      <c r="G3" s="25" t="s">
        <v>107</v>
      </c>
    </row>
    <row r="4" customFormat="false" ht="15" hidden="false" customHeight="false" outlineLevel="0" collapsed="false">
      <c r="A4" s="15" t="n">
        <v>1</v>
      </c>
      <c r="B4" s="16" t="str">
        <f aca="false">'M-Agenda'!I4</f>
        <v>Juan García-Lunes-10:00-16:00-03/05/2025-01/01/1000</v>
      </c>
      <c r="C4" s="82" t="n">
        <v>46272.4166666667</v>
      </c>
      <c r="D4" s="82" t="n">
        <v>46272.5</v>
      </c>
      <c r="E4" s="83" t="s">
        <v>208</v>
      </c>
      <c r="F4" s="15" t="n">
        <v>120</v>
      </c>
      <c r="G4" s="15" t="str">
        <f aca="false">_xlfn.CONCAT(B4,"-",TEXT(C4,"dd/mm/yyyy hh:mm"),"-",TEXT(D4,"dd/mm/yyyy hh:mm"))</f>
        <v>Juan García-Lunes-10:00-16:00-03/05/2025-01/01/1000-07/09/2026 10:00-07/09/2026 12:00</v>
      </c>
    </row>
    <row r="5" customFormat="false" ht="15" hidden="false" customHeight="false" outlineLevel="0" collapsed="false">
      <c r="A5" s="15" t="n">
        <v>2</v>
      </c>
      <c r="B5" s="16" t="str">
        <f aca="false">'M-Agenda'!I5</f>
        <v>Juan Ortiz-Martes-09:00-15:00-02/03/2025-01/01/1000</v>
      </c>
      <c r="C5" s="82" t="n">
        <v>46273.3958333333</v>
      </c>
      <c r="D5" s="82" t="n">
        <v>46273.4583333333</v>
      </c>
      <c r="E5" s="84" t="s">
        <v>209</v>
      </c>
      <c r="F5" s="15" t="n">
        <v>90</v>
      </c>
      <c r="G5" s="15" t="str">
        <f aca="false">_xlfn.CONCAT(B5,"-",TEXT(C5,"dd/mm/yyyy hh:mm"),"-",TEXT(D5,"dd/mm/yyyy hh:mm"))</f>
        <v>Juan Ortiz-Martes-09:00-15:00-02/03/2025-01/01/1000-08/09/2026 09:30-08/09/2026 11:00</v>
      </c>
    </row>
    <row r="6" customFormat="false" ht="15" hidden="false" customHeight="false" outlineLevel="0" collapsed="false">
      <c r="A6" s="15" t="n">
        <v>3</v>
      </c>
      <c r="B6" s="16" t="str">
        <f aca="false">'M-Agenda'!I6</f>
        <v>Carlos Arbeladez-Jueves-13:00-19:00-22/12/2022-01/01/1000</v>
      </c>
      <c r="C6" s="82" t="n">
        <v>46275.5416666667</v>
      </c>
      <c r="D6" s="82" t="n">
        <v>46275.5833333333</v>
      </c>
      <c r="E6" s="84" t="s">
        <v>210</v>
      </c>
      <c r="F6" s="15" t="n">
        <v>60</v>
      </c>
      <c r="G6" s="15" t="str">
        <f aca="false">_xlfn.CONCAT(B6,"-",TEXT(C6,"dd/mm/yyyy hh:mm"),"-",TEXT(D6,"dd/mm/yyyy hh:mm"))</f>
        <v>Carlos Arbeladez-Jueves-13:00-19:00-22/12/2022-01/01/1000-10/09/2026 13:00-10/09/2026 14:00</v>
      </c>
    </row>
    <row r="7" customFormat="false" ht="15" hidden="false" customHeight="false" outlineLevel="0" collapsed="false">
      <c r="A7" s="15" t="n">
        <v>4</v>
      </c>
      <c r="B7" s="16" t="str">
        <f aca="false">'M-Agenda'!I5</f>
        <v>Juan Ortiz-Martes-09:00-15:00-02/03/2025-01/01/1000</v>
      </c>
      <c r="C7" s="82" t="n">
        <v>46301.5416666667</v>
      </c>
      <c r="D7" s="82" t="n">
        <v>46301.625</v>
      </c>
      <c r="E7" s="84" t="s">
        <v>211</v>
      </c>
      <c r="F7" s="15" t="n">
        <v>120</v>
      </c>
      <c r="G7" s="15" t="str">
        <f aca="false">_xlfn.CONCAT(B7,"-",TEXT(C7,"dd/mm/yyyy hh:mm"),"-",TEXT(D7,"dd/mm/yyyy hh:mm"))</f>
        <v>Juan Ortiz-Martes-09:00-15:00-02/03/2025-01/01/1000-06/10/2026 13:00-06/10/2026 15:00</v>
      </c>
    </row>
    <row r="13" customFormat="false" ht="30" hidden="false" customHeight="true" outlineLevel="0" collapsed="false">
      <c r="A13" s="17"/>
      <c r="B13" s="18" t="s">
        <v>44</v>
      </c>
    </row>
    <row r="14" customFormat="false" ht="30" hidden="false" customHeight="true" outlineLevel="0" collapsed="false">
      <c r="A14" s="19"/>
      <c r="B14" s="18" t="s">
        <v>45</v>
      </c>
    </row>
    <row r="15" customFormat="false" ht="30" hidden="false" customHeight="true" outlineLevel="0" collapsed="false">
      <c r="A15" s="45"/>
      <c r="B15" s="18" t="s">
        <v>139</v>
      </c>
    </row>
    <row r="16" customFormat="false" ht="30" hidden="false" customHeight="true" outlineLevel="0" collapsed="false">
      <c r="A16" s="20"/>
      <c r="B16" s="18" t="s">
        <v>46</v>
      </c>
    </row>
    <row r="17" customFormat="false" ht="30" hidden="false" customHeight="true" outlineLevel="0" collapsed="false">
      <c r="A17" s="85"/>
      <c r="B17" s="18" t="s">
        <v>212</v>
      </c>
    </row>
    <row r="18" customFormat="false" ht="30" hidden="false" customHeight="true" outlineLevel="0" collapsed="false">
      <c r="A18" s="29"/>
      <c r="B18" s="18" t="s">
        <v>93</v>
      </c>
    </row>
    <row r="19" customFormat="false" ht="15" hidden="false" customHeight="false" outlineLevel="0" collapsed="false">
      <c r="A19" s="30"/>
      <c r="B19" s="18" t="s">
        <v>94</v>
      </c>
    </row>
  </sheetData>
  <hyperlinks>
    <hyperlink ref="A1" location="'Modelo de Dominio'!A1" display="&lt;&lt;&lt;&lt; Ir al modulo de dominio"/>
    <hyperlink ref="B1" location="'Objetos de Dominio'!A1" display="&lt;&lt;&lt;&lt; Ir a objetos de dominio"/>
    <hyperlink ref="B3" location="Agenda_D!A1" display="agenda"/>
    <hyperlink ref="B4" location="Agenda_D!A4" display="#Agenda_D.A4"/>
    <hyperlink ref="B5" location="Agenda_D!A5" display="#Agenda_D.A5"/>
    <hyperlink ref="B6" location="Agenda_D!A6" display="#Agenda_D.A6"/>
    <hyperlink ref="B7" location="Agenda_D!A7" display="#Agenda_D.A7"/>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F7" activeCellId="0" sqref="F7"/>
    </sheetView>
  </sheetViews>
  <sheetFormatPr defaultColWidth="10.6796875" defaultRowHeight="15" zeroHeight="false" outlineLevelRow="0" outlineLevelCol="0"/>
  <cols>
    <col collapsed="false" customWidth="true" hidden="false" outlineLevel="0" max="1" min="1" style="0" width="27"/>
    <col collapsed="false" customWidth="true" hidden="false" outlineLevel="0" max="2" min="2" style="0" width="26"/>
    <col collapsed="false" customWidth="true" hidden="false" outlineLevel="0" max="3" min="3" style="0" width="33.42"/>
    <col collapsed="false" customWidth="true" hidden="false" outlineLevel="0" max="4" min="4" style="0" width="30.29"/>
    <col collapsed="false" customWidth="true" hidden="false" outlineLevel="0" max="5" min="5" style="0" width="36.15"/>
    <col collapsed="false" customWidth="true" hidden="false" outlineLevel="0" max="6" min="6" style="0" width="57.71"/>
    <col collapsed="false" customWidth="true" hidden="false" outlineLevel="0" max="7" min="7" style="0" width="49.29"/>
  </cols>
  <sheetData>
    <row r="1" customFormat="false" ht="15" hidden="false" customHeight="false" outlineLevel="0" collapsed="false">
      <c r="A1" s="86" t="s">
        <v>1</v>
      </c>
      <c r="B1" s="86" t="s">
        <v>32</v>
      </c>
      <c r="C1" s="51"/>
      <c r="D1" s="51"/>
      <c r="E1" s="51"/>
      <c r="F1" s="51"/>
      <c r="G1" s="51"/>
    </row>
    <row r="2" customFormat="false" ht="58.5" hidden="false" customHeight="true" outlineLevel="0" collapsed="false">
      <c r="A2" s="87" t="s">
        <v>33</v>
      </c>
      <c r="B2" s="87" t="s">
        <v>213</v>
      </c>
      <c r="C2" s="88" t="s">
        <v>214</v>
      </c>
      <c r="D2" s="88" t="s">
        <v>215</v>
      </c>
      <c r="E2" s="88" t="s">
        <v>216</v>
      </c>
      <c r="F2" s="88" t="s">
        <v>217</v>
      </c>
      <c r="G2" s="88" t="s">
        <v>218</v>
      </c>
    </row>
    <row r="3" customFormat="false" ht="15" hidden="false" customHeight="false" outlineLevel="0" collapsed="false">
      <c r="A3" s="89" t="s">
        <v>37</v>
      </c>
      <c r="B3" s="90" t="s">
        <v>219</v>
      </c>
      <c r="C3" s="90" t="s">
        <v>194</v>
      </c>
      <c r="D3" s="91" t="s">
        <v>220</v>
      </c>
      <c r="E3" s="92" t="s">
        <v>221</v>
      </c>
      <c r="F3" s="93" t="s">
        <v>222</v>
      </c>
      <c r="G3" s="94" t="s">
        <v>107</v>
      </c>
    </row>
    <row r="4" customFormat="false" ht="15" hidden="false" customHeight="false" outlineLevel="0" collapsed="false">
      <c r="A4" s="15" t="n">
        <v>1</v>
      </c>
      <c r="B4" s="95" t="str">
        <f aca="false">_xlfn.CONCAT('M-Cliente'!B4," ",'M-Cliente'!C4," ", 'M-Cliente'!D4," ",'M-Cliente'!E4)</f>
        <v>Juan  Gómez </v>
      </c>
      <c r="C4" s="95" t="str">
        <f aca="false">'M-Agenda'!I4</f>
        <v>Juan García-Lunes-10:00-16:00-03/05/2025-01/01/1000</v>
      </c>
      <c r="D4" s="96" t="n">
        <v>46265.4166666667</v>
      </c>
      <c r="E4" s="96" t="n">
        <v>46265.4479166667</v>
      </c>
      <c r="F4" s="15" t="s">
        <v>223</v>
      </c>
      <c r="G4" s="15" t="str">
        <f aca="false">_xlfn.CONCAT(C4,"-",TEXT(D4,"dd/mm/yyyy/hh:mm"))</f>
        <v>Juan García-Lunes-10:00-16:00-03/05/2025-01/01/1000-31/08/2026/10:00</v>
      </c>
    </row>
    <row r="5" customFormat="false" ht="15" hidden="false" customHeight="false" outlineLevel="0" collapsed="false">
      <c r="A5" s="15" t="n">
        <v>2</v>
      </c>
      <c r="B5" s="95" t="str">
        <f aca="false">_xlfn.CONCAT('M-Cliente'!B5," ",'M-Cliente'!C5," ", 'M-Cliente'!D5," ",'M-Cliente'!E5)</f>
        <v>Jose Miguel Ramirez Perez</v>
      </c>
      <c r="C5" s="95" t="str">
        <f aca="false">'M-Agenda'!I5</f>
        <v>Juan Ortiz-Martes-09:00-15:00-02/03/2025-01/01/1000</v>
      </c>
      <c r="D5" s="96" t="n">
        <v>46091.3958333333</v>
      </c>
      <c r="E5" s="96" t="n">
        <v>46091.4305555556</v>
      </c>
      <c r="F5" s="15" t="s">
        <v>224</v>
      </c>
      <c r="G5" s="15" t="str">
        <f aca="false">_xlfn.CONCAT(C5,"-",TEXT(D5,"dd/mm/yyyy/hh:mm"))</f>
        <v>Juan Ortiz-Martes-09:00-15:00-02/03/2025-01/01/1000-10/03/2026/09:30</v>
      </c>
    </row>
    <row r="6" customFormat="false" ht="15" hidden="false" customHeight="false" outlineLevel="0" collapsed="false">
      <c r="A6" s="15" t="n">
        <v>3</v>
      </c>
      <c r="B6" s="95" t="str">
        <f aca="false">_xlfn.CONCAT('M-Cliente'!B6," ",'M-Cliente'!C6," ", 'M-Cliente'!D6," ",'M-Cliente'!E6)</f>
        <v>Simon  Ochoa Ramirez</v>
      </c>
      <c r="C6" s="95" t="str">
        <f aca="false">'M-Agenda'!I6</f>
        <v>Carlos Arbeladez-Jueves-13:00-19:00-22/12/2022-01/01/1000</v>
      </c>
      <c r="D6" s="96" t="n">
        <v>46156.5416666667</v>
      </c>
      <c r="E6" s="96" t="n">
        <v>46156.5520833333</v>
      </c>
      <c r="F6" s="15" t="s">
        <v>225</v>
      </c>
      <c r="G6" s="15" t="str">
        <f aca="false">_xlfn.CONCAT(C6,"-",TEXT(D6,"dd/mm/yyyy/hh:mm"))</f>
        <v>Carlos Arbeladez-Jueves-13:00-19:00-22/12/2022-01/01/1000-14/05/2026/13:00</v>
      </c>
    </row>
    <row r="7" customFormat="false" ht="15" hidden="false" customHeight="false" outlineLevel="0" collapsed="false">
      <c r="A7" s="15" t="n">
        <v>4</v>
      </c>
      <c r="B7" s="95" t="str">
        <f aca="false">_xlfn.CONCAT('M-Cliente'!B7," ",'M-Cliente'!C7," ", 'M-Cliente'!D7," ",'M-Cliente'!E7)</f>
        <v>Alexis  Gallego </v>
      </c>
      <c r="C7" s="95" t="str">
        <f aca="false">'M-Agenda'!I7</f>
        <v>Andres Ramirez-Sábado-08:00-14:00-15/09/2025-01/01/2026</v>
      </c>
      <c r="D7" s="96" t="n">
        <v>45983.5416666667</v>
      </c>
      <c r="E7" s="96" t="n">
        <v>45983.5694444445</v>
      </c>
      <c r="F7" s="15" t="s">
        <v>226</v>
      </c>
      <c r="G7" s="15" t="str">
        <f aca="false">_xlfn.CONCAT(C7,"-",TEXT(D7,"dd/mm/yyyy/hh:mm"))</f>
        <v>Andres Ramirez-Sábado-08:00-14:00-15/09/2025-01/01/2026-22/11/2025/13:00</v>
      </c>
    </row>
    <row r="8" customFormat="false" ht="15" hidden="false" customHeight="false" outlineLevel="0" collapsed="false">
      <c r="A8" s="15" t="n">
        <v>5</v>
      </c>
      <c r="B8" s="95" t="str">
        <f aca="false">_xlfn.CONCAT('M-Cliente'!B7," ",'M-Cliente'!C7," ", 'M-Cliente'!D7," ",'M-Cliente'!E7)</f>
        <v>Alexis  Gallego </v>
      </c>
      <c r="C8" s="95" t="str">
        <f aca="false">'M-Agenda'!I6</f>
        <v>Carlos Arbeladez-Jueves-13:00-19:00-22/12/2022-01/01/1000</v>
      </c>
      <c r="D8" s="96" t="n">
        <v>46240.75</v>
      </c>
      <c r="E8" s="96" t="n">
        <v>46240.7604166667</v>
      </c>
      <c r="F8" s="15" t="s">
        <v>227</v>
      </c>
      <c r="G8" s="15" t="str">
        <f aca="false">_xlfn.CONCAT(C8,"-",TEXT(D8,"dd/mm/yyyy/hh:mm"))</f>
        <v>Carlos Arbeladez-Jueves-13:00-19:00-22/12/2022-01/01/1000-06/08/2026/18:00</v>
      </c>
    </row>
    <row r="9" customFormat="false" ht="15" hidden="false" customHeight="false" outlineLevel="0" collapsed="false">
      <c r="A9" s="15" t="n">
        <v>6</v>
      </c>
      <c r="B9" s="95" t="str">
        <f aca="false">_xlfn.CONCAT('M-Cliente'!B4," ",'M-Cliente'!C4," ", 'M-Cliente'!D4," ",'M-Cliente'!E4)</f>
        <v>Juan  Gómez </v>
      </c>
      <c r="C9" s="95" t="str">
        <f aca="false">'M-Agenda'!I5</f>
        <v>Juan Ortiz-Martes-09:00-15:00-02/03/2025-01/01/1000</v>
      </c>
      <c r="D9" s="96" t="n">
        <v>46266.5833333333</v>
      </c>
      <c r="E9" s="96" t="n">
        <v>46266.5902777778</v>
      </c>
      <c r="F9" s="15" t="s">
        <v>223</v>
      </c>
      <c r="G9" s="15" t="str">
        <f aca="false">_xlfn.CONCAT(C9,"-",TEXT(D9,"dd/mm/yyyy/hh:mm"))</f>
        <v>Juan Ortiz-Martes-09:00-15:00-02/03/2025-01/01/1000-01/09/2026/14:00</v>
      </c>
    </row>
    <row r="10" customFormat="false" ht="15" hidden="false" customHeight="false" outlineLevel="0" collapsed="false">
      <c r="A10" s="15" t="n">
        <v>7</v>
      </c>
      <c r="B10" s="95" t="str">
        <f aca="false">_xlfn.CONCAT('M-Cliente'!B8," ",'M-Cliente'!C8," ", 'M-Cliente'!D8," ",'M-Cliente'!E8)</f>
        <v>Kevin Andrés Muñoz Salazar</v>
      </c>
      <c r="C10" s="95" t="str">
        <f aca="false">'M-Agenda'!I4</f>
        <v>Juan García-Lunes-10:00-16:00-03/05/2025-01/01/1000</v>
      </c>
      <c r="D10" s="96" t="n">
        <v>46174.4166666667</v>
      </c>
      <c r="E10" s="96" t="n">
        <v>46174.4479166667</v>
      </c>
      <c r="F10" s="15" t="s">
        <v>226</v>
      </c>
      <c r="G10" s="15" t="str">
        <f aca="false">_xlfn.CONCAT(C10,"-",TEXT(D10,"dd/mm/yyyy/hh:mm"))</f>
        <v>Juan García-Lunes-10:00-16:00-03/05/2025-01/01/1000-01/06/2026/10:00</v>
      </c>
    </row>
    <row r="11" customFormat="false" ht="15" hidden="false" customHeight="false" outlineLevel="0" collapsed="false">
      <c r="A11" s="15" t="n">
        <v>8</v>
      </c>
      <c r="B11" s="95" t="str">
        <f aca="false">_xlfn.CONCAT('M-Cliente'!B8," ",'M-Cliente'!C8," ", 'M-Cliente'!D8," ",'M-Cliente'!E8)</f>
        <v>Kevin Andrés Muñoz Salazar</v>
      </c>
      <c r="C11" s="95" t="str">
        <f aca="false">'M-Agenda'!I5</f>
        <v>Juan Ortiz-Martes-09:00-15:00-02/03/2025-01/01/1000</v>
      </c>
      <c r="D11" s="96" t="n">
        <v>46189.375</v>
      </c>
      <c r="E11" s="96" t="n">
        <v>46189.3819444445</v>
      </c>
      <c r="F11" s="15" t="s">
        <v>226</v>
      </c>
      <c r="G11" s="15" t="str">
        <f aca="false">_xlfn.CONCAT(C11,"-",TEXT(D11,"dd/mm/yyyy/hh:mm"))</f>
        <v>Juan Ortiz-Martes-09:00-15:00-02/03/2025-01/01/1000-16/06/2026/09:00</v>
      </c>
    </row>
    <row r="12" customFormat="false" ht="15" hidden="false" customHeight="false" outlineLevel="0" collapsed="false">
      <c r="A12" s="15" t="n">
        <v>9</v>
      </c>
      <c r="B12" s="95" t="str">
        <f aca="false">_xlfn.CONCAT('M-Cliente'!B8," ",'M-Cliente'!C8," ", 'M-Cliente'!D8," ",'M-Cliente'!E8)</f>
        <v>Kevin Andrés Muñoz Salazar</v>
      </c>
      <c r="C12" s="95" t="str">
        <f aca="false">'M-Agenda'!I6</f>
        <v>Carlos Arbeladez-Jueves-13:00-19:00-22/12/2022-01/01/1000</v>
      </c>
      <c r="D12" s="96" t="n">
        <v>46205.625</v>
      </c>
      <c r="E12" s="96" t="n">
        <v>46205.6354166667</v>
      </c>
      <c r="F12" s="15" t="s">
        <v>226</v>
      </c>
      <c r="G12" s="15" t="str">
        <f aca="false">_xlfn.CONCAT(C12,"-",TEXT(D12,"dd/mm/yyyy/hh:mm"))</f>
        <v>Carlos Arbeladez-Jueves-13:00-19:00-22/12/2022-01/01/1000-02/07/2026/15:00</v>
      </c>
    </row>
    <row r="14" customFormat="false" ht="30" hidden="false" customHeight="true" outlineLevel="0" collapsed="false">
      <c r="A14" s="17"/>
      <c r="B14" s="18"/>
    </row>
    <row r="15" customFormat="false" ht="45" hidden="false" customHeight="true" outlineLevel="0" collapsed="false">
      <c r="A15" s="19"/>
      <c r="B15" s="18"/>
    </row>
    <row r="16" customFormat="false" ht="30" hidden="false" customHeight="true" outlineLevel="0" collapsed="false">
      <c r="A16" s="45"/>
      <c r="B16" s="18"/>
    </row>
    <row r="17" customFormat="false" ht="30" hidden="false" customHeight="true" outlineLevel="0" collapsed="false">
      <c r="A17" s="97"/>
      <c r="B17" s="18"/>
    </row>
    <row r="18" customFormat="false" ht="30" hidden="false" customHeight="true" outlineLevel="0" collapsed="false">
      <c r="A18" s="85"/>
      <c r="B18" s="18"/>
    </row>
    <row r="19" customFormat="false" ht="30" hidden="false" customHeight="true" outlineLevel="0" collapsed="false">
      <c r="A19" s="17"/>
      <c r="B19" s="18" t="s">
        <v>44</v>
      </c>
    </row>
    <row r="20" customFormat="false" ht="30" hidden="false" customHeight="true" outlineLevel="0" collapsed="false">
      <c r="A20" s="19"/>
      <c r="B20" s="18" t="s">
        <v>45</v>
      </c>
    </row>
    <row r="21" customFormat="false" ht="28.35" hidden="false" customHeight="false" outlineLevel="0" collapsed="false">
      <c r="A21" s="45"/>
      <c r="B21" s="18" t="s">
        <v>139</v>
      </c>
    </row>
    <row r="22" customFormat="false" ht="28.35" hidden="false" customHeight="false" outlineLevel="0" collapsed="false">
      <c r="A22" s="97"/>
      <c r="B22" s="18" t="s">
        <v>228</v>
      </c>
    </row>
    <row r="23" customFormat="false" ht="28.35" hidden="false" customHeight="false" outlineLevel="0" collapsed="false">
      <c r="A23" s="85"/>
      <c r="B23" s="18" t="s">
        <v>212</v>
      </c>
    </row>
    <row r="24" customFormat="false" ht="28.35" hidden="false" customHeight="false" outlineLevel="0" collapsed="false">
      <c r="A24" s="29"/>
      <c r="B24" s="18" t="s">
        <v>93</v>
      </c>
    </row>
    <row r="25" customFormat="false" ht="28.35" hidden="false" customHeight="false" outlineLevel="0" collapsed="false">
      <c r="A25" s="30"/>
      <c r="B25" s="18" t="s">
        <v>94</v>
      </c>
    </row>
  </sheetData>
  <hyperlinks>
    <hyperlink ref="A1" location="'Modelo de Dominio'!A1" display="&lt;&lt;&lt;&lt; Ir al modulo de dominio"/>
    <hyperlink ref="B1" location="'Objetos de Dominio'!A1" display="&lt;&lt;&lt;&lt; Ir a objetos de dominio"/>
    <hyperlink ref="B3" location="Cliente_D!A1" display="cliente"/>
    <hyperlink ref="C3" location="Agenda_D!A1" display="agenda"/>
    <hyperlink ref="B4" location="Cliente_D!A4" display="#Cliente_D.A4"/>
    <hyperlink ref="C4" location="Agenda_D!A4" display="#Agenda_D.A4"/>
    <hyperlink ref="B5" location="Cliente_D!A5" display="#Cliente_D.A5"/>
    <hyperlink ref="C5" location="Agenda_D!A5" display="#Agenda_D.A5"/>
    <hyperlink ref="B6" location="Cliente_D!A6" display="#Cliente_D.A6"/>
    <hyperlink ref="C6" location="Agenda_D!A6" display="#Agenda_D.A6"/>
    <hyperlink ref="B7" location="Cliente_D!A7" display="#Cliente_D.A7"/>
    <hyperlink ref="C7" location="Agenda_D!A7" display="#Agenda_D.A7"/>
    <hyperlink ref="B8" location="Cliente_D!A7" display="#Cliente_D.A7"/>
    <hyperlink ref="C8" location="Agenda_D!A6" display="#Agenda_D.A6"/>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D13" activeCellId="0" sqref="D13"/>
    </sheetView>
  </sheetViews>
  <sheetFormatPr defaultColWidth="10.6796875" defaultRowHeight="15" zeroHeight="false" outlineLevelRow="0" outlineLevelCol="0"/>
  <cols>
    <col collapsed="false" customWidth="true" hidden="false" outlineLevel="0" max="1" min="1" style="0" width="27"/>
    <col collapsed="false" customWidth="true" hidden="false" outlineLevel="0" max="2" min="2" style="0" width="49.71"/>
    <col collapsed="false" customWidth="true" hidden="false" outlineLevel="0" max="3" min="3" style="0" width="17.42"/>
    <col collapsed="false" customWidth="true" hidden="false" outlineLevel="0" max="4" min="4" style="0" width="46.71"/>
    <col collapsed="false" customWidth="true" hidden="false" outlineLevel="0" max="5" min="5" style="0" width="66.71"/>
  </cols>
  <sheetData>
    <row r="1" customFormat="false" ht="15" hidden="false" customHeight="false" outlineLevel="0" collapsed="false">
      <c r="A1" s="86" t="s">
        <v>1</v>
      </c>
      <c r="B1" s="86" t="s">
        <v>32</v>
      </c>
      <c r="C1" s="51"/>
      <c r="D1" s="51"/>
      <c r="E1" s="51"/>
    </row>
    <row r="2" customFormat="false" ht="41.25" hidden="false" customHeight="true" outlineLevel="0" collapsed="false">
      <c r="A2" s="87" t="s">
        <v>33</v>
      </c>
      <c r="B2" s="87" t="s">
        <v>229</v>
      </c>
      <c r="C2" s="88" t="s">
        <v>230</v>
      </c>
      <c r="D2" s="88" t="s">
        <v>231</v>
      </c>
      <c r="E2" s="88" t="s">
        <v>232</v>
      </c>
    </row>
    <row r="3" customFormat="false" ht="15" hidden="false" customHeight="false" outlineLevel="0" collapsed="false">
      <c r="A3" s="98" t="s">
        <v>37</v>
      </c>
      <c r="B3" s="90" t="s">
        <v>233</v>
      </c>
      <c r="C3" s="90" t="s">
        <v>176</v>
      </c>
      <c r="D3" s="99" t="s">
        <v>234</v>
      </c>
      <c r="E3" s="94" t="s">
        <v>107</v>
      </c>
    </row>
    <row r="4" customFormat="false" ht="15" hidden="false" customHeight="false" outlineLevel="0" collapsed="false">
      <c r="A4" s="15" t="n">
        <v>1</v>
      </c>
      <c r="B4" s="95" t="str">
        <f aca="false">'M-Cita'!G4</f>
        <v>Juan García-Lunes-10:00-16:00-03/05/2025-01/01/1000-31/08/2026/10:00</v>
      </c>
      <c r="C4" s="95" t="str">
        <f aca="false">'M-Servicio'!F4</f>
        <v>Motilada</v>
      </c>
      <c r="D4" s="15" t="n">
        <v>22000</v>
      </c>
      <c r="E4" s="15" t="str">
        <f aca="false">_xlfn.CONCAT(B4,"-",C4)</f>
        <v>Juan García-Lunes-10:00-16:00-03/05/2025-01/01/1000-31/08/2026/10:00-Motilada</v>
      </c>
    </row>
    <row r="5" customFormat="false" ht="15" hidden="false" customHeight="false" outlineLevel="0" collapsed="false">
      <c r="A5" s="15" t="n">
        <v>2</v>
      </c>
      <c r="B5" s="95" t="str">
        <f aca="false">'M-Cita'!G5</f>
        <v>Juan Ortiz-Martes-09:00-15:00-02/03/2025-01/01/1000-10/03/2026/09:30</v>
      </c>
      <c r="C5" s="95" t="str">
        <f aca="false">'M-Servicio'!F5</f>
        <v>Corte de barba</v>
      </c>
      <c r="D5" s="15" t="n">
        <v>12000</v>
      </c>
      <c r="E5" s="15" t="str">
        <f aca="false">_xlfn.CONCAT(B5,"-",C5)</f>
        <v>Juan Ortiz-Martes-09:00-15:00-02/03/2025-01/01/1000-10/03/2026/09:30-Corte de barba</v>
      </c>
    </row>
    <row r="6" customFormat="false" ht="15" hidden="false" customHeight="false" outlineLevel="0" collapsed="false">
      <c r="A6" s="15" t="n">
        <v>3</v>
      </c>
      <c r="B6" s="95" t="str">
        <f aca="false">'M-Cita'!G5</f>
        <v>Juan Ortiz-Martes-09:00-15:00-02/03/2025-01/01/1000-10/03/2026/09:30</v>
      </c>
      <c r="C6" s="95" t="str">
        <f aca="false">'M-Servicio'!F4</f>
        <v>Motilada</v>
      </c>
      <c r="D6" s="15" t="n">
        <v>22000</v>
      </c>
      <c r="E6" s="15" t="str">
        <f aca="false">_xlfn.CONCAT(B6,"-",C6)</f>
        <v>Juan Ortiz-Martes-09:00-15:00-02/03/2025-01/01/1000-10/03/2026/09:30-Motilada</v>
      </c>
    </row>
    <row r="7" customFormat="false" ht="15" hidden="false" customHeight="false" outlineLevel="0" collapsed="false">
      <c r="A7" s="15" t="n">
        <v>4</v>
      </c>
      <c r="B7" s="95" t="str">
        <f aca="false">'M-Cita'!G6</f>
        <v>Carlos Arbeladez-Jueves-13:00-19:00-22/12/2022-01/01/1000-14/05/2026/13:00</v>
      </c>
      <c r="C7" s="95" t="str">
        <f aca="false">'M-Servicio'!F6</f>
        <v>Perfilada de barba</v>
      </c>
      <c r="D7" s="15" t="n">
        <v>15000</v>
      </c>
      <c r="E7" s="15" t="str">
        <f aca="false">_xlfn.CONCAT(B7,"-",C7)</f>
        <v>Carlos Arbeladez-Jueves-13:00-19:00-22/12/2022-01/01/1000-14/05/2026/13:00-Perfilada de barba</v>
      </c>
    </row>
    <row r="8" customFormat="false" ht="45" hidden="false" customHeight="true" outlineLevel="0" collapsed="false">
      <c r="A8" s="15" t="n">
        <v>5</v>
      </c>
      <c r="B8" s="100" t="str">
        <f aca="false">'M-Cita'!G7</f>
        <v>Andres Ramirez-Sábado-08:00-14:00-15/09/2025-01/01/2026-22/11/2025/13:00</v>
      </c>
      <c r="C8" s="100" t="str">
        <f aca="false">'M-Servicio'!F7</f>
        <v>Arreglo completo de barba con toalla caliente</v>
      </c>
      <c r="D8" s="15" t="n">
        <v>35000</v>
      </c>
      <c r="E8" s="62" t="str">
        <f aca="false">_xlfn.CONCAT(B8,"-",C8)</f>
        <v>Andres Ramirez-Sábado-08:00-14:00-15/09/2025-01/01/2026-22/11/2025/13:00-Arreglo completo de barba con toalla caliente</v>
      </c>
    </row>
    <row r="9" customFormat="false" ht="30" hidden="false" customHeight="true" outlineLevel="0" collapsed="false">
      <c r="A9" s="15" t="n">
        <v>6</v>
      </c>
      <c r="B9" s="100" t="str">
        <f aca="false">'M-Cita'!G8</f>
        <v>Carlos Arbeladez-Jueves-13:00-19:00-22/12/2022-01/01/1000-06/08/2026/18:00</v>
      </c>
      <c r="C9" s="95" t="str">
        <f aca="false">'M-Servicio'!F5</f>
        <v>Corte de barba</v>
      </c>
      <c r="D9" s="15" t="n">
        <v>12000</v>
      </c>
      <c r="E9" s="62" t="str">
        <f aca="false">_xlfn.CONCAT(B9,"-",C9)</f>
        <v>Carlos Arbeladez-Jueves-13:00-19:00-22/12/2022-01/01/1000-06/08/2026/18:00-Corte de barba</v>
      </c>
    </row>
    <row r="10" customFormat="false" ht="30" hidden="false" customHeight="true" outlineLevel="0" collapsed="false">
      <c r="A10" s="15" t="n">
        <v>7</v>
      </c>
      <c r="B10" s="100" t="str">
        <f aca="false">'M-Cita'!G9</f>
        <v>Juan Ortiz-Martes-09:00-15:00-02/03/2025-01/01/1000-01/09/2026/14:00</v>
      </c>
      <c r="C10" s="95" t="str">
        <f aca="false">'M-Servicio'!F5</f>
        <v>Corte de barba</v>
      </c>
      <c r="D10" s="15" t="n">
        <v>12000</v>
      </c>
      <c r="E10" s="62" t="str">
        <f aca="false">_xlfn.CONCAT(B10,"-",C10)</f>
        <v>Juan Ortiz-Martes-09:00-15:00-02/03/2025-01/01/1000-01/09/2026/14:00-Corte de barba</v>
      </c>
    </row>
    <row r="11" customFormat="false" ht="30" hidden="false" customHeight="true" outlineLevel="0" collapsed="false">
      <c r="A11" s="15" t="n">
        <v>8</v>
      </c>
      <c r="B11" s="100" t="str">
        <f aca="false">'M-Cita'!G10</f>
        <v>Juan García-Lunes-10:00-16:00-03/05/2025-01/01/1000-01/06/2026/10:00</v>
      </c>
      <c r="C11" s="95" t="str">
        <f aca="false">'M-Servicio'!F4</f>
        <v>Motilada</v>
      </c>
      <c r="D11" s="15" t="n">
        <v>22000</v>
      </c>
      <c r="E11" s="62" t="str">
        <f aca="false">_xlfn.CONCAT(B11,"-",C11)</f>
        <v>Juan García-Lunes-10:00-16:00-03/05/2025-01/01/1000-01/06/2026/10:00-Motilada</v>
      </c>
    </row>
    <row r="12" customFormat="false" ht="30" hidden="false" customHeight="true" outlineLevel="0" collapsed="false">
      <c r="A12" s="15" t="n">
        <v>9</v>
      </c>
      <c r="B12" s="100" t="str">
        <f aca="false">'M-Cita'!G11</f>
        <v>Juan Ortiz-Martes-09:00-15:00-02/03/2025-01/01/1000-16/06/2026/09:00</v>
      </c>
      <c r="C12" s="95" t="str">
        <f aca="false">'M-Servicio'!F5</f>
        <v>Corte de barba</v>
      </c>
      <c r="D12" s="15" t="n">
        <v>12000</v>
      </c>
      <c r="E12" s="62" t="str">
        <f aca="false">_xlfn.CONCAT(B12,"-",C12)</f>
        <v>Juan Ortiz-Martes-09:00-15:00-02/03/2025-01/01/1000-16/06/2026/09:00-Corte de barba</v>
      </c>
    </row>
    <row r="13" customFormat="false" ht="30" hidden="false" customHeight="true" outlineLevel="0" collapsed="false">
      <c r="A13" s="15" t="n">
        <v>10</v>
      </c>
      <c r="B13" s="100" t="str">
        <f aca="false">'M-Cita'!G12</f>
        <v>Carlos Arbeladez-Jueves-13:00-19:00-22/12/2022-01/01/1000-02/07/2026/15:00</v>
      </c>
      <c r="C13" s="95" t="str">
        <f aca="false">'M-Servicio'!F6</f>
        <v>Perfilada de barba</v>
      </c>
      <c r="D13" s="15" t="n">
        <v>15000</v>
      </c>
      <c r="E13" s="62" t="str">
        <f aca="false">_xlfn.CONCAT(B13,"-",C13)</f>
        <v>Carlos Arbeladez-Jueves-13:00-19:00-22/12/2022-01/01/1000-02/07/2026/15:00-Perfilada de barba</v>
      </c>
    </row>
    <row r="17" customFormat="false" ht="15" hidden="false" customHeight="false" outlineLevel="0" collapsed="false">
      <c r="A17" s="87"/>
      <c r="B17" s="51" t="s">
        <v>44</v>
      </c>
    </row>
    <row r="18" customFormat="false" ht="15" hidden="false" customHeight="false" outlineLevel="0" collapsed="false">
      <c r="A18" s="98"/>
      <c r="B18" s="51" t="s">
        <v>45</v>
      </c>
    </row>
    <row r="19" customFormat="false" ht="15" hidden="false" customHeight="false" outlineLevel="0" collapsed="false">
      <c r="A19" s="90"/>
      <c r="B19" s="51" t="s">
        <v>169</v>
      </c>
    </row>
    <row r="20" customFormat="false" ht="15" hidden="false" customHeight="false" outlineLevel="0" collapsed="false">
      <c r="A20" s="99"/>
      <c r="B20" s="51" t="s">
        <v>93</v>
      </c>
    </row>
    <row r="21" customFormat="false" ht="15" hidden="false" customHeight="false" outlineLevel="0" collapsed="false">
      <c r="A21" s="94"/>
      <c r="B21" s="51" t="s">
        <v>94</v>
      </c>
    </row>
  </sheetData>
  <hyperlinks>
    <hyperlink ref="A1" location="'Modelo de Dominio'!A1" display="&lt;&lt;&lt;&lt; Ir al modulo de dominio"/>
    <hyperlink ref="B1" location="'Objetos de Dominio'!A1" display="&lt;&lt;&lt;&lt; Ir a objetos de dominio"/>
    <hyperlink ref="B3" location="Cita_D!A1" display="cita"/>
    <hyperlink ref="C3" location="Servicio_D!A1" display="servicio"/>
    <hyperlink ref="B4" location="Cita_D!A4" display="#Cita_D.A4"/>
    <hyperlink ref="C4" location="Servicio_D!A4" display="#Servicio_D.A4"/>
    <hyperlink ref="B5" location="Cita_D!A4" display="#Cita_D.A4"/>
    <hyperlink ref="C5" location="Servicio_D!A5" display="#Servicio_D.A5"/>
    <hyperlink ref="B6" location="Cita_D!A5" display="#Cita_D.A5"/>
    <hyperlink ref="C6" location="Servicio_D!A4" display="#Servicio_D.A4"/>
    <hyperlink ref="B7" location="Cita_D!A6" display="#Cita_D.A6"/>
    <hyperlink ref="C7" location="Servicio_D!A6" display="#Servicio_D.A6"/>
    <hyperlink ref="B8" location="Cita_D!A7" display="#Cita_D.A7"/>
    <hyperlink ref="C8" location="Servicio_D!A7" display="#Servicio_D.A7"/>
    <hyperlink ref="B9" location="Cita_D!A8" display="#Cita_D.A8"/>
    <hyperlink ref="C9" location="Servicio_D!A5" display="#Servicio_D.A5"/>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true" showOutlineSymbols="true" defaultGridColor="true" view="normal" topLeftCell="A1" colorId="64" zoomScale="130" zoomScaleNormal="130" zoomScalePageLayoutView="100" workbookViewId="0">
      <selection pane="topLeft" activeCell="A6" activeCellId="0" sqref="A6"/>
    </sheetView>
  </sheetViews>
  <sheetFormatPr defaultColWidth="10.6796875" defaultRowHeight="15" zeroHeight="false" outlineLevelRow="0" outlineLevelCol="0"/>
  <cols>
    <col collapsed="false" customWidth="true" hidden="false" outlineLevel="0" max="1" min="1" style="0" width="27"/>
    <col collapsed="false" customWidth="true" hidden="false" outlineLevel="0" max="2" min="2" style="0" width="36.86"/>
    <col collapsed="false" customWidth="true" hidden="false" outlineLevel="0" max="3" min="3" style="0" width="50.42"/>
    <col collapsed="false" customWidth="true" hidden="false" outlineLevel="0" max="4" min="4" style="0" width="34.71"/>
    <col collapsed="false" customWidth="true" hidden="false" outlineLevel="0" max="5" min="5" style="0" width="29.14"/>
    <col collapsed="false" customWidth="true" hidden="false" outlineLevel="0" max="6" min="6" style="0" width="31.29"/>
    <col collapsed="false" customWidth="true" hidden="false" outlineLevel="0" max="7" min="7" style="0" width="49.29"/>
  </cols>
  <sheetData>
    <row r="1" customFormat="false" ht="15" hidden="false" customHeight="false" outlineLevel="0" collapsed="false">
      <c r="A1" s="86" t="s">
        <v>1</v>
      </c>
      <c r="B1" s="86" t="s">
        <v>32</v>
      </c>
      <c r="C1" s="51"/>
      <c r="D1" s="51"/>
      <c r="E1" s="51"/>
      <c r="F1" s="51"/>
      <c r="G1" s="51"/>
    </row>
    <row r="2" customFormat="false" ht="45.75" hidden="false" customHeight="true" outlineLevel="0" collapsed="false">
      <c r="A2" s="87" t="s">
        <v>33</v>
      </c>
      <c r="B2" s="87" t="s">
        <v>235</v>
      </c>
      <c r="C2" s="88" t="s">
        <v>236</v>
      </c>
      <c r="D2" s="88" t="s">
        <v>237</v>
      </c>
      <c r="E2" s="88" t="s">
        <v>238</v>
      </c>
      <c r="F2" s="88" t="s">
        <v>239</v>
      </c>
      <c r="G2" s="88" t="s">
        <v>240</v>
      </c>
    </row>
    <row r="3" customFormat="false" ht="15" hidden="false" customHeight="false" outlineLevel="0" collapsed="false">
      <c r="A3" s="89" t="s">
        <v>37</v>
      </c>
      <c r="B3" s="90" t="s">
        <v>219</v>
      </c>
      <c r="C3" s="90" t="s">
        <v>233</v>
      </c>
      <c r="D3" s="92" t="s">
        <v>241</v>
      </c>
      <c r="E3" s="101" t="s">
        <v>242</v>
      </c>
      <c r="F3" s="102" t="s">
        <v>243</v>
      </c>
      <c r="G3" s="103" t="s">
        <v>107</v>
      </c>
    </row>
    <row r="4" customFormat="false" ht="15" hidden="false" customHeight="false" outlineLevel="0" collapsed="false">
      <c r="A4" s="15" t="n">
        <v>1</v>
      </c>
      <c r="B4" s="95" t="str">
        <f aca="false">'M-Cliente'!J6</f>
        <v>Simon--Ochoa-Ramirez-+57-3119884321</v>
      </c>
      <c r="C4" s="95" t="str">
        <f aca="false">'M-Cita'!G6</f>
        <v>Carlos Arbeladez-Jueves-13:00-19:00-22/12/2022-01/01/1000-14/05/2026/13:00</v>
      </c>
      <c r="D4" s="49" t="n">
        <f aca="false">'M-Regla'!C4</f>
        <v>10000</v>
      </c>
      <c r="E4" s="15" t="s">
        <v>225</v>
      </c>
      <c r="F4" s="15" t="s">
        <v>72</v>
      </c>
      <c r="G4" s="15" t="str">
        <f aca="false">C4</f>
        <v>Carlos Arbeladez-Jueves-13:00-19:00-22/12/2022-01/01/1000-14/05/2026/13:00</v>
      </c>
    </row>
    <row r="5" customFormat="false" ht="15" hidden="false" customHeight="false" outlineLevel="0" collapsed="false">
      <c r="A5" s="15" t="n">
        <v>2</v>
      </c>
      <c r="B5" s="95" t="str">
        <f aca="false">'M-Cliente'!J7</f>
        <v>Alexis--Gallego--+58-4127359182</v>
      </c>
      <c r="C5" s="95" t="str">
        <f aca="false">'M-Cita'!G7</f>
        <v>Andres Ramirez-Sábado-08:00-14:00-15/09/2025-01/01/2026-22/11/2025/13:00</v>
      </c>
      <c r="D5" s="15" t="n">
        <f aca="false">'M-CitaServicio'!D8</f>
        <v>35000</v>
      </c>
      <c r="E5" s="15" t="s">
        <v>226</v>
      </c>
      <c r="F5" s="15" t="s">
        <v>87</v>
      </c>
      <c r="G5" s="15" t="str">
        <f aca="false">C5</f>
        <v>Andres Ramirez-Sábado-08:00-14:00-15/09/2025-01/01/2026-22/11/2025/13:00</v>
      </c>
    </row>
    <row r="6" customFormat="false" ht="15" hidden="false" customHeight="false" outlineLevel="0" collapsed="false">
      <c r="A6" s="15" t="n">
        <v>3</v>
      </c>
      <c r="B6" s="95" t="str">
        <f aca="false">'M-Cliente'!J8</f>
        <v>Kevin-Andrés-Muñoz-Salazar-+57-3005544332</v>
      </c>
      <c r="C6" s="95" t="str">
        <f aca="false">'M-Cita'!G10</f>
        <v>Juan García-Lunes-10:00-16:00-03/05/2025-01/01/1000-01/06/2026/10:00</v>
      </c>
      <c r="D6" s="15" t="n">
        <f aca="false">'M-CitaServicio'!D11</f>
        <v>22000</v>
      </c>
      <c r="E6" s="15" t="s">
        <v>226</v>
      </c>
      <c r="F6" s="15" t="s">
        <v>87</v>
      </c>
      <c r="G6" s="15" t="str">
        <f aca="false">C6</f>
        <v>Juan García-Lunes-10:00-16:00-03/05/2025-01/01/1000-01/06/2026/10:00</v>
      </c>
    </row>
    <row r="7" customFormat="false" ht="15" hidden="false" customHeight="false" outlineLevel="0" collapsed="false">
      <c r="A7" s="15" t="n">
        <v>4</v>
      </c>
      <c r="B7" s="95" t="str">
        <f aca="false">'M-Cliente'!J8</f>
        <v>Kevin-Andrés-Muñoz-Salazar-+57-3005544332</v>
      </c>
      <c r="C7" s="95" t="str">
        <f aca="false">'M-Cita'!G11</f>
        <v>Juan Ortiz-Martes-09:00-15:00-02/03/2025-01/01/1000-16/06/2026/09:00</v>
      </c>
      <c r="D7" s="15" t="n">
        <f aca="false">'M-CitaServicio'!D12</f>
        <v>12000</v>
      </c>
      <c r="E7" s="15" t="s">
        <v>226</v>
      </c>
      <c r="F7" s="15" t="s">
        <v>87</v>
      </c>
      <c r="G7" s="15" t="str">
        <f aca="false">C7</f>
        <v>Juan Ortiz-Martes-09:00-15:00-02/03/2025-01/01/1000-16/06/2026/09:00</v>
      </c>
    </row>
    <row r="8" customFormat="false" ht="15" hidden="false" customHeight="false" outlineLevel="0" collapsed="false">
      <c r="A8" s="15" t="n">
        <v>5</v>
      </c>
      <c r="B8" s="95" t="str">
        <f aca="false">'M-Cliente'!J8</f>
        <v>Kevin-Andrés-Muñoz-Salazar-+57-3005544332</v>
      </c>
      <c r="C8" s="95" t="str">
        <f aca="false">'M-Cita'!G12</f>
        <v>Carlos Arbeladez-Jueves-13:00-19:00-22/12/2022-01/01/1000-02/07/2026/15:00</v>
      </c>
      <c r="D8" s="15" t="n">
        <f aca="false">'M-CitaServicio'!D13</f>
        <v>15000</v>
      </c>
      <c r="E8" s="15" t="s">
        <v>226</v>
      </c>
      <c r="F8" s="15" t="s">
        <v>87</v>
      </c>
      <c r="G8" s="15" t="str">
        <f aca="false">C8</f>
        <v>Carlos Arbeladez-Jueves-13:00-19:00-22/12/2022-01/01/1000-02/07/2026/15:00</v>
      </c>
    </row>
    <row r="12" customFormat="false" ht="15" hidden="false" customHeight="false" outlineLevel="0" collapsed="false">
      <c r="A12" s="87"/>
      <c r="B12" s="51" t="s">
        <v>44</v>
      </c>
    </row>
    <row r="13" customFormat="false" ht="15" hidden="false" customHeight="false" outlineLevel="0" collapsed="false">
      <c r="A13" s="89"/>
      <c r="B13" s="51" t="s">
        <v>45</v>
      </c>
    </row>
    <row r="14" customFormat="false" ht="15" hidden="false" customHeight="false" outlineLevel="0" collapsed="false">
      <c r="A14" s="90"/>
      <c r="B14" s="51" t="s">
        <v>169</v>
      </c>
    </row>
    <row r="15" customFormat="false" ht="15" hidden="false" customHeight="false" outlineLevel="0" collapsed="false">
      <c r="A15" s="92"/>
      <c r="B15" s="51" t="s">
        <v>93</v>
      </c>
    </row>
    <row r="16" customFormat="false" ht="15" hidden="false" customHeight="false" outlineLevel="0" collapsed="false">
      <c r="A16" s="102"/>
      <c r="B16" s="51" t="s">
        <v>141</v>
      </c>
    </row>
    <row r="17" customFormat="false" ht="15" hidden="false" customHeight="false" outlineLevel="0" collapsed="false">
      <c r="A17" s="103"/>
      <c r="B17" s="51" t="s">
        <v>94</v>
      </c>
    </row>
  </sheetData>
  <hyperlinks>
    <hyperlink ref="A1" location="'Modelo de Dominio'!A1" display="&lt;&lt;&lt;&lt; Ir al modulo de dominio"/>
    <hyperlink ref="B1" location="'Objetos de Dominio'!A1" display="&lt;&lt;&lt;&lt; Ir a objetos de dominio"/>
    <hyperlink ref="B3" location="Cliente_D!A1" display="cliente"/>
    <hyperlink ref="C3" location="Cita_D!A1" display="cita"/>
    <hyperlink ref="B4" location="Cliente_D!A6" display="#Cliente_D.A6"/>
    <hyperlink ref="C4" location="Cita_D!A6" display="#Cita_D.A6"/>
    <hyperlink ref="B5" location="Cliente_D!A7" display="#Cliente_D.A7"/>
    <hyperlink ref="C5" location="Cita_D!A7" display="#Cita_D.A7"/>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Edilio Gomez</dc:creator>
  <dc:description/>
  <dc:language>en-US</dc:language>
  <cp:lastModifiedBy>Edilio Gomez</cp:lastModifiedBy>
  <dcterms:modified xsi:type="dcterms:W3CDTF">2026-08-21T15:29:05Z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