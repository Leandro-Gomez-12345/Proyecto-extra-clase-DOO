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120f6d501c463b80/Escritorio/leo/Doo/Barberia proyecto/"/>
    </mc:Choice>
  </mc:AlternateContent>
  <xr:revisionPtr revIDLastSave="1601" documentId="13_ncr:1_{D4B8128F-C52B-45E6-AFA0-1DDD2E7464F8}" xr6:coauthVersionLast="47" xr6:coauthVersionMax="47" xr10:uidLastSave="{1EA0DEA6-89A3-4ED5-A23F-FFC0CC7D4538}"/>
  <bookViews>
    <workbookView xWindow="-120" yWindow="-120" windowWidth="29040" windowHeight="15840" tabRatio="500" firstSheet="1" activeTab="4" xr2:uid="{00000000-000D-0000-FFFF-FFFF00000000}"/>
  </bookViews>
  <sheets>
    <sheet name="Modelo de Dominio" sheetId="1" r:id="rId1"/>
    <sheet name="Objetos de Dominio" sheetId="2" r:id="rId2"/>
    <sheet name="C-Bloqueo" sheetId="43" r:id="rId3"/>
    <sheet name="P-Bloqueo" sheetId="44" r:id="rId4"/>
    <sheet name="E-Bloqueo" sheetId="45" r:id="rId5"/>
    <sheet name="M-Bloqueo" sheetId="46" r:id="rId6"/>
    <sheet name="C-DiaSemana" sheetId="3" r:id="rId7"/>
    <sheet name="P-DiaSemana" sheetId="4" r:id="rId8"/>
    <sheet name="E-DiaSemana" sheetId="5" r:id="rId9"/>
    <sheet name="M-DiaSemana" sheetId="6" r:id="rId10"/>
    <sheet name="C-Estado" sheetId="7" r:id="rId11"/>
    <sheet name="P-Estado" sheetId="8" r:id="rId12"/>
    <sheet name="E-Estado" sheetId="9" r:id="rId13"/>
    <sheet name="M-Estado" sheetId="10" r:id="rId14"/>
    <sheet name="C-Servicio" sheetId="11" r:id="rId15"/>
    <sheet name="P-Servicio" sheetId="12" r:id="rId16"/>
    <sheet name="E-Servicio" sheetId="13" r:id="rId17"/>
    <sheet name="M-Servicio" sheetId="14" r:id="rId18"/>
    <sheet name="C-Regla" sheetId="15" r:id="rId19"/>
    <sheet name="P-Regla" sheetId="16" r:id="rId20"/>
    <sheet name="E-Regla" sheetId="17" r:id="rId21"/>
    <sheet name="M-Regla" sheetId="18" r:id="rId22"/>
    <sheet name="C-PrefijoCelular" sheetId="19" r:id="rId23"/>
    <sheet name="P-PrefijoCelular" sheetId="20" r:id="rId24"/>
    <sheet name="E-PrefijoCelular" sheetId="21" r:id="rId25"/>
    <sheet name="M-PrefijoCelular" sheetId="22" r:id="rId26"/>
    <sheet name="C-TipoMulta" sheetId="23" r:id="rId27"/>
    <sheet name="P-TipoMulta" sheetId="24" r:id="rId28"/>
    <sheet name="E-TipoMulta" sheetId="25" r:id="rId29"/>
    <sheet name="M-TipoMulta" sheetId="26" r:id="rId30"/>
    <sheet name="C-Barbero" sheetId="27" r:id="rId31"/>
    <sheet name="P-Barbero" sheetId="28" r:id="rId32"/>
    <sheet name="E-Barbero" sheetId="29" r:id="rId33"/>
    <sheet name="M-Barbero" sheetId="30" r:id="rId34"/>
    <sheet name="C-Cliente" sheetId="31" r:id="rId35"/>
    <sheet name="P-Cliente" sheetId="32" r:id="rId36"/>
    <sheet name="E-Cliente" sheetId="33" r:id="rId37"/>
    <sheet name="M-Cliente" sheetId="34" r:id="rId38"/>
    <sheet name="C-HorarioBarberia" sheetId="35" r:id="rId39"/>
    <sheet name="P-HorarioBarberia" sheetId="36" r:id="rId40"/>
    <sheet name="E-HorarioBarberia" sheetId="37" r:id="rId41"/>
    <sheet name="M-HorarioBarberia" sheetId="38" r:id="rId42"/>
    <sheet name="C-BarberoServicio" sheetId="39" r:id="rId43"/>
    <sheet name="P-BarberoServicio" sheetId="40" r:id="rId44"/>
    <sheet name="E-BarberoServicio" sheetId="41" r:id="rId45"/>
    <sheet name="M-BarberoServicio" sheetId="42" r:id="rId46"/>
    <sheet name="C-HorarioBarbero" sheetId="47" r:id="rId47"/>
    <sheet name="P-HorarioBarbero" sheetId="48" r:id="rId48"/>
    <sheet name="E-HorarioBarbero" sheetId="49" r:id="rId49"/>
    <sheet name="M-HorarioBarbero" sheetId="50" r:id="rId50"/>
    <sheet name="C-Agenda" sheetId="51" r:id="rId51"/>
    <sheet name="P-Agenda" sheetId="52" r:id="rId52"/>
    <sheet name="E-Agenda" sheetId="53" r:id="rId53"/>
    <sheet name="M-Agenda" sheetId="54" r:id="rId54"/>
    <sheet name="C-Cita" sheetId="55" r:id="rId55"/>
    <sheet name="P-Cita" sheetId="56" r:id="rId56"/>
    <sheet name="E-Cita" sheetId="57" r:id="rId57"/>
    <sheet name="M-Cita" sheetId="58" r:id="rId58"/>
    <sheet name="C-CitaServicio" sheetId="59" r:id="rId59"/>
    <sheet name="P-CitaServicio" sheetId="60" r:id="rId60"/>
    <sheet name="E-CitaServicio" sheetId="61" r:id="rId61"/>
    <sheet name="M-CitaServicio" sheetId="62" r:id="rId62"/>
    <sheet name="C-Multa" sheetId="63" r:id="rId63"/>
    <sheet name="P-Multa" sheetId="64" r:id="rId64"/>
    <sheet name="E-Multa" sheetId="65" r:id="rId65"/>
    <sheet name="M-Multa" sheetId="66" r:id="rId6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 i="45" l="1"/>
  <c r="D12" i="45"/>
  <c r="G9" i="33"/>
  <c r="G9" i="65"/>
  <c r="G7" i="65"/>
  <c r="G21" i="57"/>
  <c r="G20" i="57"/>
  <c r="G19" i="57"/>
  <c r="G14" i="57"/>
  <c r="G13" i="57"/>
  <c r="G12" i="57"/>
  <c r="G11" i="57"/>
  <c r="G10" i="57"/>
  <c r="G9" i="57"/>
  <c r="G8" i="57"/>
  <c r="G7" i="57"/>
  <c r="G8" i="53"/>
  <c r="G7" i="53"/>
  <c r="G10" i="49"/>
  <c r="G8" i="49"/>
  <c r="G7" i="49"/>
  <c r="G8" i="45"/>
  <c r="G7" i="45"/>
  <c r="G9" i="41"/>
  <c r="G8" i="41"/>
  <c r="G7" i="41"/>
  <c r="G12" i="37"/>
  <c r="G8" i="37"/>
  <c r="G7" i="37"/>
  <c r="G8" i="33"/>
  <c r="G7" i="33"/>
  <c r="G13" i="29"/>
  <c r="G14" i="13"/>
  <c r="G10" i="13"/>
  <c r="G9" i="13"/>
  <c r="G8" i="13"/>
  <c r="G7" i="13"/>
  <c r="G10" i="9"/>
  <c r="G10" i="29"/>
  <c r="G9" i="29"/>
  <c r="G8" i="29"/>
  <c r="G7" i="29"/>
  <c r="B3" i="65" l="1"/>
  <c r="B2" i="65"/>
  <c r="D9" i="65" s="1"/>
  <c r="B3" i="64"/>
  <c r="B2" i="64"/>
  <c r="C12" i="63"/>
  <c r="B12" i="63"/>
  <c r="A12" i="63"/>
  <c r="B9" i="63"/>
  <c r="A9" i="63"/>
  <c r="B8" i="63"/>
  <c r="A8" i="63"/>
  <c r="B7" i="63"/>
  <c r="A7" i="63"/>
  <c r="B6" i="63"/>
  <c r="A6" i="63"/>
  <c r="B5" i="63"/>
  <c r="A5" i="63"/>
  <c r="B4" i="63"/>
  <c r="A4" i="63"/>
  <c r="B3" i="63"/>
  <c r="A3" i="63"/>
  <c r="G14" i="62"/>
  <c r="F14" i="62"/>
  <c r="E14" i="62"/>
  <c r="D14" i="62"/>
  <c r="G13" i="62"/>
  <c r="F13" i="62"/>
  <c r="E13" i="62"/>
  <c r="D13" i="62"/>
  <c r="G12" i="62"/>
  <c r="F12" i="62"/>
  <c r="E12" i="62"/>
  <c r="D12" i="62"/>
  <c r="G11" i="62"/>
  <c r="F11" i="62"/>
  <c r="E11" i="62"/>
  <c r="D11" i="62"/>
  <c r="G10" i="62"/>
  <c r="F10" i="62"/>
  <c r="E10" i="62"/>
  <c r="D10" i="62"/>
  <c r="G9" i="62"/>
  <c r="F9" i="62"/>
  <c r="E9" i="62"/>
  <c r="D9" i="62"/>
  <c r="G8" i="62"/>
  <c r="F8" i="62"/>
  <c r="E8" i="62"/>
  <c r="D8" i="62"/>
  <c r="G7" i="62"/>
  <c r="F7" i="62"/>
  <c r="E7" i="62"/>
  <c r="D7" i="62"/>
  <c r="G6" i="62"/>
  <c r="F6" i="62"/>
  <c r="E6" i="62"/>
  <c r="D6" i="62"/>
  <c r="G5" i="62"/>
  <c r="F5" i="62"/>
  <c r="E5" i="62"/>
  <c r="D5" i="62"/>
  <c r="G4" i="62"/>
  <c r="F4" i="62"/>
  <c r="E4" i="62"/>
  <c r="D4" i="62"/>
  <c r="B3" i="61"/>
  <c r="B2" i="61"/>
  <c r="D10" i="61" s="1"/>
  <c r="B3" i="60"/>
  <c r="B2" i="60"/>
  <c r="C12" i="59"/>
  <c r="B12" i="59"/>
  <c r="A12" i="59"/>
  <c r="B9" i="59"/>
  <c r="A9" i="59"/>
  <c r="B8" i="59"/>
  <c r="A8" i="59"/>
  <c r="B7" i="59"/>
  <c r="A7" i="59"/>
  <c r="B6" i="59"/>
  <c r="A6" i="59"/>
  <c r="B5" i="59"/>
  <c r="A5" i="59"/>
  <c r="C13" i="59" s="1"/>
  <c r="B4" i="59"/>
  <c r="A4" i="59"/>
  <c r="B3" i="59"/>
  <c r="A3" i="59"/>
  <c r="O13" i="58"/>
  <c r="N13" i="58"/>
  <c r="D13" i="58"/>
  <c r="O12" i="58"/>
  <c r="N12" i="58"/>
  <c r="D12" i="58"/>
  <c r="O11" i="58"/>
  <c r="N11" i="58"/>
  <c r="D11" i="58"/>
  <c r="O10" i="58"/>
  <c r="N10" i="58"/>
  <c r="E10" i="58"/>
  <c r="D10" i="58"/>
  <c r="O9" i="58"/>
  <c r="N9" i="58"/>
  <c r="D9" i="58"/>
  <c r="O8" i="58"/>
  <c r="N8" i="58"/>
  <c r="D8" i="58"/>
  <c r="O7" i="58"/>
  <c r="N7" i="58"/>
  <c r="D7" i="58"/>
  <c r="O6" i="58"/>
  <c r="N6" i="58"/>
  <c r="D6" i="58"/>
  <c r="O5" i="58"/>
  <c r="N5" i="58"/>
  <c r="D5" i="58"/>
  <c r="O4" i="58"/>
  <c r="N4" i="58"/>
  <c r="D4" i="58"/>
  <c r="B3" i="57"/>
  <c r="B2" i="57"/>
  <c r="D20" i="57" s="1"/>
  <c r="B3" i="56"/>
  <c r="B2" i="56"/>
  <c r="B22" i="55"/>
  <c r="A22" i="55"/>
  <c r="B19" i="55"/>
  <c r="A19" i="55"/>
  <c r="B18" i="55"/>
  <c r="A18" i="55"/>
  <c r="B17" i="55"/>
  <c r="A17" i="55"/>
  <c r="B16" i="55"/>
  <c r="A16" i="55"/>
  <c r="B15" i="55"/>
  <c r="A15" i="55"/>
  <c r="B14" i="55"/>
  <c r="A14" i="55"/>
  <c r="B13" i="55"/>
  <c r="A13" i="55"/>
  <c r="B12" i="55"/>
  <c r="A12" i="55"/>
  <c r="B11" i="55"/>
  <c r="A11" i="55"/>
  <c r="B10" i="55"/>
  <c r="A10" i="55"/>
  <c r="B9" i="55"/>
  <c r="A9" i="55"/>
  <c r="B8" i="55"/>
  <c r="A8" i="55"/>
  <c r="C23" i="55" s="1"/>
  <c r="B7" i="55"/>
  <c r="A7" i="55"/>
  <c r="B6" i="55"/>
  <c r="A6" i="55"/>
  <c r="B5" i="55"/>
  <c r="A5" i="55"/>
  <c r="C22" i="55" s="1"/>
  <c r="B4" i="55"/>
  <c r="A4" i="55"/>
  <c r="B3" i="55"/>
  <c r="A3" i="55"/>
  <c r="B3" i="53"/>
  <c r="B2" i="53"/>
  <c r="D11" i="53" s="1"/>
  <c r="B3" i="52"/>
  <c r="B2" i="52"/>
  <c r="C9" i="51"/>
  <c r="B8" i="51"/>
  <c r="A8" i="51"/>
  <c r="B5" i="51"/>
  <c r="A5" i="51"/>
  <c r="B4" i="51"/>
  <c r="A4" i="51"/>
  <c r="C8" i="51" s="1"/>
  <c r="B3" i="51"/>
  <c r="A3" i="51"/>
  <c r="D11" i="49"/>
  <c r="D10" i="49"/>
  <c r="D9" i="49"/>
  <c r="D7" i="49"/>
  <c r="B3" i="49"/>
  <c r="B2" i="49"/>
  <c r="B3" i="48"/>
  <c r="B2" i="48"/>
  <c r="C14" i="47"/>
  <c r="B13" i="47"/>
  <c r="A13" i="47"/>
  <c r="B10" i="47"/>
  <c r="A10" i="47"/>
  <c r="C17" i="47" s="1"/>
  <c r="B9" i="47"/>
  <c r="A9" i="47"/>
  <c r="B8" i="47"/>
  <c r="A8" i="47"/>
  <c r="B7" i="47"/>
  <c r="A7" i="47"/>
  <c r="C16" i="47" s="1"/>
  <c r="B6" i="47"/>
  <c r="A6" i="47"/>
  <c r="C15" i="47" s="1"/>
  <c r="B5" i="47"/>
  <c r="A5" i="47"/>
  <c r="B4" i="47"/>
  <c r="A4" i="47"/>
  <c r="C13" i="47" s="1"/>
  <c r="B3" i="47"/>
  <c r="A3" i="47"/>
  <c r="B3" i="45"/>
  <c r="B2" i="45"/>
  <c r="D10" i="45" s="1"/>
  <c r="B3" i="44"/>
  <c r="B2" i="44"/>
  <c r="C11" i="43"/>
  <c r="C10" i="43"/>
  <c r="B9" i="43"/>
  <c r="A9" i="43"/>
  <c r="B6" i="43"/>
  <c r="A6" i="43"/>
  <c r="B5" i="43"/>
  <c r="A5" i="43"/>
  <c r="B4" i="43"/>
  <c r="A4" i="43"/>
  <c r="C9" i="43" s="1"/>
  <c r="B3" i="43"/>
  <c r="A3" i="43"/>
  <c r="H12" i="42"/>
  <c r="C12" i="42"/>
  <c r="B12" i="42"/>
  <c r="H11" i="42"/>
  <c r="C11" i="42"/>
  <c r="B11" i="42"/>
  <c r="C10" i="42"/>
  <c r="B10" i="42"/>
  <c r="H10" i="42" s="1"/>
  <c r="C9" i="42"/>
  <c r="B9" i="42"/>
  <c r="H9" i="42" s="1"/>
  <c r="H8" i="42"/>
  <c r="C8" i="42"/>
  <c r="B8" i="42"/>
  <c r="H7" i="42"/>
  <c r="C9" i="62" s="1"/>
  <c r="C7" i="42"/>
  <c r="B7" i="42"/>
  <c r="C6" i="42"/>
  <c r="B6" i="42"/>
  <c r="H6" i="42" s="1"/>
  <c r="C5" i="42"/>
  <c r="B5" i="42"/>
  <c r="H5" i="42" s="1"/>
  <c r="H4" i="42"/>
  <c r="C4" i="62" s="1"/>
  <c r="C4" i="42"/>
  <c r="B4" i="42"/>
  <c r="B3" i="41"/>
  <c r="B2" i="41"/>
  <c r="D12" i="41" s="1"/>
  <c r="B3" i="40"/>
  <c r="B2" i="40"/>
  <c r="B12" i="39"/>
  <c r="A12" i="39"/>
  <c r="B9" i="39"/>
  <c r="A9" i="39"/>
  <c r="B8" i="39"/>
  <c r="A8" i="39"/>
  <c r="B7" i="39"/>
  <c r="A7" i="39"/>
  <c r="B6" i="39"/>
  <c r="A6" i="39"/>
  <c r="B5" i="39"/>
  <c r="A5" i="39"/>
  <c r="B4" i="39"/>
  <c r="A4" i="39"/>
  <c r="B3" i="39"/>
  <c r="A3" i="39"/>
  <c r="B10" i="38"/>
  <c r="H10" i="38" s="1"/>
  <c r="C8" i="50" s="1"/>
  <c r="B4" i="38"/>
  <c r="H4" i="38" s="1"/>
  <c r="C4" i="50" s="1"/>
  <c r="D10" i="37"/>
  <c r="D9" i="37"/>
  <c r="B3" i="37"/>
  <c r="B2" i="37"/>
  <c r="D7" i="37" s="1"/>
  <c r="B3" i="36"/>
  <c r="B2" i="36"/>
  <c r="C17" i="35"/>
  <c r="C15" i="35"/>
  <c r="C13" i="35"/>
  <c r="C12" i="35"/>
  <c r="B12" i="35"/>
  <c r="A12" i="35"/>
  <c r="B9" i="35"/>
  <c r="A9" i="35"/>
  <c r="B8" i="35"/>
  <c r="A8" i="35"/>
  <c r="C16" i="35" s="1"/>
  <c r="B7" i="35"/>
  <c r="A7" i="35"/>
  <c r="B6" i="35"/>
  <c r="A6" i="35"/>
  <c r="C14" i="35" s="1"/>
  <c r="B5" i="35"/>
  <c r="A5" i="35"/>
  <c r="B4" i="35"/>
  <c r="A4" i="35"/>
  <c r="B3" i="35"/>
  <c r="A3" i="35"/>
  <c r="F8" i="34"/>
  <c r="L8" i="34" s="1"/>
  <c r="F6" i="34"/>
  <c r="L6" i="34" s="1"/>
  <c r="B6" i="58" s="1"/>
  <c r="B3" i="33"/>
  <c r="B2" i="33"/>
  <c r="D13" i="33" s="1"/>
  <c r="B3" i="32"/>
  <c r="B2" i="32"/>
  <c r="B15" i="31"/>
  <c r="A15" i="31"/>
  <c r="B12" i="31"/>
  <c r="A12" i="31"/>
  <c r="B11" i="31"/>
  <c r="A11" i="31"/>
  <c r="B10" i="31"/>
  <c r="A10" i="31"/>
  <c r="B9" i="31"/>
  <c r="A9" i="31"/>
  <c r="C18" i="31" s="1"/>
  <c r="B8" i="31"/>
  <c r="A8" i="31"/>
  <c r="C15" i="31" s="1"/>
  <c r="B7" i="31"/>
  <c r="A7" i="31"/>
  <c r="B6" i="31"/>
  <c r="A6" i="31"/>
  <c r="B5" i="31"/>
  <c r="A5" i="31"/>
  <c r="B4" i="31"/>
  <c r="A4" i="31"/>
  <c r="B3" i="31"/>
  <c r="A3" i="31"/>
  <c r="K7" i="30"/>
  <c r="B8" i="50" s="1"/>
  <c r="F7" i="30"/>
  <c r="F6" i="30"/>
  <c r="K6" i="30" s="1"/>
  <c r="F5" i="30"/>
  <c r="K5" i="30" s="1"/>
  <c r="B3" i="29"/>
  <c r="B2" i="29"/>
  <c r="B3" i="28"/>
  <c r="B2" i="28"/>
  <c r="C16" i="27"/>
  <c r="B15" i="27"/>
  <c r="A15" i="27"/>
  <c r="B12" i="27"/>
  <c r="A12" i="27"/>
  <c r="B11" i="27"/>
  <c r="A11" i="27"/>
  <c r="B10" i="27"/>
  <c r="A10" i="27"/>
  <c r="B9" i="27"/>
  <c r="A9" i="27"/>
  <c r="B8" i="27"/>
  <c r="A8" i="27"/>
  <c r="C15" i="27" s="1"/>
  <c r="B7" i="27"/>
  <c r="A7" i="27"/>
  <c r="B6" i="27"/>
  <c r="A6" i="27"/>
  <c r="B5" i="27"/>
  <c r="A5" i="27"/>
  <c r="B4" i="27"/>
  <c r="A4" i="27"/>
  <c r="B3" i="27"/>
  <c r="A3" i="27"/>
  <c r="D5" i="26"/>
  <c r="C7" i="66" s="1"/>
  <c r="D4" i="26"/>
  <c r="C4" i="66" s="1"/>
  <c r="B3" i="25"/>
  <c r="B2" i="25"/>
  <c r="D9" i="25" s="1"/>
  <c r="B3" i="24"/>
  <c r="B2" i="24"/>
  <c r="B8" i="23"/>
  <c r="A8" i="23"/>
  <c r="B5" i="23"/>
  <c r="A5" i="23"/>
  <c r="B4" i="23"/>
  <c r="A4" i="23"/>
  <c r="B3" i="23"/>
  <c r="A3" i="23"/>
  <c r="C7" i="22"/>
  <c r="F7" i="34" s="1"/>
  <c r="L7" i="34" s="1"/>
  <c r="C6" i="22"/>
  <c r="F8" i="30" s="1"/>
  <c r="K8" i="30" s="1"/>
  <c r="C5" i="22"/>
  <c r="C4" i="22"/>
  <c r="F5" i="34" s="1"/>
  <c r="L5" i="34" s="1"/>
  <c r="B3" i="21"/>
  <c r="B2" i="21"/>
  <c r="D8" i="21" s="1"/>
  <c r="B3" i="20"/>
  <c r="B2" i="20"/>
  <c r="B7" i="19"/>
  <c r="A7" i="19"/>
  <c r="B4" i="19"/>
  <c r="A4" i="19"/>
  <c r="B3" i="19"/>
  <c r="A3" i="19"/>
  <c r="G8" i="17"/>
  <c r="G7" i="17"/>
  <c r="B3" i="17"/>
  <c r="B2" i="17"/>
  <c r="D11" i="17" s="1"/>
  <c r="B3" i="16"/>
  <c r="B2" i="16"/>
  <c r="B12" i="15"/>
  <c r="A12" i="15"/>
  <c r="B11" i="15"/>
  <c r="A11" i="15"/>
  <c r="B10" i="15"/>
  <c r="A10" i="15"/>
  <c r="B9" i="15"/>
  <c r="A9" i="15"/>
  <c r="B8" i="15"/>
  <c r="A8" i="15"/>
  <c r="B7" i="15"/>
  <c r="A7" i="15"/>
  <c r="B6" i="15"/>
  <c r="A6" i="15"/>
  <c r="B5" i="15"/>
  <c r="A5" i="15"/>
  <c r="B4" i="15"/>
  <c r="A4" i="15"/>
  <c r="B3" i="15"/>
  <c r="A3" i="15"/>
  <c r="F7" i="14"/>
  <c r="F6" i="14"/>
  <c r="F5" i="14"/>
  <c r="F4" i="14"/>
  <c r="B3" i="13"/>
  <c r="B2" i="13"/>
  <c r="D14" i="13" s="1"/>
  <c r="B3" i="12"/>
  <c r="B2" i="12"/>
  <c r="C10" i="11"/>
  <c r="B10" i="11"/>
  <c r="A10" i="11"/>
  <c r="B7" i="11"/>
  <c r="A7" i="11"/>
  <c r="B6" i="11"/>
  <c r="A6" i="11"/>
  <c r="B5" i="11"/>
  <c r="A5" i="11"/>
  <c r="B4" i="11"/>
  <c r="A4" i="11"/>
  <c r="B3" i="11"/>
  <c r="A3" i="11"/>
  <c r="D11" i="10"/>
  <c r="D10" i="10"/>
  <c r="E11" i="58" s="1"/>
  <c r="D9" i="10"/>
  <c r="E8" i="58" s="1"/>
  <c r="D8" i="10"/>
  <c r="E6" i="58" s="1"/>
  <c r="D7" i="10"/>
  <c r="D6" i="10"/>
  <c r="D5" i="10"/>
  <c r="E13" i="58" s="1"/>
  <c r="D4" i="10"/>
  <c r="E4" i="58" s="1"/>
  <c r="B3" i="9"/>
  <c r="B2" i="9"/>
  <c r="B3" i="8"/>
  <c r="B2" i="8"/>
  <c r="B8" i="7"/>
  <c r="A8" i="7"/>
  <c r="B5" i="7"/>
  <c r="A5" i="7"/>
  <c r="B4" i="7"/>
  <c r="A4" i="7"/>
  <c r="B3" i="7"/>
  <c r="A3" i="7"/>
  <c r="C11" i="6"/>
  <c r="C10" i="6"/>
  <c r="C9" i="6"/>
  <c r="B9" i="38" s="1"/>
  <c r="H9" i="38" s="1"/>
  <c r="C7" i="50" s="1"/>
  <c r="C8" i="6"/>
  <c r="B8" i="38" s="1"/>
  <c r="H8" i="38" s="1"/>
  <c r="C7" i="6"/>
  <c r="B7" i="38" s="1"/>
  <c r="H7" i="38" s="1"/>
  <c r="C6" i="50" s="1"/>
  <c r="C6" i="6"/>
  <c r="B6" i="38" s="1"/>
  <c r="H6" i="38" s="1"/>
  <c r="C5" i="6"/>
  <c r="B5" i="38" s="1"/>
  <c r="H5" i="38" s="1"/>
  <c r="C5" i="50" s="1"/>
  <c r="C4" i="6"/>
  <c r="B3" i="5"/>
  <c r="B2" i="5"/>
  <c r="D8" i="5" s="1"/>
  <c r="B3" i="4"/>
  <c r="B2" i="4"/>
  <c r="B7" i="3"/>
  <c r="A7" i="3"/>
  <c r="B4" i="3"/>
  <c r="A4" i="3"/>
  <c r="B3" i="3"/>
  <c r="A3" i="3"/>
  <c r="C8" i="66"/>
  <c r="C6" i="66"/>
  <c r="C5" i="66"/>
  <c r="E4" i="66"/>
  <c r="D4" i="66"/>
  <c r="D7" i="33" l="1"/>
  <c r="D10" i="9"/>
  <c r="D12" i="9"/>
  <c r="D13" i="9"/>
  <c r="D11" i="9"/>
  <c r="D9" i="33"/>
  <c r="D13" i="29"/>
  <c r="D14" i="29"/>
  <c r="D12" i="29"/>
  <c r="D10" i="33"/>
  <c r="D11" i="33"/>
  <c r="D7" i="53"/>
  <c r="D8" i="61"/>
  <c r="D7" i="29"/>
  <c r="D12" i="33"/>
  <c r="D9" i="53"/>
  <c r="D9" i="61"/>
  <c r="D10" i="29"/>
  <c r="D10" i="53"/>
  <c r="D8" i="9"/>
  <c r="D11" i="37"/>
  <c r="D11" i="13"/>
  <c r="D7" i="13"/>
  <c r="D9" i="13"/>
  <c r="C8" i="62"/>
  <c r="C14" i="62"/>
  <c r="C11" i="62"/>
  <c r="C5" i="62"/>
  <c r="I8" i="50"/>
  <c r="B7" i="54" s="1"/>
  <c r="D7" i="54" s="1"/>
  <c r="C9" i="58" s="1"/>
  <c r="R9" i="58" s="1"/>
  <c r="B10" i="58"/>
  <c r="B11" i="58"/>
  <c r="B12" i="58"/>
  <c r="B5" i="50"/>
  <c r="I5" i="50" s="1"/>
  <c r="B5" i="46"/>
  <c r="E5" i="46" s="1"/>
  <c r="B6" i="46"/>
  <c r="E6" i="46" s="1"/>
  <c r="B6" i="50"/>
  <c r="I6" i="50" s="1"/>
  <c r="C13" i="62"/>
  <c r="C6" i="62"/>
  <c r="C12" i="62"/>
  <c r="B13" i="58"/>
  <c r="B5" i="58"/>
  <c r="B7" i="58"/>
  <c r="B8" i="58"/>
  <c r="D7" i="25"/>
  <c r="D21" i="57"/>
  <c r="E9" i="58"/>
  <c r="D7" i="17"/>
  <c r="D8" i="25"/>
  <c r="D9" i="29"/>
  <c r="D12" i="37"/>
  <c r="D7" i="41"/>
  <c r="D13" i="57"/>
  <c r="C10" i="62"/>
  <c r="D7" i="9"/>
  <c r="E7" i="58"/>
  <c r="D7" i="61"/>
  <c r="D7" i="5"/>
  <c r="D9" i="9"/>
  <c r="B7" i="50"/>
  <c r="I7" i="50" s="1"/>
  <c r="B8" i="54" s="1"/>
  <c r="D8" i="54" s="1"/>
  <c r="C7" i="58" s="1"/>
  <c r="R7" i="58" s="1"/>
  <c r="D8" i="17"/>
  <c r="D9" i="41"/>
  <c r="D15" i="57"/>
  <c r="E5" i="58"/>
  <c r="C7" i="62"/>
  <c r="D12" i="13"/>
  <c r="D9" i="17"/>
  <c r="D11" i="29"/>
  <c r="D7" i="45"/>
  <c r="B7" i="46"/>
  <c r="E7" i="46" s="1"/>
  <c r="D16" i="57"/>
  <c r="D10" i="41"/>
  <c r="D7" i="57"/>
  <c r="D17" i="57"/>
  <c r="D13" i="13"/>
  <c r="D10" i="17"/>
  <c r="D7" i="21"/>
  <c r="F4" i="34"/>
  <c r="L4" i="34" s="1"/>
  <c r="D11" i="41"/>
  <c r="B8" i="46"/>
  <c r="E8" i="46" s="1"/>
  <c r="D18" i="57"/>
  <c r="D7" i="65"/>
  <c r="F4" i="30"/>
  <c r="K4" i="30" s="1"/>
  <c r="D19" i="57"/>
  <c r="D9" i="45"/>
  <c r="E12" i="58"/>
  <c r="D8" i="65"/>
  <c r="B11" i="54" l="1"/>
  <c r="D11" i="54" s="1"/>
  <c r="C11" i="58" s="1"/>
  <c r="R11" i="58" s="1"/>
  <c r="B5" i="54"/>
  <c r="D5" i="54" s="1"/>
  <c r="C5" i="58" s="1"/>
  <c r="R5" i="58" s="1"/>
  <c r="B7" i="62"/>
  <c r="H7" i="62" s="1"/>
  <c r="B5" i="66"/>
  <c r="H5" i="66" s="1"/>
  <c r="B9" i="62"/>
  <c r="H9" i="62" s="1"/>
  <c r="B9" i="58"/>
  <c r="B4" i="58"/>
  <c r="B12" i="54"/>
  <c r="D12" i="54" s="1"/>
  <c r="C12" i="58" s="1"/>
  <c r="R12" i="58" s="1"/>
  <c r="B6" i="54"/>
  <c r="D6" i="54" s="1"/>
  <c r="B9" i="54"/>
  <c r="D9" i="54" s="1"/>
  <c r="C8" i="58" s="1"/>
  <c r="R8" i="58" s="1"/>
  <c r="B4" i="50"/>
  <c r="I4" i="50" s="1"/>
  <c r="B4" i="46"/>
  <c r="E4" i="46" s="1"/>
  <c r="B10" i="54" l="1"/>
  <c r="D10" i="54" s="1"/>
  <c r="C10" i="58" s="1"/>
  <c r="R10" i="58" s="1"/>
  <c r="B4" i="54"/>
  <c r="D4" i="54" s="1"/>
  <c r="C4" i="58" s="1"/>
  <c r="R4" i="58" s="1"/>
  <c r="B8" i="62"/>
  <c r="H8" i="62" s="1"/>
  <c r="B12" i="62"/>
  <c r="H12" i="62" s="1"/>
  <c r="B8" i="66"/>
  <c r="H8" i="66" s="1"/>
  <c r="B5" i="62"/>
  <c r="H5" i="62" s="1"/>
  <c r="C13" i="58"/>
  <c r="R13" i="58" s="1"/>
  <c r="C6" i="58"/>
  <c r="R6" i="58" s="1"/>
  <c r="B7" i="66"/>
  <c r="H7" i="66" s="1"/>
  <c r="B11" i="62"/>
  <c r="H11" i="62" s="1"/>
  <c r="B13" i="62" l="1"/>
  <c r="H13" i="62" s="1"/>
  <c r="B14" i="62"/>
  <c r="H14" i="62" s="1"/>
  <c r="Q6" i="58"/>
  <c r="B6" i="62"/>
  <c r="H6" i="62" s="1"/>
  <c r="M6" i="58"/>
  <c r="L6" i="58"/>
  <c r="G6" i="58" s="1"/>
  <c r="B4" i="66"/>
  <c r="H4" i="66" s="1"/>
  <c r="Q4" i="58"/>
  <c r="M4" i="58"/>
  <c r="B4" i="62"/>
  <c r="Q13" i="58" s="1"/>
  <c r="B10" i="62"/>
  <c r="H10" i="62" s="1"/>
  <c r="B6" i="66"/>
  <c r="H6" i="66" s="1"/>
  <c r="Q10" i="58"/>
  <c r="D6" i="66" s="1"/>
  <c r="M10" i="58"/>
  <c r="L10" i="58"/>
  <c r="G10" i="58" s="1"/>
  <c r="E6" i="66" s="1"/>
  <c r="H4" i="62" l="1"/>
  <c r="Q7" i="58"/>
  <c r="D5" i="66" s="1"/>
  <c r="M7" i="58"/>
  <c r="L7" i="58"/>
  <c r="Q9" i="58"/>
  <c r="M9" i="58"/>
  <c r="L9" i="58"/>
  <c r="G9" i="58" s="1"/>
  <c r="L11" i="58"/>
  <c r="Q8" i="58"/>
  <c r="M11" i="58"/>
  <c r="M8" i="58"/>
  <c r="Q12" i="58"/>
  <c r="D8" i="66" s="1"/>
  <c r="L8" i="58"/>
  <c r="L12" i="58"/>
  <c r="Q11" i="58"/>
  <c r="D7" i="66" s="1"/>
  <c r="M12" i="58"/>
  <c r="Q5" i="58"/>
  <c r="M5" i="58"/>
  <c r="L5" i="58"/>
  <c r="G5" i="58" s="1"/>
  <c r="L13" i="58"/>
  <c r="L4" i="58"/>
  <c r="G4" i="58" s="1"/>
  <c r="M13" i="58"/>
  <c r="G11" i="58" l="1"/>
  <c r="E7" i="66" s="1"/>
  <c r="G13" i="58"/>
  <c r="G7" i="58"/>
  <c r="E5" i="66" s="1"/>
  <c r="G12" i="58"/>
  <c r="E8" i="66" s="1"/>
  <c r="G8" i="58"/>
</calcChain>
</file>

<file path=xl/sharedStrings.xml><?xml version="1.0" encoding="utf-8"?>
<sst xmlns="http://schemas.openxmlformats.org/spreadsheetml/2006/main" count="3975" uniqueCount="685">
  <si>
    <t>Ir a objetos de dominio &gt;&gt;&gt;&gt;</t>
  </si>
  <si>
    <t>&lt;&lt;&lt;&lt; Ir al modulo de dominio</t>
  </si>
  <si>
    <t>Nombre</t>
  </si>
  <si>
    <t>Descripcion</t>
  </si>
  <si>
    <t>Linea de vida</t>
  </si>
  <si>
    <t>Muestreo</t>
  </si>
  <si>
    <t>Caracterización</t>
  </si>
  <si>
    <t>Event Storming</t>
  </si>
  <si>
    <t>Politicas</t>
  </si>
  <si>
    <t>DiaSemana</t>
  </si>
  <si>
    <t>Representa cada uno de los días de la semana, incluyendo festivo, que se usa como catálogo para definir los horarios de la barbería y de cada barbero</t>
  </si>
  <si>
    <t>Ir al muestreo</t>
  </si>
  <si>
    <t>Ir a la caracterización</t>
  </si>
  <si>
    <t>Ir al Event Storming</t>
  </si>
  <si>
    <t>Ir a las políticas</t>
  </si>
  <si>
    <t>Estado</t>
  </si>
  <si>
    <t>Representa en qué situación puntual se encuentra una cita: agendada, finalizada, cancelada por alguna de las partes, con tardanza del cliente o del barbero, o con inasistencia del cliente</t>
  </si>
  <si>
    <t>Servicio</t>
  </si>
  <si>
    <t>Representa cada tipo de corte o arreglo que ofrece la barbería, definido por el dueño, para que luego cada barbero decida cuáles sabe hacer</t>
  </si>
  <si>
    <t>Regla</t>
  </si>
  <si>
    <t>Representa las políticas de la barbería frente al incumplimiento de clientes y barberos: tolerancias de tardanza, monto de la multa fija, número máximo de multas sin pagar antes del veto, y el descuento que se da cuando el barbero se demora</t>
  </si>
  <si>
    <t>PrefijoCelular</t>
  </si>
  <si>
    <t>Representa el catálogo de prefijos telefónicos de país disponibles para el número de celular de barberos y clientes</t>
  </si>
  <si>
    <t>TipoMulta</t>
  </si>
  <si>
    <t>Representa los tipos de multa que puede recibir un cliente: por tardanza o por inasistencia</t>
  </si>
  <si>
    <t>Barbero</t>
  </si>
  <si>
    <t>Representa a un trabajador de la barbería que atiende clientes según los servicios que sabe realizar, organiza su propio horario y tiene su agenda personal</t>
  </si>
  <si>
    <t>Cliente</t>
  </si>
  <si>
    <t>Representa a la persona que solicita citas en la barbería con un barbero. Guarda su historial de multas sin pagar para saber si está o no vetado</t>
  </si>
  <si>
    <t>HorarioBarberia</t>
  </si>
  <si>
    <t>Representa, día por día, a qué hora abre y cierra el negocio; es el límite dentro del cual debe caber el horario de cualquier barbero</t>
  </si>
  <si>
    <t>BarberoServicio</t>
  </si>
  <si>
    <t>Representa qué servicios sabe hacer cada barbero, cuánto se demora en realizarlos y cuánto tiempo extra usa de colchón, ya que no todos los barberos ofrecen los mismos servicios</t>
  </si>
  <si>
    <t>Bloqueo</t>
  </si>
  <si>
    <t>Representa los momentos en que el barbero no esta disponible para atender sus citas</t>
  </si>
  <si>
    <t>HorarioBarbero</t>
  </si>
  <si>
    <t>Representa el día de la semana en que trabaja un barbero, junto con la hora en la que empieza y termina su jornada</t>
  </si>
  <si>
    <t>Agenda</t>
  </si>
  <si>
    <t>Representa un día puntual del calendario en el que un barbero, según su horario de trabajo, va a recibir citas. Es donde se agrupan todas las citas de ese barbero para ese día</t>
  </si>
  <si>
    <t>Cita</t>
  </si>
  <si>
    <t>Representa la reserva de un cliente con un barbero para un día y hora puntual, con los servicios pedidos, su estado, y lo que realmente ocurrió (llegada, atención, tardanzas)</t>
  </si>
  <si>
    <t>CitaServicio</t>
  </si>
  <si>
    <t>Representa cada servicio incluido dentro de una cita puntual, guardando el precio y la duración que tenía ese servicio para ese barbero en el momento exacto en que se agendó, para que cambios futuros en el catálogo no alteren citas ya registradas</t>
  </si>
  <si>
    <t>Multa</t>
  </si>
  <si>
    <t>Representa la sanción económica que se le impone a un cliente por incumplir una cita, ya sea por llegar tarde fuera de tolerancia o por no presentarse, calculada a partir de la cita específica que la originó</t>
  </si>
  <si>
    <t>&lt;&lt;&lt;&lt; Ir a objetos de dominio</t>
  </si>
  <si>
    <t>Nombre atributo</t>
  </si>
  <si>
    <t>Descripción atributo</t>
  </si>
  <si>
    <t>Identificador del objeto de dominio</t>
  </si>
  <si>
    <t>Tipo de dato</t>
  </si>
  <si>
    <t>Obligatorio</t>
  </si>
  <si>
    <t>Longitud mínima (si aplica)</t>
  </si>
  <si>
    <t>Longitud máxima (si aplica)</t>
  </si>
  <si>
    <t>Precisión (si aplica)</t>
  </si>
  <si>
    <t>Rendondeo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</si>
  <si>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</si>
  <si>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</si>
  <si>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</si>
  <si>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</si>
  <si>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</si>
  <si>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</si>
  <si>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</si>
  <si>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</si>
  <si>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</si>
  <si>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</si>
  <si>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</si>
  <si>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</si>
  <si>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Si</t>
  </si>
  <si>
    <t>Identificador único universal</t>
  </si>
  <si>
    <t>No aplica</t>
  </si>
  <si>
    <t>No</t>
  </si>
  <si>
    <t>UUID vacio</t>
  </si>
  <si>
    <t>Alfanumérico</t>
  </si>
  <si>
    <t>Solo pueden ser los dias de la semana como Lunes, Martes, Miércoles, Jueves, Viernes, Sábado, Domingo y Festivo</t>
  </si>
  <si>
    <t>Vacio</t>
  </si>
  <si>
    <t>Nombre combinación única</t>
  </si>
  <si>
    <t>Descripción</t>
  </si>
  <si>
    <t>Atributos involucrados</t>
  </si>
  <si>
    <t>nombre</t>
  </si>
  <si>
    <t>&lt;&lt; Ir al modelo de dominio</t>
  </si>
  <si>
    <t>&lt;&lt; Ir al listado de objetos de dominio</t>
  </si>
  <si>
    <t>&lt;&lt; Ir a la caracterización del objeto de dominio</t>
  </si>
  <si>
    <t>Ir al muestreo de datos del objeto de dominio &gt;&gt;</t>
  </si>
  <si>
    <t>Objeto de Dominio:</t>
  </si>
  <si>
    <t>Descripción:</t>
  </si>
  <si>
    <t>Numero politica</t>
  </si>
  <si>
    <t>Descripcion politica</t>
  </si>
  <si>
    <t>Objeto responsable</t>
  </si>
  <si>
    <t>Regla responsable</t>
  </si>
  <si>
    <t>No aplica: es un catálogo de solo lectura, sin comandos que impliquen políticas de negocio propias</t>
  </si>
  <si>
    <t>Actor</t>
  </si>
  <si>
    <t>Action/Command</t>
  </si>
  <si>
    <t>Entity/Aggregate/Object domain</t>
  </si>
  <si>
    <t>Read Model</t>
  </si>
  <si>
    <t>Business Rule/Policy</t>
  </si>
  <si>
    <t>External System</t>
  </si>
  <si>
    <t>Domain Event</t>
  </si>
  <si>
    <t>Hotspot/questions/Risk</t>
  </si>
  <si>
    <t>Acción</t>
  </si>
  <si>
    <t>Objeto de dominio</t>
  </si>
  <si>
    <t>Información externa</t>
  </si>
  <si>
    <t>Políticas</t>
  </si>
  <si>
    <t>Sistema Externo</t>
  </si>
  <si>
    <t>Evento</t>
  </si>
  <si>
    <t>Aspectos por solucionar</t>
  </si>
  <si>
    <t>Información</t>
  </si>
  <si>
    <t>Número</t>
  </si>
  <si>
    <t>Dueño</t>
  </si>
  <si>
    <t>Ver los días de las semanas</t>
  </si>
  <si>
    <t>Permite consultar el catálogo de días de la semana, incluyendo festivo, disponibles para definir horarios</t>
  </si>
  <si>
    <t>Días de la semana consultados</t>
  </si>
  <si>
    <t>Representa un identificador que hará unico cada objeto de dominio de este tipo, no se puede repetir</t>
  </si>
  <si>
    <t>Representa como se llama el dia de la semana, para los horarios</t>
  </si>
  <si>
    <t>Combinacion única que indica que no puede existir más un dia de la semana con el mismo nombre</t>
  </si>
  <si>
    <t>id</t>
  </si>
  <si>
    <t xml:space="preserve">Combinación única </t>
  </si>
  <si>
    <t>Lunes</t>
  </si>
  <si>
    <t>Martes</t>
  </si>
  <si>
    <t>Miércoles</t>
  </si>
  <si>
    <t>Jueves</t>
  </si>
  <si>
    <t>Viernes</t>
  </si>
  <si>
    <t>Sábado</t>
  </si>
  <si>
    <t>Domingo</t>
  </si>
  <si>
    <t>Festivo</t>
  </si>
  <si>
    <t>Corresponde a la descripcion de los atributos</t>
  </si>
  <si>
    <t>Corresponde al identificador unico del objeto de dominio</t>
  </si>
  <si>
    <t>Corresponde a los datos de tipo alfanumerico</t>
  </si>
  <si>
    <t>Corresponde a la combinacion única</t>
  </si>
  <si>
    <t>Solo se aceptan caracteres de letras de la 'a' a la 'z' y espacios en blanco</t>
  </si>
  <si>
    <t>Solo se aceptan caracteres de letras de la 'a' a la 'z', caracteres con tilde y espacios en blanco</t>
  </si>
  <si>
    <t>P-EST-0001</t>
  </si>
  <si>
    <t>Ver estados creados</t>
  </si>
  <si>
    <t>Permite consultar los estados posibles que puede tener una cita</t>
  </si>
  <si>
    <t>Estados consultados</t>
  </si>
  <si>
    <t>Editar descripción del estado</t>
  </si>
  <si>
    <t>Permite ajustar el texto descriptivo de un estado ya creado, sin cambiar su significado en el flujo de la cita</t>
  </si>
  <si>
    <t>Descripción de estado actualizada</t>
  </si>
  <si>
    <t>Representa como se llama el estado en el que se encuentra una cita puntual</t>
  </si>
  <si>
    <t>Representa el significado de que representa cada estado para la cita</t>
  </si>
  <si>
    <t>descripcion</t>
  </si>
  <si>
    <t>Agendada</t>
  </si>
  <si>
    <t>La cita quedó registrada en la agenda del barbero y está a la espera de la fecha y hora acordadas.</t>
  </si>
  <si>
    <t>Finalizada</t>
  </si>
  <si>
    <t>El barbero atendió al cliente y el servicio contratado se prestó por completo.</t>
  </si>
  <si>
    <t>Cancelada por el cliente</t>
  </si>
  <si>
    <t>El cliente decidió no asistir y anuló la cita antes de la fecha y hora programada.</t>
  </si>
  <si>
    <t>Cancelada por el barbero</t>
  </si>
  <si>
    <t>El barbero anuló la cita antes de la fecha y hora programada, por ejemplo por una eventualidad.</t>
  </si>
  <si>
    <t>El cliente se demoro</t>
  </si>
  <si>
    <t>El cliente llegó después de la hora acordada superando la toleranciaTardanzaCliente definida en Regla, lo que genera una multa.</t>
  </si>
  <si>
    <t>El barbero se demoro</t>
  </si>
  <si>
    <t>El barbero se demoró más de lo previsto en una cita anterior y no pudo atender al cliente a la hora acordada, dándole un descuento en compensación según Regla.</t>
  </si>
  <si>
    <t>Inasistencia del cliente</t>
  </si>
  <si>
    <t>El cliente nunca llegó a la cita: se alcanzó la hora estimada de finalización sin registrar su llegada, lo que genera una multa por el valor total de los servicios pedidos.</t>
  </si>
  <si>
    <t>Inasistencia del barbero</t>
  </si>
  <si>
    <t>El barbero nunca inició la atención de la cita: se alcanzó la hora estimada de finalización sin que el barbero hubiera atendido al cliente, lo que da lugar a un descuento en la próxima cita del cliente como compensación.</t>
  </si>
  <si>
    <t>Solo se aceptan caracteres de letras de la 'a' a la 'z' y caracteres con tilde</t>
  </si>
  <si>
    <t>Entero</t>
  </si>
  <si>
    <t>Lógico</t>
  </si>
  <si>
    <t>P-SER-0001</t>
  </si>
  <si>
    <t>Asegurar que los datos requeridos del servicio (nombre, descripción, precio) sean válidos en tipo de dato, longitud, obligatoriedad, formato y rango</t>
  </si>
  <si>
    <t>P-SER-0002</t>
  </si>
  <si>
    <t>Asegurar que no exista otro servicio registrado con el mismo nombre en la barbería</t>
  </si>
  <si>
    <t>P-SER-0003</t>
  </si>
  <si>
    <t>Ofrecer un servicio nuevo a la barbería</t>
  </si>
  <si>
    <t>Comando que permite registrar un nuevo tipo de servicio que la barbería pondrá a disposición de los barberos</t>
  </si>
  <si>
    <t>Servicio ofrecido</t>
  </si>
  <si>
    <t>Ver servicios disponibles de la barbería</t>
  </si>
  <si>
    <t>Permite consultar el catálogo de servicios que ofrece la barbería</t>
  </si>
  <si>
    <t>Servicios consultados</t>
  </si>
  <si>
    <t>Retirar un servicio de la barbería</t>
  </si>
  <si>
    <t>Permite dar de baja un servicio para que deje de ofrecerse a nuevos clientes</t>
  </si>
  <si>
    <t>Servicio retirado</t>
  </si>
  <si>
    <t>Representa el nombre del servicio que va estar en la barberia, para que el barbero elija los servicios que el sabe hacer</t>
  </si>
  <si>
    <t>Representa una descripcion de que va a hacer cada servicio en la barberia, para que el barbero sepa que hace el servicio</t>
  </si>
  <si>
    <t>Representa cuanto va a valer el servicio en pesos colombianos</t>
  </si>
  <si>
    <t>Representa si el servicio sigue o no disponible en la barberia</t>
  </si>
  <si>
    <t>Combinacion única que indica que no puede existir más de un servicio con el mismo nombre</t>
  </si>
  <si>
    <t>precio</t>
  </si>
  <si>
    <t>disponible</t>
  </si>
  <si>
    <t xml:space="preserve">Combinacion única </t>
  </si>
  <si>
    <t>Motilada</t>
  </si>
  <si>
    <t>Corte de cabello completo con máquina y tijera, incluye lavado y secado</t>
  </si>
  <si>
    <t>si</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</si>
  <si>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</si>
  <si>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</si>
  <si>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</si>
  <si>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</si>
  <si>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</si>
  <si>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</si>
  <si>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Corresponde a los datos de referencia de otros objetos de dominio</t>
  </si>
  <si>
    <t>Corresponde a los datos de tipo entero</t>
  </si>
  <si>
    <t>Corresponde a los datos de tipo logico</t>
  </si>
  <si>
    <t>P-REG-0001</t>
  </si>
  <si>
    <t>Definir las políticas de la barbería</t>
  </si>
  <si>
    <t>Políticas de la barbería definidas</t>
  </si>
  <si>
    <t>Modificar las políticas</t>
  </si>
  <si>
    <t>Permite ajustar los parámetros de negocio ya definidos</t>
  </si>
  <si>
    <t>Políticas de la barbería actualizadas</t>
  </si>
  <si>
    <t>Ver la regla definida</t>
  </si>
  <si>
    <t>Permite consultar los parámetros de negocio vigentes de la barbería</t>
  </si>
  <si>
    <t>Regla consultada</t>
  </si>
  <si>
    <t>Representa la cantidad de minutos maxima que un cliente puede llegar tarde</t>
  </si>
  <si>
    <t>Representa la cantidad de dinero que el cliente debe de pagar en pesos colombianos, por superar la toleranciaTardanza</t>
  </si>
  <si>
    <t>Representa la maxima de multas que pueda tener un cliente sin pagar, a partir de esta cantidad se le hace un veto al cliente</t>
  </si>
  <si>
    <t>Representa la cantidad de minutos que un barbero puede demorarse en atender a un cliente, en caso de que el barbero se demore mas de lo previsto en su cita anterior</t>
  </si>
  <si>
    <t>Representa la cantidad cuanto descuento va a tener un cliente en la cita con el barbero, como recompesa por esperar al barbero mas de la tolerancia permitida</t>
  </si>
  <si>
    <t>Representa la parte en horas del tiempo mínimo de anticipación con el que un barbero pueda cancelar una cita con el cliente. El barbero no podrá cancelar la cita cuando falte menos del tiempo indicado</t>
  </si>
  <si>
    <t>Representa la parte en minutos del tiempo mínimo de anticipación con el que un barbero puede cancelar una cita con el cliente. El barbero no podrá cancelar la cita cuando falte menos del tiempo indicado</t>
  </si>
  <si>
    <t>Representa la parte en horas del tiempo mínimo de anticipación con el que un cliente puede cancelar una cita con el barbero. El cliente no podrá cancelar la cita cuando falte menos del tiempo indicado</t>
  </si>
  <si>
    <t>Representa la parte en minutos del tiempo mínimo de anticipación con el que un cliente puede cancelar una cita con el barbero. El cliente no podrá cancelar la cita cuando falte menos del tiempo indicado</t>
  </si>
  <si>
    <t>toleranciaTardanzaCliente</t>
  </si>
  <si>
    <t>montoMultaTardanzaCliente</t>
  </si>
  <si>
    <t>numeroMultasMaxima</t>
  </si>
  <si>
    <t>toleranciaTardanzaBarbero</t>
  </si>
  <si>
    <t>porcentajeDescuentoCita</t>
  </si>
  <si>
    <t>tiempoEnHorasAnticipacionDelBarberoParaCancelarUnaCita</t>
  </si>
  <si>
    <t>tiempoEnMinutosAnticipacionDelBarberoParaCancelarUnaCita</t>
  </si>
  <si>
    <t>tiempoEnHorasAnticipacionDelClienteParaCancelarUnaCita</t>
  </si>
  <si>
    <t>tiempoEnMinutosAnticipacionDelClienteParaCancelarUnaCita</t>
  </si>
  <si>
    <t>Simbolo + seguido de un número. Por ejemplo +57. Tambien el anterior puede ser seguido de un - y un numero. Por ejemplo +1-809</t>
  </si>
  <si>
    <t>Solo se aceptan caracteres numericos del 0 al 9 y el carácter '+' y '-'</t>
  </si>
  <si>
    <t>+0</t>
  </si>
  <si>
    <t>prefijo</t>
  </si>
  <si>
    <t>Ver prefijos de celular</t>
  </si>
  <si>
    <t>Permite consultar el catálogo de prefijos telefónicos de país disponibles</t>
  </si>
  <si>
    <t>Prefijos de celular consultados</t>
  </si>
  <si>
    <t>Representa el primer nombre del barbero que trabaja en barbería</t>
  </si>
  <si>
    <t>Combinacion única que indica que no puede existir más un mismo prefijo</t>
  </si>
  <si>
    <t>+57</t>
  </si>
  <si>
    <t>+91</t>
  </si>
  <si>
    <t>+593</t>
  </si>
  <si>
    <t>+58</t>
  </si>
  <si>
    <t>Ver tipos de multa</t>
  </si>
  <si>
    <t>Permite consultar los tipos de multa que puede recibir un cliente</t>
  </si>
  <si>
    <t>Tipos de multa consultados</t>
  </si>
  <si>
    <t>Representa el nombre del tipo de multa</t>
  </si>
  <si>
    <t>Representa que hace cada tipo de multa</t>
  </si>
  <si>
    <t xml:space="preserve">Combinación única indica que no puede existir más de un tipo de multa con el mismo nombre </t>
  </si>
  <si>
    <t>Combinación única</t>
  </si>
  <si>
    <t>Tardanza</t>
  </si>
  <si>
    <t>El cliente llegó a la cita después de la hora acordada, superando los minutos de toleranciaTardanzaCliente definidos en Regla.</t>
  </si>
  <si>
    <t>Inasistencia</t>
  </si>
  <si>
    <t>El cliente no se presentó a la cita agendada: se llegó a la hora estimada de finalización sin que hubiera registrado su llegada.</t>
  </si>
  <si>
    <t>Corresponde a los datos de tipo texto</t>
  </si>
  <si>
    <t xml:space="preserve">Solo se aceptan caracteres de letras de la 'a' a la 'z', caracteres con tilde y numeros del 0 al 9 </t>
  </si>
  <si>
    <t>vacío</t>
  </si>
  <si>
    <t>Solo se aceptan caracteres de letras de la 'a' a la 'z', caracteres con tilde y numeros del 0 al 9</t>
  </si>
  <si>
    <t>Número telefónico, sin el prefijo de país</t>
  </si>
  <si>
    <t>0</t>
  </si>
  <si>
    <t>Horas</t>
  </si>
  <si>
    <t>Minutos</t>
  </si>
  <si>
    <t>P-BAR-0001</t>
  </si>
  <si>
    <t>P-BAR-0002</t>
  </si>
  <si>
    <t>P-BAR-0003</t>
  </si>
  <si>
    <t>Asegurar que el barbero no tenga citas futuras pendientes antes de dejar de trabajar en la barbería</t>
  </si>
  <si>
    <t>Registrar barbero a la barbería</t>
  </si>
  <si>
    <t>Comando que permite el ingreso de un nuevo barbero a trabajar en la barbería</t>
  </si>
  <si>
    <t>Barbero registrado</t>
  </si>
  <si>
    <t>Permite al barbero actualizar su número de celular y su prefijo</t>
  </si>
  <si>
    <t>Contacto de barbero actualizado</t>
  </si>
  <si>
    <t>Editar tiempos de anticipación de citas</t>
  </si>
  <si>
    <t>Permite al barbero ajustar cuánta anticipación mínima exige para que le agenden una cita</t>
  </si>
  <si>
    <t>Tiempos de anticipación de barbero actualizados</t>
  </si>
  <si>
    <t>Dejar de trabajar en la barbería</t>
  </si>
  <si>
    <t>Permite desactivar a un barbero para que ya no pueda recibir nuevas citas, sin borrar su historial</t>
  </si>
  <si>
    <t>Barbero desactivado</t>
  </si>
  <si>
    <t>Representa el segundo nombre del barbero que trabaja en barbería</t>
  </si>
  <si>
    <t>Representa el primer apellido del barbero que trabaja en la barbería</t>
  </si>
  <si>
    <t>Representa el segundo apellido del barbero que trabaja en la barbería</t>
  </si>
  <si>
    <t>Representa cual es el prefijo del numero de celular del barbero</t>
  </si>
  <si>
    <t>Representa el número de celular del barbero, es el dato que el cliente necesita en caso de que tenga que contactarse con el</t>
  </si>
  <si>
    <t>Representa si el barbero sigue o no trabajando en la barberia</t>
  </si>
  <si>
    <t>Representa la parte en horas del tiempo mínimo de anticipación con el que un cliente debe pedirle una cita a este barbero. Junto con anticipacionEnMinutosParaAgendarCita forma el tiempo total de anticipación que exige el barbero</t>
  </si>
  <si>
    <t>Representa la parte en minutos del tiempo mínimo de anticipación con el que un cliente debe pedirle una cita a este barbero. Junto con anticipacionEnHorasParaAgendarCita forma el tiempo total de anticipación que exige el barbero</t>
  </si>
  <si>
    <t>Combinacion única que indica que no puede existir más de un barbero con el mismo prefijo de celular y número de celular</t>
  </si>
  <si>
    <t>primerNombre</t>
  </si>
  <si>
    <t>segundoNombre</t>
  </si>
  <si>
    <t>primerApellido</t>
  </si>
  <si>
    <t>segundoApellido</t>
  </si>
  <si>
    <t>celular</t>
  </si>
  <si>
    <t>vigente</t>
  </si>
  <si>
    <t>anticipacionEnHorasParaAgendarCita</t>
  </si>
  <si>
    <t>anticipacionEnMinutosParaAgendarCita</t>
  </si>
  <si>
    <t>Combinación única  1</t>
  </si>
  <si>
    <t>Juan</t>
  </si>
  <si>
    <t>Fernando</t>
  </si>
  <si>
    <t>García</t>
  </si>
  <si>
    <t>Lopez</t>
  </si>
  <si>
    <t>David</t>
  </si>
  <si>
    <t>Ortiz</t>
  </si>
  <si>
    <t>Sanchez</t>
  </si>
  <si>
    <t>Carlos</t>
  </si>
  <si>
    <t>Arbeladez</t>
  </si>
  <si>
    <t>Andres</t>
  </si>
  <si>
    <t>Ramirez</t>
  </si>
  <si>
    <t>Patiño</t>
  </si>
  <si>
    <t>no</t>
  </si>
  <si>
    <t>Zambrano</t>
  </si>
  <si>
    <t>Perez</t>
  </si>
  <si>
    <t>Corresponde a referencias de objetos de dominio</t>
  </si>
  <si>
    <t>Corresponde a los datos de tipo lógico</t>
  </si>
  <si>
    <t>Corresponde a la combinacion única 1</t>
  </si>
  <si>
    <t>El mismo formato del objeto referenciado</t>
  </si>
  <si>
    <t>Aplican las reglas del objeto referenciado</t>
  </si>
  <si>
    <t xml:space="preserve">Deben de ser solo números que cumplan un número de teléfono válido </t>
  </si>
  <si>
    <t>Se calcula contando las Multa del cliente donde pagada='no'</t>
  </si>
  <si>
    <t>Se calcula comparando multasSinPagar contra Regla.numeroMultasMaxima; si multasSinPagar alcanza ese máximo, el cliente queda vetado</t>
  </si>
  <si>
    <t>Se calcula contando cuántas citas con inasistencia del barbero ha tenido el cliente</t>
  </si>
  <si>
    <t>P-CLI-0001</t>
  </si>
  <si>
    <t>P-CLI-0002</t>
  </si>
  <si>
    <t>Registrar cliente a la barbería</t>
  </si>
  <si>
    <t>Comando que permite el registro de un nuevo cliente en la barbería</t>
  </si>
  <si>
    <t>Cliente registrado</t>
  </si>
  <si>
    <t>Permite al cliente actualizar su número de celular y su prefijo</t>
  </si>
  <si>
    <t>Contacto de cliente actualizado</t>
  </si>
  <si>
    <t>Permite a un barbero ver los datos de un cliente que le va a pedir una cita</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</si>
  <si>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</si>
  <si>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</si>
  <si>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</si>
  <si>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</si>
  <si>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cual es el prefijo del numero de celular del cliente</t>
  </si>
  <si>
    <t>Representa el numero de celular del cliente, es el dato que el barbero necesita en caso de que tenga que contactarse con el</t>
  </si>
  <si>
    <t>Representa si el numero que ingreso el cliente es correcto o no</t>
  </si>
  <si>
    <t>Representa la cantidad de multas que tiene sin pagar en las citas que ha tenido, ya sea multa por tardanza o por no llegar</t>
  </si>
  <si>
    <t>Representa si el cliente esta en estado de veto o no, cuando el cliente esta vetado el sistema no va a permitir agendar citas con este cliente con ningun barbero</t>
  </si>
  <si>
    <t>Representa la cantidad de citas que un cliente va a tener con descuento, cada inasistencia que un barbero le haga al cliente se le suma un descuento a la proxima cita</t>
  </si>
  <si>
    <t>Combinacion única que indica que no puede existir más de un cliente con el mismo prefijo de celular y número de celular</t>
  </si>
  <si>
    <t>prefijoCelular</t>
  </si>
  <si>
    <t>elNumeroCelularEsCorrecto</t>
  </si>
  <si>
    <t>multasSinPagar</t>
  </si>
  <si>
    <t>estaVetado</t>
  </si>
  <si>
    <t>cantidadDeDescuentoCitas</t>
  </si>
  <si>
    <t>Gómez</t>
  </si>
  <si>
    <t>Jose</t>
  </si>
  <si>
    <t>Miguel</t>
  </si>
  <si>
    <t>Simon</t>
  </si>
  <si>
    <t>Ochoa</t>
  </si>
  <si>
    <t>Alexis</t>
  </si>
  <si>
    <t>Gallego</t>
  </si>
  <si>
    <t>Kevin</t>
  </si>
  <si>
    <t>Andrés</t>
  </si>
  <si>
    <t>Muñoz</t>
  </si>
  <si>
    <t>Salazar</t>
  </si>
  <si>
    <t>Corresponde a los datos calculados por el sistema</t>
  </si>
  <si>
    <t>Hora</t>
  </si>
  <si>
    <t>00:00</t>
  </si>
  <si>
    <t>Debe ser mayor a horaApertura</t>
  </si>
  <si>
    <t>Fecha</t>
  </si>
  <si>
    <t>1/01/1000</t>
  </si>
  <si>
    <t>P-HBA-0001</t>
  </si>
  <si>
    <t>Asegurar que los datos requeridos (día de la semana, hora de apertura, hora de cierre) sean válidos en tipo de dato, obligatoriedad, formato y rango, y que la hora de cierre sea mayor a la hora de apertura</t>
  </si>
  <si>
    <t>P-HBA-0002</t>
  </si>
  <si>
    <t>P-HBA-0003</t>
  </si>
  <si>
    <t>Al desactivar un horario de barbería, desactivar en cascada los horarios de barbero que dependen de él y cancelar las citas futuras que queden fuera de horario</t>
  </si>
  <si>
    <t>Definir un horario de la barbería</t>
  </si>
  <si>
    <t>Comando que permite registrar la hora de apertura y cierre de la barbería para un día de la semana</t>
  </si>
  <si>
    <t>Horario de barbería definido</t>
  </si>
  <si>
    <t>Ver horarios de la barbería</t>
  </si>
  <si>
    <t>Horarios de barbería consultados</t>
  </si>
  <si>
    <t>Desactivar horario de barbería</t>
  </si>
  <si>
    <t>Horario de barbería desactivado</t>
  </si>
  <si>
    <t>Cascada de desactivación (HorarioBarbero y Cita futuras) propuesta pero aún no implementada</t>
  </si>
  <si>
    <t>Representa el día de la semana en el que la barberia abre</t>
  </si>
  <si>
    <t>Representa la hora a la que abre la barbería</t>
  </si>
  <si>
    <t>Representa la hora a la que cierra la barbería</t>
  </si>
  <si>
    <t>Representa la fecha en el que el dueño definio el horario de la barberia. Es un dato calculado que toma la fecha del sistema en ese momento</t>
  </si>
  <si>
    <t>Representa la fecha en la que este horario dejó de estar vigente, dueño. Es un dato calculado que toma la fecha del sistema en ese momento</t>
  </si>
  <si>
    <t>Representa si este horario lo sigue o no vigente en la barberia. Una vez que el dueño desactive el horario de la barberia, no se puede volver a cambiar</t>
  </si>
  <si>
    <t>Combinacion única que indica que no puede existir más de un horario con la misma barberia, dia de la semana, hora de apertura y cierre</t>
  </si>
  <si>
    <t>diaDeLaSemana</t>
  </si>
  <si>
    <t>horaApertura</t>
  </si>
  <si>
    <t>horaCierre</t>
  </si>
  <si>
    <t>fechaCreacion</t>
  </si>
  <si>
    <t>fechaDesactivacion</t>
  </si>
  <si>
    <t>Corresponde a los datos de tipo hora</t>
  </si>
  <si>
    <t>Corresponde a los datos tipo logico</t>
  </si>
  <si>
    <t>barbero</t>
  </si>
  <si>
    <t>servicio</t>
  </si>
  <si>
    <t>P-BSE-0001</t>
  </si>
  <si>
    <t>Asegurar que los datos requeridos (duración en horas, duración en minutos, tiempo extra) sean válidos en tipo de dato, obligatoriedad y rango</t>
  </si>
  <si>
    <t>P-BSE-0002</t>
  </si>
  <si>
    <t>Asegurar que el barbero no tenga ya habilitado ese mismo servicio</t>
  </si>
  <si>
    <t>Habilitar un servicio para el barbero</t>
  </si>
  <si>
    <t>Comando que permite a un barbero indicar que sabe realizar un servicio del catálogo, con su duración y colchón</t>
  </si>
  <si>
    <t>Servicio habilitado para barbero</t>
  </si>
  <si>
    <t>Ajustar los tiempos de un servicio del barbero</t>
  </si>
  <si>
    <t>Permite modificar la duración y el tiempo extra que un barbero usa para un servicio ya habilitado</t>
  </si>
  <si>
    <t>Tiempos de servicio de barbero actualizados</t>
  </si>
  <si>
    <t>Permite a un barbero consultar los servicios que tiene habilitados</t>
  </si>
  <si>
    <t>Servicios de barbero consultados</t>
  </si>
  <si>
    <t>Ver servicios de un barbero</t>
  </si>
  <si>
    <t>Permite a un cliente consultar qué servicios ofrece un barbero en particular</t>
  </si>
  <si>
    <t>Dejar de prestar el servicio para el catálogo</t>
  </si>
  <si>
    <t>Permite a un barbero desactivar un servicio que ya no quiere seguir ofreciendo</t>
  </si>
  <si>
    <t>Servicio de barbero desactivado</t>
  </si>
  <si>
    <t>Representa el nombre y apellidos del barbero</t>
  </si>
  <si>
    <t xml:space="preserve">Representa el nombre del servicio de la barberia </t>
  </si>
  <si>
    <t>Representa la cantidad de horas que un barbero tarda en realizar un servicio, esta duracion el barbero debe de ser consiente de cuanto se demora en realizarlo</t>
  </si>
  <si>
    <t>Representa la cantidad de minutos que un barbero tarda en realizar un servicio, esta duracion el barbero debe de ser consiente de cuanto se demora en realizarlo</t>
  </si>
  <si>
    <t>Representa la cantidad de minutos que un barbero pone de tiempo extra en las citas de su agenda, cada barbero usa este tiempo porque hay ocaciones que la cita se puede demorar más de lo previsto. Este tiempo les ayuda a evitar que se les retrase la agenda</t>
  </si>
  <si>
    <t>Representa si el barbero sigue o no presentando el servicio en la barbería</t>
  </si>
  <si>
    <t>Combinación única que indica que un mismo barbero no puede aparecer dos veces ofreciendo el mismo servicio</t>
  </si>
  <si>
    <t>duracionEnHoras</t>
  </si>
  <si>
    <t>duracionEnMinutos</t>
  </si>
  <si>
    <t>tiempoExtra</t>
  </si>
  <si>
    <t>Fecha hora</t>
  </si>
  <si>
    <t>01/01/1000 00:00</t>
  </si>
  <si>
    <t>Debe ser posterior a fechaHoraInicio</t>
  </si>
  <si>
    <t>P-BLO-0001</t>
  </si>
  <si>
    <t>P-BLO-0002</t>
  </si>
  <si>
    <t>P-BLO-0003</t>
  </si>
  <si>
    <t>Bloqueo registrado</t>
  </si>
  <si>
    <t>Permite a un barbero liberar un espacio de su agenda que había bloqueado previamente</t>
  </si>
  <si>
    <t>Bloqueo cancelado</t>
  </si>
  <si>
    <t>Referencia a qué barbero le pertence este bloqueo</t>
  </si>
  <si>
    <t>Representa la fecha y hora en el que el barbero empieza a no estar disponible para atender las citas</t>
  </si>
  <si>
    <t>Representa la fecha y hora en el que el barbero empieza estar disponible nuevamente para atender las citas</t>
  </si>
  <si>
    <t>Combinación única que indica que un mismo barbero no puede tener dos bloqueos con la misma fecha y hora de inicio y la misma fecha y hora final</t>
  </si>
  <si>
    <t>fechaHoraInicio</t>
  </si>
  <si>
    <t>fechaHoraFinal</t>
  </si>
  <si>
    <t>Corresponde a los datos de tipo fecha hora</t>
  </si>
  <si>
    <t>hh:mm</t>
  </si>
  <si>
    <t>Debe estar dentro del rango de horarioDeLaBarberia</t>
  </si>
  <si>
    <t>Debe ser mayor a horaInicio y estar dentro del rango de horarioDeLaBarberia</t>
  </si>
  <si>
    <t>dd/mm/aaaa</t>
  </si>
  <si>
    <t>Toma la fecha del sistema en el momento en que el barbero crea este horario</t>
  </si>
  <si>
    <t>01/01/1000</t>
  </si>
  <si>
    <t>Toma la fecha del sistema en el momento en que el barbero desactiva este horario. Su valor por defecto es 01/01/1000 mientras siga vigente</t>
  </si>
  <si>
    <t>Una vez se cambia a No, no puede volver a cambiar a Si</t>
  </si>
  <si>
    <t>P-HBO-0001</t>
  </si>
  <si>
    <t>Asegurar que los datos requeridos (día de la semana, hora de inicio, hora de fin) sean válidos en tipo de dato, obligatoriedad, formato y rango, y que la hora de fin sea mayor a la hora de inicio</t>
  </si>
  <si>
    <t>P-HBO-0002</t>
  </si>
  <si>
    <t>Asegurar que el horario de trabajo esté dentro del horario de apertura y cierre de la barbería para ese día</t>
  </si>
  <si>
    <t>P-HBO-0003</t>
  </si>
  <si>
    <t>Al desactivar un horario de barbero, cancelar las citas futuras que dependan de las agendas generadas por ese horario</t>
  </si>
  <si>
    <t>Definir mi horario de trabajo</t>
  </si>
  <si>
    <t>Comando que permite a un barbero registrar el día de la semana y las horas en que trabaja</t>
  </si>
  <si>
    <t>Horario de barbero definido</t>
  </si>
  <si>
    <t>Ver mis horarios definidos</t>
  </si>
  <si>
    <t>Permite a un barbero consultar los horarios de trabajo que ha definido</t>
  </si>
  <si>
    <t>Horarios de barbero consultados</t>
  </si>
  <si>
    <t>Desactivar horario de trabajo</t>
  </si>
  <si>
    <t>Permite a un barbero desactivar un horario para dejar de trabajar ese día de la semana</t>
  </si>
  <si>
    <t>Horario de barbero desactivado</t>
  </si>
  <si>
    <t>Ver horarios de trabajo de un barbero</t>
  </si>
  <si>
    <t>Permite a un cliente consultar en qué días y horas trabaja un barbero</t>
  </si>
  <si>
    <t>Referencia a que barbero va a ser dueño de este horario</t>
  </si>
  <si>
    <t>Hace referencia a la agenda del barbero en la que queda guardado este horario de trabajo</t>
  </si>
  <si>
    <t>Representa la hora en la que el barbero empieza a estar disponible ese dia</t>
  </si>
  <si>
    <t>Representa la hora en la que el barbero deja de estar disponible ese día.</t>
  </si>
  <si>
    <t>Representa la fecha en el que el barbero creo su horario. Es un dato calculado que toma la fecha de hoy cuando el barbero la crea</t>
  </si>
  <si>
    <t>Representa la fecha en la que este horario dejó de estar vigente, ya sea porque el barbero lo retiró o porque se desactivó el horario de la barbería del que depende. Es un dato calculado que toma la fecha del sistema en ese momento.</t>
  </si>
  <si>
    <t>Representa si este horario lo sigue o no usando el barbero. Una vez que el barbero cambie este estado a no vigente, no se puede volver a cambiar</t>
  </si>
  <si>
    <t>Combinación única que indica que un mismo barbero no puede tener dos horarios con el mismo día de la barbería, la misma hora de inicio y la misma hora final. No incluye vigente porque la identidad de un horario no puede cambiar cuando se desactiva</t>
  </si>
  <si>
    <t>horarioDeLaBarberia</t>
  </si>
  <si>
    <t>horaInicio</t>
  </si>
  <si>
    <t>horaFinal</t>
  </si>
  <si>
    <t>Corresponde a los datos calculados</t>
  </si>
  <si>
    <t>P-AGE-0001</t>
  </si>
  <si>
    <t>Asegurar que no exista ya una agenda para ese mismo horario de barbero y esa misma fecha</t>
  </si>
  <si>
    <t>P-AGE-0002</t>
  </si>
  <si>
    <t>Asegurar que el barbero esté vigente antes de abrirle una nueva agenda</t>
  </si>
  <si>
    <t>Sistema</t>
  </si>
  <si>
    <t>Abrir la agenda de un barbero para una fecha</t>
  </si>
  <si>
    <t>Comando que crea la agenda del día para un barbero, a partir de su horario de trabajo vigente</t>
  </si>
  <si>
    <t>Agenda abierta</t>
  </si>
  <si>
    <t>Consultar la disponibilidad de un barbero para una fecha</t>
  </si>
  <si>
    <t>Permite a un cliente ver si un barbero tiene espacio disponible en una fecha puntual</t>
  </si>
  <si>
    <t>Disponibilidad de barbero consultada</t>
  </si>
  <si>
    <t>Consultar las citas de un barbero para una fecha</t>
  </si>
  <si>
    <t>Permite consultar todas las citas agrupadas en la agenda de un barbero para una fecha puntual</t>
  </si>
  <si>
    <t>Citas de agenda consultadas</t>
  </si>
  <si>
    <t>Hace referencia al horario de trabajo del barbero (día de la semana, hora de inicio y hora final) al que pertenece esta agenda</t>
  </si>
  <si>
    <t>Representa la fecha específica en el que la agenda va a guardar las citas de ese barbero</t>
  </si>
  <si>
    <t>Combinación única que indica que un mismo horario de barbero no puede tener más de una agenda para el mismo día</t>
  </si>
  <si>
    <t>horarioDelBarbero</t>
  </si>
  <si>
    <t>fecha</t>
  </si>
  <si>
    <t>Corresponde a los datos de tipo fecha</t>
  </si>
  <si>
    <t>Se muestra el nombre completo del cliente, no una combinación única, únicamente para lectura humana en el muestreo</t>
  </si>
  <si>
    <t>Congela la Regla vigente al momento de agendar</t>
  </si>
  <si>
    <t>Debe de estar dentro del horario de trabajo del barbero</t>
  </si>
  <si>
    <t xml:space="preserve">horaInicio + duracion (en minutos) y debe de estar dentro del horario de trabajo del barbero </t>
  </si>
  <si>
    <t>Resulta de dividir entre 60 la suma de duracionServicio + tiempoExtra de todos los CitaServicio de esta cita (parte en horas)</t>
  </si>
  <si>
    <t>Resto en minutos de dividir entre 60 la suma de duracionServicio + tiempoExtra de todos los CitaServicio de esta cita (parte en minutos)</t>
  </si>
  <si>
    <t>Si horaLlegadaCliente es 00:00 (no ha llegado), 0. Si no, MAX(0, horaLlegadaCliente - horaInicio) en minutos</t>
  </si>
  <si>
    <t>Si horaInicioAtencion es 00:00 (no ha empezado), 0. Si no, MAX(0, horaInicioAtencion - MAX(horaLlegadaCliente, horaInicio)) en minutos</t>
  </si>
  <si>
    <t>Copia de Regla.porcentajeDescuentoCita, únicamente cuando minutosDemoraBarbero supera Regla.toleranciaTardanzaBarbero</t>
  </si>
  <si>
    <t>Suma de precioServicio de todos los CitaServicio de esta cita, menos el descuento (precioTotal * porcentajeDescuentoAplicado / 100)</t>
  </si>
  <si>
    <t>P-CIT-0001</t>
  </si>
  <si>
    <t>Asegurar que los datos requeridos (hora de inicio, servicios solicitados) sean válidos en tipo de dato, obligatoriedad, formato y rango</t>
  </si>
  <si>
    <t>P-CIT-0002</t>
  </si>
  <si>
    <t>Asegurar que el cliente no esté vetado antes de permitirle agendar</t>
  </si>
  <si>
    <t>P-CIT-0003</t>
  </si>
  <si>
    <t>Asegurar que la agenda tenga disponibilidad y que la hora solicitada quepa dentro del horario del barbero sin solaparse con otra cita o bloqueo</t>
  </si>
  <si>
    <t>P-CIT-0004</t>
  </si>
  <si>
    <t>Asegurar que cada servicio solicitado esté habilitado para ese barbero</t>
  </si>
  <si>
    <t>P-CIT-0005</t>
  </si>
  <si>
    <t>Asegurar que la cita se solicite con al menos la anticipación mínima definida por el barbero</t>
  </si>
  <si>
    <t>P-CIT-0006</t>
  </si>
  <si>
    <t>Congelar la Regla vigente en el momento de agendar la cita</t>
  </si>
  <si>
    <t>P-CIT-0007</t>
  </si>
  <si>
    <t>Al finalizar la atención, calcular minutosTardanzaCliente, minutosDemoraBarbero, duración y precioFinal a partir de los tiempos realmente registrados</t>
  </si>
  <si>
    <t>P-CIT-0008</t>
  </si>
  <si>
    <t>Si la inasistencia es del cliente, generar una Multa por el valor total de los servicios pedidos</t>
  </si>
  <si>
    <t>P-CIT-0009</t>
  </si>
  <si>
    <t>Si la demora del barbero supera la tolerancia definida en la Regla, aplicar el descuento correspondiente a la próxima cita del cliente</t>
  </si>
  <si>
    <t>Pedir cita</t>
  </si>
  <si>
    <t>Comando que permite a un cliente solicitar una cita con un barbero, en una fecha y hora puntual, con uno o más servicios</t>
  </si>
  <si>
    <t>Disponibilidad de la agenda y servicios habilitados del barbero</t>
  </si>
  <si>
    <t>Se consulta la agenda del barbero y los servicios que tiene habilitados, con su duración, para validar y armar la cita</t>
  </si>
  <si>
    <t>Cita agendada</t>
  </si>
  <si>
    <t>¿Cuántos servicios como máximo puede pedir un cliente en una misma cita? Aún no hay un límite definido, lo que deja sin techo real la duración total de una cita</t>
  </si>
  <si>
    <t>Reprogramar la cita</t>
  </si>
  <si>
    <t>Permite a un cliente cambiar la fecha, hora o barbero de una cita que aún no ha ocurrido</t>
  </si>
  <si>
    <t>Cita reprogramada</t>
  </si>
  <si>
    <t>Cancelar la cita por decisión del cliente</t>
  </si>
  <si>
    <t>Permite a un cliente cancelar una cita antes de que ocurra</t>
  </si>
  <si>
    <t>Cita cancelada por el cliente</t>
  </si>
  <si>
    <t>No está resuelto si cancelar por decisión del cliente debe generar una Multa cuando se hace fuera de un tiempo mínimo de anticipación</t>
  </si>
  <si>
    <t>Cancelar la cita por decisión del barbero</t>
  </si>
  <si>
    <t>Permite a un barbero cancelar una cita antes de que ocurra</t>
  </si>
  <si>
    <t>Cita cancelada por el barbero</t>
  </si>
  <si>
    <t>Registrar llegada del cliente</t>
  </si>
  <si>
    <t>Permite al barbero marcar la hora real en que el cliente llegó a su cita</t>
  </si>
  <si>
    <t>Llegada de cliente registrada</t>
  </si>
  <si>
    <t>Iniciar la atención del cliente</t>
  </si>
  <si>
    <t>Permite al barbero marcar el inicio real de la atención de la cita</t>
  </si>
  <si>
    <t>Atención de cliente iniciada</t>
  </si>
  <si>
    <t>Finalizar la atención del cliente</t>
  </si>
  <si>
    <t>Permite al barbero marcar el fin real de la atención y cerrar la cita</t>
  </si>
  <si>
    <t>Atención de cliente finalizada</t>
  </si>
  <si>
    <t>Registrar la inasistencia del cliente</t>
  </si>
  <si>
    <t>Permite al barbero indicar que el cliente nunca llegó a la cita</t>
  </si>
  <si>
    <t>Inasistencia de cliente registrada</t>
  </si>
  <si>
    <t>Registrar la inasistencia del barbero</t>
  </si>
  <si>
    <t>Marca automáticamente que el barbero nunca inició la atención de la cita</t>
  </si>
  <si>
    <t>Inasistencia de barbero registrada</t>
  </si>
  <si>
    <t>Representa a cuál cliente le pertenece esta cita</t>
  </si>
  <si>
    <t>Referencia en cual agenda va a estar esta cita</t>
  </si>
  <si>
    <t>Hace referencia a la Regla vigente de la barbería en el momento de agendar; de ahí salen las tolerancias, el monto de multa fija y el porcentaje de descuento que aplican a esta cita</t>
  </si>
  <si>
    <t>Representa en qué estado se encuentra esta cita puntual: agendada, finalizada, cancelada, con tardanza del cliente o del barbero, o inasistencia</t>
  </si>
  <si>
    <t>Representa la hora en la que se va a realizar la cita al cliente</t>
  </si>
  <si>
    <t>Representa la hora en la que se espera que termine la cita, sumando horaInicio más la duración total de los servicios pedidos. Es un dato calculado</t>
  </si>
  <si>
    <t>Representa la hora real en la que el cliente llegó a la barbería para esta cita. Su valor por defecto es 00:00 y es permitido: significa que el cliente aún no ha llegado</t>
  </si>
  <si>
    <t>Representa la hora real en la que el barbero quedó listo y disponible para empezar a atender esta cita. Su valor por defecto es 00:00 y es permitido: significa que el barbero aún no se ha preparado</t>
  </si>
  <si>
    <t>Representa la hora real en la que el barbero empezó a atender al cliente. Su valor por defecto es 00:00 y es permitido: significa que la atención aún no ha comenzado</t>
  </si>
  <si>
    <t>Representa la hora real en la que el barbero terminó de atender al cliente. Su valor por defecto es 00:00 y es permitido: significa que la atención aún no ha terminado</t>
  </si>
  <si>
    <t>Representa la cantidad total de horas que va a durar la cita, sumando la duración de cada servicio pedido más el tiempo extra de cada uno. Es un dato calculado</t>
  </si>
  <si>
    <t>Representa la cantidad total de minutos que va a durar la cita, sumando la duración de cada servicio pedido más el tiempo extra de cada uno. Es un dato calculado</t>
  </si>
  <si>
    <t>Representa cuántos minutos después de horaInicio llegó el cliente. Si llegó a tiempo o aún no ha llegado su valor es 0. Es un dato calculado</t>
  </si>
  <si>
    <t>Representa cuántos minutos después de la llegada del cliente empezó el barbero a atenderlo. Si no hubo demora su valor es 0. Es un dato calculado</t>
  </si>
  <si>
    <t>Representa el porcentaje de descuento aplicado al cliente en esta cita, cuando minutosDemoraBarbero supera la toleranciaTardanzaBarbero de Regla. Su valor por defecto es 0 y es permitido. Es un dato auto generado: copia de Regla.porcentajeDescuentoCita</t>
  </si>
  <si>
    <t>Representa cuánto debe pagar el cliente por los servicios de esta cita: la suma de los precios de sus CitaServicio, menos el descuento si aplicó. Es un dato calculado</t>
  </si>
  <si>
    <t>Combinación única que indica que una misma agenda no puede tener dos citas que empiecen a la misma hora</t>
  </si>
  <si>
    <t>cliente</t>
  </si>
  <si>
    <t>agenda</t>
  </si>
  <si>
    <t>regla</t>
  </si>
  <si>
    <t>estado</t>
  </si>
  <si>
    <t>horaFinEstimada</t>
  </si>
  <si>
    <t>horaLlegadaCliente</t>
  </si>
  <si>
    <t>horaDelBarberoPreparado</t>
  </si>
  <si>
    <t>horaInicioAtencion</t>
  </si>
  <si>
    <t>horaFinAtencion</t>
  </si>
  <si>
    <t>duracionHoras</t>
  </si>
  <si>
    <t>duracionMinutos</t>
  </si>
  <si>
    <t>minutosTardanzaCliente</t>
  </si>
  <si>
    <t>minutosDemoraBarbero</t>
  </si>
  <si>
    <t>porcentajeDescuentoAplicado</t>
  </si>
  <si>
    <t>precioFinal</t>
  </si>
  <si>
    <t>Copia de Servicio.precio en el momento de agendar la cita</t>
  </si>
  <si>
    <t>Copia de BarberoServicio.duracionEnHoras en el momento de agendar la cita</t>
  </si>
  <si>
    <t>Copia de BarberoServicio.duracionServicio en el momento de agendar la cita</t>
  </si>
  <si>
    <t>Copia de BarberoServicio.tiempoExtra en el momento de agendar la cita</t>
  </si>
  <si>
    <t>Consultar los servicios de una cita</t>
  </si>
  <si>
    <t>Permite ver qué servicios fueron pedidos dentro de una cita puntual</t>
  </si>
  <si>
    <t>Servicios de cita consultados</t>
  </si>
  <si>
    <t>Ver precio de cada servicio</t>
  </si>
  <si>
    <t>Permite consultar el precio que quedó congelado para cada servicio de una cita en el momento en que se agendó</t>
  </si>
  <si>
    <t>Precio de servicio de cita consultado</t>
  </si>
  <si>
    <t>Hace referencia a la cita a la que pertenece este servicio pedido</t>
  </si>
  <si>
    <t>Hace referencia a qué servicio, de qué barbero específico, se pidió en esta cita. No se referencia el Servicio directamente porque un barbero podría no ofrecerlo</t>
  </si>
  <si>
    <t>Representa el precio que tenía el servicio en el momento en que se agendó esta cita. Es un dato auto generado: copia de Servicio.precio, para que cambios futuros en el precio del catálogo no alteren una cita ya registrada</t>
  </si>
  <si>
    <t>Representa la duración en horas que tenía el servicio para ese barbero en el momento en que se agendó esta cita. Es un dato auto generado: copia de BarberoServicio.duracionServicio</t>
  </si>
  <si>
    <t>Representa la duración en minutos que tenía el servicio para ese barbero en el momento en que se agendó esta cita. Es un dato auto generado: copia de BarberoServicio.duracionServicio</t>
  </si>
  <si>
    <t>Representa el tiempo extra en minutos que ese barbero tenía configurado para este servicio en el momento en que se agendó la cita. Es un dato auto generado: copia de BarberoServicio.tiempoExtra, para que cambios futuros en el tiempo extra no alteren una cita ya registrada</t>
  </si>
  <si>
    <t>Combinación única que indica que un mismo servicio no se puede pedir dos veces en la misma cita, es decir que CitaServicio no puede tener la misma cita y el barberoServicio</t>
  </si>
  <si>
    <t>cita</t>
  </si>
  <si>
    <t>barberoServicio</t>
  </si>
  <si>
    <t>precioServicio</t>
  </si>
  <si>
    <t>duracionEnHorasElServicio</t>
  </si>
  <si>
    <t>duracionEnMinutosElServicio</t>
  </si>
  <si>
    <t>Si tipo=Tardanza copia Regla.montoMultaTardanzaCliente; si tipo=Inasistencia copia Cita.precioFinal</t>
  </si>
  <si>
    <t>Si tipo=Tardanza copia Cita.horaLlegadaCliente; si tipo=Inasistencia copia Cita.horaFinEstimada</t>
  </si>
  <si>
    <t>Fecha y Hora</t>
  </si>
  <si>
    <t>P-MUL-0001</t>
  </si>
  <si>
    <t>Congelar el motivo (tipo de multa) y el monto en el momento de generarse, copiando desde Regla o desde el precioFinal de la Cita, sin recalcular después</t>
  </si>
  <si>
    <t>P-MUL-0002</t>
  </si>
  <si>
    <t>Asegurar que la multa no esté ya pagada antes de registrar un nuevo pago</t>
  </si>
  <si>
    <t>Imponer una multa al cliente</t>
  </si>
  <si>
    <t>Genera automáticamente una multa a un cliente cuando se registra una inasistencia o una tardanza fuera de tolerancia</t>
  </si>
  <si>
    <t>Multa impuesta</t>
  </si>
  <si>
    <t>Ver todas mis multas</t>
  </si>
  <si>
    <t>Permite a un cliente consultar el historial de multas que se le han impuesto</t>
  </si>
  <si>
    <t>Multas consultadas</t>
  </si>
  <si>
    <t>Registrar el pago de una multa</t>
  </si>
  <si>
    <t>Permite al barbero marcar que un cliente ya pagó una multa pendiente</t>
  </si>
  <si>
    <t>Multa pagada</t>
  </si>
  <si>
    <t>Hace referencia a la cita puntual que el cliente incumplió (llegando tarde fuera de la tolerancia o no presentándose), de esa cita es de donde sale el valor de monto si fue el caso de no presentase</t>
  </si>
  <si>
    <t>Hace referencia al tipo de multa -tardanza o inasistencia- según lo que haya ocurrido con la cita</t>
  </si>
  <si>
    <t>Representa cuánto dinero en pesos colombianos debe pagar el cliente por esta multa. Es un dato auto generado: si el tipo es Tardanza copia el monto fijo de Regla.montoMultaTardanzaCliente; si el tipo es Inasistencia copia el precioFinal de la Cita incumplida</t>
  </si>
  <si>
    <t>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t>
  </si>
  <si>
    <t>Representa la fecha y hora en la que el cliente pagó esta multa. Su valor por defecto es 01/01/1000 00:00 y es permitido: significa que la multa sigue sin pagar</t>
  </si>
  <si>
    <t>Representa si el cliente ya pagó o no esta multa, es el dato que se revisa para decidir si un cliente llega al número de multas sin pagar que activa el veto</t>
  </si>
  <si>
    <t>Combinación única que indica que una misma cita no puede generar más de una multa</t>
  </si>
  <si>
    <t>tipo</t>
  </si>
  <si>
    <t>monto</t>
  </si>
  <si>
    <t>horaGeneracion</t>
  </si>
  <si>
    <t>fechaHoraPago</t>
  </si>
  <si>
    <t>pagada</t>
  </si>
  <si>
    <t>1/01/1000 00:00</t>
  </si>
  <si>
    <t>Corresponde a los datos tipo entero</t>
  </si>
  <si>
    <t>Corresponde a los datos tipo hora</t>
  </si>
  <si>
    <t xml:space="preserve">Corresponde a los datos tipo fecha hora </t>
  </si>
  <si>
    <t>Ver descripcion de un estado</t>
  </si>
  <si>
    <t>Permite consultar la descripcion de un estado en especifico</t>
  </si>
  <si>
    <t>Asegurar que los datos requeridos (descripción) sean válidos en tipo de dato, longitud, formato y rango</t>
  </si>
  <si>
    <t>Descripción del estado consultada</t>
  </si>
  <si>
    <t>Ir al event storming del objeto de dominio &gt;&gt;</t>
  </si>
  <si>
    <t>aquí</t>
  </si>
  <si>
    <t>Asegurar que los datos requeridos (tolerancias de tardanza, monto de multa, número máximo de multas, porcentaje de descuento, tiempos de anticipación) sean válidos en tipo de dato y rango</t>
  </si>
  <si>
    <t>Editar un servicio</t>
  </si>
  <si>
    <t>Permite modificar todos los atibutos de un servicio, que son el nombre, la descripción y el precio</t>
  </si>
  <si>
    <t>Asegurar que el servicio a retirar no esté siendo ofrecido actualmente por ningún barbero vigente</t>
  </si>
  <si>
    <t>Nombre, descripción, precio del servicio actualizados</t>
  </si>
  <si>
    <t>Comando que permite registrar por primera vez los parámetros de negocio: tolerancias de tardanza, monto de multa, número máximo de multas, descuento por demora del barbero y tiempos de anticipacion para cancelar una cita</t>
  </si>
  <si>
    <t>Asegurar que no exista otro horario vigente definido para el mismo día de la semana, que se cruze con las horas de apertura y cierre</t>
  </si>
  <si>
    <t>Permite desactivar el horario en el que la barberia ya no abrira</t>
  </si>
  <si>
    <t>Pensar si se cancela todo o los barberos debe de cancelarlo manualmente</t>
  </si>
  <si>
    <t>O si es mejor que se haga todo automatico</t>
  </si>
  <si>
    <t>Como influnye en las lineas de vida posteriores</t>
  </si>
  <si>
    <t>Asegurar que los datos requeridos del barbero (nombre, apellido, prefijo de celular, celular, tiempos de anticipación) sean válidos en tipo de dato, longitud, obligatoriedad, formato y rango</t>
  </si>
  <si>
    <t>Asegurar que el número de celular y prefijo de celular no esté siendo utilizado por otro barbero</t>
  </si>
  <si>
    <t>Editar contacto</t>
  </si>
  <si>
    <t>P-BAR-0004</t>
  </si>
  <si>
    <t>P-BAR-0005</t>
  </si>
  <si>
    <t>Asegurar que los datos requeridos del barbero para editar su contacto (prefijo de celular, celular) sean válidos en tipo de dato, longitud, obligatoriedad, formato y rango</t>
  </si>
  <si>
    <t>Asegurar que los datos requeridos del barbero editar sus tiempos de anticipación (prefijo de celular, celular) sean válidos en tipo de dato, longitud, obligatoriedad, formato y rango</t>
  </si>
  <si>
    <t>Mejor usar el efecto cascada si el barbero deja de trabajar todas las citas futuras que tenian se van a cancelar</t>
  </si>
  <si>
    <t>Asegurar que el número de celular y prefijo de celular no esté siendo utilizado por otro cliente</t>
  </si>
  <si>
    <t>P-CLI-0003</t>
  </si>
  <si>
    <t>Asegurar que los datos requeridos del cliente para editar su contacto (prefijo de celular y celular) sean válidos en tipo de dato, longitud, obligatoriedad, formato y rango</t>
  </si>
  <si>
    <t>Permite a un cliente ver los datos públicos de un barbero, como sus nombres,  apellidos y su contacto</t>
  </si>
  <si>
    <t>Permite a un barbero ver los datos públicos de otro barbero, como sus nombres,  apellidos y su contacto</t>
  </si>
  <si>
    <t>Ver datos de un barbero</t>
  </si>
  <si>
    <t>Datos de barbero visto</t>
  </si>
  <si>
    <t>Datos del cliente vistos</t>
  </si>
  <si>
    <t>Ver estado de vetado</t>
  </si>
  <si>
    <t>Ver datos de un cliente</t>
  </si>
  <si>
    <t>Ver cantidad de descuentos para las citas</t>
  </si>
  <si>
    <t>Permite al cliente ver si tiene tantas multas sin pagar que ya no puede agendar nuevas citas</t>
  </si>
  <si>
    <t>Permite al cliente ver cuántos descuentos acumulados tiene disponibles por demoras del barbero</t>
  </si>
  <si>
    <t>Asegurar que los datos requeridos del cliente (nombres, apellidos, prefijo de celular, celular) sean válidos en tipo de dato, longitud, obligatoriedad, formato y rango</t>
  </si>
  <si>
    <t>Ver cantidad de multas sin pagar</t>
  </si>
  <si>
    <t>Permite al cliente ver cuántas multas sin pagar tiene</t>
  </si>
  <si>
    <t>Multas sin pagar del cliente vistas</t>
  </si>
  <si>
    <t>Descuentos del cliente vistos</t>
  </si>
  <si>
    <t>Estado de veto del cliente visto</t>
  </si>
  <si>
    <t>Ver tiempos de anticipacion para las citas</t>
  </si>
  <si>
    <t>Permite al barbero ver su tiempo de anticipacion en horas y minutos para sus citas</t>
  </si>
  <si>
    <t>Permite al dueño consultar los horarios de apertura y cierre definidos para cada día de la semana</t>
  </si>
  <si>
    <t>Permite al barbero consultar los horarios de apertura y cierre definidos para cada día de la semana</t>
  </si>
  <si>
    <t>Permite al cliente consultar los horarios de apertura y cierre definidos para cada día de la semana</t>
  </si>
  <si>
    <t>Ver servicios elegidos</t>
  </si>
  <si>
    <t>Definir un bloque de no disponible</t>
  </si>
  <si>
    <t>Comando que permite a un barbero asiganar un espacio de no disponibilidad para atender sus citas</t>
  </si>
  <si>
    <t>Asegurar que los datos requeridos (fecha y hora de inicio, fecha y hora de fin) sean válidos en tipo de dato, obligatoriedad, formato y rango, y que la fecha y hora de fin sea mayor a la fecha y hora de inicio</t>
  </si>
  <si>
    <t>Rechazar el bloqueo si ya existen citas agendadas dentro de ese mismo rango elegido, en lugar de cancelarlas automáticamente</t>
  </si>
  <si>
    <t>Eliminar un bloqueo</t>
  </si>
  <si>
    <t>Ver bloqueos en una fecha</t>
  </si>
  <si>
    <t>Permite a un barbero ver los espacios que tiene bloqueados en una fecha dada</t>
  </si>
  <si>
    <t>Bloqueos vistos</t>
  </si>
  <si>
    <t>Ver bloqueo en una fecha y hora</t>
  </si>
  <si>
    <t>Permite al sistema ver si hay o no un bloqueo en una fecha y hora, para que el determine luego si el cliente puede agenda una cita en ese momento</t>
  </si>
  <si>
    <t>Bloqueo visto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</si>
</sst>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mm\ AM/PM"/>
    <numFmt numFmtId="165" formatCode="_-&quot;$ &quot;* #,##0_-;&quot;-$ &quot;* #,##0_-;_-&quot;$ &quot;* \-??_-;_-@_-"/>
    <numFmt numFmtId="166" formatCode="&quot;$ &quot;#,##0"/>
    <numFmt numFmtId="167" formatCode="_(\$* #,##0_);_(\$* \(#,##0\);_(\$* \-??_);_(@_)"/>
    <numFmt numFmtId="168" formatCode="m/d/yyyy"/>
    <numFmt numFmtId="169" formatCode="m/d/yyyy\ h:mm"/>
    <numFmt numFmtId="170" formatCode="dd/mm/yyyy"/>
    <numFmt numFmtId="171" formatCode="hh:mm"/>
  </numFmts>
  <fonts count="30" x14ac:knownFonts="1">
    <font>
      <sz val="11"/>
      <color theme="1"/>
      <name val="Calibri"/>
      <family val="2"/>
      <charset val="1"/>
    </font>
    <font>
      <u/>
      <sz val="11"/>
      <color theme="10"/>
      <name val="Calibri"/>
      <family val="2"/>
      <charset val="1"/>
    </font>
    <font>
      <b/>
      <sz val="11"/>
      <color theme="1"/>
      <name val="Calibri"/>
      <family val="2"/>
      <charset val="1"/>
    </font>
    <font>
      <b/>
      <sz val="11"/>
      <name val="Calibri"/>
      <family val="2"/>
      <charset val="1"/>
    </font>
    <font>
      <u/>
      <sz val="11"/>
      <color rgb="FF0563C1"/>
      <name val="Calibri"/>
      <family val="2"/>
      <charset val="1"/>
    </font>
    <font>
      <b/>
      <sz val="11"/>
      <color theme="1"/>
      <name val="Aptos Narrow"/>
      <family val="2"/>
      <charset val="1"/>
    </font>
    <font>
      <sz val="11"/>
      <color theme="1"/>
      <name val="Aptos Narrow"/>
      <family val="2"/>
      <charset val="1"/>
    </font>
    <font>
      <b/>
      <sz val="11"/>
      <color rgb="FF000000"/>
      <name val="Aptos Narrow"/>
      <family val="2"/>
      <charset val="1"/>
    </font>
    <font>
      <u/>
      <sz val="11"/>
      <color rgb="FF467886"/>
      <name val="Aptos Narrow"/>
      <family val="2"/>
      <charset val="1"/>
    </font>
    <font>
      <u/>
      <sz val="10"/>
      <color rgb="FF0563C1"/>
      <name val="Aptos Narrow"/>
      <family val="2"/>
      <charset val="1"/>
    </font>
    <font>
      <b/>
      <sz val="10"/>
      <color theme="1"/>
      <name val="Calibri"/>
      <family val="2"/>
      <charset val="1"/>
    </font>
    <font>
      <sz val="10"/>
      <color theme="1"/>
      <name val="Calibri"/>
      <family val="2"/>
      <charset val="1"/>
    </font>
    <font>
      <sz val="10"/>
      <name val="Aptos Narrow"/>
      <family val="2"/>
      <charset val="1"/>
    </font>
    <font>
      <b/>
      <sz val="10"/>
      <name val="Aptos Narrow"/>
      <family val="2"/>
      <charset val="1"/>
    </font>
    <font>
      <sz val="7"/>
      <name val="Calibri"/>
      <family val="2"/>
      <charset val="1"/>
    </font>
    <font>
      <sz val="7"/>
      <color rgb="FF000000"/>
      <name val="Calibri"/>
      <family val="2"/>
      <charset val="1"/>
    </font>
    <font>
      <b/>
      <sz val="11"/>
      <color rgb="FF000000"/>
      <name val="Calibri"/>
      <family val="2"/>
      <charset val="1"/>
    </font>
    <font>
      <b/>
      <sz val="11"/>
      <name val="Cambria"/>
      <family val="1"/>
      <charset val="1"/>
    </font>
    <font>
      <sz val="7"/>
      <color theme="1"/>
      <name val="Calibri"/>
      <family val="2"/>
      <charset val="1"/>
    </font>
    <font>
      <sz val="11"/>
      <name val="Aptos Narrow"/>
      <family val="2"/>
      <charset val="1"/>
    </font>
    <font>
      <u/>
      <sz val="11"/>
      <color rgb="FF0563C1"/>
      <name val="Aptos Narrow"/>
      <family val="2"/>
      <charset val="1"/>
    </font>
    <font>
      <b/>
      <sz val="11"/>
      <name val="Aptos Narrow"/>
      <family val="2"/>
      <charset val="1"/>
    </font>
    <font>
      <sz val="11"/>
      <name val="Calibri"/>
      <family val="2"/>
      <charset val="1"/>
    </font>
    <font>
      <b/>
      <u/>
      <sz val="11"/>
      <color theme="10"/>
      <name val="Calibri"/>
      <family val="2"/>
      <charset val="1"/>
    </font>
    <font>
      <sz val="10"/>
      <name val="Arial"/>
      <family val="2"/>
      <charset val="1"/>
    </font>
    <font>
      <b/>
      <u/>
      <sz val="11"/>
      <color rgb="FF467886"/>
      <name val="Calibri"/>
      <family val="2"/>
      <charset val="1"/>
    </font>
    <font>
      <u/>
      <sz val="10"/>
      <color theme="10"/>
      <name val="Calibri"/>
      <family val="2"/>
      <charset val="1"/>
    </font>
    <font>
      <u/>
      <sz val="10"/>
      <color rgb="FF0563C1"/>
      <name val="Calibri"/>
      <family val="2"/>
    </font>
    <font>
      <u/>
      <sz val="11"/>
      <color rgb="FF0563C1"/>
      <name val="Calibri"/>
      <family val="2"/>
    </font>
    <font>
      <sz val="8"/>
      <name val="Calibri"/>
      <family val="2"/>
      <charset val="1"/>
    </font>
  </fonts>
  <fills count="35">
    <fill>
      <patternFill patternType="none"/>
    </fill>
    <fill>
      <patternFill patternType="gray125"/>
    </fill>
    <fill>
      <patternFill patternType="solid">
        <fgColor theme="0"/>
        <bgColor rgb="FFFCFCAA"/>
      </patternFill>
    </fill>
    <fill>
      <patternFill patternType="solid">
        <fgColor rgb="FFD9D9D9"/>
        <bgColor rgb="FFDBDBDB"/>
      </patternFill>
    </fill>
    <fill>
      <patternFill patternType="solid">
        <fgColor rgb="FFC0E6F5"/>
        <bgColor rgb="FFDBDBDB"/>
      </patternFill>
    </fill>
    <fill>
      <patternFill patternType="solid">
        <fgColor rgb="FFF2CEEF"/>
        <bgColor rgb="FFFDD3FA"/>
      </patternFill>
    </fill>
    <fill>
      <patternFill patternType="solid">
        <fgColor theme="9" tint="0.39988402966399123"/>
        <bgColor rgb="FFC5E0B4"/>
      </patternFill>
    </fill>
    <fill>
      <patternFill patternType="solid">
        <fgColor theme="9" tint="0.59987182226020086"/>
        <bgColor rgb="FFD0D0D0"/>
      </patternFill>
    </fill>
    <fill>
      <patternFill patternType="solid">
        <fgColor theme="0" tint="-0.249977111117893"/>
        <bgColor rgb="FFADB9CA"/>
      </patternFill>
    </fill>
    <fill>
      <patternFill patternType="solid">
        <fgColor rgb="FFFCFCAA"/>
        <bgColor rgb="FFFFE699"/>
      </patternFill>
    </fill>
    <fill>
      <patternFill patternType="solid">
        <fgColor rgb="FFF381DB"/>
        <bgColor rgb="FFFA90B1"/>
      </patternFill>
    </fill>
    <fill>
      <patternFill patternType="solid">
        <fgColor rgb="FFFFFF00"/>
        <bgColor rgb="FFFFD966"/>
      </patternFill>
    </fill>
    <fill>
      <patternFill patternType="solid">
        <fgColor rgb="FF92D050"/>
        <bgColor rgb="FFA9D18E"/>
      </patternFill>
    </fill>
    <fill>
      <patternFill patternType="solid">
        <fgColor rgb="FFCC99FF"/>
        <bgColor rgb="FFF1ABE9"/>
      </patternFill>
    </fill>
    <fill>
      <patternFill patternType="solid">
        <fgColor rgb="FFFDD3FA"/>
        <bgColor rgb="FFF2CEEF"/>
      </patternFill>
    </fill>
    <fill>
      <patternFill patternType="solid">
        <fgColor rgb="FFFFC000"/>
        <bgColor rgb="FFFFD966"/>
      </patternFill>
    </fill>
    <fill>
      <patternFill patternType="solid">
        <fgColor rgb="FFFA90B1"/>
        <bgColor rgb="FFF381DB"/>
      </patternFill>
    </fill>
    <fill>
      <patternFill patternType="solid">
        <fgColor rgb="FF70AD47"/>
        <bgColor rgb="FF4EA72E"/>
      </patternFill>
    </fill>
    <fill>
      <patternFill patternType="solid">
        <fgColor rgb="FF2F75B5"/>
        <bgColor rgb="FF2E75B6"/>
      </patternFill>
    </fill>
    <fill>
      <patternFill patternType="solid">
        <fgColor rgb="FFFFD966"/>
        <bgColor rgb="FFFFE699"/>
      </patternFill>
    </fill>
    <fill>
      <patternFill patternType="solid">
        <fgColor rgb="FFD0CECE"/>
        <bgColor rgb="FFD0D0D0"/>
      </patternFill>
    </fill>
    <fill>
      <patternFill patternType="solid">
        <fgColor theme="4" tint="-0.249977111117893"/>
        <bgColor rgb="FF2F75B5"/>
      </patternFill>
    </fill>
    <fill>
      <patternFill patternType="solid">
        <fgColor rgb="FF7030A0"/>
        <bgColor rgb="FF333399"/>
      </patternFill>
    </fill>
    <fill>
      <patternFill patternType="solid">
        <fgColor rgb="FF00B0F0"/>
        <bgColor rgb="FF008080"/>
      </patternFill>
    </fill>
    <fill>
      <patternFill patternType="solid">
        <fgColor theme="7" tint="0.59959715567491678"/>
        <bgColor rgb="FFFCFCAA"/>
      </patternFill>
    </fill>
    <fill>
      <patternFill patternType="solid">
        <fgColor theme="5" tint="0.59959715567491678"/>
        <bgColor rgb="FFF7C7AC"/>
      </patternFill>
    </fill>
    <fill>
      <patternFill patternType="solid">
        <fgColor theme="4" tint="0.39939573351237523"/>
        <bgColor rgb="FFADB9CA"/>
      </patternFill>
    </fill>
    <fill>
      <patternFill patternType="solid">
        <fgColor rgb="FFF1ABE9"/>
        <bgColor rgb="FFCC99FF"/>
      </patternFill>
    </fill>
    <fill>
      <patternFill patternType="solid">
        <fgColor theme="6" tint="0.59959715567491678"/>
        <bgColor rgb="FFD9D9D9"/>
      </patternFill>
    </fill>
    <fill>
      <patternFill patternType="solid">
        <fgColor theme="5" tint="-0.249977111117893"/>
        <bgColor rgb="FFFA90B1"/>
      </patternFill>
    </fill>
    <fill>
      <patternFill patternType="solid">
        <fgColor theme="3" tint="0.59959715567491678"/>
        <bgColor rgb="FFBFBFBF"/>
      </patternFill>
    </fill>
    <fill>
      <patternFill patternType="solid">
        <fgColor theme="3" tint="0.39939573351237523"/>
        <bgColor rgb="FFADB9CA"/>
      </patternFill>
    </fill>
    <fill>
      <patternFill patternType="solid">
        <fgColor rgb="FFD0D0D0"/>
        <bgColor rgb="FFD0CECE"/>
      </patternFill>
    </fill>
    <fill>
      <patternFill patternType="solid">
        <fgColor rgb="FF4EA72E"/>
        <bgColor rgb="FF70AD47"/>
      </patternFill>
    </fill>
    <fill>
      <patternFill patternType="solid">
        <fgColor rgb="FFF7C7AC"/>
        <bgColor rgb="FFF8CBAD"/>
      </patternFill>
    </fill>
  </fills>
  <borders count="10">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s>
  <cellStyleXfs count="2">
    <xf numFmtId="0" fontId="0" fillId="0" borderId="0"/>
    <xf numFmtId="0" fontId="1" fillId="0" borderId="0" applyNumberFormat="0" applyFill="0" applyBorder="0" applyAlignment="0" applyProtection="0"/>
  </cellStyleXfs>
  <cellXfs count="214">
    <xf numFmtId="0" fontId="0" fillId="0" borderId="0" xfId="0"/>
    <xf numFmtId="0" fontId="9" fillId="0" borderId="0" xfId="0" applyFont="1"/>
    <xf numFmtId="0" fontId="10" fillId="0" borderId="0" xfId="0" applyFont="1" applyAlignment="1">
      <alignment horizontal="center" vertical="center" wrapText="1"/>
    </xf>
    <xf numFmtId="0" fontId="12" fillId="0" borderId="1" xfId="0" applyFont="1" applyBorder="1" applyAlignment="1">
      <alignment horizontal="center" vertical="center" wrapText="1"/>
    </xf>
    <xf numFmtId="0" fontId="1" fillId="0" borderId="0" xfId="0" applyFont="1"/>
    <xf numFmtId="0" fontId="0" fillId="2" borderId="0" xfId="0" applyFill="1"/>
    <xf numFmtId="0" fontId="2" fillId="0" borderId="1" xfId="0" applyFont="1" applyBorder="1" applyAlignment="1">
      <alignment vertical="center"/>
    </xf>
    <xf numFmtId="0" fontId="3" fillId="0" borderId="1" xfId="0" applyFont="1" applyBorder="1"/>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0" fontId="4" fillId="0" borderId="1" xfId="0" applyFont="1" applyBorder="1"/>
    <xf numFmtId="0" fontId="0" fillId="0" borderId="1" xfId="0" applyBorder="1" applyAlignment="1">
      <alignment wrapText="1"/>
    </xf>
    <xf numFmtId="0" fontId="1" fillId="0" borderId="1" xfId="0" applyFont="1" applyBorder="1"/>
    <xf numFmtId="0" fontId="5" fillId="3" borderId="1" xfId="0" applyFont="1" applyFill="1" applyBorder="1" applyAlignment="1">
      <alignment vertical="center"/>
    </xf>
    <xf numFmtId="0" fontId="5" fillId="3" borderId="1" xfId="0" applyFont="1" applyFill="1" applyBorder="1" applyAlignment="1">
      <alignment vertical="center" wrapText="1"/>
    </xf>
    <xf numFmtId="0" fontId="6" fillId="3" borderId="1" xfId="0" applyFont="1" applyFill="1" applyBorder="1" applyAlignment="1">
      <alignment vertical="center"/>
    </xf>
    <xf numFmtId="0" fontId="6" fillId="3" borderId="1" xfId="0" applyFont="1" applyFill="1" applyBorder="1" applyAlignment="1">
      <alignment vertical="center" wrapText="1"/>
    </xf>
    <xf numFmtId="0" fontId="7" fillId="4" borderId="1" xfId="0" applyFont="1" applyFill="1" applyBorder="1" applyAlignment="1">
      <alignment horizontal="center" vertical="center"/>
    </xf>
    <xf numFmtId="0" fontId="6" fillId="5" borderId="1" xfId="0" applyFont="1" applyFill="1" applyBorder="1" applyAlignment="1">
      <alignment horizontal="left" vertical="center"/>
    </xf>
    <xf numFmtId="0" fontId="6" fillId="5" borderId="1" xfId="0" applyFont="1" applyFill="1" applyBorder="1" applyAlignment="1">
      <alignment horizontal="left" vertical="center" wrapText="1"/>
    </xf>
    <xf numFmtId="0" fontId="8" fillId="5" borderId="1" xfId="0" applyFont="1" applyFill="1" applyBorder="1" applyAlignment="1">
      <alignment vertical="center"/>
    </xf>
    <xf numFmtId="0" fontId="10" fillId="6" borderId="2" xfId="0" applyFont="1" applyFill="1" applyBorder="1" applyAlignment="1">
      <alignment vertical="center"/>
    </xf>
    <xf numFmtId="0" fontId="10" fillId="6" borderId="4" xfId="0" applyFont="1" applyFill="1" applyBorder="1" applyAlignment="1">
      <alignment vertical="center"/>
    </xf>
    <xf numFmtId="0" fontId="12" fillId="0" borderId="1" xfId="0" applyFont="1" applyBorder="1" applyAlignment="1">
      <alignment vertical="center" wrapText="1"/>
    </xf>
    <xf numFmtId="0" fontId="10" fillId="0" borderId="0" xfId="0" applyFont="1" applyAlignment="1">
      <alignment vertical="center"/>
    </xf>
    <xf numFmtId="0" fontId="13" fillId="9"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13" fillId="13" borderId="1" xfId="0" applyFont="1" applyFill="1" applyBorder="1" applyAlignment="1">
      <alignment vertical="center" wrapText="1"/>
    </xf>
    <xf numFmtId="0" fontId="12" fillId="0" borderId="1" xfId="0" applyFont="1" applyBorder="1" applyAlignment="1">
      <alignment horizontal="left" vertical="center" wrapText="1"/>
    </xf>
    <xf numFmtId="0" fontId="12" fillId="0" borderId="1" xfId="0" applyFont="1" applyBorder="1"/>
    <xf numFmtId="0" fontId="14" fillId="3" borderId="1" xfId="0" applyFont="1" applyFill="1" applyBorder="1" applyAlignment="1">
      <alignment horizontal="center" wrapText="1"/>
    </xf>
    <xf numFmtId="0" fontId="15" fillId="3" borderId="1" xfId="0" applyFont="1" applyFill="1" applyBorder="1" applyAlignment="1">
      <alignment horizontal="center" wrapText="1"/>
    </xf>
    <xf numFmtId="0" fontId="16" fillId="17" borderId="1" xfId="0" applyFont="1" applyFill="1" applyBorder="1" applyAlignment="1">
      <alignment horizontal="center"/>
    </xf>
    <xf numFmtId="0" fontId="16" fillId="18" borderId="1" xfId="0" applyFont="1" applyFill="1" applyBorder="1" applyAlignment="1">
      <alignment horizontal="center"/>
    </xf>
    <xf numFmtId="0" fontId="16" fillId="19"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0" fontId="0" fillId="20" borderId="0" xfId="0" applyFill="1"/>
    <xf numFmtId="0" fontId="0" fillId="0" borderId="0" xfId="0" applyAlignment="1">
      <alignment wrapText="1"/>
    </xf>
    <xf numFmtId="0" fontId="0" fillId="17" borderId="0" xfId="0" applyFill="1"/>
    <xf numFmtId="0" fontId="0" fillId="18" borderId="0" xfId="0" applyFill="1"/>
    <xf numFmtId="0" fontId="0" fillId="19" borderId="0" xfId="0" applyFill="1"/>
    <xf numFmtId="0" fontId="4" fillId="0" borderId="0" xfId="0" applyFont="1"/>
    <xf numFmtId="164"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7" fillId="3" borderId="1" xfId="0" applyFont="1" applyFill="1" applyBorder="1" applyAlignment="1">
      <alignment horizontal="center" vertical="center"/>
    </xf>
    <xf numFmtId="165" fontId="6" fillId="3" borderId="1" xfId="0" applyNumberFormat="1" applyFont="1" applyFill="1" applyBorder="1" applyAlignment="1">
      <alignment vertical="center"/>
    </xf>
    <xf numFmtId="0" fontId="7" fillId="2" borderId="0" xfId="0" applyFont="1" applyFill="1" applyAlignment="1">
      <alignment horizontal="center" vertical="center"/>
    </xf>
    <xf numFmtId="0" fontId="17" fillId="0" borderId="0" xfId="0" applyFont="1" applyAlignment="1">
      <alignment vertical="top" wrapText="1"/>
    </xf>
    <xf numFmtId="0" fontId="17" fillId="0" borderId="0" xfId="0" applyFont="1"/>
    <xf numFmtId="0" fontId="1" fillId="0" borderId="0" xfId="0" applyFont="1" applyAlignment="1">
      <alignment horizontal="center" vertical="top"/>
    </xf>
    <xf numFmtId="0" fontId="0" fillId="0" borderId="0" xfId="0" applyAlignment="1">
      <alignment horizontal="center" vertical="top"/>
    </xf>
    <xf numFmtId="0" fontId="14" fillId="20" borderId="1" xfId="0" applyFont="1" applyFill="1" applyBorder="1" applyAlignment="1">
      <alignment horizontal="center" wrapText="1"/>
    </xf>
    <xf numFmtId="0" fontId="18" fillId="20" borderId="1" xfId="0" applyFont="1" applyFill="1" applyBorder="1" applyAlignment="1">
      <alignment horizontal="center" wrapText="1"/>
    </xf>
    <xf numFmtId="0" fontId="3" fillId="17" borderId="1" xfId="0" applyFont="1" applyFill="1" applyBorder="1" applyAlignment="1">
      <alignment horizontal="center" vertical="top"/>
    </xf>
    <xf numFmtId="0" fontId="3" fillId="21" borderId="1" xfId="0" applyFont="1" applyFill="1" applyBorder="1" applyAlignment="1">
      <alignment horizontal="center" vertical="top"/>
    </xf>
    <xf numFmtId="0" fontId="3" fillId="22" borderId="1" xfId="0" applyFont="1" applyFill="1" applyBorder="1" applyAlignment="1">
      <alignment horizontal="center" vertical="top"/>
    </xf>
    <xf numFmtId="0" fontId="3" fillId="23" borderId="1" xfId="0" applyFont="1" applyFill="1" applyBorder="1" applyAlignment="1">
      <alignment horizontal="center" vertical="top"/>
    </xf>
    <xf numFmtId="0" fontId="2" fillId="24" borderId="1" xfId="0" applyFont="1" applyFill="1" applyBorder="1" applyAlignment="1">
      <alignment horizontal="center"/>
    </xf>
    <xf numFmtId="0" fontId="0" fillId="0" borderId="1" xfId="0" applyBorder="1" applyAlignment="1">
      <alignment horizontal="center" vertical="top"/>
    </xf>
    <xf numFmtId="0" fontId="0" fillId="0" borderId="1" xfId="0" applyBorder="1" applyAlignment="1">
      <alignment horizontal="center" vertical="top" wrapText="1"/>
    </xf>
    <xf numFmtId="166" fontId="0" fillId="0" borderId="1" xfId="0" applyNumberFormat="1" applyBorder="1" applyAlignment="1">
      <alignment horizontal="center" vertical="top"/>
    </xf>
    <xf numFmtId="0" fontId="0" fillId="25" borderId="0" xfId="0" applyFill="1"/>
    <xf numFmtId="0" fontId="0" fillId="21" borderId="0" xfId="0" applyFill="1"/>
    <xf numFmtId="0" fontId="0" fillId="22" borderId="0" xfId="0" applyFill="1"/>
    <xf numFmtId="0" fontId="0" fillId="23" borderId="0" xfId="0" applyFill="1"/>
    <xf numFmtId="0" fontId="0" fillId="24" borderId="0" xfId="0" applyFill="1"/>
    <xf numFmtId="167" fontId="0" fillId="3" borderId="0" xfId="0" applyNumberFormat="1" applyFill="1" applyAlignment="1">
      <alignment vertical="center"/>
    </xf>
    <xf numFmtId="0" fontId="19" fillId="3" borderId="1" xfId="0" applyFont="1" applyFill="1" applyBorder="1" applyAlignment="1">
      <alignment horizontal="left" vertical="center"/>
    </xf>
    <xf numFmtId="0" fontId="19" fillId="3" borderId="1" xfId="0" applyFont="1" applyFill="1" applyBorder="1" applyAlignment="1">
      <alignment wrapText="1"/>
    </xf>
    <xf numFmtId="0" fontId="19" fillId="3" borderId="1" xfId="0" applyFont="1" applyFill="1" applyBorder="1" applyAlignment="1">
      <alignment horizontal="right" vertical="center"/>
    </xf>
    <xf numFmtId="0" fontId="19" fillId="0" borderId="0" xfId="0" applyFont="1"/>
    <xf numFmtId="0" fontId="19" fillId="3" borderId="1" xfId="0" applyFont="1" applyFill="1" applyBorder="1" applyAlignment="1">
      <alignment horizontal="left" vertical="center" wrapText="1"/>
    </xf>
    <xf numFmtId="0" fontId="19" fillId="3" borderId="1" xfId="0" applyFont="1" applyFill="1" applyBorder="1" applyAlignment="1">
      <alignment vertical="top" wrapText="1"/>
    </xf>
    <xf numFmtId="0" fontId="20" fillId="0" borderId="0" xfId="0" applyFont="1"/>
    <xf numFmtId="0" fontId="6" fillId="0" borderId="0" xfId="0" applyFont="1"/>
    <xf numFmtId="0" fontId="21" fillId="0" borderId="0" xfId="0" applyFont="1"/>
    <xf numFmtId="0" fontId="2" fillId="17" borderId="1" xfId="0" applyFont="1" applyFill="1" applyBorder="1" applyAlignment="1">
      <alignment horizontal="center"/>
    </xf>
    <xf numFmtId="0" fontId="2" fillId="22" borderId="1" xfId="0" applyFont="1" applyFill="1" applyBorder="1" applyAlignment="1">
      <alignment horizontal="center"/>
    </xf>
    <xf numFmtId="166" fontId="0" fillId="0" borderId="1" xfId="0" applyNumberFormat="1" applyBorder="1" applyAlignment="1">
      <alignment horizontal="center"/>
    </xf>
    <xf numFmtId="0" fontId="22" fillId="22" borderId="0" xfId="0" applyFont="1" applyFill="1"/>
    <xf numFmtId="0" fontId="16" fillId="26" borderId="1" xfId="0" applyFont="1" applyFill="1" applyBorder="1" applyAlignment="1">
      <alignment horizontal="center"/>
    </xf>
    <xf numFmtId="0" fontId="16" fillId="21" borderId="1" xfId="0" applyFont="1" applyFill="1" applyBorder="1" applyAlignment="1">
      <alignment horizontal="center"/>
    </xf>
    <xf numFmtId="0" fontId="0" fillId="26" borderId="0" xfId="0" applyFill="1"/>
    <xf numFmtId="0" fontId="1" fillId="3" borderId="1" xfId="0" applyFont="1" applyFill="1" applyBorder="1" applyAlignment="1">
      <alignment vertical="center"/>
    </xf>
    <xf numFmtId="0" fontId="6" fillId="3" borderId="1" xfId="0" applyFont="1" applyFill="1" applyBorder="1" applyAlignment="1">
      <alignment horizontal="left"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6" fillId="25" borderId="1" xfId="0" applyFont="1" applyFill="1" applyBorder="1" applyAlignment="1">
      <alignment horizontal="center"/>
    </xf>
    <xf numFmtId="0" fontId="16" fillId="23" borderId="1" xfId="0" applyFont="1" applyFill="1" applyBorder="1" applyAlignment="1">
      <alignment horizontal="center"/>
    </xf>
    <xf numFmtId="0" fontId="16" fillId="22" borderId="1" xfId="0" applyFont="1" applyFill="1" applyBorder="1" applyAlignment="1">
      <alignment horizontal="center"/>
    </xf>
    <xf numFmtId="0" fontId="4" fillId="0" borderId="1" xfId="0" applyFont="1" applyBorder="1" applyAlignment="1">
      <alignment horizontal="center"/>
    </xf>
    <xf numFmtId="0" fontId="15" fillId="20" borderId="1" xfId="0" applyFont="1" applyFill="1" applyBorder="1" applyAlignment="1">
      <alignment horizontal="center" wrapText="1"/>
    </xf>
    <xf numFmtId="0" fontId="15" fillId="20" borderId="1" xfId="0" applyFont="1" applyFill="1" applyBorder="1" applyAlignment="1">
      <alignment wrapText="1"/>
    </xf>
    <xf numFmtId="0" fontId="23" fillId="25" borderId="0" xfId="0" applyFont="1" applyFill="1" applyAlignment="1">
      <alignment horizontal="center"/>
    </xf>
    <xf numFmtId="0" fontId="3" fillId="23" borderId="1" xfId="0" applyFont="1" applyFill="1" applyBorder="1" applyAlignment="1">
      <alignment horizontal="center"/>
    </xf>
    <xf numFmtId="0" fontId="16" fillId="27" borderId="1" xfId="0" applyFont="1" applyFill="1" applyBorder="1" applyAlignment="1">
      <alignment horizontal="center"/>
    </xf>
    <xf numFmtId="0" fontId="0" fillId="27" borderId="0" xfId="0" applyFill="1"/>
    <xf numFmtId="0" fontId="0" fillId="28" borderId="1" xfId="0" applyFill="1" applyBorder="1" applyAlignment="1">
      <alignment vertical="center"/>
    </xf>
    <xf numFmtId="0" fontId="16" fillId="11" borderId="1" xfId="0" applyFont="1" applyFill="1" applyBorder="1" applyAlignment="1">
      <alignment horizontal="center" wrapText="1"/>
    </xf>
    <xf numFmtId="0" fontId="16" fillId="11" borderId="1" xfId="0" applyFont="1" applyFill="1" applyBorder="1" applyAlignment="1">
      <alignment horizontal="center"/>
    </xf>
    <xf numFmtId="0" fontId="3" fillId="27" borderId="1" xfId="0" applyFont="1" applyFill="1" applyBorder="1" applyAlignment="1">
      <alignment horizontal="center"/>
    </xf>
    <xf numFmtId="0" fontId="3" fillId="19" borderId="1" xfId="0" applyFont="1" applyFill="1" applyBorder="1" applyAlignment="1">
      <alignment horizontal="center"/>
    </xf>
    <xf numFmtId="164" fontId="4" fillId="0" borderId="1" xfId="0" applyNumberFormat="1" applyFont="1" applyBorder="1" applyAlignment="1">
      <alignment horizontal="center"/>
    </xf>
    <xf numFmtId="20" fontId="0" fillId="0" borderId="1" xfId="0" applyNumberFormat="1" applyBorder="1" applyAlignment="1">
      <alignment horizontal="center"/>
    </xf>
    <xf numFmtId="168" fontId="0" fillId="0" borderId="1" xfId="0" applyNumberFormat="1" applyBorder="1" applyAlignment="1">
      <alignment horizontal="center"/>
    </xf>
    <xf numFmtId="20" fontId="0" fillId="0" borderId="1" xfId="0" applyNumberFormat="1" applyBorder="1" applyAlignment="1">
      <alignment horizontal="center" vertical="top"/>
    </xf>
    <xf numFmtId="0" fontId="0" fillId="11" borderId="0" xfId="0" applyFill="1"/>
    <xf numFmtId="0" fontId="3" fillId="27" borderId="0" xfId="0" applyFont="1" applyFill="1" applyAlignment="1">
      <alignment horizontal="center"/>
    </xf>
    <xf numFmtId="0" fontId="3" fillId="23" borderId="0" xfId="0" applyFont="1" applyFill="1" applyAlignment="1">
      <alignment horizontal="center"/>
    </xf>
    <xf numFmtId="0" fontId="3" fillId="28" borderId="1" xfId="0" applyFont="1" applyFill="1" applyBorder="1" applyAlignment="1">
      <alignment vertical="top" wrapText="1"/>
    </xf>
    <xf numFmtId="0" fontId="0" fillId="28" borderId="1" xfId="0" applyFill="1" applyBorder="1"/>
    <xf numFmtId="0" fontId="0" fillId="28" borderId="1" xfId="0" applyFill="1" applyBorder="1" applyAlignment="1">
      <alignment wrapText="1"/>
    </xf>
    <xf numFmtId="0" fontId="1" fillId="28" borderId="1" xfId="0" applyFont="1" applyFill="1" applyBorder="1"/>
    <xf numFmtId="0" fontId="22" fillId="28" borderId="1" xfId="0" applyFont="1" applyFill="1" applyBorder="1"/>
    <xf numFmtId="0" fontId="0" fillId="28" borderId="1" xfId="0" applyFill="1" applyBorder="1" applyAlignment="1">
      <alignment horizontal="left"/>
    </xf>
    <xf numFmtId="0" fontId="14" fillId="20" borderId="1" xfId="0" applyFont="1" applyFill="1" applyBorder="1" applyAlignment="1">
      <alignment horizontal="center"/>
    </xf>
    <xf numFmtId="0" fontId="23" fillId="25" borderId="1" xfId="0" applyFont="1" applyFill="1" applyBorder="1" applyAlignment="1">
      <alignment horizontal="center"/>
    </xf>
    <xf numFmtId="0" fontId="3" fillId="22" borderId="1" xfId="0" applyFont="1" applyFill="1" applyBorder="1" applyAlignment="1">
      <alignment horizontal="center"/>
    </xf>
    <xf numFmtId="0" fontId="3" fillId="24" borderId="1" xfId="0" applyFont="1" applyFill="1" applyBorder="1" applyAlignment="1">
      <alignment horizontal="center"/>
    </xf>
    <xf numFmtId="0" fontId="22" fillId="0" borderId="1" xfId="0" applyFont="1" applyBorder="1" applyAlignment="1">
      <alignment horizontal="center"/>
    </xf>
    <xf numFmtId="0" fontId="5" fillId="4" borderId="1" xfId="0" applyFont="1" applyFill="1" applyBorder="1" applyAlignment="1">
      <alignment horizontal="center"/>
    </xf>
    <xf numFmtId="0" fontId="6" fillId="5" borderId="1" xfId="0" applyFont="1" applyFill="1" applyBorder="1" applyAlignment="1">
      <alignment horizontal="left"/>
    </xf>
    <xf numFmtId="0" fontId="3" fillId="29" borderId="1" xfId="0" applyFont="1" applyFill="1" applyBorder="1" applyAlignment="1">
      <alignment horizontal="center"/>
    </xf>
    <xf numFmtId="0" fontId="4" fillId="0" borderId="1" xfId="0" applyFont="1" applyBorder="1" applyAlignment="1">
      <alignment wrapText="1"/>
    </xf>
    <xf numFmtId="169" fontId="0" fillId="0" borderId="1" xfId="0" applyNumberFormat="1" applyBorder="1" applyAlignment="1">
      <alignment horizontal="center"/>
    </xf>
    <xf numFmtId="169" fontId="0" fillId="0" borderId="0" xfId="0" applyNumberFormat="1"/>
    <xf numFmtId="0" fontId="0" fillId="29" borderId="0" xfId="0" applyFill="1"/>
    <xf numFmtId="0" fontId="22" fillId="28" borderId="1" xfId="0" applyFont="1" applyFill="1" applyBorder="1" applyAlignment="1">
      <alignment wrapText="1"/>
    </xf>
    <xf numFmtId="0" fontId="3" fillId="11" borderId="1" xfId="0" applyFont="1" applyFill="1" applyBorder="1" applyAlignment="1">
      <alignment horizontal="center"/>
    </xf>
    <xf numFmtId="168" fontId="0" fillId="0" borderId="5" xfId="0" applyNumberFormat="1" applyBorder="1" applyAlignment="1">
      <alignment horizontal="center"/>
    </xf>
    <xf numFmtId="168" fontId="0" fillId="0" borderId="6" xfId="0" applyNumberFormat="1" applyBorder="1" applyAlignment="1">
      <alignment horizontal="center"/>
    </xf>
    <xf numFmtId="20" fontId="0" fillId="0" borderId="7" xfId="0" applyNumberFormat="1" applyBorder="1" applyAlignment="1">
      <alignment horizontal="center"/>
    </xf>
    <xf numFmtId="168" fontId="0" fillId="0" borderId="0" xfId="0" applyNumberFormat="1" applyAlignment="1">
      <alignment horizontal="center"/>
    </xf>
    <xf numFmtId="0" fontId="3" fillId="30" borderId="1" xfId="0" applyFont="1" applyFill="1" applyBorder="1" applyAlignment="1">
      <alignment horizontal="center"/>
    </xf>
    <xf numFmtId="170" fontId="22" fillId="0" borderId="1" xfId="0" applyNumberFormat="1" applyFont="1" applyBorder="1" applyAlignment="1">
      <alignment horizontal="center"/>
    </xf>
    <xf numFmtId="0" fontId="0" fillId="31" borderId="0" xfId="0" applyFill="1"/>
    <xf numFmtId="0" fontId="6" fillId="3" borderId="1" xfId="0" applyFont="1" applyFill="1" applyBorder="1" applyAlignment="1">
      <alignment wrapText="1"/>
    </xf>
    <xf numFmtId="0" fontId="1" fillId="28" borderId="1" xfId="0" applyFont="1" applyFill="1" applyBorder="1" applyAlignment="1">
      <alignment wrapText="1"/>
    </xf>
    <xf numFmtId="165" fontId="24" fillId="3" borderId="1" xfId="0" applyNumberFormat="1" applyFont="1" applyFill="1" applyBorder="1"/>
    <xf numFmtId="0" fontId="7" fillId="4" borderId="1" xfId="0" applyFont="1" applyFill="1" applyBorder="1" applyAlignment="1">
      <alignment vertical="center"/>
    </xf>
    <xf numFmtId="0" fontId="14" fillId="32" borderId="1" xfId="0" applyFont="1" applyFill="1" applyBorder="1" applyAlignment="1">
      <alignment horizontal="center" wrapText="1"/>
    </xf>
    <xf numFmtId="0" fontId="16" fillId="33" borderId="1" xfId="0" applyFont="1" applyFill="1" applyBorder="1" applyAlignment="1">
      <alignment horizontal="center"/>
    </xf>
    <xf numFmtId="0" fontId="3" fillId="27" borderId="5" xfId="0" applyFont="1" applyFill="1" applyBorder="1" applyAlignment="1">
      <alignment horizontal="center"/>
    </xf>
    <xf numFmtId="0" fontId="16" fillId="24" borderId="1" xfId="0" applyFont="1" applyFill="1" applyBorder="1" applyAlignment="1">
      <alignment horizontal="center"/>
    </xf>
    <xf numFmtId="0" fontId="4" fillId="0" borderId="1" xfId="0" applyFont="1" applyBorder="1" applyAlignment="1">
      <alignment horizontal="center" wrapText="1"/>
    </xf>
    <xf numFmtId="171" fontId="0" fillId="0" borderId="1" xfId="0" applyNumberFormat="1" applyBorder="1" applyAlignment="1">
      <alignment horizontal="center"/>
    </xf>
    <xf numFmtId="0" fontId="4" fillId="0" borderId="6" xfId="0" applyFont="1" applyBorder="1" applyAlignment="1">
      <alignment horizontal="center"/>
    </xf>
    <xf numFmtId="1" fontId="0" fillId="0" borderId="7" xfId="0" applyNumberFormat="1" applyBorder="1" applyAlignment="1">
      <alignment horizontal="center"/>
    </xf>
    <xf numFmtId="1" fontId="0" fillId="0" borderId="1" xfId="0" applyNumberFormat="1" applyBorder="1" applyAlignment="1">
      <alignment horizontal="center"/>
    </xf>
    <xf numFmtId="3" fontId="4" fillId="0" borderId="1" xfId="0" applyNumberFormat="1" applyFont="1" applyBorder="1" applyAlignment="1">
      <alignment horizontal="center"/>
    </xf>
    <xf numFmtId="0" fontId="22" fillId="28" borderId="1" xfId="0" applyFont="1" applyFill="1" applyBorder="1" applyAlignment="1">
      <alignment horizontal="left" wrapText="1"/>
    </xf>
    <xf numFmtId="0" fontId="18" fillId="28" borderId="1" xfId="0" applyFont="1" applyFill="1" applyBorder="1" applyAlignment="1">
      <alignment horizontal="center" wrapText="1"/>
    </xf>
    <xf numFmtId="164" fontId="4" fillId="0" borderId="1" xfId="0" applyNumberFormat="1" applyFont="1" applyBorder="1" applyAlignment="1">
      <alignment horizontal="center" wrapText="1"/>
    </xf>
    <xf numFmtId="1" fontId="4" fillId="0" borderId="1" xfId="0" applyNumberFormat="1" applyFont="1" applyBorder="1" applyAlignment="1">
      <alignment horizontal="center"/>
    </xf>
    <xf numFmtId="165" fontId="22" fillId="28" borderId="1" xfId="0" applyNumberFormat="1" applyFont="1" applyFill="1" applyBorder="1" applyAlignment="1">
      <alignment wrapText="1"/>
    </xf>
    <xf numFmtId="0" fontId="16" fillId="29" borderId="1" xfId="0" applyFont="1" applyFill="1" applyBorder="1" applyAlignment="1">
      <alignment horizontal="center"/>
    </xf>
    <xf numFmtId="171" fontId="4" fillId="0" borderId="1" xfId="0" applyNumberFormat="1" applyFont="1" applyBorder="1" applyAlignment="1">
      <alignment horizontal="center"/>
    </xf>
    <xf numFmtId="169" fontId="0" fillId="0" borderId="0" xfId="0" applyNumberFormat="1" applyAlignment="1">
      <alignment horizontal="center"/>
    </xf>
    <xf numFmtId="0" fontId="14" fillId="32" borderId="0" xfId="0" applyFont="1" applyFill="1" applyAlignment="1">
      <alignment horizontal="center" wrapText="1"/>
    </xf>
    <xf numFmtId="0" fontId="16" fillId="33" borderId="0" xfId="0" applyFont="1" applyFill="1" applyAlignment="1">
      <alignment horizontal="center"/>
    </xf>
    <xf numFmtId="0" fontId="25" fillId="34" borderId="0" xfId="0" applyFont="1" applyFill="1" applyAlignment="1">
      <alignment horizontal="center"/>
    </xf>
    <xf numFmtId="0" fontId="16" fillId="22" borderId="0" xfId="0" applyFont="1" applyFill="1" applyAlignment="1">
      <alignment horizontal="center"/>
    </xf>
    <xf numFmtId="0" fontId="16" fillId="11" borderId="0" xfId="0" applyFont="1" applyFill="1" applyAlignment="1">
      <alignment horizontal="center"/>
    </xf>
    <xf numFmtId="0" fontId="16" fillId="29" borderId="0" xfId="0" applyFont="1" applyFill="1" applyAlignment="1">
      <alignment horizontal="center"/>
    </xf>
    <xf numFmtId="0" fontId="16" fillId="23" borderId="0" xfId="0" applyFont="1" applyFill="1" applyAlignment="1">
      <alignment horizontal="center"/>
    </xf>
    <xf numFmtId="0" fontId="16" fillId="19" borderId="0" xfId="0" applyFont="1" applyFill="1" applyAlignment="1">
      <alignment horizontal="center"/>
    </xf>
    <xf numFmtId="0" fontId="26" fillId="0" borderId="0" xfId="1" applyFont="1"/>
    <xf numFmtId="0" fontId="27" fillId="0" borderId="0" xfId="1" applyFont="1"/>
    <xf numFmtId="0" fontId="1" fillId="0" borderId="1" xfId="1" applyBorder="1" applyAlignment="1">
      <alignment horizontal="center" vertical="center" wrapText="1"/>
    </xf>
    <xf numFmtId="0" fontId="12" fillId="0" borderId="1" xfId="0" applyFont="1" applyBorder="1" applyAlignment="1">
      <alignment vertical="center"/>
    </xf>
    <xf numFmtId="0" fontId="1" fillId="0" borderId="1" xfId="1" applyBorder="1" applyAlignment="1">
      <alignment vertical="center"/>
    </xf>
    <xf numFmtId="0" fontId="28" fillId="0" borderId="1" xfId="1" quotePrefix="1" applyFont="1" applyBorder="1" applyAlignment="1">
      <alignment horizontal="center" vertical="center" wrapText="1"/>
    </xf>
    <xf numFmtId="0" fontId="28" fillId="0" borderId="1" xfId="1" applyFont="1" applyBorder="1"/>
    <xf numFmtId="0" fontId="28" fillId="0" borderId="1" xfId="1" applyFont="1" applyBorder="1" applyAlignment="1">
      <alignment vertical="center"/>
    </xf>
    <xf numFmtId="0" fontId="1" fillId="0" borderId="1" xfId="1" quotePrefix="1" applyBorder="1" applyAlignment="1">
      <alignment horizontal="center" vertical="center" wrapText="1"/>
    </xf>
    <xf numFmtId="0" fontId="1" fillId="0" borderId="1" xfId="1" applyBorder="1"/>
    <xf numFmtId="0" fontId="0" fillId="0" borderId="1" xfId="0" applyBorder="1" applyAlignment="1">
      <alignment horizontal="center" wrapText="1"/>
    </xf>
    <xf numFmtId="0" fontId="11" fillId="7" borderId="3" xfId="0" applyFont="1" applyFill="1" applyBorder="1" applyAlignment="1">
      <alignment horizontal="center" vertical="center"/>
    </xf>
    <xf numFmtId="0" fontId="11" fillId="7" borderId="1" xfId="0" applyFont="1" applyFill="1" applyBorder="1" applyAlignment="1">
      <alignment horizontal="center" vertical="center" wrapText="1"/>
    </xf>
    <xf numFmtId="0" fontId="10" fillId="8" borderId="4" xfId="0" applyFont="1" applyFill="1" applyBorder="1" applyAlignment="1">
      <alignment horizontal="center" vertical="center"/>
    </xf>
    <xf numFmtId="0" fontId="10" fillId="8" borderId="1" xfId="0" applyFont="1" applyFill="1" applyBorder="1" applyAlignment="1">
      <alignment horizontal="center" vertical="center" wrapText="1"/>
    </xf>
    <xf numFmtId="0" fontId="0" fillId="0" borderId="8" xfId="0" applyBorder="1" applyAlignment="1">
      <alignment horizontal="center"/>
    </xf>
    <xf numFmtId="0" fontId="0" fillId="0" borderId="9" xfId="0" applyBorder="1" applyAlignment="1">
      <alignment horizontal="center"/>
    </xf>
    <xf numFmtId="0" fontId="6" fillId="5" borderId="1" xfId="0" applyFont="1" applyFill="1" applyBorder="1" applyAlignment="1">
      <alignment horizontal="center" vertical="center"/>
    </xf>
    <xf numFmtId="0" fontId="6" fillId="5" borderId="1" xfId="0" applyFont="1" applyFill="1" applyBorder="1" applyAlignment="1">
      <alignment horizontal="center" wrapText="1"/>
    </xf>
    <xf numFmtId="0" fontId="9" fillId="0" borderId="0" xfId="0" applyFont="1"/>
    <xf numFmtId="0" fontId="11" fillId="7" borderId="3" xfId="0" applyFont="1" applyFill="1" applyBorder="1" applyAlignment="1">
      <alignment horizontal="left" vertical="center"/>
    </xf>
    <xf numFmtId="0" fontId="11" fillId="7"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0" fillId="14" borderId="1" xfId="0" applyFont="1" applyFill="1" applyBorder="1" applyAlignment="1">
      <alignment horizontal="center" vertical="center"/>
    </xf>
    <xf numFmtId="0" fontId="13" fillId="15" borderId="1" xfId="0" applyFont="1" applyFill="1" applyBorder="1" applyAlignment="1">
      <alignment horizontal="center" vertical="center" wrapText="1"/>
    </xf>
    <xf numFmtId="0" fontId="10" fillId="16" borderId="1" xfId="0" applyFont="1" applyFill="1" applyBorder="1" applyAlignment="1">
      <alignment horizontal="center"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xf>
    <xf numFmtId="0" fontId="6" fillId="5" borderId="1" xfId="0" applyFont="1" applyFill="1" applyBorder="1" applyAlignment="1">
      <alignment horizontal="left" vertical="center" wrapText="1"/>
    </xf>
    <xf numFmtId="0" fontId="8" fillId="5" borderId="1"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D9D9D9"/>
      <rgbColor rgb="FF800000"/>
      <rgbColor rgb="FF008000"/>
      <rgbColor rgb="FF000080"/>
      <rgbColor rgb="FFD0CECE"/>
      <rgbColor rgb="FF800080"/>
      <rgbColor rgb="FF2F75B5"/>
      <rgbColor rgb="FFBFBFBF"/>
      <rgbColor rgb="FF70AD47"/>
      <rgbColor rgb="FFADB9CA"/>
      <rgbColor rgb="FF7030A0"/>
      <rgbColor rgb="FFFFE699"/>
      <rgbColor rgb="FFC0E6F5"/>
      <rgbColor rgb="FF660066"/>
      <rgbColor rgb="FFF381DB"/>
      <rgbColor rgb="FF0563C1"/>
      <rgbColor rgb="FFD0D0D0"/>
      <rgbColor rgb="FF000080"/>
      <rgbColor rgb="FFFF00FF"/>
      <rgbColor rgb="FFFFD966"/>
      <rgbColor rgb="FFF2CEEF"/>
      <rgbColor rgb="FF800080"/>
      <rgbColor rgb="FF800000"/>
      <rgbColor rgb="FF008080"/>
      <rgbColor rgb="FF0000FF"/>
      <rgbColor rgb="FF00B0F0"/>
      <rgbColor rgb="FFDBDBDB"/>
      <rgbColor rgb="FFC5E0B4"/>
      <rgbColor rgb="FFFCFCAA"/>
      <rgbColor rgb="FF9CC3E6"/>
      <rgbColor rgb="FFFA90B1"/>
      <rgbColor rgb="FFCC99FF"/>
      <rgbColor rgb="FFF8CBAD"/>
      <rgbColor rgb="FF2E75B6"/>
      <rgbColor rgb="FFA9D18E"/>
      <rgbColor rgb="FF92D050"/>
      <rgbColor rgb="FFFFC000"/>
      <rgbColor rgb="FFF7C7AC"/>
      <rgbColor rgb="FFC55A11"/>
      <rgbColor rgb="FF467886"/>
      <rgbColor rgb="FF8497B0"/>
      <rgbColor rgb="FF003366"/>
      <rgbColor rgb="FF4EA72E"/>
      <rgbColor rgb="FF003300"/>
      <rgbColor rgb="FF333300"/>
      <rgbColor rgb="FFFDD3FA"/>
      <rgbColor rgb="FFF1ABE9"/>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17</xdr:col>
      <xdr:colOff>312420</xdr:colOff>
      <xdr:row>37</xdr:row>
      <xdr:rowOff>160200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175260"/>
          <a:ext cx="12100560" cy="6469560"/>
        </a:xfrm>
        <a:prstGeom prst="rect">
          <a:avLst/>
        </a:prstGeom>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AF71035-4FDE-4339-93FD-98C985086C96}">
  <we:reference id="wa200009404" version="1.0.0.8" store="es-ES" storeType="OMEX"/>
  <we:alternateReferences>
    <we:reference id="WA200009404" version="1.0.0.8" store="WA200009404" storeType="OMEX"/>
  </we:alternateReferences>
  <we:properties>
    <we:property name="claude.fileId" value="&quot;754a7170-cb02-476f-b508-f898d329cd6f&quot;"/>
  </we:properties>
  <we:bindings/>
  <we:snapshot xmlns:r="http://schemas.openxmlformats.org/officeDocument/2006/relationships"/>
</we:webextension>
</file>

<file path=xl/webextensions/webextension2.xml><?xml version="1.0" encoding="utf-8"?>
<we:webextension xmlns:we="http://schemas.microsoft.com/office/webextensions/webextension/2010/11" id="{364D174C-2031-494B-81CA-6C42E4CD4A87}">
  <we:reference id="wa200010725" version="1.0.0.1" store="es-ES" storeType="OMEX"/>
  <we:alternateReferences>
    <we:reference id="WA200010725" version="1.0.0.1" store="WA200010725" storeType="OMEX"/>
  </we:alternateReferences>
  <we:properties>
    <we:property name="claude.fileId" value="&quot;6bbcc69e-590b-4a31-aeff-730ad06f5c3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
  <sheetViews>
    <sheetView zoomScaleNormal="100" workbookViewId="0"/>
  </sheetViews>
  <sheetFormatPr baseColWidth="10" defaultColWidth="9.140625" defaultRowHeight="15" x14ac:dyDescent="0.25"/>
  <cols>
    <col min="1" max="1" width="26.140625" customWidth="1"/>
  </cols>
  <sheetData>
    <row r="1" spans="1:30" ht="14.25" customHeight="1" x14ac:dyDescent="0.25">
      <c r="A1" s="4" t="s">
        <v>0</v>
      </c>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ht="14.25" customHeight="1"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4.25" customHeight="1"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ht="14.25" customHeight="1"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row>
    <row r="5" spans="1:30" ht="14.25"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row>
    <row r="6" spans="1:30" ht="14.25" customHeight="1"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row>
    <row r="7" spans="1:30" ht="14.25" customHeight="1"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row>
    <row r="8" spans="1:30" ht="14.25" customHeight="1"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row>
    <row r="9" spans="1:30" ht="14.25" customHeight="1"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spans="1:30" ht="14.25" customHeight="1"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spans="1:30" ht="14.25" customHeight="1"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0" ht="14.25" customHeight="1"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0" ht="14.25" customHeight="1"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row>
    <row r="14" spans="1:30" ht="14.25" customHeight="1"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spans="1:30" ht="14.25" customHeight="1"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spans="1:30" ht="14.25" customHeight="1"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0" ht="14.25" customHeight="1"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ht="14.25" customHeight="1"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ht="14.25" customHeight="1"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ht="14.25" customHeight="1"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spans="1:30" ht="14.25" customHeight="1"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spans="1:30" ht="14.25"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ht="14.2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ht="14.2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ht="14.2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ht="14.2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ht="14.2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ht="14.2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ht="14.2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ht="14.2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ht="14.2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ht="14.2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ht="14.2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ht="14.2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ht="14.2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ht="14.2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ht="14.2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ht="14.2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ht="14.2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ht="14.2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ht="14.2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ht="14.2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ht="14.2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ht="14.2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ht="14.2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ht="14.2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ht="14.2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ht="14.2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ht="14.2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ht="14.2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sheetData>
  <hyperlinks>
    <hyperlink ref="A1" location="'Objetos de Dominio'!A1" display="Ir a objetos de dominio &gt;&gt;&gt;&gt;" xr:uid="{00000000-0004-0000-0000-000000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zoomScaleNormal="100" workbookViewId="0">
      <selection activeCell="F10" sqref="F10"/>
    </sheetView>
  </sheetViews>
  <sheetFormatPr baseColWidth="10" defaultColWidth="10.7109375" defaultRowHeight="15" x14ac:dyDescent="0.25"/>
  <cols>
    <col min="1" max="1" width="27" customWidth="1"/>
    <col min="2" max="2" width="48.28515625" customWidth="1"/>
    <col min="3" max="3" width="12.5703125" customWidth="1"/>
    <col min="4" max="4" width="13.28515625" customWidth="1"/>
    <col min="5" max="5" width="19.42578125" customWidth="1"/>
    <col min="6" max="6" width="18.28515625" customWidth="1"/>
    <col min="7" max="7" width="14.28515625" customWidth="1"/>
  </cols>
  <sheetData>
    <row r="1" spans="1:7" ht="14.25" customHeight="1" x14ac:dyDescent="0.25">
      <c r="A1" s="4" t="s">
        <v>1</v>
      </c>
    </row>
    <row r="2" spans="1:7" ht="14.25" customHeight="1" x14ac:dyDescent="0.25">
      <c r="A2" s="6" t="s">
        <v>2</v>
      </c>
      <c r="B2" s="6" t="s">
        <v>3</v>
      </c>
      <c r="C2" s="6" t="s">
        <v>4</v>
      </c>
      <c r="D2" s="6" t="s">
        <v>5</v>
      </c>
      <c r="E2" s="6" t="s">
        <v>6</v>
      </c>
      <c r="F2" s="6" t="s">
        <v>7</v>
      </c>
      <c r="G2" s="7" t="s">
        <v>8</v>
      </c>
    </row>
    <row r="3" spans="1:7" ht="41.25" customHeight="1" x14ac:dyDescent="0.25">
      <c r="A3" s="8" t="s">
        <v>33</v>
      </c>
      <c r="B3" s="12" t="s">
        <v>34</v>
      </c>
      <c r="C3" s="8">
        <v>1</v>
      </c>
      <c r="D3" s="13" t="s">
        <v>11</v>
      </c>
      <c r="E3" s="13" t="s">
        <v>12</v>
      </c>
      <c r="F3" s="11" t="s">
        <v>13</v>
      </c>
      <c r="G3" s="11" t="s">
        <v>14</v>
      </c>
    </row>
    <row r="4" spans="1:7" ht="45" customHeight="1" x14ac:dyDescent="0.25">
      <c r="A4" s="8" t="s">
        <v>9</v>
      </c>
      <c r="B4" s="9" t="s">
        <v>10</v>
      </c>
      <c r="C4" s="10">
        <v>1</v>
      </c>
      <c r="D4" s="11" t="s">
        <v>11</v>
      </c>
      <c r="E4" s="11" t="s">
        <v>12</v>
      </c>
      <c r="F4" s="11" t="s">
        <v>13</v>
      </c>
      <c r="G4" s="11" t="s">
        <v>14</v>
      </c>
    </row>
    <row r="5" spans="1:7" ht="60" customHeight="1" x14ac:dyDescent="0.25">
      <c r="A5" s="8" t="s">
        <v>15</v>
      </c>
      <c r="B5" s="12" t="s">
        <v>16</v>
      </c>
      <c r="C5" s="8">
        <v>1</v>
      </c>
      <c r="D5" s="11" t="s">
        <v>11</v>
      </c>
      <c r="E5" s="11" t="s">
        <v>12</v>
      </c>
      <c r="F5" s="11" t="s">
        <v>13</v>
      </c>
      <c r="G5" s="11" t="s">
        <v>14</v>
      </c>
    </row>
    <row r="6" spans="1:7" ht="45" customHeight="1" x14ac:dyDescent="0.25">
      <c r="A6" s="8" t="s">
        <v>17</v>
      </c>
      <c r="B6" s="12" t="s">
        <v>18</v>
      </c>
      <c r="C6" s="8">
        <v>1</v>
      </c>
      <c r="D6" s="11" t="s">
        <v>11</v>
      </c>
      <c r="E6" s="11" t="s">
        <v>12</v>
      </c>
      <c r="F6" s="11" t="s">
        <v>13</v>
      </c>
      <c r="G6" s="11" t="s">
        <v>14</v>
      </c>
    </row>
    <row r="7" spans="1:7" ht="75" customHeight="1" x14ac:dyDescent="0.25">
      <c r="A7" s="8" t="s">
        <v>19</v>
      </c>
      <c r="B7" s="12" t="s">
        <v>20</v>
      </c>
      <c r="C7" s="8">
        <v>1</v>
      </c>
      <c r="D7" s="11" t="s">
        <v>11</v>
      </c>
      <c r="E7" s="11" t="s">
        <v>12</v>
      </c>
      <c r="F7" s="11" t="s">
        <v>13</v>
      </c>
      <c r="G7" s="11" t="s">
        <v>14</v>
      </c>
    </row>
    <row r="8" spans="1:7" ht="45" customHeight="1" x14ac:dyDescent="0.25">
      <c r="A8" s="8" t="s">
        <v>21</v>
      </c>
      <c r="B8" s="12" t="s">
        <v>22</v>
      </c>
      <c r="C8" s="8">
        <v>1</v>
      </c>
      <c r="D8" s="11" t="s">
        <v>11</v>
      </c>
      <c r="E8" s="11" t="s">
        <v>12</v>
      </c>
      <c r="F8" s="11" t="s">
        <v>13</v>
      </c>
      <c r="G8" s="11" t="s">
        <v>14</v>
      </c>
    </row>
    <row r="9" spans="1:7" ht="30" customHeight="1" x14ac:dyDescent="0.25">
      <c r="A9" s="8" t="s">
        <v>23</v>
      </c>
      <c r="B9" s="12" t="s">
        <v>24</v>
      </c>
      <c r="C9" s="8">
        <v>1</v>
      </c>
      <c r="D9" s="11" t="s">
        <v>11</v>
      </c>
      <c r="E9" s="11" t="s">
        <v>12</v>
      </c>
      <c r="F9" s="11" t="s">
        <v>13</v>
      </c>
      <c r="G9" s="11" t="s">
        <v>14</v>
      </c>
    </row>
    <row r="10" spans="1:7" ht="49.5" customHeight="1" x14ac:dyDescent="0.25">
      <c r="A10" s="8" t="s">
        <v>25</v>
      </c>
      <c r="B10" s="12" t="s">
        <v>26</v>
      </c>
      <c r="C10" s="8">
        <v>2</v>
      </c>
      <c r="D10" s="11" t="s">
        <v>11</v>
      </c>
      <c r="E10" s="11" t="s">
        <v>12</v>
      </c>
      <c r="F10" s="11" t="s">
        <v>13</v>
      </c>
      <c r="G10" s="11" t="s">
        <v>14</v>
      </c>
    </row>
    <row r="11" spans="1:7" ht="45" customHeight="1" x14ac:dyDescent="0.25">
      <c r="A11" s="8" t="s">
        <v>27</v>
      </c>
      <c r="B11" s="12" t="s">
        <v>28</v>
      </c>
      <c r="C11" s="8">
        <v>2</v>
      </c>
      <c r="D11" s="11" t="s">
        <v>11</v>
      </c>
      <c r="E11" s="11" t="s">
        <v>12</v>
      </c>
      <c r="F11" s="11" t="s">
        <v>13</v>
      </c>
      <c r="G11" s="11" t="s">
        <v>14</v>
      </c>
    </row>
    <row r="12" spans="1:7" ht="45" customHeight="1" x14ac:dyDescent="0.25">
      <c r="A12" s="8" t="s">
        <v>29</v>
      </c>
      <c r="B12" s="12" t="s">
        <v>30</v>
      </c>
      <c r="C12" s="8">
        <v>2</v>
      </c>
      <c r="D12" s="11" t="s">
        <v>11</v>
      </c>
      <c r="E12" s="11" t="s">
        <v>12</v>
      </c>
      <c r="F12" s="11" t="s">
        <v>13</v>
      </c>
      <c r="G12" s="11" t="s">
        <v>14</v>
      </c>
    </row>
    <row r="13" spans="1:7" ht="60" customHeight="1" x14ac:dyDescent="0.25">
      <c r="A13" s="8" t="s">
        <v>31</v>
      </c>
      <c r="B13" s="12" t="s">
        <v>32</v>
      </c>
      <c r="C13" s="8">
        <v>3</v>
      </c>
      <c r="D13" s="11" t="s">
        <v>11</v>
      </c>
      <c r="E13" s="11" t="s">
        <v>12</v>
      </c>
      <c r="F13" s="11" t="s">
        <v>13</v>
      </c>
      <c r="G13" s="11" t="s">
        <v>14</v>
      </c>
    </row>
    <row r="14" spans="1:7" ht="42.75" customHeight="1" x14ac:dyDescent="0.25">
      <c r="A14" s="8" t="s">
        <v>35</v>
      </c>
      <c r="B14" s="12" t="s">
        <v>36</v>
      </c>
      <c r="C14" s="8">
        <v>3</v>
      </c>
      <c r="D14" s="11" t="s">
        <v>11</v>
      </c>
      <c r="E14" s="11" t="s">
        <v>12</v>
      </c>
      <c r="F14" s="11" t="s">
        <v>13</v>
      </c>
      <c r="G14" s="11" t="s">
        <v>14</v>
      </c>
    </row>
    <row r="15" spans="1:7" ht="60" customHeight="1" x14ac:dyDescent="0.25">
      <c r="A15" s="8" t="s">
        <v>37</v>
      </c>
      <c r="B15" s="12" t="s">
        <v>38</v>
      </c>
      <c r="C15" s="8">
        <v>4</v>
      </c>
      <c r="D15" s="11" t="s">
        <v>11</v>
      </c>
      <c r="E15" s="11" t="s">
        <v>12</v>
      </c>
      <c r="F15" s="11" t="s">
        <v>13</v>
      </c>
      <c r="G15" s="11" t="s">
        <v>14</v>
      </c>
    </row>
    <row r="16" spans="1:7" ht="57" customHeight="1" x14ac:dyDescent="0.25">
      <c r="A16" s="8" t="s">
        <v>39</v>
      </c>
      <c r="B16" s="12" t="s">
        <v>40</v>
      </c>
      <c r="C16" s="8">
        <v>5</v>
      </c>
      <c r="D16" s="11" t="s">
        <v>11</v>
      </c>
      <c r="E16" s="11" t="s">
        <v>12</v>
      </c>
      <c r="F16" s="11" t="s">
        <v>13</v>
      </c>
      <c r="G16" s="11" t="s">
        <v>14</v>
      </c>
    </row>
    <row r="17" spans="1:7" ht="75" customHeight="1" x14ac:dyDescent="0.25">
      <c r="A17" s="8" t="s">
        <v>41</v>
      </c>
      <c r="B17" s="12" t="s">
        <v>42</v>
      </c>
      <c r="C17" s="8">
        <v>6</v>
      </c>
      <c r="D17" s="11" t="s">
        <v>11</v>
      </c>
      <c r="E17" s="11" t="s">
        <v>12</v>
      </c>
      <c r="F17" s="11" t="s">
        <v>13</v>
      </c>
      <c r="G17" s="11" t="s">
        <v>14</v>
      </c>
    </row>
    <row r="18" spans="1:7" ht="60" customHeight="1" x14ac:dyDescent="0.25">
      <c r="A18" s="8" t="s">
        <v>43</v>
      </c>
      <c r="B18" s="12" t="s">
        <v>44</v>
      </c>
      <c r="C18" s="8">
        <v>6</v>
      </c>
      <c r="D18" s="11" t="s">
        <v>11</v>
      </c>
      <c r="E18" s="11" t="s">
        <v>12</v>
      </c>
      <c r="F18" s="11" t="s">
        <v>13</v>
      </c>
      <c r="G18" s="11" t="s">
        <v>14</v>
      </c>
    </row>
  </sheetData>
  <hyperlinks>
    <hyperlink ref="A1" location="'Modelo de Dominio'!A1" display="&lt;&lt;&lt;&lt; Ir al modulo de dominio" xr:uid="{00000000-0004-0000-0100-000000000000}"/>
    <hyperlink ref="D4" location="'M-DiaSemana'!A3" display="Ir al muestreo" xr:uid="{00000000-0004-0000-0100-000001000000}"/>
    <hyperlink ref="E4" location="'C-DiaSemana'!A3" display="Ir a la caracterización" xr:uid="{00000000-0004-0000-0100-000002000000}"/>
    <hyperlink ref="F4" location="'E-DiaSemana'!A1" display="Ir al Event Storming" xr:uid="{00000000-0004-0000-0100-000003000000}"/>
    <hyperlink ref="G4" location="'P-DiaSemana'!A1" display="Ir a las políticas" xr:uid="{00000000-0004-0000-0100-000004000000}"/>
    <hyperlink ref="D5" location="'M-Estado'!A3" display="Ir al muestreo" xr:uid="{00000000-0004-0000-0100-000005000000}"/>
    <hyperlink ref="E5" location="'C-Estado'!A3" display="Ir a la caracterización" xr:uid="{00000000-0004-0000-0100-000006000000}"/>
    <hyperlink ref="F5" location="'E-Estado'!A1" display="Ir al Event Storming" xr:uid="{00000000-0004-0000-0100-000007000000}"/>
    <hyperlink ref="G5" location="'P-Estado'!A1" display="Ir a las políticas" xr:uid="{00000000-0004-0000-0100-000008000000}"/>
    <hyperlink ref="D6" location="'M-Servicio'!A3" display="Ir al muestreo" xr:uid="{00000000-0004-0000-0100-000009000000}"/>
    <hyperlink ref="E6" location="'C-Servicio'!A3" display="Ir a la caracterización" xr:uid="{00000000-0004-0000-0100-00000A000000}"/>
    <hyperlink ref="F6" location="'E-Servicio'!A1" display="Ir al Event Storming" xr:uid="{00000000-0004-0000-0100-00000B000000}"/>
    <hyperlink ref="G6" location="'P-Servicio'!A1" display="Ir a las políticas" xr:uid="{00000000-0004-0000-0100-00000C000000}"/>
    <hyperlink ref="D7" location="'M-Regla'!A3" display="Ir al muestreo" xr:uid="{00000000-0004-0000-0100-00000D000000}"/>
    <hyperlink ref="E7" location="'C-Regla'!A3" display="Ir a la caracterización" xr:uid="{00000000-0004-0000-0100-00000E000000}"/>
    <hyperlink ref="F7" location="'E-Regla'!A1" display="Ir al Event Storming" xr:uid="{00000000-0004-0000-0100-00000F000000}"/>
    <hyperlink ref="G7" location="'P-Regla'!A1" display="Ir a las políticas" xr:uid="{00000000-0004-0000-0100-000010000000}"/>
    <hyperlink ref="D8" location="'M-PrefijoCelular'!A3" display="Ir al muestreo" xr:uid="{00000000-0004-0000-0100-000011000000}"/>
    <hyperlink ref="E8" location="'C-PrefijoCelular'!A3" display="Ir a la caracterización" xr:uid="{00000000-0004-0000-0100-000012000000}"/>
    <hyperlink ref="F8" location="'E-PrefijoCelular'!A1" display="Ir al Event Storming" xr:uid="{00000000-0004-0000-0100-000013000000}"/>
    <hyperlink ref="G8" location="'P-PrefijoCelular'!A1" display="Ir a las políticas" xr:uid="{00000000-0004-0000-0100-000014000000}"/>
    <hyperlink ref="D9" location="'M-TipoMulta'!A3" display="Ir al muestreo" xr:uid="{00000000-0004-0000-0100-000015000000}"/>
    <hyperlink ref="E9" location="'C-TipoMulta'!A3" display="Ir a la caracterización" xr:uid="{00000000-0004-0000-0100-000016000000}"/>
    <hyperlink ref="F9" location="'E-TipoMulta'!A1" display="Ir al Event Storming" xr:uid="{00000000-0004-0000-0100-000017000000}"/>
    <hyperlink ref="G9" location="'P-TipoMulta'!A1" display="Ir a las políticas" xr:uid="{00000000-0004-0000-0100-000018000000}"/>
    <hyperlink ref="D10" location="'M-Barbero'!A3" display="Ir al muestreo" xr:uid="{00000000-0004-0000-0100-000019000000}"/>
    <hyperlink ref="E10" location="'C-Barbero'!A3" display="Ir a la caracterización" xr:uid="{00000000-0004-0000-0100-00001A000000}"/>
    <hyperlink ref="F10" location="'E-Barbero'!A1" display="Ir al Event Storming" xr:uid="{00000000-0004-0000-0100-00001B000000}"/>
    <hyperlink ref="G10" location="'P-Barbero'!A1" display="Ir a las políticas" xr:uid="{00000000-0004-0000-0100-00001C000000}"/>
    <hyperlink ref="D11" location="'M-Cliente'!A3" display="Ir al muestreo" xr:uid="{00000000-0004-0000-0100-00001D000000}"/>
    <hyperlink ref="E11" location="'C-Cliente'!A3" display="Ir a la caracterización" xr:uid="{00000000-0004-0000-0100-00001E000000}"/>
    <hyperlink ref="F11" location="'E-Cliente'!A1" display="Ir al Event Storming" xr:uid="{00000000-0004-0000-0100-00001F000000}"/>
    <hyperlink ref="G11" location="'P-Cliente'!A1" display="Ir a las políticas" xr:uid="{00000000-0004-0000-0100-000020000000}"/>
    <hyperlink ref="D12" location="'M-HorarioBarberia'!A3" display="Ir al muestreo" xr:uid="{00000000-0004-0000-0100-000021000000}"/>
    <hyperlink ref="E12" location="'C-HorarioBarberia'!A3" display="Ir a la caracterización" xr:uid="{00000000-0004-0000-0100-000022000000}"/>
    <hyperlink ref="F12" location="'E-HorarioBarberia'!A1" display="Ir al Event Storming" xr:uid="{00000000-0004-0000-0100-000023000000}"/>
    <hyperlink ref="G12" location="'P-HorarioBarberia'!A1" display="Ir a las políticas" xr:uid="{00000000-0004-0000-0100-000024000000}"/>
    <hyperlink ref="D13" location="'M-BarberoServicio'!A3" display="Ir al muestreo" xr:uid="{00000000-0004-0000-0100-000025000000}"/>
    <hyperlink ref="E13" location="'C-BarberoServicio'!A3" display="Ir a la caracterización" xr:uid="{00000000-0004-0000-0100-000026000000}"/>
    <hyperlink ref="F13" location="'E-BarberoServicio'!A1" display="Ir al Event Storming" xr:uid="{00000000-0004-0000-0100-000027000000}"/>
    <hyperlink ref="G13" location="'P-BarberoServicio'!A1" display="Ir a las políticas" xr:uid="{00000000-0004-0000-0100-000028000000}"/>
    <hyperlink ref="D3" location="'M-Bloqueo'!A3" display="Ir al muestreo" xr:uid="{00000000-0004-0000-0100-000029000000}"/>
    <hyperlink ref="E3" location="'C-Bloqueo'!A3" display="Ir a la caracterización" xr:uid="{00000000-0004-0000-0100-00002A000000}"/>
    <hyperlink ref="F3" location="'E-Bloqueo'!A1" display="Ir al Event Storming" xr:uid="{00000000-0004-0000-0100-00002B000000}"/>
    <hyperlink ref="G3" location="'P-Bloqueo'!A1" display="Ir a las políticas" xr:uid="{00000000-0004-0000-0100-00002C000000}"/>
    <hyperlink ref="D14" location="'M-HorarioBarbero'!A3" display="Ir al muestreo" xr:uid="{00000000-0004-0000-0100-00002D000000}"/>
    <hyperlink ref="E14" location="'C-HorarioBarbero'!A3" display="Ir a la caracterización" xr:uid="{00000000-0004-0000-0100-00002E000000}"/>
    <hyperlink ref="F14" location="'E-HorarioBarbero'!A1" display="Ir al Event Storming" xr:uid="{00000000-0004-0000-0100-00002F000000}"/>
    <hyperlink ref="G14" location="'P-HorarioBarbero'!A1" display="Ir a las políticas" xr:uid="{00000000-0004-0000-0100-000030000000}"/>
    <hyperlink ref="D15" location="'M-Agenda'!A3" display="Ir al muestreo" xr:uid="{00000000-0004-0000-0100-000031000000}"/>
    <hyperlink ref="E15" location="'C-Agenda'!A3" display="Ir a la caracterización" xr:uid="{00000000-0004-0000-0100-000032000000}"/>
    <hyperlink ref="F15" location="'E-Agenda'!A1" display="Ir al Event Storming" xr:uid="{00000000-0004-0000-0100-000033000000}"/>
    <hyperlink ref="G15" location="'P-Agenda'!A1" display="Ir a las políticas" xr:uid="{00000000-0004-0000-0100-000034000000}"/>
    <hyperlink ref="D16" location="'M-Cita'!A3" display="Ir al muestreo" xr:uid="{00000000-0004-0000-0100-000035000000}"/>
    <hyperlink ref="E16" location="'C-Cita'!A3" display="Ir a la caracterización" xr:uid="{00000000-0004-0000-0100-000036000000}"/>
    <hyperlink ref="F16" location="'E-Cita'!A1" display="Ir al Event Storming" xr:uid="{00000000-0004-0000-0100-000037000000}"/>
    <hyperlink ref="G16" location="'P-Cita'!A1" display="Ir a las políticas" xr:uid="{00000000-0004-0000-0100-000038000000}"/>
    <hyperlink ref="D17" location="'M-CitaServicio'!A3" display="Ir al muestreo" xr:uid="{00000000-0004-0000-0100-000039000000}"/>
    <hyperlink ref="E17" location="'C-CitaServicio'!A3" display="Ir a la caracterización" xr:uid="{00000000-0004-0000-0100-00003A000000}"/>
    <hyperlink ref="F17" location="'E-CitaServicio'!A1" display="Ir al Event Storming" xr:uid="{00000000-0004-0000-0100-00003B000000}"/>
    <hyperlink ref="G17" location="'P-CitaServicio'!A1" display="Ir a las políticas" xr:uid="{00000000-0004-0000-0100-00003C000000}"/>
    <hyperlink ref="D18" location="'M-Multa'!A3" display="Ir al muestreo" xr:uid="{00000000-0004-0000-0100-00003D000000}"/>
    <hyperlink ref="E18" location="'C-Multa'!A3" display="Ir a la caracterización" xr:uid="{00000000-0004-0000-0100-00003E000000}"/>
    <hyperlink ref="F18" location="'E-Multa'!A1" display="Ir al Event Storming" xr:uid="{00000000-0004-0000-0100-00003F000000}"/>
    <hyperlink ref="G18" location="'P-Multa'!A1" display="Ir a las políticas" xr:uid="{00000000-0004-0000-0100-000040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12"/>
  <sheetViews>
    <sheetView zoomScaleNormal="100" workbookViewId="0"/>
  </sheetViews>
  <sheetFormatPr baseColWidth="10" defaultColWidth="8.7109375" defaultRowHeight="15" x14ac:dyDescent="0.25"/>
  <cols>
    <col min="1" max="1" width="26.7109375" customWidth="1"/>
    <col min="2" max="2" width="45" customWidth="1"/>
    <col min="3" max="3" width="21.5703125" customWidth="1"/>
    <col min="4" max="4" width="24.28515625" customWidth="1"/>
    <col min="5" max="5" width="18" customWidth="1"/>
    <col min="13" max="13" width="40" customWidth="1"/>
    <col min="14" max="14" width="18" customWidth="1"/>
  </cols>
  <sheetData>
    <row r="1" spans="1:21" ht="15" customHeight="1" x14ac:dyDescent="0.25">
      <c r="A1" s="4" t="s">
        <v>1</v>
      </c>
      <c r="B1" s="4" t="s">
        <v>45</v>
      </c>
    </row>
    <row r="2" spans="1:21" ht="45" customHeight="1" x14ac:dyDescent="0.25">
      <c r="A2" s="117" t="s">
        <v>46</v>
      </c>
      <c r="B2" s="117" t="s">
        <v>47</v>
      </c>
      <c r="C2" s="117" t="s">
        <v>48</v>
      </c>
      <c r="D2" s="117" t="s">
        <v>49</v>
      </c>
      <c r="E2" s="117" t="s">
        <v>50</v>
      </c>
      <c r="F2" s="117" t="s">
        <v>51</v>
      </c>
      <c r="G2" s="117" t="s">
        <v>52</v>
      </c>
      <c r="H2" s="117" t="s">
        <v>53</v>
      </c>
      <c r="I2" s="117" t="s">
        <v>54</v>
      </c>
      <c r="J2" s="117" t="s">
        <v>55</v>
      </c>
      <c r="K2" s="117" t="s">
        <v>56</v>
      </c>
      <c r="L2" s="117" t="s">
        <v>57</v>
      </c>
      <c r="M2" s="117" t="s">
        <v>58</v>
      </c>
      <c r="N2" s="117" t="s">
        <v>59</v>
      </c>
      <c r="O2" s="117" t="s">
        <v>60</v>
      </c>
      <c r="P2" s="117" t="s">
        <v>61</v>
      </c>
      <c r="Q2" s="117" t="s">
        <v>62</v>
      </c>
      <c r="R2" s="117" t="s">
        <v>63</v>
      </c>
      <c r="S2" s="117" t="s">
        <v>64</v>
      </c>
      <c r="T2" s="117" t="s">
        <v>65</v>
      </c>
      <c r="U2" s="117" t="s">
        <v>66</v>
      </c>
    </row>
    <row r="3" spans="1:21" ht="28.5" customHeight="1" x14ac:dyDescent="0.25">
      <c r="A3" s="118" t="str">
        <f>'M-Bloqueo'!A3</f>
        <v>id</v>
      </c>
      <c r="B3" s="119" t="str">
        <f>'M-Bloqueo'!A2</f>
        <v>Representa un identificador que hará unico cada objeto de dominio de este tipo, no se puede repetir</v>
      </c>
      <c r="C3" s="118" t="s">
        <v>67</v>
      </c>
      <c r="D3" s="118" t="s">
        <v>68</v>
      </c>
      <c r="E3" s="118" t="s">
        <v>67</v>
      </c>
      <c r="F3" s="118" t="s">
        <v>69</v>
      </c>
      <c r="G3" s="118" t="s">
        <v>69</v>
      </c>
      <c r="H3" s="118" t="s">
        <v>69</v>
      </c>
      <c r="I3" s="118" t="s">
        <v>69</v>
      </c>
      <c r="J3" s="118" t="s">
        <v>69</v>
      </c>
      <c r="K3" s="118" t="s">
        <v>69</v>
      </c>
      <c r="L3" s="118" t="s">
        <v>69</v>
      </c>
      <c r="M3" s="118" t="s">
        <v>69</v>
      </c>
      <c r="N3" s="118" t="s">
        <v>70</v>
      </c>
      <c r="O3" s="118" t="s">
        <v>70</v>
      </c>
      <c r="P3" s="118" t="s">
        <v>69</v>
      </c>
      <c r="Q3" s="118" t="s">
        <v>70</v>
      </c>
      <c r="R3" s="118" t="s">
        <v>70</v>
      </c>
      <c r="S3" s="118" t="s">
        <v>70</v>
      </c>
      <c r="T3" s="118" t="s">
        <v>71</v>
      </c>
      <c r="U3" s="118" t="s">
        <v>67</v>
      </c>
    </row>
    <row r="4" spans="1:21" ht="15" customHeight="1" x14ac:dyDescent="0.25">
      <c r="A4" s="118" t="str">
        <f>'M-Bloqueo'!B3</f>
        <v>barbero</v>
      </c>
      <c r="B4" s="119" t="str">
        <f>'M-Bloqueo'!B2</f>
        <v>Referencia a qué barbero le pertence este bloqueo</v>
      </c>
      <c r="C4" s="118" t="s">
        <v>70</v>
      </c>
      <c r="D4" s="120" t="s">
        <v>25</v>
      </c>
      <c r="E4" s="118" t="s">
        <v>67</v>
      </c>
      <c r="F4" s="118" t="s">
        <v>69</v>
      </c>
      <c r="G4" s="118" t="s">
        <v>69</v>
      </c>
      <c r="H4" s="118" t="s">
        <v>69</v>
      </c>
      <c r="I4" s="118" t="s">
        <v>69</v>
      </c>
      <c r="J4" s="118" t="s">
        <v>69</v>
      </c>
      <c r="K4" s="118" t="s">
        <v>69</v>
      </c>
      <c r="L4" s="118" t="s">
        <v>69</v>
      </c>
      <c r="M4" s="118" t="s">
        <v>304</v>
      </c>
      <c r="N4" s="118" t="s">
        <v>70</v>
      </c>
      <c r="O4" s="118" t="s">
        <v>69</v>
      </c>
      <c r="P4" s="118" t="s">
        <v>69</v>
      </c>
      <c r="Q4" s="118" t="s">
        <v>69</v>
      </c>
      <c r="R4" s="118" t="s">
        <v>69</v>
      </c>
      <c r="S4" s="118" t="s">
        <v>70</v>
      </c>
      <c r="T4" s="118" t="s">
        <v>71</v>
      </c>
      <c r="U4" s="118" t="s">
        <v>70</v>
      </c>
    </row>
    <row r="5" spans="1:21" ht="28.5" customHeight="1" x14ac:dyDescent="0.25">
      <c r="A5" s="118" t="str">
        <f>'M-Bloqueo'!C3</f>
        <v>fechaHoraInicio</v>
      </c>
      <c r="B5" s="119" t="str">
        <f>'M-Bloqueo'!C2</f>
        <v>Representa la fecha y hora en el que el barbero empieza a no estar disponible para atender las citas</v>
      </c>
      <c r="C5" s="118" t="s">
        <v>70</v>
      </c>
      <c r="D5" s="118" t="s">
        <v>406</v>
      </c>
      <c r="E5" s="118" t="s">
        <v>67</v>
      </c>
      <c r="F5" s="118" t="s">
        <v>69</v>
      </c>
      <c r="G5" s="118" t="s">
        <v>69</v>
      </c>
      <c r="H5" s="118" t="s">
        <v>69</v>
      </c>
      <c r="I5" s="118" t="s">
        <v>69</v>
      </c>
      <c r="J5" s="118" t="s">
        <v>69</v>
      </c>
      <c r="K5" s="118" t="s">
        <v>69</v>
      </c>
      <c r="L5" s="118" t="s">
        <v>69</v>
      </c>
      <c r="M5" s="118" t="s">
        <v>69</v>
      </c>
      <c r="N5" s="118" t="s">
        <v>70</v>
      </c>
      <c r="O5" s="118" t="s">
        <v>69</v>
      </c>
      <c r="P5" s="118" t="s">
        <v>69</v>
      </c>
      <c r="Q5" s="118" t="s">
        <v>69</v>
      </c>
      <c r="R5" s="118" t="s">
        <v>69</v>
      </c>
      <c r="S5" s="118" t="s">
        <v>70</v>
      </c>
      <c r="T5" s="118" t="s">
        <v>407</v>
      </c>
      <c r="U5" s="118" t="s">
        <v>70</v>
      </c>
    </row>
    <row r="6" spans="1:21" ht="42.75" customHeight="1" x14ac:dyDescent="0.25">
      <c r="A6" s="118" t="str">
        <f>'M-Bloqueo'!D3</f>
        <v>fechaHoraFinal</v>
      </c>
      <c r="B6" s="119" t="str">
        <f>'M-Bloqueo'!D2</f>
        <v>Representa la fecha y hora en el que el barbero empieza estar disponible nuevamente para atender las citas</v>
      </c>
      <c r="C6" s="118" t="s">
        <v>70</v>
      </c>
      <c r="D6" s="118" t="s">
        <v>406</v>
      </c>
      <c r="E6" s="118" t="s">
        <v>67</v>
      </c>
      <c r="F6" s="118" t="s">
        <v>69</v>
      </c>
      <c r="G6" s="118" t="s">
        <v>69</v>
      </c>
      <c r="H6" s="118" t="s">
        <v>69</v>
      </c>
      <c r="I6" s="118" t="s">
        <v>69</v>
      </c>
      <c r="J6" s="118" t="s">
        <v>69</v>
      </c>
      <c r="K6" s="118" t="s">
        <v>69</v>
      </c>
      <c r="L6" s="118" t="s">
        <v>69</v>
      </c>
      <c r="M6" s="118" t="s">
        <v>408</v>
      </c>
      <c r="N6" s="118" t="s">
        <v>70</v>
      </c>
      <c r="O6" s="118" t="s">
        <v>69</v>
      </c>
      <c r="P6" s="118" t="s">
        <v>69</v>
      </c>
      <c r="Q6" s="118" t="s">
        <v>69</v>
      </c>
      <c r="R6" s="118" t="s">
        <v>69</v>
      </c>
      <c r="S6" s="118" t="s">
        <v>70</v>
      </c>
      <c r="T6" s="118" t="s">
        <v>407</v>
      </c>
      <c r="U6" s="118" t="s">
        <v>70</v>
      </c>
    </row>
    <row r="8" spans="1:21" ht="15" customHeight="1" x14ac:dyDescent="0.25">
      <c r="A8" s="128" t="s">
        <v>75</v>
      </c>
      <c r="B8" s="128" t="s">
        <v>76</v>
      </c>
      <c r="C8" s="128" t="s">
        <v>77</v>
      </c>
    </row>
    <row r="9" spans="1:21" ht="15" customHeight="1" x14ac:dyDescent="0.25">
      <c r="A9" s="191" t="str">
        <f>'M-Bloqueo'!E3</f>
        <v>Combinación única</v>
      </c>
      <c r="B9" s="192" t="str">
        <f>'M-Bloqueo'!E2</f>
        <v>Combinación única que indica que un mismo barbero no puede tener dos bloqueos con la misma fecha y hora de inicio y la misma fecha y hora final</v>
      </c>
      <c r="C9" s="129" t="str">
        <f>A4</f>
        <v>barbero</v>
      </c>
    </row>
    <row r="10" spans="1:21" ht="15" customHeight="1" x14ac:dyDescent="0.25">
      <c r="A10" s="191"/>
      <c r="B10" s="191"/>
      <c r="C10" s="129" t="str">
        <f>A5</f>
        <v>fechaHoraInicio</v>
      </c>
    </row>
    <row r="11" spans="1:21" ht="15" customHeight="1" x14ac:dyDescent="0.25">
      <c r="A11" s="191"/>
      <c r="B11" s="191"/>
      <c r="C11" s="129" t="str">
        <f>A6</f>
        <v>fechaHoraFinal</v>
      </c>
    </row>
    <row r="12" spans="1:21" ht="30" customHeight="1" x14ac:dyDescent="0.25"/>
  </sheetData>
  <mergeCells count="2">
    <mergeCell ref="A9:A11"/>
    <mergeCell ref="B9:B11"/>
  </mergeCells>
  <hyperlinks>
    <hyperlink ref="A1" location="'Modelo de Dominio'!A1" display="&lt;&lt;&lt;&lt; Ir al modulo de dominio" xr:uid="{00000000-0004-0000-2A00-000000000000}"/>
    <hyperlink ref="B1" location="'Objetos de Dominio'!A1" display="&lt;&lt;&lt;&lt; Ir a objetos de dominio" xr:uid="{00000000-0004-0000-2A00-000001000000}"/>
    <hyperlink ref="D4" location="'C-Barbero'!A1" display="Barbero" xr:uid="{00000000-0004-0000-2A00-000002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8"/>
  <sheetViews>
    <sheetView showGridLines="0" zoomScale="110" zoomScaleNormal="110" workbookViewId="0">
      <selection activeCell="B9" sqref="B9"/>
    </sheetView>
  </sheetViews>
  <sheetFormatPr baseColWidth="10" defaultColWidth="8.7109375" defaultRowHeight="15" x14ac:dyDescent="0.25"/>
  <cols>
    <col min="1" max="1" width="16" customWidth="1"/>
    <col min="2" max="2" width="30.85546875" bestFit="1" customWidth="1"/>
    <col min="3" max="3" width="39" bestFit="1" customWidth="1"/>
    <col min="4" max="4" width="39.85546875" bestFit="1" customWidth="1"/>
    <col min="5" max="5" width="37.5703125" bestFit="1"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Dominio'!A3</f>
        <v>Bloqueo</v>
      </c>
      <c r="C2" s="185"/>
      <c r="D2" s="185"/>
      <c r="E2" s="185"/>
    </row>
    <row r="3" spans="1:5" ht="30" customHeight="1" x14ac:dyDescent="0.25">
      <c r="A3" s="23" t="s">
        <v>84</v>
      </c>
      <c r="B3" s="186" t="str">
        <f>'Objetos de Dominio'!B3</f>
        <v>Representa los momentos en que el barbero no esta disponible para atender sus citas</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45" customHeight="1" x14ac:dyDescent="0.25">
      <c r="A6" s="8" t="s">
        <v>409</v>
      </c>
      <c r="B6" s="184" t="s">
        <v>676</v>
      </c>
      <c r="C6" s="184"/>
      <c r="D6" s="24" t="s">
        <v>33</v>
      </c>
      <c r="E6" s="24"/>
    </row>
    <row r="7" spans="1:5" ht="30" customHeight="1" x14ac:dyDescent="0.25">
      <c r="A7" s="8" t="s">
        <v>410</v>
      </c>
      <c r="B7" s="184" t="s">
        <v>677</v>
      </c>
      <c r="C7" s="184"/>
      <c r="D7" s="24" t="s">
        <v>39</v>
      </c>
      <c r="E7" s="24"/>
    </row>
    <row r="8" spans="1:5" x14ac:dyDescent="0.25">
      <c r="A8" s="8" t="s">
        <v>411</v>
      </c>
      <c r="B8" s="189" t="s">
        <v>676</v>
      </c>
      <c r="C8" s="190"/>
      <c r="D8" t="s">
        <v>33</v>
      </c>
    </row>
  </sheetData>
  <mergeCells count="9">
    <mergeCell ref="B8:C8"/>
    <mergeCell ref="B7:C7"/>
    <mergeCell ref="B2:E2"/>
    <mergeCell ref="B3:E3"/>
    <mergeCell ref="A4:A5"/>
    <mergeCell ref="B4:C5"/>
    <mergeCell ref="D4:D5"/>
    <mergeCell ref="E4:E5"/>
    <mergeCell ref="B6:C6"/>
  </mergeCells>
  <phoneticPr fontId="29" type="noConversion"/>
  <hyperlinks>
    <hyperlink ref="A1" location="'Modelo de Dominio'!A1" display="&lt;&lt; Ir al modelo de dominio" xr:uid="{00000000-0004-0000-2B00-000000000000}"/>
    <hyperlink ref="B1" location="'Objetos de Dominio'!A1" display="&lt;&lt; Ir al listado de objetos de dominio" xr:uid="{00000000-0004-0000-2B00-000001000000}"/>
    <hyperlink ref="C1" location="'C-Bloqueo'!A1" display="&lt;&lt; Ir a la caracterización del objeto de dominio" xr:uid="{00000000-0004-0000-2B00-000002000000}"/>
    <hyperlink ref="D1" location="'M-Bloqueo'!A1" display="Ir al muestreo de datos del objeto de dominio &gt;&gt;" xr:uid="{00000000-0004-0000-2B00-000003000000}"/>
    <hyperlink ref="E1" location="'E-Bloqueo'!A1" display="Ir al event storming del objeto de dominio &gt;&gt;" xr:uid="{0BF8B9CD-61E0-4023-AA7A-C1C5E3769255}"/>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12"/>
  <sheetViews>
    <sheetView showGridLines="0" tabSelected="1"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Dominio'!A3</f>
        <v>Bloqueo</v>
      </c>
      <c r="C2" s="194"/>
      <c r="D2" s="194"/>
      <c r="E2" s="194"/>
      <c r="F2" s="194"/>
      <c r="G2" s="194"/>
      <c r="H2" s="194"/>
      <c r="I2" s="194"/>
      <c r="J2" s="194"/>
      <c r="K2" s="194"/>
    </row>
    <row r="3" spans="1:11" ht="30" customHeight="1" x14ac:dyDescent="0.25">
      <c r="A3" s="23" t="s">
        <v>84</v>
      </c>
      <c r="B3" s="195" t="str">
        <f>'Objetos de Dominio'!B3</f>
        <v>Representa los momentos en que el barbero no esta disponible para atender sus citas</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205" t="s">
        <v>25</v>
      </c>
      <c r="B7" s="204" t="s">
        <v>674</v>
      </c>
      <c r="C7" s="204" t="s">
        <v>675</v>
      </c>
      <c r="D7" s="205" t="str">
        <f>$B$2</f>
        <v>Bloqueo</v>
      </c>
      <c r="E7" s="204"/>
      <c r="F7" s="204"/>
      <c r="G7" s="179" t="str">
        <f>'P-Bloqueo'!A6</f>
        <v>P-BLO-0001</v>
      </c>
      <c r="H7" s="180" t="s">
        <v>629</v>
      </c>
      <c r="I7" s="205"/>
      <c r="J7" s="204" t="s">
        <v>412</v>
      </c>
      <c r="K7" s="204"/>
    </row>
    <row r="8" spans="1:11" ht="30" customHeight="1" x14ac:dyDescent="0.25">
      <c r="A8" s="205"/>
      <c r="B8" s="205"/>
      <c r="C8" s="205"/>
      <c r="D8" s="205"/>
      <c r="E8" s="205"/>
      <c r="F8" s="205"/>
      <c r="G8" s="179" t="str">
        <f>'P-Bloqueo'!A7</f>
        <v>P-BLO-0002</v>
      </c>
      <c r="H8" s="180" t="s">
        <v>629</v>
      </c>
      <c r="I8" s="205"/>
      <c r="J8" s="205"/>
      <c r="K8" s="205"/>
    </row>
    <row r="9" spans="1:11" ht="30" customHeight="1" x14ac:dyDescent="0.25">
      <c r="A9" s="3" t="s">
        <v>25</v>
      </c>
      <c r="B9" s="33" t="s">
        <v>678</v>
      </c>
      <c r="C9" s="33" t="s">
        <v>413</v>
      </c>
      <c r="D9" s="3" t="str">
        <f>$B$2</f>
        <v>Bloqueo</v>
      </c>
      <c r="E9" s="33"/>
      <c r="F9" s="33"/>
      <c r="G9" s="3"/>
      <c r="H9" s="34"/>
      <c r="I9" s="3"/>
      <c r="J9" s="33" t="s">
        <v>414</v>
      </c>
      <c r="K9" s="33"/>
    </row>
    <row r="10" spans="1:11" ht="30" customHeight="1" x14ac:dyDescent="0.25">
      <c r="A10" s="3" t="s">
        <v>25</v>
      </c>
      <c r="B10" s="33" t="s">
        <v>679</v>
      </c>
      <c r="C10" s="33" t="s">
        <v>680</v>
      </c>
      <c r="D10" s="3" t="str">
        <f>$B$2</f>
        <v>Bloqueo</v>
      </c>
      <c r="E10" s="33"/>
      <c r="F10" s="33"/>
      <c r="G10" s="8"/>
      <c r="H10" s="8"/>
      <c r="I10" s="3"/>
      <c r="J10" s="33" t="s">
        <v>681</v>
      </c>
      <c r="K10" s="33"/>
    </row>
    <row r="11" spans="1:11" ht="40.5" x14ac:dyDescent="0.25">
      <c r="A11" s="3" t="s">
        <v>463</v>
      </c>
      <c r="B11" s="33" t="s">
        <v>682</v>
      </c>
      <c r="C11" s="33" t="s">
        <v>683</v>
      </c>
      <c r="D11" s="3" t="str">
        <f t="shared" ref="D11:D12" si="0">$B$2</f>
        <v>Bloqueo</v>
      </c>
      <c r="E11" s="33"/>
      <c r="F11" s="33"/>
      <c r="G11" s="8"/>
      <c r="H11" s="8"/>
      <c r="I11" s="3"/>
      <c r="J11" s="33" t="s">
        <v>684</v>
      </c>
      <c r="K11" s="33"/>
    </row>
    <row r="12" spans="1:11" x14ac:dyDescent="0.25">
      <c r="A12" s="3" t="s">
        <v>25</v>
      </c>
      <c r="B12" s="33"/>
      <c r="C12" s="33"/>
      <c r="D12" s="3" t="str">
        <f t="shared" si="0"/>
        <v>Bloqueo</v>
      </c>
      <c r="E12" s="33"/>
      <c r="F12" s="33"/>
      <c r="G12" s="8"/>
      <c r="H12" s="8"/>
      <c r="I12" s="3"/>
      <c r="J12" s="33"/>
      <c r="K12" s="33"/>
    </row>
  </sheetData>
  <mergeCells count="27">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2C00-000000000000}"/>
    <hyperlink ref="C1" location="'Objetos de Dominio'!A1" display="&lt;&lt; Ir al listado de objetos de dominio" xr:uid="{00000000-0004-0000-2C00-000001000000}"/>
    <hyperlink ref="F1" location="'C-Bloqueo'!A1" display="&lt;&lt; Ir a la caracterización del objeto de dominio" xr:uid="{00000000-0004-0000-2C00-000002000000}"/>
    <hyperlink ref="J1" location="'M-Bloqueo'!A1" display="Ir al muestreo de datos del objeto de dominio &gt;&gt;" xr:uid="{00000000-0004-0000-2C00-000003000000}"/>
    <hyperlink ref="G7" location="'P-Bloqueo'!A6" display="P-BLO-0001" xr:uid="{5C58FF49-A39D-4121-8181-E4B424676D60}"/>
    <hyperlink ref="H7" location="'P-Bloqueo'!B6" display="aquí" xr:uid="{1CCFA8F5-130C-46D9-8626-DCA3C59DCE4F}"/>
    <hyperlink ref="G8" location="'P-Bloqueo'!A8" display="P-BLO-0003" xr:uid="{21075FCB-F4F0-41F2-9BA6-38810202270A}"/>
    <hyperlink ref="H8" location="'P-Bloqueo'!B8" display="aquí" xr:uid="{0A8C2520-F258-4570-9447-265A30785A53}"/>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zoomScale="130" zoomScaleNormal="130" workbookViewId="0"/>
  </sheetViews>
  <sheetFormatPr baseColWidth="10" defaultColWidth="8.7109375" defaultRowHeight="15" x14ac:dyDescent="0.25"/>
  <cols>
    <col min="1" max="1" width="27" customWidth="1"/>
    <col min="2" max="2" width="26.140625" customWidth="1"/>
    <col min="3" max="3" width="24.42578125" customWidth="1"/>
    <col min="4" max="4" width="20.28515625" customWidth="1"/>
    <col min="5" max="5" width="41.42578125" customWidth="1"/>
  </cols>
  <sheetData>
    <row r="1" spans="1:5" ht="14.25" customHeight="1" x14ac:dyDescent="0.25">
      <c r="A1" s="48" t="s">
        <v>1</v>
      </c>
      <c r="B1" s="48" t="s">
        <v>45</v>
      </c>
      <c r="C1" s="4"/>
      <c r="D1" s="4"/>
    </row>
    <row r="2" spans="1:5" ht="44.25" customHeight="1" x14ac:dyDescent="0.25">
      <c r="A2" s="59" t="s">
        <v>111</v>
      </c>
      <c r="B2" s="59" t="s">
        <v>415</v>
      </c>
      <c r="C2" s="59" t="s">
        <v>416</v>
      </c>
      <c r="D2" s="59" t="s">
        <v>417</v>
      </c>
      <c r="E2" s="60" t="s">
        <v>418</v>
      </c>
    </row>
    <row r="3" spans="1:5" ht="14.25" customHeight="1" x14ac:dyDescent="0.25">
      <c r="A3" s="84" t="s">
        <v>114</v>
      </c>
      <c r="B3" s="124" t="s">
        <v>377</v>
      </c>
      <c r="C3" s="130" t="s">
        <v>419</v>
      </c>
      <c r="D3" s="130" t="s">
        <v>420</v>
      </c>
      <c r="E3" s="65" t="s">
        <v>239</v>
      </c>
    </row>
    <row r="4" spans="1:5" ht="28.5" customHeight="1" x14ac:dyDescent="0.25">
      <c r="A4" s="40">
        <v>1</v>
      </c>
      <c r="B4" s="131" t="str">
        <f>'M-Barbero'!K4</f>
        <v>+57-3245627890</v>
      </c>
      <c r="C4" s="132">
        <v>46188.5</v>
      </c>
      <c r="D4" s="132">
        <v>46188.541666666701</v>
      </c>
      <c r="E4" s="50" t="str">
        <f>_xlfn.CONCAT(B4,"-",TEXT(C4,"dd/mm/yyyy hh:mm"),"-",TEXT(D4,"dd/mm/yyyy hh:mm"))</f>
        <v>+57-3245627890-15/06/2026 12:00-15/06/2026 13:00</v>
      </c>
    </row>
    <row r="5" spans="1:5" ht="28.5" customHeight="1" x14ac:dyDescent="0.25">
      <c r="A5" s="40">
        <v>2</v>
      </c>
      <c r="B5" s="131" t="str">
        <f>'M-Barbero'!K5</f>
        <v>+57-3124518923</v>
      </c>
      <c r="C5" s="132">
        <v>46189.416666666701</v>
      </c>
      <c r="D5" s="132">
        <v>46189.4375</v>
      </c>
      <c r="E5" s="50" t="str">
        <f>_xlfn.CONCAT(B5,"-",TEXT(C5,"dd/mm/yyyy hh:mm"),"-",TEXT(D5,"dd/mm/yyyy hh:mm"))</f>
        <v>+57-3124518923-16/06/2026 10:00-16/06/2026 10:30</v>
      </c>
    </row>
    <row r="6" spans="1:5" ht="28.5" customHeight="1" x14ac:dyDescent="0.25">
      <c r="A6" s="40">
        <v>3</v>
      </c>
      <c r="B6" s="131" t="str">
        <f>'M-Barbero'!K6</f>
        <v>+57-3214533321</v>
      </c>
      <c r="C6" s="132">
        <v>46191.583333333299</v>
      </c>
      <c r="D6" s="132">
        <v>46191.625</v>
      </c>
      <c r="E6" s="50" t="str">
        <f>_xlfn.CONCAT(B6,"-",TEXT(C6,"dd/mm/yyyy hh:mm"),"-",TEXT(D6,"dd/mm/yyyy hh:mm"))</f>
        <v>+57-3214533321-18/06/2026 14:00-18/06/2026 15:00</v>
      </c>
    </row>
    <row r="7" spans="1:5" ht="28.5" customHeight="1" x14ac:dyDescent="0.25">
      <c r="A7" s="40">
        <v>4</v>
      </c>
      <c r="B7" s="131" t="str">
        <f>'M-Barbero'!K7</f>
        <v>+91-9876543210</v>
      </c>
      <c r="C7" s="132">
        <v>46193.375</v>
      </c>
      <c r="D7" s="132">
        <v>46193.395833333299</v>
      </c>
      <c r="E7" s="50" t="str">
        <f>_xlfn.CONCAT(B7,"-",TEXT(C7,"dd/mm/yyyy hh:mm"),"-",TEXT(D7,"dd/mm/yyyy hh:mm"))</f>
        <v>+91-9876543210-20/06/2026 09:00-20/06/2026 09:30</v>
      </c>
    </row>
    <row r="8" spans="1:5" ht="28.5" customHeight="1" x14ac:dyDescent="0.25">
      <c r="A8" s="40">
        <v>5</v>
      </c>
      <c r="B8" s="131" t="str">
        <f>'M-Barbero'!K7</f>
        <v>+91-9876543210</v>
      </c>
      <c r="C8" s="132">
        <v>46195.666666666701</v>
      </c>
      <c r="D8" s="132">
        <v>46195.697916666701</v>
      </c>
      <c r="E8" s="50" t="str">
        <f>_xlfn.CONCAT(B8,"-",TEXT(C8,"dd/mm/yyyy hh:mm"),"-",TEXT(D8,"dd/mm/yyyy hh:mm"))</f>
        <v>+91-9876543210-22/06/2026 16:00-22/06/2026 16:45</v>
      </c>
    </row>
    <row r="10" spans="1:5" ht="14.25" customHeight="1" x14ac:dyDescent="0.25"/>
    <row r="12" spans="1:5" ht="15" customHeight="1" x14ac:dyDescent="0.25">
      <c r="E12" s="133"/>
    </row>
    <row r="14" spans="1:5" ht="28.5" customHeight="1" x14ac:dyDescent="0.25">
      <c r="A14" s="43"/>
      <c r="B14" s="44" t="s">
        <v>124</v>
      </c>
    </row>
    <row r="15" spans="1:5" ht="28.5" customHeight="1" x14ac:dyDescent="0.25">
      <c r="A15" s="45"/>
      <c r="B15" s="44" t="s">
        <v>125</v>
      </c>
    </row>
    <row r="16" spans="1:5" ht="28.5" customHeight="1" x14ac:dyDescent="0.25">
      <c r="A16" s="69"/>
      <c r="B16" s="44" t="s">
        <v>300</v>
      </c>
    </row>
    <row r="17" spans="1:2" ht="28.5" customHeight="1" x14ac:dyDescent="0.25">
      <c r="A17" s="134"/>
      <c r="B17" s="44" t="s">
        <v>421</v>
      </c>
    </row>
    <row r="18" spans="1:2" ht="28.5" customHeight="1" x14ac:dyDescent="0.25">
      <c r="A18" s="47"/>
      <c r="B18" s="44" t="s">
        <v>127</v>
      </c>
    </row>
  </sheetData>
  <hyperlinks>
    <hyperlink ref="A1" location="'Modelo%20de%20Dominio'!A1" display="&lt;&lt;&lt;&lt; Ir al modulo de dominio" xr:uid="{00000000-0004-0000-2D00-000000000000}"/>
    <hyperlink ref="B1" location="'Objetos%20de%20Dominio'!A1" display="&lt;&lt;&lt;&lt; Ir a objetos de dominio" xr:uid="{00000000-0004-0000-2D00-000001000000}"/>
    <hyperlink ref="B3" location="'M-Barbero'!A1" display="barbero" xr:uid="{00000000-0004-0000-2D00-000002000000}"/>
    <hyperlink ref="B4" location="'M-Barbero'!A4" display="#'M-Barbero'.A4" xr:uid="{00000000-0004-0000-2D00-000003000000}"/>
    <hyperlink ref="B5" location="'M-Barbero'!A5" display="#'M-Barbero'.A5" xr:uid="{00000000-0004-0000-2D00-000004000000}"/>
    <hyperlink ref="B6" location="'M-Barbero'!A6" display="#'M-Barbero'.A6" xr:uid="{00000000-0004-0000-2D00-000005000000}"/>
    <hyperlink ref="B7" location="'M-Barbero'!A7" display="#'M-Barbero'.A7" xr:uid="{00000000-0004-0000-2D00-000006000000}"/>
    <hyperlink ref="B8" location="'M-Barbero'!A7" display="#'M-Barbero'.A7" xr:uid="{00000000-0004-0000-2D00-000007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
  <sheetViews>
    <sheetView zoomScaleNormal="100" workbookViewId="0"/>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4" t="s">
        <v>1</v>
      </c>
      <c r="B1" s="4" t="s">
        <v>45</v>
      </c>
    </row>
    <row r="2" spans="1:21" ht="15" customHeight="1" x14ac:dyDescent="0.25">
      <c r="A2" s="14" t="s">
        <v>46</v>
      </c>
      <c r="B2" s="15" t="s">
        <v>47</v>
      </c>
      <c r="C2" s="14" t="s">
        <v>48</v>
      </c>
      <c r="D2" s="14" t="s">
        <v>49</v>
      </c>
      <c r="E2" s="14" t="s">
        <v>50</v>
      </c>
      <c r="F2" s="14" t="s">
        <v>51</v>
      </c>
      <c r="G2" s="14" t="s">
        <v>52</v>
      </c>
      <c r="H2" s="14" t="s">
        <v>53</v>
      </c>
      <c r="I2" s="14" t="s">
        <v>54</v>
      </c>
      <c r="J2" s="14" t="s">
        <v>55</v>
      </c>
      <c r="K2" s="14" t="s">
        <v>56</v>
      </c>
      <c r="L2" s="14" t="s">
        <v>57</v>
      </c>
      <c r="M2" s="15" t="s">
        <v>58</v>
      </c>
      <c r="N2" s="14" t="s">
        <v>59</v>
      </c>
      <c r="O2" s="14" t="s">
        <v>60</v>
      </c>
      <c r="P2" s="14" t="s">
        <v>61</v>
      </c>
      <c r="Q2" s="14" t="s">
        <v>62</v>
      </c>
      <c r="R2" s="14" t="s">
        <v>63</v>
      </c>
      <c r="S2" s="14" t="s">
        <v>64</v>
      </c>
      <c r="T2" s="14" t="s">
        <v>65</v>
      </c>
      <c r="U2" s="14" t="s">
        <v>66</v>
      </c>
    </row>
    <row r="3" spans="1:21" ht="45" customHeight="1" x14ac:dyDescent="0.25">
      <c r="A3" s="16" t="str">
        <f>'M-DiaSemana'!A3</f>
        <v>id</v>
      </c>
      <c r="B3" s="17" t="str">
        <f>'M-DiaSemana'!A2</f>
        <v>Representa un identificador que hará unico cada objeto de dominio de este tipo, no se puede repetir</v>
      </c>
      <c r="C3" s="16" t="s">
        <v>67</v>
      </c>
      <c r="D3" s="16" t="s">
        <v>68</v>
      </c>
      <c r="E3" s="16" t="s">
        <v>67</v>
      </c>
      <c r="F3" s="16" t="s">
        <v>69</v>
      </c>
      <c r="G3" s="16" t="s">
        <v>69</v>
      </c>
      <c r="H3" s="16" t="s">
        <v>69</v>
      </c>
      <c r="I3" s="16" t="s">
        <v>69</v>
      </c>
      <c r="J3" s="16" t="s">
        <v>69</v>
      </c>
      <c r="K3" s="16" t="s">
        <v>69</v>
      </c>
      <c r="L3" s="16" t="s">
        <v>69</v>
      </c>
      <c r="M3" s="16" t="s">
        <v>69</v>
      </c>
      <c r="N3" s="16" t="s">
        <v>70</v>
      </c>
      <c r="O3" s="16" t="s">
        <v>69</v>
      </c>
      <c r="P3" s="16" t="s">
        <v>69</v>
      </c>
      <c r="Q3" s="16" t="s">
        <v>69</v>
      </c>
      <c r="R3" s="16" t="s">
        <v>69</v>
      </c>
      <c r="S3" s="16" t="s">
        <v>70</v>
      </c>
      <c r="T3" s="16" t="s">
        <v>71</v>
      </c>
      <c r="U3" s="16" t="s">
        <v>67</v>
      </c>
    </row>
    <row r="4" spans="1:21" ht="45" customHeight="1" x14ac:dyDescent="0.25">
      <c r="A4" s="16" t="str">
        <f>'M-DiaSemana'!B3</f>
        <v>nombre</v>
      </c>
      <c r="B4" s="17" t="str">
        <f>'M-DiaSemana'!B2</f>
        <v>Representa como se llama el dia de la semana, para los horarios</v>
      </c>
      <c r="C4" s="16" t="s">
        <v>70</v>
      </c>
      <c r="D4" s="16" t="s">
        <v>72</v>
      </c>
      <c r="E4" s="16" t="s">
        <v>67</v>
      </c>
      <c r="F4" s="16">
        <v>5</v>
      </c>
      <c r="G4" s="16">
        <v>9</v>
      </c>
      <c r="H4" s="16" t="s">
        <v>69</v>
      </c>
      <c r="I4" s="16" t="s">
        <v>69</v>
      </c>
      <c r="J4" s="16" t="s">
        <v>69</v>
      </c>
      <c r="K4" s="16" t="s">
        <v>69</v>
      </c>
      <c r="L4" s="16" t="s">
        <v>69</v>
      </c>
      <c r="M4" s="17" t="s">
        <v>73</v>
      </c>
      <c r="N4" s="16" t="s">
        <v>70</v>
      </c>
      <c r="O4" s="16" t="s">
        <v>69</v>
      </c>
      <c r="P4" s="16" t="s">
        <v>69</v>
      </c>
      <c r="Q4" s="16" t="s">
        <v>67</v>
      </c>
      <c r="R4" s="16" t="s">
        <v>67</v>
      </c>
      <c r="S4" s="16" t="s">
        <v>70</v>
      </c>
      <c r="T4" s="16" t="s">
        <v>74</v>
      </c>
      <c r="U4" s="16" t="s">
        <v>70</v>
      </c>
    </row>
    <row r="6" spans="1:21" ht="15" customHeight="1" x14ac:dyDescent="0.25">
      <c r="A6" s="18" t="s">
        <v>75</v>
      </c>
      <c r="B6" s="18" t="s">
        <v>76</v>
      </c>
      <c r="C6" s="18" t="s">
        <v>77</v>
      </c>
    </row>
    <row r="7" spans="1:21" ht="45" customHeight="1" x14ac:dyDescent="0.25">
      <c r="A7" s="19" t="str">
        <f>'M-DiaSemana'!C3</f>
        <v xml:space="preserve">Combinación única </v>
      </c>
      <c r="B7" s="20" t="str">
        <f>'M-DiaSemana'!C2</f>
        <v>Combinacion única que indica que no puede existir más un dia de la semana con el mismo nombre</v>
      </c>
      <c r="C7" s="21" t="s">
        <v>78</v>
      </c>
    </row>
  </sheetData>
  <hyperlinks>
    <hyperlink ref="A1" location="'Modelo de Dominio'!A1" display="&lt;&lt;&lt;&lt; Ir al modulo de dominio" xr:uid="{00000000-0004-0000-0200-000000000000}"/>
    <hyperlink ref="B1" location="'Objetos de Dominio'!A1" display="&lt;&lt;&lt;&lt; Ir a objetos de dominio" xr:uid="{00000000-0004-0000-0200-000001000000}"/>
    <hyperlink ref="A3" location="'M-DiaSemana'!A3" display="#'M-DiaSemana'.A3" xr:uid="{00000000-0004-0000-0200-000002000000}"/>
    <hyperlink ref="B3" location="'M-DiaSemana'!A2" display="#'M-DiaSemana'.A2" xr:uid="{00000000-0004-0000-0200-000003000000}"/>
    <hyperlink ref="A4" location="'M-DiaSemana'!A3" display="#'M-DiaSemana'.A3" xr:uid="{00000000-0004-0000-0200-000004000000}"/>
    <hyperlink ref="B4" location="'M-DiaSemana'!A2" display="#'M-DiaSemana'.A2" xr:uid="{00000000-0004-0000-0200-000005000000}"/>
    <hyperlink ref="A7" location="'M-DiaSemana'!A3" display="#'M-DiaSemana'.A3" xr:uid="{00000000-0004-0000-0200-000006000000}"/>
    <hyperlink ref="B7" location="'M-DiaSemana'!A2" display="#'M-DiaSemana'.A2" xr:uid="{00000000-0004-0000-0200-000007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showGridLines="0" zoomScaleNormal="100" workbookViewId="0">
      <selection activeCell="E1" sqref="E1"/>
    </sheetView>
  </sheetViews>
  <sheetFormatPr baseColWidth="10" defaultColWidth="8.7109375" defaultRowHeight="15" x14ac:dyDescent="0.25"/>
  <cols>
    <col min="1" max="1" width="20.7109375" bestFit="1" customWidth="1"/>
    <col min="2" max="2" width="29.140625" bestFit="1" customWidth="1"/>
    <col min="3" max="3" width="36.28515625" bestFit="1" customWidth="1"/>
    <col min="4" max="4" width="37.7109375" bestFit="1" customWidth="1"/>
    <col min="5" max="5" width="36.7109375" bestFit="1" customWidth="1"/>
  </cols>
  <sheetData>
    <row r="1" spans="1:5" ht="15" customHeight="1" x14ac:dyDescent="0.25">
      <c r="A1" s="1" t="s">
        <v>79</v>
      </c>
      <c r="B1" s="1" t="s">
        <v>80</v>
      </c>
      <c r="C1" s="1" t="s">
        <v>81</v>
      </c>
      <c r="D1" s="1" t="s">
        <v>82</v>
      </c>
      <c r="E1" s="174" t="s">
        <v>628</v>
      </c>
    </row>
    <row r="2" spans="1:5" ht="15" customHeight="1" x14ac:dyDescent="0.25">
      <c r="A2" s="22" t="s">
        <v>83</v>
      </c>
      <c r="B2" s="185" t="str">
        <f>'Objetos de Dominio'!A4</f>
        <v>DiaSemana</v>
      </c>
      <c r="C2" s="185"/>
      <c r="D2" s="185"/>
      <c r="E2" s="185"/>
    </row>
    <row r="3" spans="1:5" ht="30" customHeight="1" x14ac:dyDescent="0.25">
      <c r="A3" s="23" t="s">
        <v>84</v>
      </c>
      <c r="B3" s="186" t="str">
        <f>'Objetos de Dominio'!B4</f>
        <v>Representa cada uno de los días de la semana, incluyendo festivo, que se usa como catálogo para definir los horarios de la barbería y de cada barbero</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30" customHeight="1" x14ac:dyDescent="0.25">
      <c r="A6" s="8"/>
      <c r="B6" s="205" t="s">
        <v>89</v>
      </c>
      <c r="C6" s="205"/>
      <c r="D6" s="24"/>
      <c r="E6" s="24"/>
    </row>
    <row r="10" spans="1:5" ht="14.25" customHeight="1" x14ac:dyDescent="0.25">
      <c r="B10" s="25"/>
      <c r="C10" s="206"/>
      <c r="D10" s="206"/>
      <c r="E10" s="206"/>
    </row>
    <row r="11" spans="1:5" ht="14.25" customHeight="1" x14ac:dyDescent="0.25">
      <c r="B11" s="25"/>
      <c r="C11" s="207"/>
      <c r="D11" s="207"/>
      <c r="E11" s="207"/>
    </row>
    <row r="12" spans="1:5" ht="14.25" customHeight="1" x14ac:dyDescent="0.25">
      <c r="B12" s="208"/>
      <c r="C12" s="209"/>
      <c r="D12" s="209"/>
      <c r="E12" s="209"/>
    </row>
    <row r="13" spans="1:5" ht="14.25" customHeight="1" x14ac:dyDescent="0.25">
      <c r="B13" s="208"/>
      <c r="C13" s="208"/>
      <c r="D13" s="209"/>
      <c r="E13" s="209"/>
    </row>
  </sheetData>
  <mergeCells count="12">
    <mergeCell ref="B6:C6"/>
    <mergeCell ref="C10:E10"/>
    <mergeCell ref="C11:E11"/>
    <mergeCell ref="B12:B13"/>
    <mergeCell ref="C12:D13"/>
    <mergeCell ref="E12:E13"/>
    <mergeCell ref="B2:E2"/>
    <mergeCell ref="B3:E3"/>
    <mergeCell ref="A4:A5"/>
    <mergeCell ref="B4:C5"/>
    <mergeCell ref="D4:D5"/>
    <mergeCell ref="E4:E5"/>
  </mergeCells>
  <hyperlinks>
    <hyperlink ref="A1" location="'Modelo de Dominio'!A1" display="&lt;&lt; Ir al modelo de dominio" xr:uid="{00000000-0004-0000-0300-000000000000}"/>
    <hyperlink ref="B1" location="'Objetos de Dominio'!A1" display="&lt;&lt; Ir al listado de objetos de dominio" xr:uid="{00000000-0004-0000-0300-000001000000}"/>
    <hyperlink ref="C1" location="'C-DiaSemana'!A1" display="&lt;&lt; Ir a la caracterización del objeto de dominio" xr:uid="{00000000-0004-0000-0300-000002000000}"/>
    <hyperlink ref="D1" location="'M-DiaSemana'!A1" display="Ir al muestreo de datos del objeto de dominio &gt;&gt;" xr:uid="{00000000-0004-0000-0300-000003000000}"/>
    <hyperlink ref="E1" location="'E-DiaSemana'!A1" display="Ir al event storming del objeto de dominio &gt;&gt;" xr:uid="{7BBCB4E0-BA4D-4A97-B7D9-E9431D8AFA1A}"/>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Dominio'!A4</f>
        <v>DiaSemana</v>
      </c>
      <c r="C2" s="194"/>
      <c r="D2" s="194"/>
      <c r="E2" s="194"/>
      <c r="F2" s="194"/>
      <c r="G2" s="194"/>
      <c r="H2" s="194"/>
      <c r="I2" s="194"/>
      <c r="J2" s="194"/>
      <c r="K2" s="194"/>
    </row>
    <row r="3" spans="1:11" ht="30" customHeight="1" x14ac:dyDescent="0.25">
      <c r="A3" s="23" t="s">
        <v>84</v>
      </c>
      <c r="B3" s="195" t="str">
        <f>'Objetos de Dominio'!B4</f>
        <v>Representa cada uno de los días de la semana, incluyendo festivo, que se usa como catálogo para definir los horarios de la barbería y de cada barbero</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3" t="s">
        <v>107</v>
      </c>
      <c r="B7" s="33" t="s">
        <v>108</v>
      </c>
      <c r="C7" s="33" t="s">
        <v>109</v>
      </c>
      <c r="D7" s="3" t="str">
        <f>$B$2</f>
        <v>DiaSemana</v>
      </c>
      <c r="E7" s="33"/>
      <c r="F7" s="33"/>
      <c r="G7" s="3"/>
      <c r="H7" s="34"/>
      <c r="I7" s="3"/>
      <c r="J7" s="33" t="s">
        <v>110</v>
      </c>
      <c r="K7" s="33"/>
    </row>
    <row r="8" spans="1:11" ht="30" customHeight="1" x14ac:dyDescent="0.25">
      <c r="A8" s="3" t="s">
        <v>25</v>
      </c>
      <c r="B8" s="33" t="s">
        <v>108</v>
      </c>
      <c r="C8" s="33" t="s">
        <v>109</v>
      </c>
      <c r="D8" s="3" t="str">
        <f>$B$2</f>
        <v>DiaSemana</v>
      </c>
      <c r="E8" s="33"/>
      <c r="F8" s="33"/>
      <c r="G8" s="3"/>
      <c r="H8" s="34"/>
      <c r="I8" s="3"/>
      <c r="J8" s="33" t="s">
        <v>110</v>
      </c>
      <c r="K8" s="33"/>
    </row>
    <row r="13" spans="1:11" ht="14.25" customHeight="1" x14ac:dyDescent="0.25">
      <c r="I13" s="2"/>
    </row>
    <row r="14" spans="1:11" ht="14.25" customHeight="1" x14ac:dyDescent="0.25">
      <c r="I14" s="208"/>
    </row>
    <row r="15" spans="1:11" ht="14.25" customHeight="1" x14ac:dyDescent="0.25">
      <c r="I15" s="208"/>
    </row>
  </sheetData>
  <mergeCells count="19">
    <mergeCell ref="I14:I15"/>
    <mergeCell ref="B3:K3"/>
    <mergeCell ref="B4:C4"/>
    <mergeCell ref="E4:F4"/>
    <mergeCell ref="G4:H4"/>
    <mergeCell ref="G5:H5"/>
    <mergeCell ref="I5:I6"/>
    <mergeCell ref="J5:J6"/>
    <mergeCell ref="K5:K6"/>
    <mergeCell ref="A5:A6"/>
    <mergeCell ref="B5:B6"/>
    <mergeCell ref="C5:C6"/>
    <mergeCell ref="D5:D6"/>
    <mergeCell ref="E5:F5"/>
    <mergeCell ref="A1:B1"/>
    <mergeCell ref="C1:E1"/>
    <mergeCell ref="F1:I1"/>
    <mergeCell ref="J1:K1"/>
    <mergeCell ref="B2:K2"/>
  </mergeCells>
  <hyperlinks>
    <hyperlink ref="A1" location="'Modelo de Dominio'!A1" display="&lt;&lt; Ir al modelo de dominio" xr:uid="{00000000-0004-0000-0400-000000000000}"/>
    <hyperlink ref="C1" location="'Objetos de Dominio'!A1" display="&lt;&lt; Ir al listado de objetos de dominio" xr:uid="{00000000-0004-0000-0400-000001000000}"/>
    <hyperlink ref="F1" location="'C-DiaSemana'!A1" display="&lt;&lt; Ir a la caracterización del objeto de dominio" xr:uid="{00000000-0004-0000-0400-000002000000}"/>
    <hyperlink ref="J1" location="'M-DiaSemana'!A1" display="Ir al muestreo de datos del objeto de dominio &gt;&gt;" xr:uid="{00000000-0004-0000-0400-000003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zoomScaleNormal="100" workbookViewId="0"/>
  </sheetViews>
  <sheetFormatPr baseColWidth="10" defaultColWidth="8.7109375" defaultRowHeight="15" x14ac:dyDescent="0.25"/>
  <cols>
    <col min="1" max="1" width="27" customWidth="1"/>
    <col min="2" max="2" width="26.140625" customWidth="1"/>
    <col min="3" max="3" width="21.7109375" customWidth="1"/>
  </cols>
  <sheetData>
    <row r="1" spans="1:3" ht="14.25" customHeight="1" x14ac:dyDescent="0.25">
      <c r="A1" s="4" t="s">
        <v>1</v>
      </c>
      <c r="B1" s="4" t="s">
        <v>45</v>
      </c>
    </row>
    <row r="2" spans="1:3" ht="32.25" customHeight="1" x14ac:dyDescent="0.25">
      <c r="A2" s="35" t="s">
        <v>111</v>
      </c>
      <c r="B2" s="35" t="s">
        <v>112</v>
      </c>
      <c r="C2" s="36" t="s">
        <v>113</v>
      </c>
    </row>
    <row r="3" spans="1:3" ht="14.25" customHeight="1" x14ac:dyDescent="0.25">
      <c r="A3" s="37" t="s">
        <v>114</v>
      </c>
      <c r="B3" s="38" t="s">
        <v>78</v>
      </c>
      <c r="C3" s="39" t="s">
        <v>115</v>
      </c>
    </row>
    <row r="4" spans="1:3" ht="14.25" customHeight="1" x14ac:dyDescent="0.25">
      <c r="A4" s="40">
        <v>1</v>
      </c>
      <c r="B4" s="41" t="s">
        <v>116</v>
      </c>
      <c r="C4" s="41" t="str">
        <f t="shared" ref="C4:C11" si="0">B4</f>
        <v>Lunes</v>
      </c>
    </row>
    <row r="5" spans="1:3" ht="14.25" customHeight="1" x14ac:dyDescent="0.25">
      <c r="A5" s="40">
        <v>2</v>
      </c>
      <c r="B5" s="40" t="s">
        <v>117</v>
      </c>
      <c r="C5" s="41" t="str">
        <f t="shared" si="0"/>
        <v>Martes</v>
      </c>
    </row>
    <row r="6" spans="1:3" ht="14.25" customHeight="1" x14ac:dyDescent="0.25">
      <c r="A6" s="40">
        <v>3</v>
      </c>
      <c r="B6" s="41" t="s">
        <v>118</v>
      </c>
      <c r="C6" s="41" t="str">
        <f t="shared" si="0"/>
        <v>Miércoles</v>
      </c>
    </row>
    <row r="7" spans="1:3" ht="14.25" customHeight="1" x14ac:dyDescent="0.25">
      <c r="A7" s="40">
        <v>4</v>
      </c>
      <c r="B7" s="40" t="s">
        <v>119</v>
      </c>
      <c r="C7" s="41" t="str">
        <f t="shared" si="0"/>
        <v>Jueves</v>
      </c>
    </row>
    <row r="8" spans="1:3" ht="14.25" customHeight="1" x14ac:dyDescent="0.25">
      <c r="A8" s="40">
        <v>5</v>
      </c>
      <c r="B8" s="41" t="s">
        <v>120</v>
      </c>
      <c r="C8" s="41" t="str">
        <f t="shared" si="0"/>
        <v>Viernes</v>
      </c>
    </row>
    <row r="9" spans="1:3" ht="14.25" customHeight="1" x14ac:dyDescent="0.25">
      <c r="A9" s="40">
        <v>6</v>
      </c>
      <c r="B9" s="40" t="s">
        <v>121</v>
      </c>
      <c r="C9" s="41" t="str">
        <f t="shared" si="0"/>
        <v>Sábado</v>
      </c>
    </row>
    <row r="10" spans="1:3" ht="14.25" customHeight="1" x14ac:dyDescent="0.25">
      <c r="A10" s="40">
        <v>7</v>
      </c>
      <c r="B10" s="41" t="s">
        <v>122</v>
      </c>
      <c r="C10" s="41" t="str">
        <f t="shared" si="0"/>
        <v>Domingo</v>
      </c>
    </row>
    <row r="11" spans="1:3" ht="14.25" customHeight="1" x14ac:dyDescent="0.25">
      <c r="A11" s="40">
        <v>8</v>
      </c>
      <c r="B11" s="40" t="s">
        <v>123</v>
      </c>
      <c r="C11" s="41" t="str">
        <f t="shared" si="0"/>
        <v>Festivo</v>
      </c>
    </row>
    <row r="12" spans="1:3" ht="14.25" customHeight="1" x14ac:dyDescent="0.25">
      <c r="A12" s="42"/>
      <c r="B12" s="42"/>
    </row>
    <row r="13" spans="1:3" ht="14.25" customHeight="1" x14ac:dyDescent="0.25">
      <c r="A13" s="42"/>
      <c r="B13" s="42"/>
    </row>
    <row r="14" spans="1:3" ht="14.25" customHeight="1" x14ac:dyDescent="0.25">
      <c r="A14" s="42"/>
      <c r="B14" s="42"/>
    </row>
    <row r="15" spans="1:3" ht="14.25" customHeight="1" x14ac:dyDescent="0.25">
      <c r="A15" s="42"/>
      <c r="B15" s="42"/>
    </row>
    <row r="17" spans="1:2" ht="28.5" customHeight="1" x14ac:dyDescent="0.25">
      <c r="A17" s="43"/>
      <c r="B17" s="44" t="s">
        <v>124</v>
      </c>
    </row>
    <row r="18" spans="1:2" ht="28.5" customHeight="1" x14ac:dyDescent="0.25">
      <c r="A18" s="45"/>
      <c r="B18" s="44" t="s">
        <v>125</v>
      </c>
    </row>
    <row r="19" spans="1:2" ht="28.5" customHeight="1" x14ac:dyDescent="0.25">
      <c r="A19" s="46"/>
      <c r="B19" s="44" t="s">
        <v>126</v>
      </c>
    </row>
    <row r="20" spans="1:2" ht="28.5" customHeight="1" x14ac:dyDescent="0.25">
      <c r="A20" s="47"/>
      <c r="B20" s="44" t="s">
        <v>127</v>
      </c>
    </row>
  </sheetData>
  <hyperlinks>
    <hyperlink ref="A1" location="'Modelo de Dominio'!A1" display="&lt;&lt;&lt;&lt; Ir al modulo de dominio" xr:uid="{00000000-0004-0000-0500-000000000000}"/>
    <hyperlink ref="B1" location="'Objetos de Dominio'!A1" display="&lt;&lt;&lt;&lt; Ir a objetos de dominio" xr:uid="{00000000-0004-0000-0500-000001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
  <sheetViews>
    <sheetView zoomScaleNormal="100" workbookViewId="0"/>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4" t="s">
        <v>1</v>
      </c>
      <c r="B1" s="4" t="s">
        <v>45</v>
      </c>
    </row>
    <row r="2" spans="1:21" ht="15" customHeight="1" x14ac:dyDescent="0.25">
      <c r="A2" s="14" t="s">
        <v>46</v>
      </c>
      <c r="B2" s="15" t="s">
        <v>47</v>
      </c>
      <c r="C2" s="14" t="s">
        <v>48</v>
      </c>
      <c r="D2" s="14" t="s">
        <v>49</v>
      </c>
      <c r="E2" s="14" t="s">
        <v>50</v>
      </c>
      <c r="F2" s="14" t="s">
        <v>51</v>
      </c>
      <c r="G2" s="14" t="s">
        <v>52</v>
      </c>
      <c r="H2" s="14" t="s">
        <v>53</v>
      </c>
      <c r="I2" s="14" t="s">
        <v>54</v>
      </c>
      <c r="J2" s="14" t="s">
        <v>55</v>
      </c>
      <c r="K2" s="14" t="s">
        <v>56</v>
      </c>
      <c r="L2" s="14" t="s">
        <v>57</v>
      </c>
      <c r="M2" s="15" t="s">
        <v>58</v>
      </c>
      <c r="N2" s="14" t="s">
        <v>59</v>
      </c>
      <c r="O2" s="14" t="s">
        <v>60</v>
      </c>
      <c r="P2" s="14" t="s">
        <v>61</v>
      </c>
      <c r="Q2" s="14" t="s">
        <v>62</v>
      </c>
      <c r="R2" s="14" t="s">
        <v>63</v>
      </c>
      <c r="S2" s="14" t="s">
        <v>64</v>
      </c>
      <c r="T2" s="14" t="s">
        <v>65</v>
      </c>
      <c r="U2" s="14" t="s">
        <v>66</v>
      </c>
    </row>
    <row r="3" spans="1:21" ht="45" customHeight="1" x14ac:dyDescent="0.25">
      <c r="A3" s="16" t="str">
        <f>'M-Estado'!A3</f>
        <v>id</v>
      </c>
      <c r="B3" s="17" t="str">
        <f>'M-Estado'!A2</f>
        <v>Representa un identificador que hará unico cada objeto de dominio de este tipo, no se puede repetir</v>
      </c>
      <c r="C3" s="16" t="s">
        <v>67</v>
      </c>
      <c r="D3" s="16" t="s">
        <v>68</v>
      </c>
      <c r="E3" s="16" t="s">
        <v>67</v>
      </c>
      <c r="F3" s="16" t="s">
        <v>69</v>
      </c>
      <c r="G3" s="16" t="s">
        <v>69</v>
      </c>
      <c r="H3" s="16" t="s">
        <v>69</v>
      </c>
      <c r="I3" s="16" t="s">
        <v>69</v>
      </c>
      <c r="J3" s="16" t="s">
        <v>69</v>
      </c>
      <c r="K3" s="16" t="s">
        <v>69</v>
      </c>
      <c r="L3" s="16" t="s">
        <v>69</v>
      </c>
      <c r="M3" s="16" t="s">
        <v>69</v>
      </c>
      <c r="N3" s="16" t="s">
        <v>70</v>
      </c>
      <c r="O3" s="16" t="s">
        <v>69</v>
      </c>
      <c r="P3" s="16" t="s">
        <v>69</v>
      </c>
      <c r="Q3" s="16" t="s">
        <v>69</v>
      </c>
      <c r="R3" s="16" t="s">
        <v>69</v>
      </c>
      <c r="S3" s="16" t="s">
        <v>69</v>
      </c>
      <c r="T3" s="16" t="s">
        <v>71</v>
      </c>
      <c r="U3" s="16" t="s">
        <v>67</v>
      </c>
    </row>
    <row r="4" spans="1:21" ht="45" customHeight="1" x14ac:dyDescent="0.25">
      <c r="A4" s="16" t="str">
        <f>'M-Estado'!B3</f>
        <v>nombre</v>
      </c>
      <c r="B4" s="17" t="str">
        <f>'M-Estado'!B2</f>
        <v>Representa como se llama el estado en el que se encuentra una cita puntual</v>
      </c>
      <c r="C4" s="16" t="s">
        <v>70</v>
      </c>
      <c r="D4" s="16" t="s">
        <v>72</v>
      </c>
      <c r="E4" s="16" t="s">
        <v>67</v>
      </c>
      <c r="F4" s="16">
        <v>4</v>
      </c>
      <c r="G4" s="16">
        <v>50</v>
      </c>
      <c r="H4" s="16" t="s">
        <v>69</v>
      </c>
      <c r="I4" s="16" t="s">
        <v>69</v>
      </c>
      <c r="J4" s="16" t="s">
        <v>69</v>
      </c>
      <c r="K4" s="16" t="s">
        <v>69</v>
      </c>
      <c r="L4" s="16" t="s">
        <v>69</v>
      </c>
      <c r="M4" s="17" t="s">
        <v>128</v>
      </c>
      <c r="N4" s="16" t="s">
        <v>70</v>
      </c>
      <c r="O4" s="16" t="s">
        <v>69</v>
      </c>
      <c r="P4" s="16" t="s">
        <v>69</v>
      </c>
      <c r="Q4" s="16" t="s">
        <v>67</v>
      </c>
      <c r="R4" s="16" t="s">
        <v>67</v>
      </c>
      <c r="S4" s="16" t="s">
        <v>70</v>
      </c>
      <c r="T4" s="16" t="s">
        <v>74</v>
      </c>
      <c r="U4" s="16" t="s">
        <v>70</v>
      </c>
    </row>
    <row r="5" spans="1:21" ht="60" customHeight="1" x14ac:dyDescent="0.25">
      <c r="A5" s="16" t="str">
        <f>'M-Estado'!C3</f>
        <v>descripcion</v>
      </c>
      <c r="B5" s="17" t="str">
        <f>'M-Estado'!C2</f>
        <v>Representa el significado de que representa cada estado para la cita</v>
      </c>
      <c r="C5" s="16" t="s">
        <v>70</v>
      </c>
      <c r="D5" s="16" t="s">
        <v>72</v>
      </c>
      <c r="E5" s="16" t="s">
        <v>67</v>
      </c>
      <c r="F5" s="16">
        <v>10</v>
      </c>
      <c r="G5" s="16">
        <v>300</v>
      </c>
      <c r="H5" s="16" t="s">
        <v>69</v>
      </c>
      <c r="I5" s="16" t="s">
        <v>69</v>
      </c>
      <c r="J5" s="16" t="s">
        <v>69</v>
      </c>
      <c r="K5" s="16" t="s">
        <v>69</v>
      </c>
      <c r="L5" s="16" t="s">
        <v>69</v>
      </c>
      <c r="M5" s="17" t="s">
        <v>129</v>
      </c>
      <c r="N5" s="16" t="s">
        <v>70</v>
      </c>
      <c r="O5" s="16" t="s">
        <v>69</v>
      </c>
      <c r="P5" s="16" t="s">
        <v>69</v>
      </c>
      <c r="Q5" s="16" t="s">
        <v>67</v>
      </c>
      <c r="R5" s="16" t="s">
        <v>67</v>
      </c>
      <c r="S5" s="16" t="s">
        <v>70</v>
      </c>
      <c r="T5" s="16" t="s">
        <v>74</v>
      </c>
      <c r="U5" s="16" t="s">
        <v>70</v>
      </c>
    </row>
    <row r="7" spans="1:21" ht="15" customHeight="1" x14ac:dyDescent="0.25">
      <c r="A7" s="18" t="s">
        <v>75</v>
      </c>
      <c r="B7" s="18" t="s">
        <v>76</v>
      </c>
      <c r="C7" s="18" t="s">
        <v>77</v>
      </c>
    </row>
    <row r="8" spans="1:21" ht="45" customHeight="1" x14ac:dyDescent="0.25">
      <c r="A8" s="19" t="str">
        <f>'M-Estado'!D3</f>
        <v xml:space="preserve">Combinación única </v>
      </c>
      <c r="B8" s="20" t="str">
        <f>'M-Estado'!D2</f>
        <v>Combinacion única que indica que no puede existir más un dia de la semana con el mismo nombre</v>
      </c>
      <c r="C8" s="21" t="s">
        <v>78</v>
      </c>
    </row>
  </sheetData>
  <hyperlinks>
    <hyperlink ref="A1" location="'Modelo de Dominio'!A1" display="&lt;&lt;&lt;&lt; Ir al modulo de dominio" xr:uid="{00000000-0004-0000-0600-000000000000}"/>
    <hyperlink ref="B1" location="'Objetos de Dominio'!A1" display="&lt;&lt;&lt;&lt; Ir a objetos de dominio" xr:uid="{00000000-0004-0000-0600-000001000000}"/>
    <hyperlink ref="A3" location="'M-Estado'!A3" display="#'M-Estado'.A3" xr:uid="{00000000-0004-0000-0600-000002000000}"/>
    <hyperlink ref="B3" location="'M-Estado'!A2" display="#'M-Estado'.A2" xr:uid="{00000000-0004-0000-0600-000003000000}"/>
    <hyperlink ref="A4" location="'M-Estado'!A3" display="#'M-Estado'.A3" xr:uid="{00000000-0004-0000-0600-000004000000}"/>
    <hyperlink ref="B4" location="'M-Estado'!A2" display="#'M-Estado'.A2" xr:uid="{00000000-0004-0000-0600-000005000000}"/>
    <hyperlink ref="A5" location="'M-Estado'!A3" display="#'M-Estado'.A3" xr:uid="{00000000-0004-0000-0600-000006000000}"/>
    <hyperlink ref="B5" location="'M-Estado'!A2" display="#'M-Estado'.A2" xr:uid="{00000000-0004-0000-0600-000007000000}"/>
    <hyperlink ref="A8" location="'M-Estado'!A3" display="#'M-Estado'.A3" xr:uid="{00000000-0004-0000-0600-000008000000}"/>
    <hyperlink ref="B8" location="'M-Estado'!A2" display="#'M-Estado'.A2" xr:uid="{00000000-0004-0000-0600-000009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showGridLines="0" zoomScaleNormal="100" workbookViewId="0">
      <selection activeCell="E1" sqref="E1"/>
    </sheetView>
  </sheetViews>
  <sheetFormatPr baseColWidth="10" defaultColWidth="8.7109375" defaultRowHeight="15" x14ac:dyDescent="0.25"/>
  <cols>
    <col min="1" max="1" width="16" customWidth="1"/>
    <col min="2" max="2" width="29.140625" bestFit="1" customWidth="1"/>
    <col min="3" max="3" width="36.28515625" bestFit="1" customWidth="1"/>
    <col min="4" max="5" width="20"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Dominio'!A5</f>
        <v>Estado</v>
      </c>
      <c r="C2" s="185"/>
      <c r="D2" s="185"/>
      <c r="E2" s="185"/>
    </row>
    <row r="3" spans="1:5" ht="30" customHeight="1" x14ac:dyDescent="0.25">
      <c r="A3" s="23" t="s">
        <v>84</v>
      </c>
      <c r="B3" s="186" t="str">
        <f>'Objetos de Dominio'!B5</f>
        <v>Representa en qué situación puntual se encuentra una cita: agendada, finalizada, cancelada por alguna de las partes, con tardanza del cliente o del barbero, o con inasistencia del cliente</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30" customHeight="1" x14ac:dyDescent="0.25">
      <c r="A6" s="8" t="s">
        <v>130</v>
      </c>
      <c r="B6" s="205" t="s">
        <v>626</v>
      </c>
      <c r="C6" s="205"/>
      <c r="D6" s="24" t="s">
        <v>15</v>
      </c>
      <c r="E6" s="24"/>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0700-000000000000}"/>
    <hyperlink ref="B1" location="'Objetos de Dominio'!A1" display="&lt;&lt; Ir al listado de objetos de dominio" xr:uid="{00000000-0004-0000-0700-000001000000}"/>
    <hyperlink ref="C1" location="'C-Estado'!A1" display="&lt;&lt; Ir a la caracterización del objeto de dominio" xr:uid="{00000000-0004-0000-0700-000002000000}"/>
    <hyperlink ref="D1" location="'M-Estado'!A1" display="Ir al muestreo de datos del objeto de dominio &gt;&gt;" xr:uid="{00000000-0004-0000-0700-000003000000}"/>
    <hyperlink ref="E1" location="'E-Estado'!A1" display="Ir al event storming del objeto de dominio &gt;&gt;" xr:uid="{79ADB99D-624F-4D20-9164-CB64025FA461}"/>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
  <sheetViews>
    <sheetView showGridLines="0" zoomScaleNormal="100" workbookViewId="0">
      <selection activeCell="C1" sqref="C1:E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Dominio'!A5</f>
        <v>Estado</v>
      </c>
      <c r="C2" s="194"/>
      <c r="D2" s="194"/>
      <c r="E2" s="194"/>
      <c r="F2" s="194"/>
      <c r="G2" s="194"/>
      <c r="H2" s="194"/>
      <c r="I2" s="194"/>
      <c r="J2" s="194"/>
      <c r="K2" s="194"/>
    </row>
    <row r="3" spans="1:11" ht="30" customHeight="1" x14ac:dyDescent="0.25">
      <c r="A3" s="23" t="s">
        <v>84</v>
      </c>
      <c r="B3" s="195" t="str">
        <f>'Objetos de Dominio'!B5</f>
        <v>Representa en qué situación puntual se encuentra una cita: agendada, finalizada, cancelada por alguna de las partes, con tardanza del cliente o del barbero, o con inasistencia del cliente</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3" t="s">
        <v>107</v>
      </c>
      <c r="B7" s="33" t="s">
        <v>131</v>
      </c>
      <c r="C7" s="33" t="s">
        <v>132</v>
      </c>
      <c r="D7" s="3" t="str">
        <f t="shared" ref="D7:D13" si="0">$B$2</f>
        <v>Estado</v>
      </c>
      <c r="E7" s="33"/>
      <c r="F7" s="33"/>
      <c r="G7" s="3"/>
      <c r="H7" s="34"/>
      <c r="I7" s="3"/>
      <c r="J7" s="33" t="s">
        <v>133</v>
      </c>
      <c r="K7" s="33"/>
    </row>
    <row r="8" spans="1:11" ht="30" customHeight="1" x14ac:dyDescent="0.25">
      <c r="A8" s="3" t="s">
        <v>25</v>
      </c>
      <c r="B8" s="33" t="s">
        <v>131</v>
      </c>
      <c r="C8" s="33" t="s">
        <v>132</v>
      </c>
      <c r="D8" s="3" t="str">
        <f t="shared" si="0"/>
        <v>Estado</v>
      </c>
      <c r="E8" s="33"/>
      <c r="F8" s="33"/>
      <c r="G8" s="3"/>
      <c r="H8" s="34"/>
      <c r="I8" s="3"/>
      <c r="J8" s="33" t="s">
        <v>133</v>
      </c>
      <c r="K8" s="33"/>
    </row>
    <row r="9" spans="1:11" ht="30" customHeight="1" x14ac:dyDescent="0.25">
      <c r="A9" s="3" t="s">
        <v>27</v>
      </c>
      <c r="B9" s="33" t="s">
        <v>131</v>
      </c>
      <c r="C9" s="33" t="s">
        <v>132</v>
      </c>
      <c r="D9" s="3" t="str">
        <f t="shared" si="0"/>
        <v>Estado</v>
      </c>
      <c r="E9" s="33"/>
      <c r="F9" s="33"/>
      <c r="G9" s="3"/>
      <c r="H9" s="34"/>
      <c r="I9" s="3"/>
      <c r="J9" s="33" t="s">
        <v>133</v>
      </c>
      <c r="K9" s="33"/>
    </row>
    <row r="10" spans="1:11" ht="30" customHeight="1" x14ac:dyDescent="0.25">
      <c r="A10" s="3" t="s">
        <v>107</v>
      </c>
      <c r="B10" s="33" t="s">
        <v>134</v>
      </c>
      <c r="C10" s="33" t="s">
        <v>135</v>
      </c>
      <c r="D10" s="3" t="str">
        <f t="shared" si="0"/>
        <v>Estado</v>
      </c>
      <c r="E10" s="33"/>
      <c r="F10" s="33"/>
      <c r="G10" s="179" t="str">
        <f>'P-Estado'!A6</f>
        <v>P-EST-0001</v>
      </c>
      <c r="H10" s="180" t="s">
        <v>629</v>
      </c>
      <c r="I10" s="3"/>
      <c r="J10" s="33" t="s">
        <v>136</v>
      </c>
      <c r="K10" s="33"/>
    </row>
    <row r="11" spans="1:11" ht="27" x14ac:dyDescent="0.25">
      <c r="A11" s="3" t="s">
        <v>107</v>
      </c>
      <c r="B11" s="33" t="s">
        <v>624</v>
      </c>
      <c r="C11" s="33" t="s">
        <v>625</v>
      </c>
      <c r="D11" s="3" t="str">
        <f t="shared" si="0"/>
        <v>Estado</v>
      </c>
      <c r="E11" s="33"/>
      <c r="F11" s="33"/>
      <c r="G11" s="3"/>
      <c r="H11" s="34"/>
      <c r="I11" s="3"/>
      <c r="J11" s="33" t="s">
        <v>627</v>
      </c>
      <c r="K11" s="33"/>
    </row>
    <row r="12" spans="1:11" ht="27" x14ac:dyDescent="0.25">
      <c r="A12" s="3" t="s">
        <v>25</v>
      </c>
      <c r="B12" s="33" t="s">
        <v>624</v>
      </c>
      <c r="C12" s="33" t="s">
        <v>625</v>
      </c>
      <c r="D12" s="3" t="str">
        <f t="shared" si="0"/>
        <v>Estado</v>
      </c>
      <c r="E12" s="33"/>
      <c r="F12" s="33"/>
      <c r="G12" s="3"/>
      <c r="H12" s="34"/>
      <c r="I12" s="3"/>
      <c r="J12" s="33" t="s">
        <v>627</v>
      </c>
      <c r="K12" s="33"/>
    </row>
    <row r="13" spans="1:11" ht="27" x14ac:dyDescent="0.25">
      <c r="A13" s="3" t="s">
        <v>27</v>
      </c>
      <c r="B13" s="33" t="s">
        <v>624</v>
      </c>
      <c r="C13" s="33" t="s">
        <v>625</v>
      </c>
      <c r="D13" s="3" t="str">
        <f t="shared" si="0"/>
        <v>Estado</v>
      </c>
      <c r="E13" s="33"/>
      <c r="F13" s="33"/>
      <c r="G13" s="3"/>
      <c r="H13" s="34"/>
      <c r="I13" s="3"/>
      <c r="J13" s="33" t="s">
        <v>627</v>
      </c>
      <c r="K13" s="33"/>
    </row>
  </sheetData>
  <mergeCells count="1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0800-000000000000}"/>
    <hyperlink ref="C1" location="'Objetos de Dominio'!A1" display="&lt;&lt; Ir al listado de objetos de dominio" xr:uid="{00000000-0004-0000-0800-000001000000}"/>
    <hyperlink ref="F1" location="'C-Estado'!A1" display="&lt;&lt; Ir a la caracterización del objeto de dominio" xr:uid="{00000000-0004-0000-0800-000002000000}"/>
    <hyperlink ref="J1" location="'M-Estado'!A1" display="Ir al muestreo de datos del objeto de dominio &gt;&gt;" xr:uid="{00000000-0004-0000-0800-000003000000}"/>
    <hyperlink ref="G10" location="'P-Estado'!A6" display="P-EST-0001" xr:uid="{8B11772A-B442-455C-A967-A0CBB7D71EAF}"/>
    <hyperlink ref="H10" location="'P-Estado'!B6" display="aquí" xr:uid="{33C2E118-B8BE-4BD6-BF2F-F78BDC9FFE69}"/>
  </hyperlink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0"/>
  <sheetViews>
    <sheetView zoomScaleNormal="100" workbookViewId="0"/>
  </sheetViews>
  <sheetFormatPr baseColWidth="10" defaultColWidth="8.7109375" defaultRowHeight="15" x14ac:dyDescent="0.25"/>
  <cols>
    <col min="1" max="1" width="27" customWidth="1"/>
    <col min="2" max="2" width="26.140625" customWidth="1"/>
    <col min="3" max="3" width="49.140625" customWidth="1"/>
    <col min="4" max="4" width="23.28515625" customWidth="1"/>
  </cols>
  <sheetData>
    <row r="1" spans="1:4" ht="14.25" customHeight="1" x14ac:dyDescent="0.25">
      <c r="A1" s="4" t="s">
        <v>1</v>
      </c>
      <c r="B1" s="4" t="s">
        <v>45</v>
      </c>
      <c r="C1" s="48"/>
    </row>
    <row r="2" spans="1:4" ht="39" customHeight="1" x14ac:dyDescent="0.25">
      <c r="A2" s="35" t="s">
        <v>111</v>
      </c>
      <c r="B2" s="35" t="s">
        <v>137</v>
      </c>
      <c r="C2" s="35" t="s">
        <v>138</v>
      </c>
      <c r="D2" s="36" t="s">
        <v>113</v>
      </c>
    </row>
    <row r="3" spans="1:4" ht="14.25" customHeight="1" x14ac:dyDescent="0.25">
      <c r="A3" s="37" t="s">
        <v>114</v>
      </c>
      <c r="B3" s="38" t="s">
        <v>78</v>
      </c>
      <c r="C3" s="38" t="s">
        <v>139</v>
      </c>
      <c r="D3" s="39" t="s">
        <v>115</v>
      </c>
    </row>
    <row r="4" spans="1:4" ht="28.5" customHeight="1" x14ac:dyDescent="0.25">
      <c r="A4" s="40">
        <v>1</v>
      </c>
      <c r="B4" s="41" t="s">
        <v>140</v>
      </c>
      <c r="C4" s="49" t="s">
        <v>141</v>
      </c>
      <c r="D4" s="41" t="str">
        <f t="shared" ref="D4:D11" si="0">B4</f>
        <v>Agendada</v>
      </c>
    </row>
    <row r="5" spans="1:4" ht="28.5" customHeight="1" x14ac:dyDescent="0.25">
      <c r="A5" s="40">
        <v>2</v>
      </c>
      <c r="B5" s="40" t="s">
        <v>142</v>
      </c>
      <c r="C5" s="50" t="s">
        <v>143</v>
      </c>
      <c r="D5" s="41" t="str">
        <f t="shared" si="0"/>
        <v>Finalizada</v>
      </c>
    </row>
    <row r="6" spans="1:4" ht="28.5" customHeight="1" x14ac:dyDescent="0.25">
      <c r="A6" s="40">
        <v>3</v>
      </c>
      <c r="B6" s="40" t="s">
        <v>144</v>
      </c>
      <c r="C6" s="50" t="s">
        <v>145</v>
      </c>
      <c r="D6" s="41" t="str">
        <f t="shared" si="0"/>
        <v>Cancelada por el cliente</v>
      </c>
    </row>
    <row r="7" spans="1:4" ht="28.5" customHeight="1" x14ac:dyDescent="0.25">
      <c r="A7" s="40">
        <v>4</v>
      </c>
      <c r="B7" s="40" t="s">
        <v>146</v>
      </c>
      <c r="C7" s="50" t="s">
        <v>147</v>
      </c>
      <c r="D7" s="41" t="str">
        <f t="shared" si="0"/>
        <v>Cancelada por el barbero</v>
      </c>
    </row>
    <row r="8" spans="1:4" ht="42.75" customHeight="1" x14ac:dyDescent="0.25">
      <c r="A8" s="40">
        <v>5</v>
      </c>
      <c r="B8" s="40" t="s">
        <v>148</v>
      </c>
      <c r="C8" s="50" t="s">
        <v>149</v>
      </c>
      <c r="D8" s="41" t="str">
        <f t="shared" si="0"/>
        <v>El cliente se demoro</v>
      </c>
    </row>
    <row r="9" spans="1:4" ht="42.75" customHeight="1" x14ac:dyDescent="0.25">
      <c r="A9" s="40">
        <v>6</v>
      </c>
      <c r="B9" s="40" t="s">
        <v>150</v>
      </c>
      <c r="C9" s="50" t="s">
        <v>151</v>
      </c>
      <c r="D9" s="41" t="str">
        <f t="shared" si="0"/>
        <v>El barbero se demoro</v>
      </c>
    </row>
    <row r="10" spans="1:4" ht="48" customHeight="1" x14ac:dyDescent="0.25">
      <c r="A10" s="40">
        <v>7</v>
      </c>
      <c r="B10" s="40" t="s">
        <v>152</v>
      </c>
      <c r="C10" s="50" t="s">
        <v>153</v>
      </c>
      <c r="D10" s="41" t="str">
        <f t="shared" si="0"/>
        <v>Inasistencia del cliente</v>
      </c>
    </row>
    <row r="11" spans="1:4" ht="63.75" customHeight="1" x14ac:dyDescent="0.25">
      <c r="A11" s="40">
        <v>8</v>
      </c>
      <c r="B11" s="40" t="s">
        <v>154</v>
      </c>
      <c r="C11" s="12" t="s">
        <v>155</v>
      </c>
      <c r="D11" s="41" t="str">
        <f t="shared" si="0"/>
        <v>Inasistencia del barbero</v>
      </c>
    </row>
    <row r="13" spans="1:4" ht="15" customHeight="1" x14ac:dyDescent="0.25">
      <c r="C13" s="51"/>
    </row>
    <row r="17" spans="1:2" ht="28.5" customHeight="1" x14ac:dyDescent="0.25">
      <c r="A17" s="43"/>
      <c r="B17" s="44" t="s">
        <v>124</v>
      </c>
    </row>
    <row r="18" spans="1:2" ht="28.5" customHeight="1" x14ac:dyDescent="0.25">
      <c r="A18" s="45"/>
      <c r="B18" s="44" t="s">
        <v>125</v>
      </c>
    </row>
    <row r="19" spans="1:2" ht="28.5" customHeight="1" x14ac:dyDescent="0.25">
      <c r="A19" s="46"/>
      <c r="B19" s="44" t="s">
        <v>126</v>
      </c>
    </row>
    <row r="20" spans="1:2" ht="28.5" customHeight="1" x14ac:dyDescent="0.25">
      <c r="A20" s="47"/>
      <c r="B20" s="44" t="s">
        <v>127</v>
      </c>
    </row>
  </sheetData>
  <hyperlinks>
    <hyperlink ref="A1" location="'Modelo de Dominio'!A1" display="&lt;&lt;&lt;&lt; Ir al modulo de dominio" xr:uid="{00000000-0004-0000-0900-000000000000}"/>
    <hyperlink ref="B1" location="'Objetos de Dominio'!A1" display="&lt;&lt;&lt;&lt; Ir a objetos de dominio" xr:uid="{00000000-0004-0000-0900-000001000000}"/>
  </hyperlink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9"/>
  <sheetViews>
    <sheetView zoomScaleNormal="100" workbookViewId="0">
      <selection activeCell="E6" sqref="E6"/>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4" t="s">
        <v>1</v>
      </c>
      <c r="B1" s="4" t="s">
        <v>45</v>
      </c>
    </row>
    <row r="2" spans="1:21" ht="15" customHeight="1" x14ac:dyDescent="0.25">
      <c r="A2" s="52" t="s">
        <v>46</v>
      </c>
      <c r="B2" s="52" t="s">
        <v>47</v>
      </c>
      <c r="C2" s="52" t="s">
        <v>48</v>
      </c>
      <c r="D2" s="52" t="s">
        <v>49</v>
      </c>
      <c r="E2" s="52" t="s">
        <v>50</v>
      </c>
      <c r="F2" s="52" t="s">
        <v>51</v>
      </c>
      <c r="G2" s="52" t="s">
        <v>52</v>
      </c>
      <c r="H2" s="52" t="s">
        <v>53</v>
      </c>
      <c r="I2" s="52" t="s">
        <v>54</v>
      </c>
      <c r="J2" s="52" t="s">
        <v>55</v>
      </c>
      <c r="K2" s="52" t="s">
        <v>56</v>
      </c>
      <c r="L2" s="52" t="s">
        <v>57</v>
      </c>
      <c r="M2" s="52" t="s">
        <v>58</v>
      </c>
      <c r="N2" s="52" t="s">
        <v>59</v>
      </c>
      <c r="O2" s="52" t="s">
        <v>60</v>
      </c>
      <c r="P2" s="52" t="s">
        <v>61</v>
      </c>
      <c r="Q2" s="52" t="s">
        <v>62</v>
      </c>
      <c r="R2" s="52" t="s">
        <v>63</v>
      </c>
      <c r="S2" s="52" t="s">
        <v>64</v>
      </c>
      <c r="T2" s="52" t="s">
        <v>65</v>
      </c>
      <c r="U2" s="52" t="s">
        <v>66</v>
      </c>
    </row>
    <row r="3" spans="1:21" ht="45" customHeight="1" x14ac:dyDescent="0.25">
      <c r="A3" s="16" t="str">
        <f>'M-Servicio'!A3</f>
        <v>id</v>
      </c>
      <c r="B3" s="17" t="str">
        <f>'M-Servicio'!A2</f>
        <v>Representa un identificador que hará unico cada objeto de dominio de este tipo, no se puede repetir</v>
      </c>
      <c r="C3" s="16" t="s">
        <v>67</v>
      </c>
      <c r="D3" s="16" t="s">
        <v>68</v>
      </c>
      <c r="E3" s="16" t="s">
        <v>67</v>
      </c>
      <c r="F3" s="16" t="s">
        <v>69</v>
      </c>
      <c r="G3" s="16" t="s">
        <v>69</v>
      </c>
      <c r="H3" s="16" t="s">
        <v>69</v>
      </c>
      <c r="I3" s="16" t="s">
        <v>69</v>
      </c>
      <c r="J3" s="16" t="s">
        <v>69</v>
      </c>
      <c r="K3" s="16" t="s">
        <v>69</v>
      </c>
      <c r="L3" s="16" t="s">
        <v>69</v>
      </c>
      <c r="M3" s="16" t="s">
        <v>69</v>
      </c>
      <c r="N3" s="16" t="s">
        <v>70</v>
      </c>
      <c r="O3" s="16" t="s">
        <v>69</v>
      </c>
      <c r="P3" s="16" t="s">
        <v>69</v>
      </c>
      <c r="Q3" s="16" t="s">
        <v>69</v>
      </c>
      <c r="R3" s="16" t="s">
        <v>69</v>
      </c>
      <c r="S3" s="16" t="s">
        <v>70</v>
      </c>
      <c r="T3" s="16" t="s">
        <v>71</v>
      </c>
      <c r="U3" s="16" t="s">
        <v>67</v>
      </c>
    </row>
    <row r="4" spans="1:21" ht="45" customHeight="1" x14ac:dyDescent="0.25">
      <c r="A4" s="16" t="str">
        <f>'M-Servicio'!B3</f>
        <v>nombre</v>
      </c>
      <c r="B4" s="17" t="str">
        <f>'M-Servicio'!B2</f>
        <v>Representa el nombre del servicio que va estar en la barberia, para que el barbero elija los servicios que el sabe hacer</v>
      </c>
      <c r="C4" s="16" t="s">
        <v>70</v>
      </c>
      <c r="D4" s="16" t="s">
        <v>72</v>
      </c>
      <c r="E4" s="16" t="s">
        <v>67</v>
      </c>
      <c r="F4" s="16">
        <v>3</v>
      </c>
      <c r="G4" s="16">
        <v>50</v>
      </c>
      <c r="H4" s="16" t="s">
        <v>69</v>
      </c>
      <c r="I4" s="16" t="s">
        <v>69</v>
      </c>
      <c r="J4" s="16" t="s">
        <v>69</v>
      </c>
      <c r="K4" s="16" t="s">
        <v>69</v>
      </c>
      <c r="L4" s="16" t="s">
        <v>69</v>
      </c>
      <c r="M4" s="17" t="s">
        <v>156</v>
      </c>
      <c r="N4" s="16" t="s">
        <v>70</v>
      </c>
      <c r="O4" s="16" t="s">
        <v>69</v>
      </c>
      <c r="P4" s="16" t="s">
        <v>69</v>
      </c>
      <c r="Q4" s="16" t="s">
        <v>67</v>
      </c>
      <c r="R4" s="16" t="s">
        <v>67</v>
      </c>
      <c r="S4" s="16" t="s">
        <v>70</v>
      </c>
      <c r="T4" s="16" t="s">
        <v>74</v>
      </c>
      <c r="U4" s="16" t="s">
        <v>70</v>
      </c>
    </row>
    <row r="5" spans="1:21" ht="45" customHeight="1" x14ac:dyDescent="0.25">
      <c r="A5" s="16" t="str">
        <f>'M-Servicio'!C3</f>
        <v>descripcion</v>
      </c>
      <c r="B5" s="17" t="str">
        <f>'M-Servicio'!C2</f>
        <v>Representa una descripcion de que va a hacer cada servicio en la barberia, para que el barbero sepa que hace el servicio</v>
      </c>
      <c r="C5" s="16" t="s">
        <v>70</v>
      </c>
      <c r="D5" s="16" t="s">
        <v>72</v>
      </c>
      <c r="E5" s="16" t="s">
        <v>70</v>
      </c>
      <c r="F5" s="16">
        <v>0</v>
      </c>
      <c r="G5" s="16">
        <v>200</v>
      </c>
      <c r="H5" s="16" t="s">
        <v>69</v>
      </c>
      <c r="I5" s="16" t="s">
        <v>69</v>
      </c>
      <c r="J5" s="16" t="s">
        <v>69</v>
      </c>
      <c r="K5" s="16" t="s">
        <v>69</v>
      </c>
      <c r="L5" s="16" t="s">
        <v>69</v>
      </c>
      <c r="M5" s="17" t="s">
        <v>129</v>
      </c>
      <c r="N5" s="16" t="s">
        <v>70</v>
      </c>
      <c r="O5" s="16" t="s">
        <v>69</v>
      </c>
      <c r="P5" s="16" t="s">
        <v>69</v>
      </c>
      <c r="Q5" s="16" t="s">
        <v>67</v>
      </c>
      <c r="R5" s="16" t="s">
        <v>67</v>
      </c>
      <c r="S5" s="16" t="s">
        <v>70</v>
      </c>
      <c r="T5" s="16" t="s">
        <v>74</v>
      </c>
      <c r="U5" s="16" t="s">
        <v>70</v>
      </c>
    </row>
    <row r="6" spans="1:21" ht="30" customHeight="1" x14ac:dyDescent="0.25">
      <c r="A6" s="16" t="str">
        <f>'M-Servicio'!D3</f>
        <v>precio</v>
      </c>
      <c r="B6" s="17" t="str">
        <f>'M-Servicio'!D2</f>
        <v>Representa cuanto va a valer el servicio en pesos colombianos</v>
      </c>
      <c r="C6" s="16" t="s">
        <v>70</v>
      </c>
      <c r="D6" s="16" t="s">
        <v>157</v>
      </c>
      <c r="E6" s="16" t="s">
        <v>67</v>
      </c>
      <c r="F6" s="16" t="s">
        <v>69</v>
      </c>
      <c r="G6" s="16" t="s">
        <v>69</v>
      </c>
      <c r="H6" s="16" t="s">
        <v>69</v>
      </c>
      <c r="I6" s="16" t="s">
        <v>69</v>
      </c>
      <c r="J6" s="16">
        <v>0</v>
      </c>
      <c r="K6" s="53">
        <v>2000000</v>
      </c>
      <c r="L6" s="16" t="s">
        <v>69</v>
      </c>
      <c r="M6" s="16" t="s">
        <v>69</v>
      </c>
      <c r="N6" s="16" t="s">
        <v>70</v>
      </c>
      <c r="O6" s="16" t="s">
        <v>69</v>
      </c>
      <c r="P6" s="16" t="s">
        <v>69</v>
      </c>
      <c r="Q6" s="16" t="s">
        <v>69</v>
      </c>
      <c r="R6" s="16" t="s">
        <v>69</v>
      </c>
      <c r="S6" s="16" t="s">
        <v>70</v>
      </c>
      <c r="T6" s="16">
        <v>0</v>
      </c>
      <c r="U6" s="16" t="s">
        <v>70</v>
      </c>
    </row>
    <row r="7" spans="1:21" ht="30" customHeight="1" x14ac:dyDescent="0.25">
      <c r="A7" s="16" t="str">
        <f>'M-Servicio'!E3</f>
        <v>disponible</v>
      </c>
      <c r="B7" s="17" t="str">
        <f>'M-Servicio'!E2</f>
        <v>Representa si el servicio sigue o no disponible en la barberia</v>
      </c>
      <c r="C7" s="16" t="s">
        <v>70</v>
      </c>
      <c r="D7" s="16" t="s">
        <v>158</v>
      </c>
      <c r="E7" s="16" t="s">
        <v>70</v>
      </c>
      <c r="F7" s="16" t="s">
        <v>69</v>
      </c>
      <c r="G7" s="16" t="s">
        <v>69</v>
      </c>
      <c r="H7" s="16" t="s">
        <v>69</v>
      </c>
      <c r="I7" s="16" t="s">
        <v>69</v>
      </c>
      <c r="J7" s="16" t="s">
        <v>69</v>
      </c>
      <c r="K7" s="16" t="s">
        <v>69</v>
      </c>
      <c r="L7" s="16" t="s">
        <v>69</v>
      </c>
      <c r="M7" s="16" t="s">
        <v>69</v>
      </c>
      <c r="N7" s="16" t="s">
        <v>70</v>
      </c>
      <c r="O7" s="16" t="s">
        <v>69</v>
      </c>
      <c r="P7" s="16" t="s">
        <v>69</v>
      </c>
      <c r="Q7" s="16" t="s">
        <v>69</v>
      </c>
      <c r="R7" s="16" t="s">
        <v>69</v>
      </c>
      <c r="S7" s="16" t="s">
        <v>70</v>
      </c>
      <c r="T7" s="16" t="s">
        <v>67</v>
      </c>
      <c r="U7" s="16" t="s">
        <v>70</v>
      </c>
    </row>
    <row r="8" spans="1:21" ht="15" customHeight="1" x14ac:dyDescent="0.25">
      <c r="A8" s="5"/>
      <c r="B8" s="5"/>
      <c r="C8" s="5"/>
      <c r="D8" s="5"/>
      <c r="E8" s="5"/>
      <c r="F8" s="5"/>
      <c r="G8" s="5"/>
      <c r="H8" s="5"/>
      <c r="I8" s="5"/>
      <c r="J8" s="5"/>
      <c r="K8" s="5"/>
      <c r="L8" s="5"/>
      <c r="M8" s="5"/>
      <c r="N8" s="5"/>
      <c r="O8" s="5"/>
      <c r="P8" s="5"/>
      <c r="Q8" s="5"/>
      <c r="R8" s="5"/>
      <c r="S8" s="5"/>
      <c r="T8" s="5"/>
      <c r="U8" s="5"/>
    </row>
    <row r="9" spans="1:21" ht="15" customHeight="1" x14ac:dyDescent="0.25">
      <c r="A9" s="18" t="s">
        <v>75</v>
      </c>
      <c r="B9" s="18" t="s">
        <v>76</v>
      </c>
      <c r="C9" s="18" t="s">
        <v>77</v>
      </c>
      <c r="D9" s="54"/>
      <c r="E9" s="54"/>
      <c r="F9" s="54"/>
      <c r="G9" s="54"/>
      <c r="H9" s="54"/>
      <c r="I9" s="54"/>
      <c r="J9" s="54"/>
      <c r="K9" s="54"/>
      <c r="L9" s="54"/>
      <c r="M9" s="54"/>
      <c r="N9" s="54"/>
      <c r="O9" s="54"/>
      <c r="P9" s="54"/>
      <c r="Q9" s="54"/>
      <c r="R9" s="54"/>
      <c r="S9" s="54"/>
      <c r="T9" s="54"/>
      <c r="U9" s="54"/>
    </row>
    <row r="10" spans="1:21" ht="30" customHeight="1" x14ac:dyDescent="0.25">
      <c r="A10" s="19" t="str">
        <f>'M-Servicio'!F3</f>
        <v xml:space="preserve">Combinacion única </v>
      </c>
      <c r="B10" s="20" t="str">
        <f>'M-Servicio'!F2</f>
        <v>Combinacion única que indica que no puede existir más de un servicio con el mismo nombre</v>
      </c>
      <c r="C10" s="21" t="str">
        <f>A4</f>
        <v>nombre</v>
      </c>
      <c r="D10" s="5"/>
      <c r="E10" s="5"/>
      <c r="F10" s="5"/>
      <c r="G10" s="5"/>
      <c r="H10" s="5"/>
      <c r="I10" s="5"/>
      <c r="J10" s="5"/>
      <c r="K10" s="5"/>
      <c r="L10" s="5"/>
      <c r="M10" s="5"/>
      <c r="N10" s="5"/>
      <c r="O10" s="5"/>
      <c r="P10" s="5"/>
      <c r="Q10" s="5"/>
      <c r="R10" s="5"/>
      <c r="S10" s="5"/>
      <c r="T10" s="5"/>
      <c r="U10" s="5"/>
    </row>
    <row r="11" spans="1:21" ht="15" customHeight="1" x14ac:dyDescent="0.25">
      <c r="A11" s="55"/>
      <c r="B11" s="55"/>
      <c r="C11" s="55"/>
      <c r="D11" s="55"/>
      <c r="E11" s="55"/>
      <c r="F11" s="55"/>
      <c r="G11" s="55"/>
      <c r="H11" s="55"/>
      <c r="I11" s="55"/>
      <c r="J11" s="55"/>
      <c r="K11" s="55"/>
      <c r="L11" s="55"/>
      <c r="M11" s="55"/>
      <c r="N11" s="55"/>
      <c r="O11" s="55"/>
      <c r="P11" s="55"/>
      <c r="Q11" s="55"/>
      <c r="R11" s="55"/>
      <c r="S11" s="55"/>
      <c r="T11" s="55"/>
      <c r="U11" s="55"/>
    </row>
    <row r="12" spans="1:21" ht="15" customHeight="1" x14ac:dyDescent="0.25">
      <c r="A12" s="48"/>
      <c r="B12" s="48"/>
    </row>
    <row r="13" spans="1:21" ht="15" customHeight="1" x14ac:dyDescent="0.25">
      <c r="A13" s="48"/>
      <c r="B13" s="48"/>
    </row>
    <row r="14" spans="1:21" ht="15" customHeight="1" x14ac:dyDescent="0.25">
      <c r="A14" s="48"/>
      <c r="B14" s="48"/>
    </row>
    <row r="15" spans="1:21" ht="15" customHeight="1" x14ac:dyDescent="0.25">
      <c r="A15" s="48"/>
      <c r="B15" s="48"/>
    </row>
    <row r="16" spans="1:21" ht="15" customHeight="1" x14ac:dyDescent="0.25">
      <c r="A16" s="48"/>
      <c r="B16" s="48"/>
    </row>
    <row r="18" spans="1:3" ht="15" customHeight="1" x14ac:dyDescent="0.25">
      <c r="A18" s="56"/>
      <c r="B18" s="56"/>
      <c r="C18" s="56"/>
    </row>
    <row r="19" spans="1:3" ht="15" customHeight="1" x14ac:dyDescent="0.25">
      <c r="A19" s="48"/>
      <c r="B19" s="48"/>
    </row>
  </sheetData>
  <hyperlinks>
    <hyperlink ref="A1" location="'Modelo de Dominio'!A1" display="&lt;&lt;&lt;&lt; Ir al modulo de dominio" xr:uid="{00000000-0004-0000-0A00-000000000000}"/>
    <hyperlink ref="B1" location="'Objetos de Dominio'!A1" display="&lt;&lt;&lt;&lt; Ir a objetos de dominio" xr:uid="{00000000-0004-0000-0A00-000001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
  <sheetViews>
    <sheetView showGridLines="0" zoomScale="115" zoomScaleNormal="115" workbookViewId="0">
      <selection activeCell="B9" sqref="B9"/>
    </sheetView>
  </sheetViews>
  <sheetFormatPr baseColWidth="10" defaultColWidth="8.7109375" defaultRowHeight="15" x14ac:dyDescent="0.25"/>
  <cols>
    <col min="1" max="1" width="21.42578125" bestFit="1" customWidth="1"/>
    <col min="2" max="2" width="29.140625" bestFit="1" customWidth="1"/>
    <col min="3" max="3" width="37.140625" bestFit="1" customWidth="1"/>
    <col min="4" max="4" width="38" bestFit="1" customWidth="1"/>
    <col min="5" max="5" width="36.7109375" bestFit="1"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Dominio'!A6</f>
        <v>Servicio</v>
      </c>
      <c r="C2" s="185"/>
      <c r="D2" s="185"/>
      <c r="E2" s="185"/>
    </row>
    <row r="3" spans="1:5" ht="30" customHeight="1" x14ac:dyDescent="0.25">
      <c r="A3" s="23" t="s">
        <v>84</v>
      </c>
      <c r="B3" s="186" t="str">
        <f>'Objetos de Dominio'!B6</f>
        <v>Representa cada tipo de corte o arreglo que ofrece la barbería, definido por el dueño, para que luego cada barbero decida cuáles sabe hacer</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30" customHeight="1" x14ac:dyDescent="0.25">
      <c r="A6" s="8" t="s">
        <v>159</v>
      </c>
      <c r="B6" s="205" t="s">
        <v>160</v>
      </c>
      <c r="C6" s="205"/>
      <c r="D6" s="24" t="s">
        <v>17</v>
      </c>
      <c r="E6" s="24"/>
    </row>
    <row r="7" spans="1:5" ht="30" customHeight="1" x14ac:dyDescent="0.25">
      <c r="A7" s="8" t="s">
        <v>161</v>
      </c>
      <c r="B7" s="205" t="s">
        <v>162</v>
      </c>
      <c r="C7" s="205"/>
      <c r="D7" s="24" t="s">
        <v>17</v>
      </c>
      <c r="E7" s="24"/>
    </row>
    <row r="8" spans="1:5" ht="30" customHeight="1" x14ac:dyDescent="0.25">
      <c r="A8" s="8" t="s">
        <v>163</v>
      </c>
      <c r="B8" s="205" t="s">
        <v>633</v>
      </c>
      <c r="C8" s="205"/>
      <c r="D8" s="24" t="s">
        <v>31</v>
      </c>
      <c r="E8" s="24"/>
    </row>
  </sheetData>
  <mergeCells count="9">
    <mergeCell ref="B7:C7"/>
    <mergeCell ref="B8:C8"/>
    <mergeCell ref="B2:E2"/>
    <mergeCell ref="B3:E3"/>
    <mergeCell ref="A4:A5"/>
    <mergeCell ref="B4:C5"/>
    <mergeCell ref="D4:D5"/>
    <mergeCell ref="E4:E5"/>
    <mergeCell ref="B6:C6"/>
  </mergeCells>
  <hyperlinks>
    <hyperlink ref="A1" location="'Modelo de Dominio'!A1" display="&lt;&lt; Ir al modelo de dominio" xr:uid="{00000000-0004-0000-0B00-000000000000}"/>
    <hyperlink ref="B1" location="'Objetos de Dominio'!A1" display="&lt;&lt; Ir al listado de objetos de dominio" xr:uid="{00000000-0004-0000-0B00-000001000000}"/>
    <hyperlink ref="C1" location="'C-Servicio'!A1" display="&lt;&lt; Ir a la caracterización del objeto de dominio" xr:uid="{00000000-0004-0000-0B00-000002000000}"/>
    <hyperlink ref="D1" location="'M-Servicio'!A1" display="Ir al muestreo de datos del objeto de dominio &gt;&gt;" xr:uid="{00000000-0004-0000-0B00-000003000000}"/>
    <hyperlink ref="E1" location="'E-Servicio'!A1" display="Ir al event storming del objeto de dominio &gt;&gt;" xr:uid="{02FF23B1-F00F-4B10-A22B-428A6FCA49D8}"/>
  </hyperlink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4"/>
  <sheetViews>
    <sheetView showGridLines="0" zoomScale="115" zoomScaleNormal="115" workbookViewId="0">
      <selection activeCell="J11" sqref="J1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Dominio'!A6</f>
        <v>Servicio</v>
      </c>
      <c r="C2" s="194"/>
      <c r="D2" s="194"/>
      <c r="E2" s="194"/>
      <c r="F2" s="194"/>
      <c r="G2" s="194"/>
      <c r="H2" s="194"/>
      <c r="I2" s="194"/>
      <c r="J2" s="194"/>
      <c r="K2" s="194"/>
    </row>
    <row r="3" spans="1:11" ht="30" customHeight="1" x14ac:dyDescent="0.25">
      <c r="A3" s="23" t="s">
        <v>84</v>
      </c>
      <c r="B3" s="195" t="str">
        <f>'Objetos de Dominio'!B6</f>
        <v>Representa cada tipo de corte o arreglo que ofrece la barbería, definido por el dueño, para que luego cada barbero decida cuáles sabe hacer</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205" t="s">
        <v>107</v>
      </c>
      <c r="B7" s="204" t="s">
        <v>164</v>
      </c>
      <c r="C7" s="204" t="s">
        <v>165</v>
      </c>
      <c r="D7" s="205" t="str">
        <f>$B$2</f>
        <v>Servicio</v>
      </c>
      <c r="E7" s="204"/>
      <c r="F7" s="204"/>
      <c r="G7" s="179" t="str">
        <f>'P-Servicio'!A6</f>
        <v>P-SER-0001</v>
      </c>
      <c r="H7" s="180" t="s">
        <v>629</v>
      </c>
      <c r="I7" s="205"/>
      <c r="J7" s="204" t="s">
        <v>166</v>
      </c>
      <c r="K7" s="204"/>
    </row>
    <row r="8" spans="1:11" ht="30" customHeight="1" x14ac:dyDescent="0.25">
      <c r="A8" s="205"/>
      <c r="B8" s="205"/>
      <c r="C8" s="205"/>
      <c r="D8" s="205"/>
      <c r="E8" s="205"/>
      <c r="F8" s="205"/>
      <c r="G8" s="179" t="str">
        <f>'P-Servicio'!A7</f>
        <v>P-SER-0002</v>
      </c>
      <c r="H8" s="180" t="s">
        <v>629</v>
      </c>
      <c r="I8" s="205"/>
      <c r="J8" s="205"/>
      <c r="K8" s="205"/>
    </row>
    <row r="9" spans="1:11" ht="30" customHeight="1" x14ac:dyDescent="0.25">
      <c r="A9" s="205" t="s">
        <v>107</v>
      </c>
      <c r="B9" s="204" t="s">
        <v>631</v>
      </c>
      <c r="C9" s="204" t="s">
        <v>632</v>
      </c>
      <c r="D9" s="205" t="str">
        <f>$B$2</f>
        <v>Servicio</v>
      </c>
      <c r="E9" s="204"/>
      <c r="F9" s="204"/>
      <c r="G9" s="179" t="str">
        <f>'P-Servicio'!A6</f>
        <v>P-SER-0001</v>
      </c>
      <c r="H9" s="180" t="s">
        <v>629</v>
      </c>
      <c r="I9" s="205"/>
      <c r="J9" s="204" t="s">
        <v>634</v>
      </c>
      <c r="K9" s="204"/>
    </row>
    <row r="10" spans="1:11" ht="30" customHeight="1" x14ac:dyDescent="0.25">
      <c r="A10" s="205"/>
      <c r="B10" s="205"/>
      <c r="C10" s="205"/>
      <c r="D10" s="205"/>
      <c r="E10" s="205"/>
      <c r="F10" s="205"/>
      <c r="G10" s="179" t="str">
        <f>'P-Servicio'!A7</f>
        <v>P-SER-0002</v>
      </c>
      <c r="H10" s="180" t="s">
        <v>629</v>
      </c>
      <c r="I10" s="205"/>
      <c r="J10" s="205"/>
      <c r="K10" s="205"/>
    </row>
    <row r="11" spans="1:11" ht="30" customHeight="1" x14ac:dyDescent="0.25">
      <c r="A11" s="3" t="s">
        <v>107</v>
      </c>
      <c r="B11" s="33" t="s">
        <v>167</v>
      </c>
      <c r="C11" s="33" t="s">
        <v>168</v>
      </c>
      <c r="D11" s="3" t="str">
        <f>$B$2</f>
        <v>Servicio</v>
      </c>
      <c r="E11" s="33"/>
      <c r="F11" s="33"/>
      <c r="G11" s="3"/>
      <c r="H11" s="34"/>
      <c r="I11" s="3"/>
      <c r="J11" s="33" t="s">
        <v>169</v>
      </c>
      <c r="K11" s="33"/>
    </row>
    <row r="12" spans="1:11" ht="30" customHeight="1" x14ac:dyDescent="0.25">
      <c r="A12" s="3" t="s">
        <v>25</v>
      </c>
      <c r="B12" s="33" t="s">
        <v>167</v>
      </c>
      <c r="C12" s="33" t="s">
        <v>168</v>
      </c>
      <c r="D12" s="3" t="str">
        <f>$B$2</f>
        <v>Servicio</v>
      </c>
      <c r="E12" s="33"/>
      <c r="F12" s="33"/>
      <c r="G12" s="3"/>
      <c r="H12" s="34"/>
      <c r="I12" s="3"/>
      <c r="J12" s="33" t="s">
        <v>169</v>
      </c>
      <c r="K12" s="33"/>
    </row>
    <row r="13" spans="1:11" ht="30" customHeight="1" x14ac:dyDescent="0.25">
      <c r="A13" s="3" t="s">
        <v>27</v>
      </c>
      <c r="B13" s="33" t="s">
        <v>167</v>
      </c>
      <c r="C13" s="33" t="s">
        <v>168</v>
      </c>
      <c r="D13" s="3" t="str">
        <f>$B$2</f>
        <v>Servicio</v>
      </c>
      <c r="E13" s="33"/>
      <c r="F13" s="33"/>
      <c r="G13" s="3"/>
      <c r="H13" s="34"/>
      <c r="I13" s="3"/>
      <c r="J13" s="33" t="s">
        <v>169</v>
      </c>
      <c r="K13" s="33"/>
    </row>
    <row r="14" spans="1:11" ht="30" customHeight="1" x14ac:dyDescent="0.25">
      <c r="A14" s="3" t="s">
        <v>107</v>
      </c>
      <c r="B14" s="33" t="s">
        <v>170</v>
      </c>
      <c r="C14" s="33" t="s">
        <v>171</v>
      </c>
      <c r="D14" s="3" t="str">
        <f>$B$2</f>
        <v>Servicio</v>
      </c>
      <c r="E14" s="33"/>
      <c r="F14" s="33"/>
      <c r="G14" s="179" t="str">
        <f>'P-Servicio'!A8</f>
        <v>P-SER-0003</v>
      </c>
      <c r="H14" s="180" t="s">
        <v>629</v>
      </c>
      <c r="I14" s="3"/>
      <c r="J14" s="33" t="s">
        <v>172</v>
      </c>
      <c r="K14" s="33"/>
    </row>
  </sheetData>
  <mergeCells count="36">
    <mergeCell ref="F9:F10"/>
    <mergeCell ref="I9:I10"/>
    <mergeCell ref="J9:J10"/>
    <mergeCell ref="K9:K10"/>
    <mergeCell ref="A7:A8"/>
    <mergeCell ref="B7:B8"/>
    <mergeCell ref="C7:C8"/>
    <mergeCell ref="A9:A10"/>
    <mergeCell ref="B9:B10"/>
    <mergeCell ref="C9:C10"/>
    <mergeCell ref="D9:D10"/>
    <mergeCell ref="E9:E10"/>
    <mergeCell ref="D7:D8"/>
    <mergeCell ref="E7:E8"/>
    <mergeCell ref="F7:F8"/>
    <mergeCell ref="I7:I8"/>
    <mergeCell ref="B3:K3"/>
    <mergeCell ref="B4:C4"/>
    <mergeCell ref="E4:F4"/>
    <mergeCell ref="G4:H4"/>
    <mergeCell ref="G5:H5"/>
    <mergeCell ref="I5:I6"/>
    <mergeCell ref="J5:J6"/>
    <mergeCell ref="K5:K6"/>
    <mergeCell ref="J7:J8"/>
    <mergeCell ref="K7:K8"/>
    <mergeCell ref="A5:A6"/>
    <mergeCell ref="B5:B6"/>
    <mergeCell ref="C5:C6"/>
    <mergeCell ref="D5:D6"/>
    <mergeCell ref="E5:F5"/>
    <mergeCell ref="A1:B1"/>
    <mergeCell ref="C1:E1"/>
    <mergeCell ref="F1:I1"/>
    <mergeCell ref="J1:K1"/>
    <mergeCell ref="B2:K2"/>
  </mergeCells>
  <hyperlinks>
    <hyperlink ref="A1" location="'Modelo de Dominio'!A1" display="&lt;&lt; Ir al modelo de dominio" xr:uid="{00000000-0004-0000-0C00-000000000000}"/>
    <hyperlink ref="C1" location="'Objetos de Dominio'!A1" display="&lt;&lt; Ir al listado de objetos de dominio" xr:uid="{00000000-0004-0000-0C00-000001000000}"/>
    <hyperlink ref="F1" location="'C-Servicio'!A1" display="&lt;&lt; Ir a la caracterización del objeto de dominio" xr:uid="{00000000-0004-0000-0C00-000002000000}"/>
    <hyperlink ref="J1" location="'M-Servicio'!A1" display="Ir al muestreo de datos del objeto de dominio &gt;&gt;" xr:uid="{00000000-0004-0000-0C00-000003000000}"/>
    <hyperlink ref="G7" location="'P-Servicio'!A6" display="P-SER-0001" xr:uid="{B9572EBE-7F83-4E78-A86A-0B47BFB5E664}"/>
    <hyperlink ref="H7" location="'P-Servicio'!B6" display="aquí" xr:uid="{C5ABE44D-8A6C-45E1-8611-4D163A03DF84}"/>
    <hyperlink ref="G8" location="'P-Servicio'!A7" display="P-SER-0002" xr:uid="{40424399-D0A1-4E3B-90F6-3F2BAB427C78}"/>
    <hyperlink ref="H8" location="'P-Servicio'!B7" display="aquí" xr:uid="{3B07FC99-4021-46F1-9E22-F21FAC941212}"/>
    <hyperlink ref="G9" location="'P-Servicio'!A6" display="P-SER-0001" xr:uid="{07CB25AF-62DA-4BF8-A252-59517BD2F162}"/>
    <hyperlink ref="H9" location="'P-Servicio'!B6" display="aquí" xr:uid="{E186CDAB-2E2D-4CB4-8E01-4616BE433E86}"/>
    <hyperlink ref="G10" location="'P-Servicio'!A7" display="P-SER-0002" xr:uid="{BEC76D09-B46B-4F5E-96D8-D0DFE79EB896}"/>
    <hyperlink ref="H10" location="'P-Servicio'!B7" display="aquí" xr:uid="{1DEE2619-E206-49F5-B484-00D1C529286A}"/>
    <hyperlink ref="G14" location="'P-Servicio'!A8" display="P-SER-0003" xr:uid="{E50F89DB-94FC-4360-804E-08B7B91590CD}"/>
    <hyperlink ref="H14" location="'P-Servicio'!B8" display="aquí" xr:uid="{83ECB780-17F0-40C7-AD29-7A4F9F2CA1F1}"/>
  </hyperlink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9"/>
  <sheetViews>
    <sheetView zoomScale="130" zoomScaleNormal="130" workbookViewId="0"/>
  </sheetViews>
  <sheetFormatPr baseColWidth="10" defaultColWidth="8.7109375" defaultRowHeight="15" x14ac:dyDescent="0.25"/>
  <cols>
    <col min="1" max="1" width="27" customWidth="1"/>
    <col min="2" max="2" width="26.140625" customWidth="1"/>
    <col min="3" max="3" width="20.85546875" customWidth="1"/>
    <col min="4" max="4" width="22.85546875" customWidth="1"/>
    <col min="5" max="5" width="10.42578125" bestFit="1" customWidth="1"/>
    <col min="6" max="6" width="18.28515625" customWidth="1"/>
  </cols>
  <sheetData>
    <row r="1" spans="1:6" ht="14.25" customHeight="1" x14ac:dyDescent="0.25">
      <c r="A1" s="4" t="s">
        <v>1</v>
      </c>
      <c r="B1" s="4" t="s">
        <v>45</v>
      </c>
      <c r="C1" s="57"/>
      <c r="D1" s="58"/>
      <c r="E1" s="58"/>
      <c r="F1" s="42"/>
    </row>
    <row r="2" spans="1:6" ht="42.75" customHeight="1" x14ac:dyDescent="0.25">
      <c r="A2" s="59" t="s">
        <v>111</v>
      </c>
      <c r="B2" s="59" t="s">
        <v>173</v>
      </c>
      <c r="C2" s="59" t="s">
        <v>174</v>
      </c>
      <c r="D2" s="59" t="s">
        <v>175</v>
      </c>
      <c r="E2" s="59" t="s">
        <v>176</v>
      </c>
      <c r="F2" s="60" t="s">
        <v>177</v>
      </c>
    </row>
    <row r="3" spans="1:6" ht="14.25" customHeight="1" x14ac:dyDescent="0.25">
      <c r="A3" s="61" t="s">
        <v>114</v>
      </c>
      <c r="B3" s="62" t="s">
        <v>78</v>
      </c>
      <c r="C3" s="62" t="s">
        <v>139</v>
      </c>
      <c r="D3" s="63" t="s">
        <v>178</v>
      </c>
      <c r="E3" s="64" t="s">
        <v>179</v>
      </c>
      <c r="F3" s="65" t="s">
        <v>180</v>
      </c>
    </row>
    <row r="4" spans="1:6" ht="57" customHeight="1" x14ac:dyDescent="0.25">
      <c r="A4" s="66">
        <v>1</v>
      </c>
      <c r="B4" s="66" t="s">
        <v>181</v>
      </c>
      <c r="C4" s="67" t="s">
        <v>182</v>
      </c>
      <c r="D4" s="68">
        <v>22000</v>
      </c>
      <c r="E4" s="68" t="s">
        <v>183</v>
      </c>
      <c r="F4" s="40" t="str">
        <f>B4</f>
        <v>Motilada</v>
      </c>
    </row>
    <row r="5" spans="1:6" ht="57" customHeight="1" x14ac:dyDescent="0.25">
      <c r="A5" s="66">
        <v>2</v>
      </c>
      <c r="B5" s="66" t="s">
        <v>184</v>
      </c>
      <c r="C5" s="67" t="s">
        <v>185</v>
      </c>
      <c r="D5" s="68">
        <v>12000</v>
      </c>
      <c r="E5" s="68" t="s">
        <v>183</v>
      </c>
      <c r="F5" s="40" t="str">
        <f>B5</f>
        <v>Corte de barba</v>
      </c>
    </row>
    <row r="6" spans="1:6" ht="57" customHeight="1" x14ac:dyDescent="0.25">
      <c r="A6" s="66">
        <v>3</v>
      </c>
      <c r="B6" s="66" t="s">
        <v>186</v>
      </c>
      <c r="C6" s="67" t="s">
        <v>187</v>
      </c>
      <c r="D6" s="68">
        <v>15000</v>
      </c>
      <c r="E6" s="68" t="s">
        <v>183</v>
      </c>
      <c r="F6" s="40" t="str">
        <f>B6</f>
        <v>Perfilada de barba</v>
      </c>
    </row>
    <row r="7" spans="1:6" ht="57" customHeight="1" x14ac:dyDescent="0.25">
      <c r="A7" s="66">
        <v>4</v>
      </c>
      <c r="B7" s="67" t="s">
        <v>188</v>
      </c>
      <c r="C7" s="67" t="s">
        <v>189</v>
      </c>
      <c r="D7" s="68">
        <v>35000</v>
      </c>
      <c r="E7" s="68" t="s">
        <v>183</v>
      </c>
      <c r="F7" s="50" t="str">
        <f>B7</f>
        <v>Arreglo completo de barba con toalla caliente</v>
      </c>
    </row>
    <row r="13" spans="1:6" ht="28.5" customHeight="1" x14ac:dyDescent="0.25">
      <c r="A13" s="43"/>
      <c r="B13" s="44" t="s">
        <v>124</v>
      </c>
    </row>
    <row r="14" spans="1:6" ht="28.5" customHeight="1" x14ac:dyDescent="0.25">
      <c r="A14" s="45"/>
      <c r="B14" s="44" t="s">
        <v>125</v>
      </c>
    </row>
    <row r="15" spans="1:6" ht="42.75" customHeight="1" x14ac:dyDescent="0.25">
      <c r="A15" s="69"/>
      <c r="B15" s="44" t="s">
        <v>190</v>
      </c>
    </row>
    <row r="16" spans="1:6" ht="28.5" customHeight="1" x14ac:dyDescent="0.25">
      <c r="A16" s="70"/>
      <c r="B16" s="44" t="s">
        <v>126</v>
      </c>
    </row>
    <row r="17" spans="1:2" ht="28.5" customHeight="1" x14ac:dyDescent="0.25">
      <c r="A17" s="71"/>
      <c r="B17" s="44" t="s">
        <v>191</v>
      </c>
    </row>
    <row r="18" spans="1:2" ht="28.5" customHeight="1" x14ac:dyDescent="0.25">
      <c r="A18" s="72"/>
      <c r="B18" s="44" t="s">
        <v>192</v>
      </c>
    </row>
    <row r="19" spans="1:2" ht="28.5" customHeight="1" x14ac:dyDescent="0.25">
      <c r="A19" s="73"/>
      <c r="B19" s="44" t="s">
        <v>127</v>
      </c>
    </row>
  </sheetData>
  <hyperlinks>
    <hyperlink ref="A1" location="'Modelo de Dominio'!A1" display="&lt;&lt;&lt;&lt; Ir al modulo de dominio" xr:uid="{00000000-0004-0000-0D00-000000000000}"/>
    <hyperlink ref="B1" location="'Objetos de Dominio'!A1" display="&lt;&lt;&lt;&lt; Ir a objetos de dominio" xr:uid="{00000000-0004-0000-0D00-000001000000}"/>
  </hyperlink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19"/>
  <sheetViews>
    <sheetView zoomScaleNormal="100" workbookViewId="0">
      <selection activeCell="S5" sqref="S5"/>
    </sheetView>
  </sheetViews>
  <sheetFormatPr baseColWidth="10" defaultColWidth="8.7109375" defaultRowHeight="15" x14ac:dyDescent="0.25"/>
  <cols>
    <col min="1" max="1" width="52.42578125" bestFit="1" customWidth="1"/>
    <col min="2" max="2" width="60.2851562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5" ht="15" customHeight="1" x14ac:dyDescent="0.25">
      <c r="A1" s="4" t="s">
        <v>1</v>
      </c>
      <c r="B1" s="4" t="s">
        <v>45</v>
      </c>
    </row>
    <row r="2" spans="1:25" ht="15" customHeight="1" x14ac:dyDescent="0.25">
      <c r="A2" s="52" t="s">
        <v>46</v>
      </c>
      <c r="B2" s="52" t="s">
        <v>47</v>
      </c>
      <c r="C2" s="52" t="s">
        <v>48</v>
      </c>
      <c r="D2" s="52" t="s">
        <v>49</v>
      </c>
      <c r="E2" s="52" t="s">
        <v>50</v>
      </c>
      <c r="F2" s="52" t="s">
        <v>51</v>
      </c>
      <c r="G2" s="52" t="s">
        <v>52</v>
      </c>
      <c r="H2" s="52" t="s">
        <v>53</v>
      </c>
      <c r="I2" s="52" t="s">
        <v>54</v>
      </c>
      <c r="J2" s="52" t="s">
        <v>55</v>
      </c>
      <c r="K2" s="52" t="s">
        <v>56</v>
      </c>
      <c r="L2" s="52" t="s">
        <v>57</v>
      </c>
      <c r="M2" s="52" t="s">
        <v>58</v>
      </c>
      <c r="N2" s="52" t="s">
        <v>59</v>
      </c>
      <c r="O2" s="52" t="s">
        <v>60</v>
      </c>
      <c r="P2" s="52" t="s">
        <v>61</v>
      </c>
      <c r="Q2" s="52" t="s">
        <v>62</v>
      </c>
      <c r="R2" s="52" t="s">
        <v>63</v>
      </c>
      <c r="S2" s="52" t="s">
        <v>64</v>
      </c>
      <c r="T2" s="52" t="s">
        <v>65</v>
      </c>
      <c r="U2" s="52" t="s">
        <v>66</v>
      </c>
    </row>
    <row r="3" spans="1:25" ht="45" customHeight="1" x14ac:dyDescent="0.25">
      <c r="A3" s="16" t="str">
        <f>'M-Regla'!A3</f>
        <v>id</v>
      </c>
      <c r="B3" s="17" t="str">
        <f>'M-Regla'!A2</f>
        <v>Representa un identificador que hará unico cada objeto de dominio de este tipo, no se puede repetir</v>
      </c>
      <c r="C3" s="16" t="s">
        <v>67</v>
      </c>
      <c r="D3" s="16" t="s">
        <v>68</v>
      </c>
      <c r="E3" s="16" t="s">
        <v>67</v>
      </c>
      <c r="F3" s="16" t="s">
        <v>69</v>
      </c>
      <c r="G3" s="16" t="s">
        <v>69</v>
      </c>
      <c r="H3" s="16" t="s">
        <v>69</v>
      </c>
      <c r="I3" s="16" t="s">
        <v>69</v>
      </c>
      <c r="J3" s="16" t="s">
        <v>69</v>
      </c>
      <c r="K3" s="16" t="s">
        <v>69</v>
      </c>
      <c r="L3" s="16" t="s">
        <v>69</v>
      </c>
      <c r="M3" s="17" t="s">
        <v>69</v>
      </c>
      <c r="N3" s="16" t="s">
        <v>70</v>
      </c>
      <c r="O3" s="16" t="s">
        <v>69</v>
      </c>
      <c r="P3" s="16" t="s">
        <v>69</v>
      </c>
      <c r="Q3" s="16" t="s">
        <v>70</v>
      </c>
      <c r="R3" s="16" t="s">
        <v>70</v>
      </c>
      <c r="S3" s="16" t="s">
        <v>70</v>
      </c>
      <c r="T3" s="16" t="s">
        <v>71</v>
      </c>
      <c r="U3" s="16" t="s">
        <v>67</v>
      </c>
    </row>
    <row r="4" spans="1:25" ht="30" customHeight="1" x14ac:dyDescent="0.25">
      <c r="A4" s="16" t="str">
        <f>'M-Regla'!B3</f>
        <v>toleranciaTardanzaCliente</v>
      </c>
      <c r="B4" s="17" t="str">
        <f>'M-Regla'!B2</f>
        <v>Representa la cantidad de minutos maxima que un cliente puede llegar tarde</v>
      </c>
      <c r="C4" s="16" t="s">
        <v>70</v>
      </c>
      <c r="D4" s="16" t="s">
        <v>157</v>
      </c>
      <c r="E4" s="16" t="s">
        <v>70</v>
      </c>
      <c r="F4" s="16" t="s">
        <v>69</v>
      </c>
      <c r="G4" s="16" t="s">
        <v>69</v>
      </c>
      <c r="H4" s="16" t="s">
        <v>69</v>
      </c>
      <c r="I4" s="16" t="s">
        <v>69</v>
      </c>
      <c r="J4" s="16">
        <v>0</v>
      </c>
      <c r="K4" s="16">
        <v>59</v>
      </c>
      <c r="L4" s="16" t="s">
        <v>69</v>
      </c>
      <c r="M4" s="17" t="s">
        <v>69</v>
      </c>
      <c r="N4" s="16" t="s">
        <v>70</v>
      </c>
      <c r="O4" s="16" t="s">
        <v>69</v>
      </c>
      <c r="P4" s="16" t="s">
        <v>69</v>
      </c>
      <c r="Q4" s="16" t="s">
        <v>69</v>
      </c>
      <c r="R4" s="16" t="s">
        <v>69</v>
      </c>
      <c r="S4" s="16" t="s">
        <v>70</v>
      </c>
      <c r="T4" s="92">
        <v>0</v>
      </c>
      <c r="U4" s="16" t="s">
        <v>70</v>
      </c>
    </row>
    <row r="5" spans="1:25" ht="45" customHeight="1" x14ac:dyDescent="0.25">
      <c r="A5" s="16" t="str">
        <f>'M-Regla'!C3</f>
        <v>montoMultaTardanzaCliente</v>
      </c>
      <c r="B5" s="17" t="str">
        <f>'M-Regla'!C2</f>
        <v>Representa la cantidad de dinero que el cliente debe de pagar en pesos colombianos, por superar la toleranciaTardanza</v>
      </c>
      <c r="C5" s="16" t="s">
        <v>70</v>
      </c>
      <c r="D5" s="16" t="s">
        <v>157</v>
      </c>
      <c r="E5" s="16" t="s">
        <v>70</v>
      </c>
      <c r="F5" s="16" t="s">
        <v>69</v>
      </c>
      <c r="G5" s="16" t="s">
        <v>69</v>
      </c>
      <c r="H5" s="16" t="s">
        <v>69</v>
      </c>
      <c r="I5" s="16" t="s">
        <v>69</v>
      </c>
      <c r="J5" s="16">
        <v>0</v>
      </c>
      <c r="K5" s="74">
        <v>1000000</v>
      </c>
      <c r="L5" s="16" t="s">
        <v>69</v>
      </c>
      <c r="M5" s="17" t="s">
        <v>69</v>
      </c>
      <c r="N5" s="16" t="s">
        <v>70</v>
      </c>
      <c r="O5" s="16" t="s">
        <v>69</v>
      </c>
      <c r="P5" s="16" t="s">
        <v>69</v>
      </c>
      <c r="Q5" s="16" t="s">
        <v>69</v>
      </c>
      <c r="R5" s="16" t="s">
        <v>69</v>
      </c>
      <c r="S5" s="16" t="s">
        <v>70</v>
      </c>
      <c r="T5" s="92">
        <v>0</v>
      </c>
      <c r="U5" s="16" t="s">
        <v>70</v>
      </c>
    </row>
    <row r="6" spans="1:25" ht="45" customHeight="1" x14ac:dyDescent="0.25">
      <c r="A6" s="16" t="str">
        <f>'M-Regla'!D3</f>
        <v>numeroMultasMaxima</v>
      </c>
      <c r="B6" s="17" t="str">
        <f>'M-Regla'!D2</f>
        <v>Representa la maxima de multas que pueda tener un cliente sin pagar, a partir de esta cantidad se le hace un veto al cliente</v>
      </c>
      <c r="C6" s="16" t="s">
        <v>70</v>
      </c>
      <c r="D6" s="16" t="s">
        <v>157</v>
      </c>
      <c r="E6" s="16" t="s">
        <v>70</v>
      </c>
      <c r="F6" s="16" t="s">
        <v>69</v>
      </c>
      <c r="G6" s="16" t="s">
        <v>69</v>
      </c>
      <c r="H6" s="16" t="s">
        <v>69</v>
      </c>
      <c r="I6" s="16" t="s">
        <v>69</v>
      </c>
      <c r="J6" s="16">
        <v>0</v>
      </c>
      <c r="K6" s="16">
        <v>100</v>
      </c>
      <c r="L6" s="16" t="s">
        <v>69</v>
      </c>
      <c r="M6" s="17" t="s">
        <v>69</v>
      </c>
      <c r="N6" s="16" t="s">
        <v>70</v>
      </c>
      <c r="O6" s="16" t="s">
        <v>69</v>
      </c>
      <c r="P6" s="16" t="s">
        <v>69</v>
      </c>
      <c r="Q6" s="16" t="s">
        <v>69</v>
      </c>
      <c r="R6" s="16" t="s">
        <v>69</v>
      </c>
      <c r="S6" s="16" t="s">
        <v>70</v>
      </c>
      <c r="T6" s="92">
        <v>0</v>
      </c>
      <c r="U6" s="16" t="s">
        <v>70</v>
      </c>
    </row>
    <row r="7" spans="1:25" ht="60" customHeight="1" x14ac:dyDescent="0.25">
      <c r="A7" s="16" t="str">
        <f>'M-Regla'!E3</f>
        <v>toleranciaTardanzaBarbero</v>
      </c>
      <c r="B7" s="17" t="str">
        <f>'M-Regla'!E2</f>
        <v>Representa la cantidad de minutos que un barbero puede demorarse en atender a un cliente, en caso de que el barbero se demore mas de lo previsto en su cita anterior</v>
      </c>
      <c r="C7" s="16" t="s">
        <v>70</v>
      </c>
      <c r="D7" s="16" t="s">
        <v>157</v>
      </c>
      <c r="E7" s="16" t="s">
        <v>70</v>
      </c>
      <c r="F7" s="16" t="s">
        <v>69</v>
      </c>
      <c r="G7" s="16" t="s">
        <v>69</v>
      </c>
      <c r="H7" s="16" t="s">
        <v>69</v>
      </c>
      <c r="I7" s="16" t="s">
        <v>69</v>
      </c>
      <c r="J7" s="16">
        <v>0</v>
      </c>
      <c r="K7" s="16">
        <v>59</v>
      </c>
      <c r="L7" s="16" t="s">
        <v>69</v>
      </c>
      <c r="M7" s="17" t="s">
        <v>69</v>
      </c>
      <c r="N7" s="16" t="s">
        <v>70</v>
      </c>
      <c r="O7" s="16" t="s">
        <v>69</v>
      </c>
      <c r="P7" s="16" t="s">
        <v>69</v>
      </c>
      <c r="Q7" s="16" t="s">
        <v>69</v>
      </c>
      <c r="R7" s="16" t="s">
        <v>69</v>
      </c>
      <c r="S7" s="16" t="s">
        <v>70</v>
      </c>
      <c r="T7" s="92">
        <v>0</v>
      </c>
      <c r="U7" s="16" t="s">
        <v>70</v>
      </c>
    </row>
    <row r="8" spans="1:25" ht="60" customHeight="1" x14ac:dyDescent="0.25">
      <c r="A8" s="16" t="str">
        <f>'M-Regla'!F3</f>
        <v>porcentajeDescuentoCita</v>
      </c>
      <c r="B8" s="17" t="str">
        <f>'M-Regla'!F2</f>
        <v>Representa la cantidad cuanto descuento va a tener un cliente en la cita con el barbero, como recompesa por esperar al barbero mas de la tolerancia permitida</v>
      </c>
      <c r="C8" s="16" t="s">
        <v>70</v>
      </c>
      <c r="D8" s="16" t="s">
        <v>157</v>
      </c>
      <c r="E8" s="16" t="s">
        <v>70</v>
      </c>
      <c r="F8" s="16" t="s">
        <v>69</v>
      </c>
      <c r="G8" s="16" t="s">
        <v>69</v>
      </c>
      <c r="H8" s="16" t="s">
        <v>69</v>
      </c>
      <c r="I8" s="16" t="s">
        <v>69</v>
      </c>
      <c r="J8" s="16">
        <v>0</v>
      </c>
      <c r="K8" s="16">
        <v>100</v>
      </c>
      <c r="L8" s="16" t="s">
        <v>69</v>
      </c>
      <c r="M8" s="17" t="s">
        <v>69</v>
      </c>
      <c r="N8" s="16" t="s">
        <v>70</v>
      </c>
      <c r="O8" s="16" t="s">
        <v>69</v>
      </c>
      <c r="P8" s="16" t="s">
        <v>69</v>
      </c>
      <c r="Q8" s="16" t="s">
        <v>69</v>
      </c>
      <c r="R8" s="16" t="s">
        <v>69</v>
      </c>
      <c r="S8" s="16" t="s">
        <v>70</v>
      </c>
      <c r="T8" s="92">
        <v>0</v>
      </c>
      <c r="U8" s="16" t="s">
        <v>70</v>
      </c>
    </row>
    <row r="9" spans="1:25" ht="60" customHeight="1" x14ac:dyDescent="0.25">
      <c r="A9" s="75" t="str">
        <f>'M-Regla'!G3</f>
        <v>tiempoEnHorasAnticipacionDelBarberoParaCancelarUnaCita</v>
      </c>
      <c r="B9" s="76" t="str">
        <f>'M-Regla'!G2</f>
        <v>Representa la parte en horas del tiempo mínimo de anticipación con el que un barbero pueda cancelar una cita con el cliente. El barbero no podrá cancelar la cita cuando falte menos del tiempo indicado</v>
      </c>
      <c r="C9" s="16" t="s">
        <v>70</v>
      </c>
      <c r="D9" s="16" t="s">
        <v>157</v>
      </c>
      <c r="E9" s="16" t="s">
        <v>70</v>
      </c>
      <c r="F9" s="16" t="s">
        <v>69</v>
      </c>
      <c r="G9" s="16" t="s">
        <v>69</v>
      </c>
      <c r="H9" s="16" t="s">
        <v>69</v>
      </c>
      <c r="I9" s="16" t="s">
        <v>69</v>
      </c>
      <c r="J9" s="16">
        <v>0</v>
      </c>
      <c r="K9" s="77">
        <v>720</v>
      </c>
      <c r="L9" s="16" t="s">
        <v>69</v>
      </c>
      <c r="M9" s="17" t="s">
        <v>69</v>
      </c>
      <c r="N9" s="16" t="s">
        <v>70</v>
      </c>
      <c r="O9" s="16" t="s">
        <v>69</v>
      </c>
      <c r="P9" s="16" t="s">
        <v>69</v>
      </c>
      <c r="Q9" s="16" t="s">
        <v>69</v>
      </c>
      <c r="R9" s="16" t="s">
        <v>69</v>
      </c>
      <c r="S9" s="16" t="s">
        <v>70</v>
      </c>
      <c r="T9" s="92">
        <v>0</v>
      </c>
      <c r="U9" s="16" t="s">
        <v>70</v>
      </c>
      <c r="V9" s="78"/>
      <c r="W9" s="78"/>
      <c r="X9" s="78"/>
      <c r="Y9" s="78"/>
    </row>
    <row r="10" spans="1:25" ht="60" customHeight="1" x14ac:dyDescent="0.25">
      <c r="A10" s="75" t="str">
        <f>'M-Regla'!H3</f>
        <v>tiempoEnMinutosAnticipacionDelBarberoParaCancelarUnaCita</v>
      </c>
      <c r="B10" s="76" t="str">
        <f>'M-Regla'!H2</f>
        <v>Representa la parte en minutos del tiempo mínimo de anticipación con el que un barbero puede cancelar una cita con el cliente. El barbero no podrá cancelar la cita cuando falte menos del tiempo indicado</v>
      </c>
      <c r="C10" s="16" t="s">
        <v>70</v>
      </c>
      <c r="D10" s="16" t="s">
        <v>157</v>
      </c>
      <c r="E10" s="16" t="s">
        <v>70</v>
      </c>
      <c r="F10" s="16" t="s">
        <v>69</v>
      </c>
      <c r="G10" s="16" t="s">
        <v>69</v>
      </c>
      <c r="H10" s="16" t="s">
        <v>69</v>
      </c>
      <c r="I10" s="16" t="s">
        <v>69</v>
      </c>
      <c r="J10" s="16">
        <v>0</v>
      </c>
      <c r="K10" s="77">
        <v>59</v>
      </c>
      <c r="L10" s="16" t="s">
        <v>69</v>
      </c>
      <c r="M10" s="17" t="s">
        <v>69</v>
      </c>
      <c r="N10" s="16" t="s">
        <v>70</v>
      </c>
      <c r="O10" s="16" t="s">
        <v>69</v>
      </c>
      <c r="P10" s="16" t="s">
        <v>69</v>
      </c>
      <c r="Q10" s="16" t="s">
        <v>69</v>
      </c>
      <c r="R10" s="16" t="s">
        <v>69</v>
      </c>
      <c r="S10" s="16" t="s">
        <v>70</v>
      </c>
      <c r="T10" s="92">
        <v>0</v>
      </c>
      <c r="U10" s="16" t="s">
        <v>70</v>
      </c>
      <c r="V10" s="78"/>
      <c r="W10" s="78"/>
      <c r="X10" s="78"/>
      <c r="Y10" s="78"/>
    </row>
    <row r="11" spans="1:25" ht="60" customHeight="1" x14ac:dyDescent="0.25">
      <c r="A11" s="79" t="str">
        <f>'M-Regla'!I3</f>
        <v>tiempoEnHorasAnticipacionDelClienteParaCancelarUnaCita</v>
      </c>
      <c r="B11" s="80" t="str">
        <f>'M-Regla'!I2</f>
        <v>Representa la parte en horas del tiempo mínimo de anticipación con el que un cliente puede cancelar una cita con el barbero. El cliente no podrá cancelar la cita cuando falte menos del tiempo indicado</v>
      </c>
      <c r="C11" s="16" t="s">
        <v>70</v>
      </c>
      <c r="D11" s="16" t="s">
        <v>157</v>
      </c>
      <c r="E11" s="16" t="s">
        <v>70</v>
      </c>
      <c r="F11" s="16" t="s">
        <v>69</v>
      </c>
      <c r="G11" s="16" t="s">
        <v>69</v>
      </c>
      <c r="H11" s="16" t="s">
        <v>69</v>
      </c>
      <c r="I11" s="16" t="s">
        <v>69</v>
      </c>
      <c r="J11" s="16">
        <v>0</v>
      </c>
      <c r="K11" s="77">
        <v>720</v>
      </c>
      <c r="L11" s="16" t="s">
        <v>69</v>
      </c>
      <c r="M11" s="17" t="s">
        <v>69</v>
      </c>
      <c r="N11" s="16" t="s">
        <v>70</v>
      </c>
      <c r="O11" s="16" t="s">
        <v>69</v>
      </c>
      <c r="P11" s="16" t="s">
        <v>69</v>
      </c>
      <c r="Q11" s="16" t="s">
        <v>69</v>
      </c>
      <c r="R11" s="16" t="s">
        <v>69</v>
      </c>
      <c r="S11" s="16" t="s">
        <v>70</v>
      </c>
      <c r="T11" s="92">
        <v>0</v>
      </c>
      <c r="U11" s="16" t="s">
        <v>70</v>
      </c>
      <c r="V11" s="78"/>
      <c r="W11" s="78"/>
      <c r="X11" s="78"/>
      <c r="Y11" s="78"/>
    </row>
    <row r="12" spans="1:25" ht="60" customHeight="1" x14ac:dyDescent="0.25">
      <c r="A12" s="75" t="str">
        <f>'M-Regla'!J3</f>
        <v>tiempoEnMinutosAnticipacionDelClienteParaCancelarUnaCita</v>
      </c>
      <c r="B12" s="76" t="str">
        <f>'M-Regla'!J2</f>
        <v>Representa la parte en minutos del tiempo mínimo de anticipación con el que un cliente puede cancelar una cita con el barbero. El cliente no podrá cancelar la cita cuando falte menos del tiempo indicado</v>
      </c>
      <c r="C12" s="16" t="s">
        <v>70</v>
      </c>
      <c r="D12" s="16" t="s">
        <v>157</v>
      </c>
      <c r="E12" s="16" t="s">
        <v>70</v>
      </c>
      <c r="F12" s="16" t="s">
        <v>69</v>
      </c>
      <c r="G12" s="16" t="s">
        <v>69</v>
      </c>
      <c r="H12" s="16" t="s">
        <v>69</v>
      </c>
      <c r="I12" s="16" t="s">
        <v>69</v>
      </c>
      <c r="J12" s="16">
        <v>0</v>
      </c>
      <c r="K12" s="77">
        <v>59</v>
      </c>
      <c r="L12" s="16" t="s">
        <v>69</v>
      </c>
      <c r="M12" s="17" t="s">
        <v>69</v>
      </c>
      <c r="N12" s="16" t="s">
        <v>70</v>
      </c>
      <c r="O12" s="16" t="s">
        <v>69</v>
      </c>
      <c r="P12" s="16" t="s">
        <v>69</v>
      </c>
      <c r="Q12" s="16" t="s">
        <v>69</v>
      </c>
      <c r="R12" s="16" t="s">
        <v>69</v>
      </c>
      <c r="S12" s="16" t="s">
        <v>70</v>
      </c>
      <c r="T12" s="92">
        <v>0</v>
      </c>
      <c r="U12" s="16" t="s">
        <v>70</v>
      </c>
      <c r="V12" s="78"/>
      <c r="W12" s="78"/>
      <c r="X12" s="78"/>
      <c r="Y12" s="78"/>
    </row>
    <row r="13" spans="1:25" ht="15" customHeight="1" x14ac:dyDescent="0.25">
      <c r="A13" s="81"/>
      <c r="B13" s="81"/>
      <c r="C13" s="82"/>
      <c r="D13" s="82"/>
      <c r="E13" s="82"/>
      <c r="F13" s="82"/>
      <c r="G13" s="82"/>
      <c r="H13" s="82"/>
      <c r="I13" s="82"/>
      <c r="J13" s="82"/>
      <c r="K13" s="82"/>
      <c r="L13" s="82"/>
      <c r="M13" s="82"/>
      <c r="N13" s="82"/>
      <c r="O13" s="82"/>
      <c r="P13" s="82"/>
      <c r="Q13" s="82"/>
      <c r="R13" s="82"/>
      <c r="S13" s="82"/>
      <c r="T13" s="82"/>
      <c r="U13" s="82"/>
      <c r="V13" s="82"/>
      <c r="W13" s="82"/>
      <c r="X13" s="82"/>
      <c r="Y13" s="82"/>
    </row>
    <row r="14" spans="1:25" ht="15" customHeight="1" x14ac:dyDescent="0.25">
      <c r="A14" s="81"/>
      <c r="B14" s="81"/>
      <c r="C14" s="82"/>
      <c r="D14" s="82"/>
      <c r="E14" s="82"/>
      <c r="F14" s="82"/>
      <c r="G14" s="82"/>
      <c r="H14" s="82"/>
      <c r="I14" s="82"/>
      <c r="J14" s="82"/>
      <c r="K14" s="82"/>
      <c r="L14" s="82"/>
      <c r="M14" s="82"/>
      <c r="N14" s="82"/>
      <c r="O14" s="82"/>
      <c r="P14" s="82"/>
      <c r="Q14" s="82"/>
      <c r="R14" s="82"/>
      <c r="S14" s="82"/>
      <c r="T14" s="82"/>
      <c r="U14" s="82"/>
      <c r="V14" s="82"/>
      <c r="W14" s="82"/>
      <c r="X14" s="82"/>
      <c r="Y14" s="82"/>
    </row>
    <row r="15" spans="1:25" ht="15" customHeight="1" x14ac:dyDescent="0.25">
      <c r="A15" s="81"/>
      <c r="B15" s="81"/>
      <c r="C15" s="82"/>
      <c r="D15" s="82"/>
      <c r="E15" s="82"/>
      <c r="F15" s="82"/>
      <c r="G15" s="82"/>
      <c r="H15" s="82"/>
      <c r="I15" s="82"/>
      <c r="J15" s="82"/>
      <c r="K15" s="82"/>
      <c r="L15" s="82"/>
      <c r="M15" s="82"/>
      <c r="N15" s="82"/>
      <c r="O15" s="82"/>
      <c r="P15" s="82"/>
      <c r="Q15" s="82"/>
      <c r="R15" s="82"/>
      <c r="S15" s="82"/>
      <c r="T15" s="82"/>
      <c r="U15" s="82"/>
      <c r="V15" s="82"/>
      <c r="W15" s="82"/>
      <c r="X15" s="82"/>
      <c r="Y15" s="82"/>
    </row>
    <row r="16" spans="1:25" ht="15" customHeight="1" x14ac:dyDescent="0.25">
      <c r="A16" s="81"/>
      <c r="B16" s="81"/>
      <c r="C16" s="82"/>
      <c r="D16" s="82"/>
      <c r="E16" s="82"/>
      <c r="F16" s="82"/>
      <c r="G16" s="82"/>
      <c r="H16" s="82"/>
      <c r="I16" s="82"/>
      <c r="J16" s="82"/>
      <c r="K16" s="82"/>
      <c r="L16" s="82"/>
      <c r="M16" s="82"/>
      <c r="N16" s="82"/>
      <c r="O16" s="82"/>
      <c r="P16" s="82"/>
      <c r="Q16" s="82"/>
      <c r="R16" s="82"/>
      <c r="S16" s="82"/>
      <c r="T16" s="82"/>
      <c r="U16" s="82"/>
      <c r="V16" s="82"/>
      <c r="W16" s="82"/>
      <c r="X16" s="82"/>
      <c r="Y16" s="82"/>
    </row>
    <row r="17" spans="1:25" ht="15" customHeight="1" x14ac:dyDescent="0.25">
      <c r="A17" s="82"/>
      <c r="B17" s="82"/>
      <c r="C17" s="82"/>
      <c r="D17" s="82"/>
      <c r="E17" s="82"/>
      <c r="F17" s="82"/>
      <c r="G17" s="82"/>
      <c r="H17" s="82"/>
      <c r="I17" s="82"/>
      <c r="J17" s="82"/>
      <c r="K17" s="82"/>
      <c r="L17" s="82"/>
      <c r="M17" s="82"/>
      <c r="N17" s="82"/>
      <c r="O17" s="82"/>
      <c r="P17" s="82"/>
      <c r="Q17" s="82"/>
      <c r="R17" s="82"/>
      <c r="S17" s="82"/>
      <c r="T17" s="82"/>
      <c r="U17" s="82"/>
      <c r="V17" s="82"/>
      <c r="W17" s="82"/>
      <c r="X17" s="82"/>
      <c r="Y17" s="82"/>
    </row>
    <row r="18" spans="1:25" ht="15" customHeight="1" x14ac:dyDescent="0.25">
      <c r="A18" s="83"/>
      <c r="B18" s="83"/>
      <c r="C18" s="83"/>
      <c r="D18" s="82"/>
      <c r="E18" s="82"/>
      <c r="F18" s="82"/>
      <c r="G18" s="82"/>
      <c r="H18" s="82"/>
      <c r="I18" s="82"/>
      <c r="J18" s="82"/>
      <c r="K18" s="82"/>
      <c r="L18" s="82"/>
      <c r="M18" s="82"/>
      <c r="N18" s="82"/>
      <c r="O18" s="82"/>
      <c r="P18" s="82"/>
      <c r="Q18" s="82"/>
      <c r="R18" s="82"/>
      <c r="S18" s="82"/>
      <c r="T18" s="82"/>
      <c r="U18" s="82"/>
      <c r="V18" s="82"/>
      <c r="W18" s="82"/>
      <c r="X18" s="82"/>
      <c r="Y18" s="82"/>
    </row>
    <row r="19" spans="1:25" ht="15" customHeight="1" x14ac:dyDescent="0.25">
      <c r="A19" s="82"/>
      <c r="B19" s="82"/>
      <c r="C19" s="82"/>
      <c r="D19" s="82"/>
      <c r="E19" s="82"/>
      <c r="F19" s="82"/>
      <c r="G19" s="82"/>
      <c r="H19" s="82"/>
      <c r="I19" s="82"/>
      <c r="J19" s="82"/>
      <c r="K19" s="82"/>
      <c r="L19" s="82"/>
      <c r="M19" s="82"/>
      <c r="N19" s="82"/>
      <c r="O19" s="82"/>
      <c r="P19" s="82"/>
      <c r="Q19" s="82"/>
      <c r="R19" s="82"/>
      <c r="S19" s="82"/>
      <c r="T19" s="82"/>
      <c r="U19" s="82"/>
      <c r="V19" s="82"/>
      <c r="W19" s="82"/>
      <c r="X19" s="82"/>
      <c r="Y19" s="82"/>
    </row>
  </sheetData>
  <hyperlinks>
    <hyperlink ref="A1" location="'Modelo de Dominio'!A1" display="&lt;&lt;&lt;&lt; Ir al modulo de dominio" xr:uid="{00000000-0004-0000-0E00-000000000000}"/>
    <hyperlink ref="B1" location="'Objetos de Dominio'!A1" display="&lt;&lt;&lt;&lt; Ir a objetos de dominio" xr:uid="{00000000-0004-0000-0E00-000001000000}"/>
  </hyperlink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6"/>
  <sheetViews>
    <sheetView showGridLines="0" zoomScaleNormal="100" workbookViewId="0">
      <selection activeCell="O4" sqref="O4"/>
    </sheetView>
  </sheetViews>
  <sheetFormatPr baseColWidth="10" defaultColWidth="8.7109375" defaultRowHeight="15" x14ac:dyDescent="0.25"/>
  <cols>
    <col min="1" max="1" width="16" customWidth="1"/>
    <col min="2" max="2" width="29.140625" bestFit="1" customWidth="1"/>
    <col min="3" max="3" width="36.28515625" bestFit="1" customWidth="1"/>
    <col min="4" max="5" width="20"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Dominio'!A7</f>
        <v>Regla</v>
      </c>
      <c r="C2" s="185"/>
      <c r="D2" s="185"/>
      <c r="E2" s="185"/>
    </row>
    <row r="3" spans="1:5" ht="30" customHeight="1" x14ac:dyDescent="0.25">
      <c r="A3" s="23" t="s">
        <v>84</v>
      </c>
      <c r="B3" s="186" t="str">
        <f>'Objetos de Dominio'!B7</f>
        <v>Representa las políticas de la barbería frente al incumplimiento de clientes y barberos: tolerancias de tardanza, monto de la multa fija, número máximo de multas sin pagar antes del veto, y el descuento que se da cuando el barbero se demora</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42" customHeight="1" x14ac:dyDescent="0.25">
      <c r="A6" s="8" t="s">
        <v>193</v>
      </c>
      <c r="B6" s="205" t="s">
        <v>630</v>
      </c>
      <c r="C6" s="205"/>
      <c r="D6" s="24" t="s">
        <v>19</v>
      </c>
      <c r="E6" s="24"/>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0F00-000000000000}"/>
    <hyperlink ref="B1" location="'Objetos de Dominio'!A1" display="&lt;&lt; Ir al listado de objetos de dominio" xr:uid="{00000000-0004-0000-0F00-000001000000}"/>
    <hyperlink ref="C1" location="'C-Regla'!A1" display="&lt;&lt; Ir a la caracterización del objeto de dominio" xr:uid="{00000000-0004-0000-0F00-000002000000}"/>
    <hyperlink ref="D1" location="'M-Regla'!A1" display="Ir al muestreo de datos del objeto de dominio &gt;&gt;" xr:uid="{00000000-0004-0000-0F00-000003000000}"/>
    <hyperlink ref="E1" location="'E-Regla'!A1" display="Ir al event storming del objeto de dominio &gt;&gt;" xr:uid="{2B686172-CE98-4697-ACA2-8B4BC42D0942}"/>
  </hyperlink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1"/>
  <sheetViews>
    <sheetView showGridLines="0" zoomScaleNormal="100" workbookViewId="0">
      <selection activeCell="G10" sqref="G10"/>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1.42578125"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Dominio'!A7</f>
        <v>Regla</v>
      </c>
      <c r="C2" s="194"/>
      <c r="D2" s="194"/>
      <c r="E2" s="194"/>
      <c r="F2" s="194"/>
      <c r="G2" s="194"/>
      <c r="H2" s="194"/>
      <c r="I2" s="194"/>
      <c r="J2" s="194"/>
      <c r="K2" s="194"/>
    </row>
    <row r="3" spans="1:11" ht="30" customHeight="1" x14ac:dyDescent="0.25">
      <c r="A3" s="23" t="s">
        <v>84</v>
      </c>
      <c r="B3" s="195" t="str">
        <f>'Objetos de Dominio'!B7</f>
        <v>Representa las políticas de la barbería frente al incumplimiento de clientes y barberos: tolerancias de tardanza, monto de la multa fija, número máximo de multas sin pagar antes del veto, y el descuento que se da cuando el barbero se demora</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67.5" x14ac:dyDescent="0.25">
      <c r="A7" s="3" t="s">
        <v>107</v>
      </c>
      <c r="B7" s="33" t="s">
        <v>194</v>
      </c>
      <c r="C7" s="33" t="s">
        <v>635</v>
      </c>
      <c r="D7" s="3" t="str">
        <f>$B$2</f>
        <v>Regla</v>
      </c>
      <c r="E7" s="33"/>
      <c r="F7" s="33"/>
      <c r="G7" s="176" t="str">
        <f>'P-Regla'!A6</f>
        <v>P-REG-0001</v>
      </c>
      <c r="H7" s="178" t="s">
        <v>629</v>
      </c>
      <c r="I7" s="3"/>
      <c r="J7" s="33" t="s">
        <v>195</v>
      </c>
      <c r="K7" s="33"/>
    </row>
    <row r="8" spans="1:11" ht="30" customHeight="1" x14ac:dyDescent="0.25">
      <c r="A8" s="3" t="s">
        <v>107</v>
      </c>
      <c r="B8" s="33" t="s">
        <v>196</v>
      </c>
      <c r="C8" s="33" t="s">
        <v>197</v>
      </c>
      <c r="D8" s="3" t="str">
        <f>$B$2</f>
        <v>Regla</v>
      </c>
      <c r="E8" s="33"/>
      <c r="F8" s="33"/>
      <c r="G8" s="176" t="str">
        <f>'P-Regla'!A6</f>
        <v>P-REG-0001</v>
      </c>
      <c r="H8" s="178" t="s">
        <v>629</v>
      </c>
      <c r="I8" s="3"/>
      <c r="J8" s="33" t="s">
        <v>198</v>
      </c>
      <c r="K8" s="33"/>
    </row>
    <row r="9" spans="1:11" ht="30" customHeight="1" x14ac:dyDescent="0.25">
      <c r="A9" s="3" t="s">
        <v>107</v>
      </c>
      <c r="B9" s="33" t="s">
        <v>199</v>
      </c>
      <c r="C9" s="33" t="s">
        <v>200</v>
      </c>
      <c r="D9" s="3" t="str">
        <f>$B$2</f>
        <v>Regla</v>
      </c>
      <c r="E9" s="33"/>
      <c r="F9" s="33"/>
      <c r="G9" s="3"/>
      <c r="H9" s="34"/>
      <c r="I9" s="3"/>
      <c r="J9" s="33" t="s">
        <v>201</v>
      </c>
      <c r="K9" s="33"/>
    </row>
    <row r="10" spans="1:11" ht="30" customHeight="1" x14ac:dyDescent="0.25">
      <c r="A10" s="3" t="s">
        <v>25</v>
      </c>
      <c r="B10" s="33" t="s">
        <v>199</v>
      </c>
      <c r="C10" s="33" t="s">
        <v>200</v>
      </c>
      <c r="D10" s="3" t="str">
        <f>$B$2</f>
        <v>Regla</v>
      </c>
      <c r="E10" s="33"/>
      <c r="F10" s="33"/>
      <c r="G10" s="3"/>
      <c r="H10" s="34"/>
      <c r="I10" s="3"/>
      <c r="J10" s="33" t="s">
        <v>201</v>
      </c>
      <c r="K10" s="33"/>
    </row>
    <row r="11" spans="1:11" ht="30" customHeight="1" x14ac:dyDescent="0.25">
      <c r="A11" s="3" t="s">
        <v>27</v>
      </c>
      <c r="B11" s="33" t="s">
        <v>199</v>
      </c>
      <c r="C11" s="33" t="s">
        <v>200</v>
      </c>
      <c r="D11" s="3" t="str">
        <f>$B$2</f>
        <v>Regla</v>
      </c>
      <c r="E11" s="33"/>
      <c r="F11" s="33"/>
      <c r="G11" s="3"/>
      <c r="H11" s="34"/>
      <c r="I11" s="3"/>
      <c r="J11" s="33" t="s">
        <v>201</v>
      </c>
      <c r="K11" s="33"/>
    </row>
  </sheetData>
  <mergeCells count="1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1000-000000000000}"/>
    <hyperlink ref="C1" location="'Objetos de Dominio'!A1" display="&lt;&lt; Ir al listado de objetos de dominio" xr:uid="{00000000-0004-0000-1000-000001000000}"/>
    <hyperlink ref="F1" location="'C-Regla'!A1" display="&lt;&lt; Ir a la caracterización del objeto de dominio" xr:uid="{00000000-0004-0000-1000-000002000000}"/>
    <hyperlink ref="J1" location="'M-Regla'!A1" display="Ir al muestreo de datos del objeto de dominio &gt;&gt;" xr:uid="{00000000-0004-0000-1000-000003000000}"/>
    <hyperlink ref="G7:G8" location="'P-Regla'!A6" display="'P-Regla'!A6" xr:uid="{0336DF0C-86CB-4123-B07A-2677B459A5AB}"/>
    <hyperlink ref="H7:H8" location="'P-Regla'!B6" display="aquí" xr:uid="{3C7ED73E-1FF4-4A59-A9DD-E7B76BB5D63F}"/>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2"/>
  <sheetViews>
    <sheetView zoomScaleNormal="100" workbookViewId="0">
      <selection activeCell="B1" sqref="B1"/>
    </sheetView>
  </sheetViews>
  <sheetFormatPr baseColWidth="10" defaultColWidth="8.7109375" defaultRowHeight="15" x14ac:dyDescent="0.25"/>
  <cols>
    <col min="1" max="1" width="27" bestFit="1" customWidth="1"/>
    <col min="2" max="2" width="26.85546875" customWidth="1"/>
    <col min="3" max="3" width="31.42578125" customWidth="1"/>
    <col min="4" max="4" width="34.42578125" customWidth="1"/>
    <col min="5" max="5" width="28.42578125" customWidth="1"/>
    <col min="6" max="6" width="29.85546875" customWidth="1"/>
    <col min="7" max="7" width="55.140625" customWidth="1"/>
    <col min="8" max="8" width="57.7109375" customWidth="1"/>
    <col min="9" max="9" width="55.140625" customWidth="1"/>
    <col min="10" max="10" width="57.7109375" customWidth="1"/>
  </cols>
  <sheetData>
    <row r="1" spans="1:10" ht="14.25" customHeight="1" x14ac:dyDescent="0.25">
      <c r="A1" s="4" t="s">
        <v>1</v>
      </c>
      <c r="B1" s="4" t="s">
        <v>45</v>
      </c>
    </row>
    <row r="2" spans="1:10" ht="48.75" customHeight="1" x14ac:dyDescent="0.25">
      <c r="A2" s="59" t="s">
        <v>111</v>
      </c>
      <c r="B2" s="60" t="s">
        <v>202</v>
      </c>
      <c r="C2" s="60" t="s">
        <v>203</v>
      </c>
      <c r="D2" s="60" t="s">
        <v>204</v>
      </c>
      <c r="E2" s="60" t="s">
        <v>205</v>
      </c>
      <c r="F2" s="60" t="s">
        <v>206</v>
      </c>
      <c r="G2" s="60" t="s">
        <v>207</v>
      </c>
      <c r="H2" s="60" t="s">
        <v>208</v>
      </c>
      <c r="I2" s="60" t="s">
        <v>209</v>
      </c>
      <c r="J2" s="60" t="s">
        <v>210</v>
      </c>
    </row>
    <row r="3" spans="1:10" ht="14.25" customHeight="1" x14ac:dyDescent="0.25">
      <c r="A3" s="84" t="s">
        <v>114</v>
      </c>
      <c r="B3" s="85" t="s">
        <v>211</v>
      </c>
      <c r="C3" s="85" t="s">
        <v>212</v>
      </c>
      <c r="D3" s="85" t="s">
        <v>213</v>
      </c>
      <c r="E3" s="85" t="s">
        <v>214</v>
      </c>
      <c r="F3" s="85" t="s">
        <v>215</v>
      </c>
      <c r="G3" s="85" t="s">
        <v>216</v>
      </c>
      <c r="H3" s="85" t="s">
        <v>217</v>
      </c>
      <c r="I3" s="85" t="s">
        <v>218</v>
      </c>
      <c r="J3" s="85" t="s">
        <v>219</v>
      </c>
    </row>
    <row r="4" spans="1:10" ht="14.25" customHeight="1" x14ac:dyDescent="0.25">
      <c r="A4" s="40">
        <v>1</v>
      </c>
      <c r="B4" s="40">
        <v>10</v>
      </c>
      <c r="C4" s="86">
        <v>10000</v>
      </c>
      <c r="D4" s="40">
        <v>3</v>
      </c>
      <c r="E4" s="40">
        <v>15</v>
      </c>
      <c r="F4" s="40">
        <v>10</v>
      </c>
      <c r="G4" s="40">
        <v>1</v>
      </c>
      <c r="H4" s="40">
        <v>0</v>
      </c>
      <c r="I4" s="40">
        <v>1</v>
      </c>
      <c r="J4" s="40">
        <v>0</v>
      </c>
    </row>
    <row r="10" spans="1:10" ht="28.5" customHeight="1" x14ac:dyDescent="0.25">
      <c r="A10" s="43"/>
      <c r="B10" s="44" t="s">
        <v>124</v>
      </c>
    </row>
    <row r="11" spans="1:10" ht="28.5" customHeight="1" x14ac:dyDescent="0.25">
      <c r="A11" s="45"/>
      <c r="B11" s="44" t="s">
        <v>125</v>
      </c>
    </row>
    <row r="12" spans="1:10" ht="28.5" customHeight="1" x14ac:dyDescent="0.25">
      <c r="A12" s="87"/>
      <c r="B12" s="44" t="s">
        <v>191</v>
      </c>
    </row>
  </sheetData>
  <hyperlinks>
    <hyperlink ref="A1" location="'Modelo de Dominio'!A1" display="&lt;&lt;&lt;&lt; Ir al modulo de dominio" xr:uid="{00000000-0004-0000-1100-000000000000}"/>
    <hyperlink ref="B1" location="'Objetos de Dominio'!A1" display="&lt;&lt;&lt;&lt; Ir a objetos de dominio" xr:uid="{00000000-0004-0000-1100-000001000000}"/>
  </hyperlink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
  <sheetViews>
    <sheetView zoomScaleNormal="100" workbookViewId="0">
      <selection activeCell="B1" sqref="B1"/>
    </sheetView>
  </sheetViews>
  <sheetFormatPr baseColWidth="10" defaultColWidth="8.7109375" defaultRowHeight="15" x14ac:dyDescent="0.25"/>
  <cols>
    <col min="1" max="1" width="26.7109375" customWidth="1"/>
    <col min="2" max="2" width="45" customWidth="1"/>
    <col min="3" max="3" width="33.285156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30.140625"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5" customHeight="1" x14ac:dyDescent="0.25">
      <c r="A1" s="4" t="s">
        <v>1</v>
      </c>
      <c r="B1" s="4" t="s">
        <v>45</v>
      </c>
    </row>
    <row r="2" spans="1:21" ht="15" customHeight="1" x14ac:dyDescent="0.25">
      <c r="A2" s="14" t="s">
        <v>46</v>
      </c>
      <c r="B2" s="15" t="s">
        <v>47</v>
      </c>
      <c r="C2" s="14" t="s">
        <v>48</v>
      </c>
      <c r="D2" s="14" t="s">
        <v>49</v>
      </c>
      <c r="E2" s="14" t="s">
        <v>50</v>
      </c>
      <c r="F2" s="14" t="s">
        <v>51</v>
      </c>
      <c r="G2" s="14" t="s">
        <v>52</v>
      </c>
      <c r="H2" s="14" t="s">
        <v>53</v>
      </c>
      <c r="I2" s="14" t="s">
        <v>54</v>
      </c>
      <c r="J2" s="14" t="s">
        <v>55</v>
      </c>
      <c r="K2" s="14" t="s">
        <v>56</v>
      </c>
      <c r="L2" s="14" t="s">
        <v>57</v>
      </c>
      <c r="M2" s="15" t="s">
        <v>58</v>
      </c>
      <c r="N2" s="14" t="s">
        <v>59</v>
      </c>
      <c r="O2" s="14" t="s">
        <v>60</v>
      </c>
      <c r="P2" s="14" t="s">
        <v>61</v>
      </c>
      <c r="Q2" s="14" t="s">
        <v>62</v>
      </c>
      <c r="R2" s="14" t="s">
        <v>63</v>
      </c>
      <c r="S2" s="14" t="s">
        <v>64</v>
      </c>
      <c r="T2" s="14" t="s">
        <v>65</v>
      </c>
      <c r="U2" s="14" t="s">
        <v>66</v>
      </c>
    </row>
    <row r="3" spans="1:21" ht="45" customHeight="1" x14ac:dyDescent="0.25">
      <c r="A3" s="16" t="str">
        <f>'M-PrefijoCelular'!A3</f>
        <v>id</v>
      </c>
      <c r="B3" s="17" t="str">
        <f>'M-PrefijoCelular'!A2</f>
        <v>Representa un identificador que hará unico cada objeto de dominio de este tipo, no se puede repetir</v>
      </c>
      <c r="C3" s="16" t="s">
        <v>67</v>
      </c>
      <c r="D3" s="16" t="s">
        <v>68</v>
      </c>
      <c r="E3" s="16" t="s">
        <v>67</v>
      </c>
      <c r="F3" s="16" t="s">
        <v>69</v>
      </c>
      <c r="G3" s="16" t="s">
        <v>69</v>
      </c>
      <c r="H3" s="16" t="s">
        <v>69</v>
      </c>
      <c r="I3" s="16" t="s">
        <v>69</v>
      </c>
      <c r="J3" s="16" t="s">
        <v>69</v>
      </c>
      <c r="K3" s="16" t="s">
        <v>69</v>
      </c>
      <c r="L3" s="16" t="s">
        <v>69</v>
      </c>
      <c r="M3" s="17" t="s">
        <v>69</v>
      </c>
      <c r="N3" s="16" t="s">
        <v>70</v>
      </c>
      <c r="O3" s="16" t="s">
        <v>70</v>
      </c>
      <c r="P3" s="16" t="s">
        <v>69</v>
      </c>
      <c r="Q3" s="16" t="s">
        <v>70</v>
      </c>
      <c r="R3" s="16" t="s">
        <v>70</v>
      </c>
      <c r="S3" s="16" t="s">
        <v>70</v>
      </c>
      <c r="T3" s="16" t="s">
        <v>69</v>
      </c>
      <c r="U3" s="16" t="s">
        <v>67</v>
      </c>
    </row>
    <row r="4" spans="1:21" ht="75" customHeight="1" x14ac:dyDescent="0.25">
      <c r="A4" s="16" t="str">
        <f>'M-PrefijoCelular'!B3</f>
        <v>prefijo</v>
      </c>
      <c r="B4" s="17" t="str">
        <f>'M-PrefijoCelular'!B2</f>
        <v>Representa el primer nombre del barbero que trabaja en barbería</v>
      </c>
      <c r="C4" s="16" t="s">
        <v>70</v>
      </c>
      <c r="D4" s="16" t="s">
        <v>72</v>
      </c>
      <c r="E4" s="16" t="s">
        <v>67</v>
      </c>
      <c r="F4" s="16">
        <v>2</v>
      </c>
      <c r="G4" s="16">
        <v>6</v>
      </c>
      <c r="H4" s="16" t="s">
        <v>69</v>
      </c>
      <c r="I4" s="16" t="s">
        <v>69</v>
      </c>
      <c r="J4" s="16" t="s">
        <v>69</v>
      </c>
      <c r="K4" s="16" t="s">
        <v>69</v>
      </c>
      <c r="L4" s="17" t="s">
        <v>220</v>
      </c>
      <c r="M4" s="17" t="s">
        <v>221</v>
      </c>
      <c r="N4" s="16" t="s">
        <v>70</v>
      </c>
      <c r="O4" s="16" t="s">
        <v>70</v>
      </c>
      <c r="P4" s="16" t="s">
        <v>69</v>
      </c>
      <c r="Q4" s="16" t="s">
        <v>67</v>
      </c>
      <c r="R4" s="16" t="s">
        <v>67</v>
      </c>
      <c r="S4" s="16" t="s">
        <v>70</v>
      </c>
      <c r="T4" s="16" t="s">
        <v>222</v>
      </c>
      <c r="U4" s="16" t="s">
        <v>70</v>
      </c>
    </row>
    <row r="6" spans="1:21" ht="15" customHeight="1" x14ac:dyDescent="0.25">
      <c r="A6" s="18" t="s">
        <v>75</v>
      </c>
      <c r="B6" s="18" t="s">
        <v>76</v>
      </c>
      <c r="C6" s="18" t="s">
        <v>77</v>
      </c>
    </row>
    <row r="7" spans="1:21" ht="30" customHeight="1" x14ac:dyDescent="0.25">
      <c r="A7" s="19" t="str">
        <f>'M-PrefijoCelular'!C3</f>
        <v xml:space="preserve">Combinación única </v>
      </c>
      <c r="B7" s="20" t="str">
        <f>'M-PrefijoCelular'!C2</f>
        <v>Combinacion única que indica que no puede existir más un mismo prefijo</v>
      </c>
      <c r="C7" s="21" t="s">
        <v>223</v>
      </c>
    </row>
  </sheetData>
  <hyperlinks>
    <hyperlink ref="A1" location="'Modelo de Dominio'!A1" display="&lt;&lt;&lt;&lt; Ir al modulo de dominio" xr:uid="{00000000-0004-0000-1200-000000000000}"/>
    <hyperlink ref="B1" location="'Objetos de Dominio'!A1" display="&lt;&lt;&lt;&lt; Ir a objetos de dominio" xr:uid="{00000000-0004-0000-1200-000001000000}"/>
    <hyperlink ref="A3" location="'M-PrefijoCelular'!A3" display="#'M-PrefijoCelular'.A3" xr:uid="{00000000-0004-0000-1200-000002000000}"/>
    <hyperlink ref="B3" location="'M-PrefijoCelular'!A2" display="#'M-PrefijoCelular'.A2" xr:uid="{00000000-0004-0000-1200-000003000000}"/>
    <hyperlink ref="A4" location="'M-PrefijoCelular'!A3" display="#'M-PrefijoCelular'.A3" xr:uid="{00000000-0004-0000-1200-000004000000}"/>
    <hyperlink ref="B4" location="'M-PrefijoCelular'!A2" display="#'M-PrefijoCelular'.A2" xr:uid="{00000000-0004-0000-1200-000005000000}"/>
    <hyperlink ref="A7" location="'M-PrefijoCelular'!A3" display="#'M-PrefijoCelular'.A3" xr:uid="{00000000-0004-0000-1200-000006000000}"/>
    <hyperlink ref="B7" location="'M-PrefijoCelular'!A2" display="#'M-PrefijoCelular'.A2" xr:uid="{00000000-0004-0000-1200-000007000000}"/>
  </hyperlink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6"/>
  <sheetViews>
    <sheetView showGridLines="0" zoomScaleNormal="100" workbookViewId="0">
      <selection activeCell="A2" sqref="A2"/>
    </sheetView>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Dominio'!A8</f>
        <v>PrefijoCelular</v>
      </c>
      <c r="C2" s="185"/>
      <c r="D2" s="185"/>
      <c r="E2" s="185"/>
    </row>
    <row r="3" spans="1:5" ht="30" customHeight="1" x14ac:dyDescent="0.25">
      <c r="A3" s="23" t="s">
        <v>84</v>
      </c>
      <c r="B3" s="186" t="str">
        <f>'Objetos de Dominio'!B8</f>
        <v>Representa el catálogo de prefijos telefónicos de país disponibles para el número de celular de barberos y clientes</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28.5" customHeight="1" x14ac:dyDescent="0.25">
      <c r="A6" s="8"/>
      <c r="B6" s="184" t="s">
        <v>89</v>
      </c>
      <c r="C6" s="184"/>
      <c r="D6" s="24"/>
      <c r="E6" s="24"/>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1300-000000000000}"/>
    <hyperlink ref="B1" location="'Objetos de Dominio'!A1" display="&lt;&lt; Ir al listado de objetos de dominio" xr:uid="{00000000-0004-0000-1300-000001000000}"/>
    <hyperlink ref="C1" location="'C-PrefijoCelular'!A1" display="&lt;&lt; Ir a la caracterización del objeto de dominio" xr:uid="{00000000-0004-0000-1300-000002000000}"/>
    <hyperlink ref="D1" location="'M-PrefijoCelular'!A1" display="Ir al muestreo de datos del objeto de dominio &gt;&gt;" xr:uid="{00000000-0004-0000-1300-000003000000}"/>
    <hyperlink ref="E1" location="'E-PrefijoCelular'!A1" display="Ir al event storming del objeto de dominio &gt;&gt;" xr:uid="{7C838F28-58BD-4ECC-8102-C34AA56D15FC}"/>
  </hyperlink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8"/>
  <sheetViews>
    <sheetView showGridLines="0" topLeftCell="D1" zoomScaleNormal="100" workbookViewId="0">
      <selection activeCell="H7" sqref="H7"/>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Dominio'!A8</f>
        <v>PrefijoCelular</v>
      </c>
      <c r="C2" s="194"/>
      <c r="D2" s="194"/>
      <c r="E2" s="194"/>
      <c r="F2" s="194"/>
      <c r="G2" s="194"/>
      <c r="H2" s="194"/>
      <c r="I2" s="194"/>
      <c r="J2" s="194"/>
      <c r="K2" s="194"/>
    </row>
    <row r="3" spans="1:11" ht="30" customHeight="1" x14ac:dyDescent="0.25">
      <c r="A3" s="23" t="s">
        <v>84</v>
      </c>
      <c r="B3" s="195" t="str">
        <f>'Objetos de Dominio'!B8</f>
        <v>Representa el catálogo de prefijos telefónicos de país disponibles para el número de celular de barberos y clientes</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3" t="s">
        <v>25</v>
      </c>
      <c r="B7" s="33" t="s">
        <v>224</v>
      </c>
      <c r="C7" s="33" t="s">
        <v>225</v>
      </c>
      <c r="D7" s="3" t="str">
        <f>$B$2</f>
        <v>PrefijoCelular</v>
      </c>
      <c r="E7" s="33"/>
      <c r="F7" s="33"/>
      <c r="G7" s="3"/>
      <c r="H7" s="34"/>
      <c r="I7" s="3"/>
      <c r="J7" s="33" t="s">
        <v>226</v>
      </c>
      <c r="K7" s="33"/>
    </row>
    <row r="8" spans="1:11" ht="30" customHeight="1" x14ac:dyDescent="0.25">
      <c r="A8" s="3" t="s">
        <v>27</v>
      </c>
      <c r="B8" s="33" t="s">
        <v>224</v>
      </c>
      <c r="C8" s="33" t="s">
        <v>225</v>
      </c>
      <c r="D8" s="3" t="str">
        <f>$B$2</f>
        <v>PrefijoCelular</v>
      </c>
      <c r="E8" s="33"/>
      <c r="F8" s="33"/>
      <c r="G8" s="3"/>
      <c r="H8" s="34"/>
      <c r="I8" s="3"/>
      <c r="J8" s="33" t="s">
        <v>226</v>
      </c>
      <c r="K8" s="33"/>
    </row>
  </sheetData>
  <mergeCells count="1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1400-000000000000}"/>
    <hyperlink ref="C1" location="'Objetos de Dominio'!A1" display="&lt;&lt; Ir al listado de objetos de dominio" xr:uid="{00000000-0004-0000-1400-000001000000}"/>
    <hyperlink ref="F1" location="'C-PrefijoCelular'!A1" display="&lt;&lt; Ir a la caracterización del objeto de dominio" xr:uid="{00000000-0004-0000-1400-000002000000}"/>
    <hyperlink ref="J1" location="'M-PrefijoCelular'!A1" display="Ir al muestreo de datos del objeto de dominio &gt;&gt;" xr:uid="{00000000-0004-0000-1400-000003000000}"/>
  </hyperlink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6"/>
  <sheetViews>
    <sheetView zoomScaleNormal="100" workbookViewId="0"/>
  </sheetViews>
  <sheetFormatPr baseColWidth="10" defaultColWidth="8.7109375" defaultRowHeight="15" x14ac:dyDescent="0.25"/>
  <cols>
    <col min="1" max="1" width="27" customWidth="1"/>
    <col min="2" max="2" width="26.140625" customWidth="1"/>
    <col min="3" max="3" width="19.7109375" customWidth="1"/>
  </cols>
  <sheetData>
    <row r="1" spans="1:3" ht="14.25" customHeight="1" x14ac:dyDescent="0.25">
      <c r="A1" s="4" t="s">
        <v>1</v>
      </c>
      <c r="B1" s="4" t="s">
        <v>45</v>
      </c>
    </row>
    <row r="2" spans="1:3" ht="31.5" customHeight="1" x14ac:dyDescent="0.25">
      <c r="A2" s="35" t="s">
        <v>111</v>
      </c>
      <c r="B2" s="35" t="s">
        <v>227</v>
      </c>
      <c r="C2" s="36" t="s">
        <v>228</v>
      </c>
    </row>
    <row r="3" spans="1:3" ht="14.25" customHeight="1" x14ac:dyDescent="0.25">
      <c r="A3" s="37" t="s">
        <v>114</v>
      </c>
      <c r="B3" s="38" t="s">
        <v>223</v>
      </c>
      <c r="C3" s="39" t="s">
        <v>115</v>
      </c>
    </row>
    <row r="4" spans="1:3" ht="14.25" customHeight="1" x14ac:dyDescent="0.25">
      <c r="A4" s="40">
        <v>1</v>
      </c>
      <c r="B4" s="40" t="s">
        <v>229</v>
      </c>
      <c r="C4" s="40" t="str">
        <f>B4</f>
        <v>+57</v>
      </c>
    </row>
    <row r="5" spans="1:3" ht="14.25" customHeight="1" x14ac:dyDescent="0.25">
      <c r="A5" s="40">
        <v>2</v>
      </c>
      <c r="B5" s="40" t="s">
        <v>230</v>
      </c>
      <c r="C5" s="40" t="str">
        <f>B5</f>
        <v>+91</v>
      </c>
    </row>
    <row r="6" spans="1:3" ht="14.25" customHeight="1" x14ac:dyDescent="0.25">
      <c r="A6" s="40">
        <v>3</v>
      </c>
      <c r="B6" s="40" t="s">
        <v>231</v>
      </c>
      <c r="C6" s="40" t="str">
        <f>B6</f>
        <v>+593</v>
      </c>
    </row>
    <row r="7" spans="1:3" ht="14.25" customHeight="1" x14ac:dyDescent="0.25">
      <c r="A7" s="40">
        <v>4</v>
      </c>
      <c r="B7" s="40" t="s">
        <v>232</v>
      </c>
      <c r="C7" s="40" t="str">
        <f>B7</f>
        <v>+58</v>
      </c>
    </row>
    <row r="8" spans="1:3" ht="14.25" customHeight="1" x14ac:dyDescent="0.25">
      <c r="A8" s="42"/>
      <c r="B8" s="42"/>
    </row>
    <row r="9" spans="1:3" ht="14.25" customHeight="1" x14ac:dyDescent="0.25">
      <c r="A9" s="42"/>
      <c r="B9" s="42"/>
    </row>
    <row r="13" spans="1:3" ht="28.5" customHeight="1" x14ac:dyDescent="0.25">
      <c r="A13" s="43"/>
      <c r="B13" s="44" t="s">
        <v>124</v>
      </c>
    </row>
    <row r="14" spans="1:3" ht="28.5" customHeight="1" x14ac:dyDescent="0.25">
      <c r="A14" s="45"/>
      <c r="B14" s="44" t="s">
        <v>125</v>
      </c>
    </row>
    <row r="15" spans="1:3" ht="28.5" customHeight="1" x14ac:dyDescent="0.25">
      <c r="A15" s="46"/>
      <c r="B15" s="44" t="s">
        <v>126</v>
      </c>
    </row>
    <row r="16" spans="1:3" ht="28.5" customHeight="1" x14ac:dyDescent="0.25">
      <c r="A16" s="47"/>
      <c r="B16" s="44" t="s">
        <v>127</v>
      </c>
    </row>
  </sheetData>
  <hyperlinks>
    <hyperlink ref="A1" location="'Modelo de Dominio'!A1" display="&lt;&lt;&lt;&lt; Ir al modulo de dominio" xr:uid="{00000000-0004-0000-1500-000000000000}"/>
    <hyperlink ref="B1" location="'Objetos de Dominio'!A1" display="&lt;&lt;&lt;&lt; Ir a objetos de dominio" xr:uid="{00000000-0004-0000-1500-000001000000}"/>
  </hyperlink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8"/>
  <sheetViews>
    <sheetView zoomScaleNormal="100" workbookViewId="0"/>
  </sheetViews>
  <sheetFormatPr baseColWidth="10" defaultColWidth="8.7109375" defaultRowHeight="15" x14ac:dyDescent="0.25"/>
  <cols>
    <col min="1" max="1" width="26.7109375" customWidth="1"/>
    <col min="2" max="2" width="45" customWidth="1"/>
    <col min="3" max="3" width="30.42578125" customWidth="1"/>
    <col min="4" max="4" width="26.710937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s>
  <sheetData>
    <row r="1" spans="1:21" ht="15" customHeight="1" x14ac:dyDescent="0.25">
      <c r="A1" s="4" t="s">
        <v>1</v>
      </c>
      <c r="B1" s="4" t="s">
        <v>45</v>
      </c>
    </row>
    <row r="2" spans="1:21" ht="15" customHeight="1" x14ac:dyDescent="0.25">
      <c r="A2" s="14" t="s">
        <v>46</v>
      </c>
      <c r="B2" s="15" t="s">
        <v>47</v>
      </c>
      <c r="C2" s="14" t="s">
        <v>48</v>
      </c>
      <c r="D2" s="14" t="s">
        <v>49</v>
      </c>
      <c r="E2" s="14" t="s">
        <v>50</v>
      </c>
      <c r="F2" s="14" t="s">
        <v>51</v>
      </c>
      <c r="G2" s="14" t="s">
        <v>52</v>
      </c>
      <c r="H2" s="14" t="s">
        <v>53</v>
      </c>
      <c r="I2" s="14" t="s">
        <v>54</v>
      </c>
      <c r="J2" s="14" t="s">
        <v>55</v>
      </c>
      <c r="K2" s="14" t="s">
        <v>56</v>
      </c>
      <c r="L2" s="14" t="s">
        <v>57</v>
      </c>
      <c r="M2" s="15" t="s">
        <v>58</v>
      </c>
      <c r="N2" s="14" t="s">
        <v>59</v>
      </c>
      <c r="O2" s="14" t="s">
        <v>60</v>
      </c>
      <c r="P2" s="14" t="s">
        <v>61</v>
      </c>
      <c r="Q2" s="14" t="s">
        <v>62</v>
      </c>
      <c r="R2" s="14" t="s">
        <v>63</v>
      </c>
      <c r="S2" s="14" t="s">
        <v>64</v>
      </c>
      <c r="T2" s="14" t="s">
        <v>65</v>
      </c>
      <c r="U2" s="14" t="s">
        <v>66</v>
      </c>
    </row>
    <row r="3" spans="1:21" ht="45" customHeight="1" x14ac:dyDescent="0.25">
      <c r="A3" s="16" t="str">
        <f>'M-TipoMulta'!A3</f>
        <v>id</v>
      </c>
      <c r="B3" s="17" t="str">
        <f>'M-TipoMulta'!A2</f>
        <v>Representa un identificador que hará unico cada objeto de dominio de este tipo, no se puede repetir</v>
      </c>
      <c r="C3" s="16" t="s">
        <v>67</v>
      </c>
      <c r="D3" s="16" t="s">
        <v>68</v>
      </c>
      <c r="E3" s="16" t="s">
        <v>67</v>
      </c>
      <c r="F3" s="16" t="s">
        <v>69</v>
      </c>
      <c r="G3" s="16" t="s">
        <v>69</v>
      </c>
      <c r="H3" s="16" t="s">
        <v>69</v>
      </c>
      <c r="I3" s="16" t="s">
        <v>69</v>
      </c>
      <c r="J3" s="16" t="s">
        <v>69</v>
      </c>
      <c r="K3" s="16" t="s">
        <v>69</v>
      </c>
      <c r="L3" s="16" t="s">
        <v>69</v>
      </c>
      <c r="M3" s="16" t="s">
        <v>69</v>
      </c>
      <c r="N3" s="16" t="s">
        <v>70</v>
      </c>
      <c r="O3" s="16" t="s">
        <v>70</v>
      </c>
      <c r="P3" s="16" t="s">
        <v>69</v>
      </c>
      <c r="Q3" s="16" t="s">
        <v>70</v>
      </c>
      <c r="R3" s="16" t="s">
        <v>70</v>
      </c>
      <c r="S3" s="16" t="s">
        <v>70</v>
      </c>
      <c r="T3" s="16" t="s">
        <v>71</v>
      </c>
      <c r="U3" s="16" t="s">
        <v>67</v>
      </c>
    </row>
    <row r="4" spans="1:21" ht="15" customHeight="1" x14ac:dyDescent="0.25">
      <c r="A4" s="16" t="str">
        <f>'M-TipoMulta'!B3</f>
        <v>nombre</v>
      </c>
      <c r="B4" s="17" t="str">
        <f>'M-TipoMulta'!B2</f>
        <v>Representa el nombre del tipo de multa</v>
      </c>
      <c r="C4" s="16" t="s">
        <v>70</v>
      </c>
      <c r="D4" s="16" t="s">
        <v>72</v>
      </c>
      <c r="E4" s="16" t="s">
        <v>67</v>
      </c>
      <c r="F4" s="16">
        <v>4</v>
      </c>
      <c r="G4" s="16">
        <v>50</v>
      </c>
      <c r="H4" s="16" t="s">
        <v>69</v>
      </c>
      <c r="I4" s="16" t="s">
        <v>69</v>
      </c>
      <c r="J4" s="16" t="s">
        <v>69</v>
      </c>
      <c r="K4" s="16" t="s">
        <v>69</v>
      </c>
      <c r="L4" s="16" t="s">
        <v>69</v>
      </c>
      <c r="M4" s="16" t="s">
        <v>69</v>
      </c>
      <c r="N4" s="16" t="s">
        <v>70</v>
      </c>
      <c r="O4" s="16" t="s">
        <v>70</v>
      </c>
      <c r="P4" s="16" t="s">
        <v>69</v>
      </c>
      <c r="Q4" s="16" t="s">
        <v>67</v>
      </c>
      <c r="R4" s="16" t="s">
        <v>67</v>
      </c>
      <c r="S4" s="16" t="s">
        <v>70</v>
      </c>
      <c r="T4" s="16" t="s">
        <v>74</v>
      </c>
      <c r="U4" s="16" t="s">
        <v>70</v>
      </c>
    </row>
    <row r="5" spans="1:21" ht="15" customHeight="1" x14ac:dyDescent="0.25">
      <c r="A5" s="16" t="str">
        <f>'M-TipoMulta'!C3</f>
        <v>descripcion</v>
      </c>
      <c r="B5" s="17" t="str">
        <f>'M-TipoMulta'!C2</f>
        <v>Representa que hace cada tipo de multa</v>
      </c>
      <c r="C5" s="16" t="s">
        <v>70</v>
      </c>
      <c r="D5" s="16" t="s">
        <v>72</v>
      </c>
      <c r="E5" s="16" t="s">
        <v>67</v>
      </c>
      <c r="F5" s="16">
        <v>10</v>
      </c>
      <c r="G5" s="16">
        <v>300</v>
      </c>
      <c r="H5" s="16" t="s">
        <v>69</v>
      </c>
      <c r="I5" s="16" t="s">
        <v>69</v>
      </c>
      <c r="J5" s="16" t="s">
        <v>69</v>
      </c>
      <c r="K5" s="16" t="s">
        <v>69</v>
      </c>
      <c r="L5" s="16" t="s">
        <v>69</v>
      </c>
      <c r="M5" s="16" t="s">
        <v>69</v>
      </c>
      <c r="N5" s="16" t="s">
        <v>70</v>
      </c>
      <c r="O5" s="16" t="s">
        <v>70</v>
      </c>
      <c r="P5" s="16" t="s">
        <v>69</v>
      </c>
      <c r="Q5" s="16" t="s">
        <v>67</v>
      </c>
      <c r="R5" s="16" t="s">
        <v>67</v>
      </c>
      <c r="S5" s="16" t="s">
        <v>70</v>
      </c>
      <c r="T5" s="16" t="s">
        <v>74</v>
      </c>
      <c r="U5" s="16" t="s">
        <v>70</v>
      </c>
    </row>
    <row r="7" spans="1:21" ht="15" customHeight="1" x14ac:dyDescent="0.25">
      <c r="A7" s="18" t="s">
        <v>75</v>
      </c>
      <c r="B7" s="18" t="s">
        <v>76</v>
      </c>
      <c r="C7" s="18" t="s">
        <v>77</v>
      </c>
    </row>
    <row r="8" spans="1:21" ht="30" customHeight="1" x14ac:dyDescent="0.25">
      <c r="A8" s="19" t="str">
        <f>'M-TipoMulta'!D3</f>
        <v>Combinación única</v>
      </c>
      <c r="B8" s="20" t="str">
        <f>'M-TipoMulta'!D2</f>
        <v xml:space="preserve">Combinación única indica que no puede existir más de un tipo de multa con el mismo nombre </v>
      </c>
      <c r="C8" s="21" t="s">
        <v>78</v>
      </c>
    </row>
  </sheetData>
  <hyperlinks>
    <hyperlink ref="A1" location="'Modelo de Dominio'!A1" display="&lt;&lt;&lt;&lt; Ir al modulo de dominio" xr:uid="{00000000-0004-0000-1600-000000000000}"/>
    <hyperlink ref="B1" location="'Objetos de Dominio'!A1" display="&lt;&lt;&lt;&lt; Ir a objetos de dominio" xr:uid="{00000000-0004-0000-1600-000001000000}"/>
    <hyperlink ref="A3" location="'M-TipoMulta'!A3" display="#'M-TipoMulta'.A3" xr:uid="{00000000-0004-0000-1600-000002000000}"/>
    <hyperlink ref="B3" location="'M-TipoMulta'!A2" display="#'M-TipoMulta'.A2" xr:uid="{00000000-0004-0000-1600-000003000000}"/>
    <hyperlink ref="A4" location="'M-TipoMulta'!A3" display="#'M-TipoMulta'.A3" xr:uid="{00000000-0004-0000-1600-000004000000}"/>
    <hyperlink ref="B4" location="'M-TipoMulta'!A2" display="#'M-TipoMulta'.A2" xr:uid="{00000000-0004-0000-1600-000005000000}"/>
    <hyperlink ref="A5" location="'M-TipoMulta'!A3" display="#'M-TipoMulta'.A3" xr:uid="{00000000-0004-0000-1600-000006000000}"/>
    <hyperlink ref="B5" location="'M-TipoMulta'!A2" display="#'M-TipoMulta'.A2" xr:uid="{00000000-0004-0000-1600-000007000000}"/>
    <hyperlink ref="A8" location="'M-TipoMulta'!A3" display="#'M-TipoMulta'.A3" xr:uid="{00000000-0004-0000-1600-000008000000}"/>
    <hyperlink ref="B8" location="'M-TipoMulta'!A2" display="#'M-TipoMulta'.A2" xr:uid="{00000000-0004-0000-1600-000009000000}"/>
  </hyperlink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6"/>
  <sheetViews>
    <sheetView showGridLines="0" zoomScaleNormal="100" workbookViewId="0">
      <selection activeCell="A2" sqref="A2"/>
    </sheetView>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Dominio'!A9</f>
        <v>TipoMulta</v>
      </c>
      <c r="C2" s="185"/>
      <c r="D2" s="185"/>
      <c r="E2" s="185"/>
    </row>
    <row r="3" spans="1:5" ht="30" customHeight="1" x14ac:dyDescent="0.25">
      <c r="A3" s="23" t="s">
        <v>84</v>
      </c>
      <c r="B3" s="186" t="str">
        <f>'Objetos de Dominio'!B9</f>
        <v>Representa los tipos de multa que puede recibir un cliente: por tardanza o por inasistencia</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30" customHeight="1" x14ac:dyDescent="0.25">
      <c r="A6" s="8"/>
      <c r="B6" s="184" t="s">
        <v>89</v>
      </c>
      <c r="C6" s="184"/>
      <c r="D6" s="24"/>
      <c r="E6" s="24"/>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1700-000000000000}"/>
    <hyperlink ref="B1" location="'Objetos de Dominio'!A1" display="&lt;&lt; Ir al listado de objetos de dominio" xr:uid="{00000000-0004-0000-1700-000001000000}"/>
    <hyperlink ref="C1" location="'C-TipoMulta'!A1" display="&lt;&lt; Ir a la caracterización del objeto de dominio" xr:uid="{00000000-0004-0000-1700-000002000000}"/>
    <hyperlink ref="D1" location="'M-TipoMulta'!A1" display="Ir al muestreo de datos del objeto de dominio &gt;&gt;" xr:uid="{00000000-0004-0000-1700-000003000000}"/>
    <hyperlink ref="E1" location="'E-TipoMulta'!A1" display="Ir al event storming del objeto de dominio &gt;&gt;" xr:uid="{8ACF3507-FB90-4D3C-927A-0EAB0072E54A}"/>
  </hyperlink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9"/>
  <sheetViews>
    <sheetView showGridLines="0" zoomScaleNormal="100" workbookViewId="0">
      <selection activeCell="F7" sqref="F7"/>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Dominio'!A9</f>
        <v>TipoMulta</v>
      </c>
      <c r="C2" s="194"/>
      <c r="D2" s="194"/>
      <c r="E2" s="194"/>
      <c r="F2" s="194"/>
      <c r="G2" s="194"/>
      <c r="H2" s="194"/>
      <c r="I2" s="194"/>
      <c r="J2" s="194"/>
      <c r="K2" s="194"/>
    </row>
    <row r="3" spans="1:11" ht="30" customHeight="1" x14ac:dyDescent="0.25">
      <c r="A3" s="23" t="s">
        <v>84</v>
      </c>
      <c r="B3" s="195" t="str">
        <f>'Objetos de Dominio'!B9</f>
        <v>Representa los tipos de multa que puede recibir un cliente: por tardanza o por inasistencia</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3" t="s">
        <v>107</v>
      </c>
      <c r="B7" s="33" t="s">
        <v>233</v>
      </c>
      <c r="C7" s="33" t="s">
        <v>234</v>
      </c>
      <c r="D7" s="3" t="str">
        <f>$B$2</f>
        <v>TipoMulta</v>
      </c>
      <c r="E7" s="33"/>
      <c r="F7" s="33"/>
      <c r="G7" s="3"/>
      <c r="H7" s="34"/>
      <c r="I7" s="3"/>
      <c r="J7" s="33" t="s">
        <v>235</v>
      </c>
      <c r="K7" s="33"/>
    </row>
    <row r="8" spans="1:11" ht="30" customHeight="1" x14ac:dyDescent="0.25">
      <c r="A8" s="3" t="s">
        <v>25</v>
      </c>
      <c r="B8" s="33" t="s">
        <v>233</v>
      </c>
      <c r="C8" s="33" t="s">
        <v>234</v>
      </c>
      <c r="D8" s="3" t="str">
        <f>$B$2</f>
        <v>TipoMulta</v>
      </c>
      <c r="E8" s="33"/>
      <c r="F8" s="33"/>
      <c r="G8" s="3"/>
      <c r="H8" s="34"/>
      <c r="I8" s="3"/>
      <c r="J8" s="33" t="s">
        <v>235</v>
      </c>
      <c r="K8" s="33"/>
    </row>
    <row r="9" spans="1:11" ht="30" customHeight="1" x14ac:dyDescent="0.25">
      <c r="A9" s="3" t="s">
        <v>27</v>
      </c>
      <c r="B9" s="33" t="s">
        <v>233</v>
      </c>
      <c r="C9" s="33" t="s">
        <v>234</v>
      </c>
      <c r="D9" s="3" t="str">
        <f>$B$2</f>
        <v>TipoMulta</v>
      </c>
      <c r="E9" s="33"/>
      <c r="F9" s="33"/>
      <c r="G9" s="3"/>
      <c r="H9" s="34"/>
      <c r="I9" s="3"/>
      <c r="J9" s="33" t="s">
        <v>235</v>
      </c>
      <c r="K9" s="33"/>
    </row>
  </sheetData>
  <mergeCells count="1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1800-000000000000}"/>
    <hyperlink ref="C1" location="'Objetos de Dominio'!A1" display="&lt;&lt; Ir al listado de objetos de dominio" xr:uid="{00000000-0004-0000-1800-000001000000}"/>
    <hyperlink ref="F1" location="'C-TipoMulta'!A1" display="&lt;&lt; Ir a la caracterización del objeto de dominio" xr:uid="{00000000-0004-0000-1800-000002000000}"/>
    <hyperlink ref="J1" location="'M-TipoMulta'!A1" display="Ir al muestreo de datos del objeto de dominio &gt;&gt;" xr:uid="{00000000-0004-0000-1800-000003000000}"/>
  </hyperlink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17"/>
  <sheetViews>
    <sheetView zoomScaleNormal="100" workbookViewId="0"/>
  </sheetViews>
  <sheetFormatPr baseColWidth="10" defaultColWidth="8.7109375" defaultRowHeight="15" x14ac:dyDescent="0.25"/>
  <cols>
    <col min="1" max="1" width="25" customWidth="1"/>
    <col min="2" max="2" width="24.42578125" customWidth="1"/>
    <col min="3" max="3" width="40.140625" customWidth="1"/>
    <col min="4" max="4" width="17.7109375" customWidth="1"/>
  </cols>
  <sheetData>
    <row r="1" spans="1:4" ht="14.25" customHeight="1" x14ac:dyDescent="0.25">
      <c r="A1" s="4" t="s">
        <v>1</v>
      </c>
      <c r="B1" s="4" t="s">
        <v>45</v>
      </c>
      <c r="C1" s="4"/>
    </row>
    <row r="2" spans="1:4" ht="39" customHeight="1" x14ac:dyDescent="0.25">
      <c r="A2" s="35" t="s">
        <v>111</v>
      </c>
      <c r="B2" s="35" t="s">
        <v>236</v>
      </c>
      <c r="C2" s="35" t="s">
        <v>237</v>
      </c>
      <c r="D2" s="36" t="s">
        <v>238</v>
      </c>
    </row>
    <row r="3" spans="1:4" ht="14.25" customHeight="1" x14ac:dyDescent="0.25">
      <c r="A3" s="37" t="s">
        <v>114</v>
      </c>
      <c r="B3" s="88" t="s">
        <v>78</v>
      </c>
      <c r="C3" s="89" t="s">
        <v>139</v>
      </c>
      <c r="D3" s="39" t="s">
        <v>239</v>
      </c>
    </row>
    <row r="4" spans="1:4" ht="42.75" customHeight="1" x14ac:dyDescent="0.25">
      <c r="A4" s="40">
        <v>1</v>
      </c>
      <c r="B4" s="40" t="s">
        <v>240</v>
      </c>
      <c r="C4" s="50" t="s">
        <v>241</v>
      </c>
      <c r="D4" s="40" t="str">
        <f>B4</f>
        <v>Tardanza</v>
      </c>
    </row>
    <row r="5" spans="1:4" ht="45" customHeight="1" x14ac:dyDescent="0.25">
      <c r="A5" s="40">
        <v>2</v>
      </c>
      <c r="B5" s="40" t="s">
        <v>242</v>
      </c>
      <c r="C5" s="50" t="s">
        <v>243</v>
      </c>
      <c r="D5" s="40" t="str">
        <f>B5</f>
        <v>Inasistencia</v>
      </c>
    </row>
    <row r="6" spans="1:4" ht="14.25" customHeight="1" x14ac:dyDescent="0.25">
      <c r="A6" s="42"/>
      <c r="B6" s="42"/>
      <c r="C6" s="42"/>
      <c r="D6" s="42"/>
    </row>
    <row r="7" spans="1:4" ht="14.25" customHeight="1" x14ac:dyDescent="0.25">
      <c r="A7" s="42"/>
      <c r="B7" s="42"/>
      <c r="C7" s="42"/>
      <c r="D7" s="42"/>
    </row>
    <row r="8" spans="1:4" ht="14.25" customHeight="1" x14ac:dyDescent="0.25">
      <c r="A8" s="42"/>
      <c r="B8" s="42"/>
      <c r="C8" s="42"/>
    </row>
    <row r="9" spans="1:4" ht="14.25" customHeight="1" x14ac:dyDescent="0.25">
      <c r="A9" s="42"/>
      <c r="B9" s="42"/>
      <c r="C9" s="42"/>
    </row>
    <row r="11" spans="1:4" ht="28.5" customHeight="1" x14ac:dyDescent="0.25">
      <c r="A11" s="43"/>
      <c r="B11" s="44" t="s">
        <v>124</v>
      </c>
    </row>
    <row r="12" spans="1:4" ht="28.5" customHeight="1" x14ac:dyDescent="0.25">
      <c r="A12" s="45"/>
      <c r="B12" s="44" t="s">
        <v>125</v>
      </c>
    </row>
    <row r="13" spans="1:4" ht="28.5" customHeight="1" x14ac:dyDescent="0.25">
      <c r="A13" s="90"/>
      <c r="B13" s="44" t="s">
        <v>244</v>
      </c>
      <c r="C13" s="44"/>
    </row>
    <row r="14" spans="1:4" ht="28.5" customHeight="1" x14ac:dyDescent="0.25">
      <c r="A14" s="46"/>
      <c r="B14" s="44" t="s">
        <v>126</v>
      </c>
      <c r="C14" s="44"/>
    </row>
    <row r="15" spans="1:4" ht="28.5" customHeight="1" x14ac:dyDescent="0.25">
      <c r="A15" s="47"/>
      <c r="B15" s="44" t="s">
        <v>127</v>
      </c>
      <c r="C15" s="44"/>
    </row>
    <row r="16" spans="1:4" ht="14.25" customHeight="1" x14ac:dyDescent="0.25">
      <c r="C16" s="44"/>
    </row>
    <row r="17" spans="3:3" ht="14.25" customHeight="1" x14ac:dyDescent="0.25">
      <c r="C17" s="44"/>
    </row>
  </sheetData>
  <hyperlinks>
    <hyperlink ref="A1" location="'Modelo de Dominio'!A1" display="&lt;&lt;&lt;&lt; Ir al modulo de dominio" xr:uid="{00000000-0004-0000-1900-000000000000}"/>
    <hyperlink ref="B1" location="'Objetos de Dominio'!A1" display="&lt;&lt;&lt;&lt; Ir a objetos de dominio" xr:uid="{00000000-0004-0000-1900-000001000000}"/>
  </hyperlink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16"/>
  <sheetViews>
    <sheetView zoomScaleNormal="100" workbookViewId="0"/>
  </sheetViews>
  <sheetFormatPr baseColWidth="10" defaultColWidth="8.7109375" defaultRowHeight="15" x14ac:dyDescent="0.25"/>
  <cols>
    <col min="1" max="1" width="37" customWidth="1"/>
    <col min="2" max="2" width="45" customWidth="1"/>
    <col min="3" max="3" width="30.42578125" customWidth="1"/>
    <col min="4" max="4" width="26.7109375" customWidth="1"/>
    <col min="5" max="5" width="18" customWidth="1"/>
    <col min="6" max="6" width="23.7109375" customWidth="1"/>
    <col min="7" max="7" width="24.140625" customWidth="1"/>
    <col min="8" max="8" width="18"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8" customWidth="1"/>
  </cols>
  <sheetData>
    <row r="1" spans="1:21" ht="15" customHeight="1" x14ac:dyDescent="0.25">
      <c r="A1" s="4" t="s">
        <v>1</v>
      </c>
      <c r="B1" s="4" t="s">
        <v>45</v>
      </c>
    </row>
    <row r="2" spans="1:21" ht="15" customHeight="1" x14ac:dyDescent="0.25">
      <c r="A2" s="14" t="s">
        <v>46</v>
      </c>
      <c r="B2" s="15" t="s">
        <v>47</v>
      </c>
      <c r="C2" s="14" t="s">
        <v>48</v>
      </c>
      <c r="D2" s="14" t="s">
        <v>49</v>
      </c>
      <c r="E2" s="14" t="s">
        <v>50</v>
      </c>
      <c r="F2" s="14" t="s">
        <v>51</v>
      </c>
      <c r="G2" s="14" t="s">
        <v>52</v>
      </c>
      <c r="H2" s="14" t="s">
        <v>53</v>
      </c>
      <c r="I2" s="14" t="s">
        <v>54</v>
      </c>
      <c r="J2" s="14" t="s">
        <v>55</v>
      </c>
      <c r="K2" s="14" t="s">
        <v>56</v>
      </c>
      <c r="L2" s="14" t="s">
        <v>57</v>
      </c>
      <c r="M2" s="15" t="s">
        <v>58</v>
      </c>
      <c r="N2" s="14" t="s">
        <v>59</v>
      </c>
      <c r="O2" s="14" t="s">
        <v>60</v>
      </c>
      <c r="P2" s="14" t="s">
        <v>61</v>
      </c>
      <c r="Q2" s="14" t="s">
        <v>62</v>
      </c>
      <c r="R2" s="14" t="s">
        <v>63</v>
      </c>
      <c r="S2" s="14" t="s">
        <v>64</v>
      </c>
      <c r="T2" s="14" t="s">
        <v>65</v>
      </c>
      <c r="U2" s="14" t="s">
        <v>66</v>
      </c>
    </row>
    <row r="3" spans="1:21" ht="45" customHeight="1" x14ac:dyDescent="0.25">
      <c r="A3" s="16" t="str">
        <f>'M-Barbero'!A3</f>
        <v>id</v>
      </c>
      <c r="B3" s="17" t="str">
        <f>'M-Barbero'!A2</f>
        <v>Representa un identificador que hará unico cada objeto de dominio de este tipo, no se puede repetir</v>
      </c>
      <c r="C3" s="16" t="s">
        <v>67</v>
      </c>
      <c r="D3" s="16" t="s">
        <v>68</v>
      </c>
      <c r="E3" s="16" t="s">
        <v>67</v>
      </c>
      <c r="F3" s="16" t="s">
        <v>69</v>
      </c>
      <c r="G3" s="16" t="s">
        <v>69</v>
      </c>
      <c r="H3" s="16" t="s">
        <v>69</v>
      </c>
      <c r="I3" s="16" t="s">
        <v>69</v>
      </c>
      <c r="J3" s="16" t="s">
        <v>69</v>
      </c>
      <c r="K3" s="16" t="s">
        <v>69</v>
      </c>
      <c r="L3" s="16" t="s">
        <v>69</v>
      </c>
      <c r="M3" s="16" t="s">
        <v>69</v>
      </c>
      <c r="N3" s="16" t="s">
        <v>70</v>
      </c>
      <c r="O3" s="16" t="s">
        <v>69</v>
      </c>
      <c r="P3" s="16" t="s">
        <v>69</v>
      </c>
      <c r="Q3" s="16" t="s">
        <v>70</v>
      </c>
      <c r="R3" s="16" t="s">
        <v>70</v>
      </c>
      <c r="S3" s="16" t="s">
        <v>70</v>
      </c>
      <c r="T3" s="16" t="s">
        <v>71</v>
      </c>
      <c r="U3" s="16" t="s">
        <v>67</v>
      </c>
    </row>
    <row r="4" spans="1:21" ht="45" customHeight="1" x14ac:dyDescent="0.25">
      <c r="A4" s="16" t="str">
        <f>'M-Barbero'!B3</f>
        <v>primerNombre</v>
      </c>
      <c r="B4" s="17" t="str">
        <f>'M-Barbero'!B2</f>
        <v>Representa el primer nombre del barbero que trabaja en barbería</v>
      </c>
      <c r="C4" s="16" t="s">
        <v>70</v>
      </c>
      <c r="D4" s="16" t="s">
        <v>72</v>
      </c>
      <c r="E4" s="16" t="s">
        <v>67</v>
      </c>
      <c r="F4" s="16">
        <v>3</v>
      </c>
      <c r="G4" s="16">
        <v>100</v>
      </c>
      <c r="H4" s="16" t="s">
        <v>69</v>
      </c>
      <c r="I4" s="16" t="s">
        <v>69</v>
      </c>
      <c r="J4" s="16" t="s">
        <v>69</v>
      </c>
      <c r="K4" s="16" t="s">
        <v>69</v>
      </c>
      <c r="L4" s="16" t="s">
        <v>69</v>
      </c>
      <c r="M4" s="17" t="s">
        <v>245</v>
      </c>
      <c r="N4" s="16" t="s">
        <v>70</v>
      </c>
      <c r="O4" s="16" t="s">
        <v>70</v>
      </c>
      <c r="P4" s="16" t="s">
        <v>70</v>
      </c>
      <c r="Q4" s="16" t="s">
        <v>67</v>
      </c>
      <c r="R4" s="16" t="s">
        <v>67</v>
      </c>
      <c r="S4" s="16" t="s">
        <v>70</v>
      </c>
      <c r="T4" s="16" t="s">
        <v>246</v>
      </c>
      <c r="U4" s="16" t="s">
        <v>70</v>
      </c>
    </row>
    <row r="5" spans="1:21" ht="45" customHeight="1" x14ac:dyDescent="0.25">
      <c r="A5" s="16" t="str">
        <f>'M-Barbero'!C3</f>
        <v>segundoNombre</v>
      </c>
      <c r="B5" s="17" t="str">
        <f>'M-Barbero'!C2</f>
        <v>Representa el segundo nombre del barbero que trabaja en barbería</v>
      </c>
      <c r="C5" s="16" t="s">
        <v>70</v>
      </c>
      <c r="D5" s="16" t="s">
        <v>72</v>
      </c>
      <c r="E5" s="16" t="s">
        <v>70</v>
      </c>
      <c r="F5" s="16">
        <v>3</v>
      </c>
      <c r="G5" s="16">
        <v>100</v>
      </c>
      <c r="H5" s="16" t="s">
        <v>69</v>
      </c>
      <c r="I5" s="16" t="s">
        <v>69</v>
      </c>
      <c r="J5" s="16" t="s">
        <v>69</v>
      </c>
      <c r="K5" s="16" t="s">
        <v>69</v>
      </c>
      <c r="L5" s="16" t="s">
        <v>69</v>
      </c>
      <c r="M5" s="17" t="s">
        <v>245</v>
      </c>
      <c r="N5" s="16" t="s">
        <v>70</v>
      </c>
      <c r="O5" s="16" t="s">
        <v>70</v>
      </c>
      <c r="P5" s="16" t="s">
        <v>70</v>
      </c>
      <c r="Q5" s="16" t="s">
        <v>67</v>
      </c>
      <c r="R5" s="16" t="s">
        <v>67</v>
      </c>
      <c r="S5" s="16" t="s">
        <v>70</v>
      </c>
      <c r="T5" s="16" t="s">
        <v>246</v>
      </c>
      <c r="U5" s="16" t="s">
        <v>70</v>
      </c>
    </row>
    <row r="6" spans="1:21" ht="45" customHeight="1" x14ac:dyDescent="0.25">
      <c r="A6" s="16" t="str">
        <f>'M-Barbero'!D3</f>
        <v>primerApellido</v>
      </c>
      <c r="B6" s="17" t="str">
        <f>'M-Barbero'!D2</f>
        <v>Representa el primer apellido del barbero que trabaja en la barbería</v>
      </c>
      <c r="C6" s="16" t="s">
        <v>70</v>
      </c>
      <c r="D6" s="16" t="s">
        <v>72</v>
      </c>
      <c r="E6" s="16" t="s">
        <v>67</v>
      </c>
      <c r="F6" s="16">
        <v>3</v>
      </c>
      <c r="G6" s="16">
        <v>100</v>
      </c>
      <c r="H6" s="16" t="s">
        <v>69</v>
      </c>
      <c r="I6" s="16" t="s">
        <v>69</v>
      </c>
      <c r="J6" s="16" t="s">
        <v>69</v>
      </c>
      <c r="K6" s="16" t="s">
        <v>69</v>
      </c>
      <c r="L6" s="16" t="s">
        <v>69</v>
      </c>
      <c r="M6" s="17" t="s">
        <v>247</v>
      </c>
      <c r="N6" s="16" t="s">
        <v>70</v>
      </c>
      <c r="O6" s="16" t="s">
        <v>70</v>
      </c>
      <c r="P6" s="16" t="s">
        <v>70</v>
      </c>
      <c r="Q6" s="16" t="s">
        <v>67</v>
      </c>
      <c r="R6" s="16" t="s">
        <v>67</v>
      </c>
      <c r="S6" s="16" t="s">
        <v>70</v>
      </c>
      <c r="T6" s="16" t="s">
        <v>246</v>
      </c>
      <c r="U6" s="16" t="s">
        <v>70</v>
      </c>
    </row>
    <row r="7" spans="1:21" ht="45" customHeight="1" x14ac:dyDescent="0.25">
      <c r="A7" s="16" t="str">
        <f>'M-Barbero'!E3</f>
        <v>segundoApellido</v>
      </c>
      <c r="B7" s="17" t="str">
        <f>'M-Barbero'!E2</f>
        <v>Representa el segundo apellido del barbero que trabaja en la barbería</v>
      </c>
      <c r="C7" s="16" t="s">
        <v>70</v>
      </c>
      <c r="D7" s="16" t="s">
        <v>72</v>
      </c>
      <c r="E7" s="16" t="s">
        <v>70</v>
      </c>
      <c r="F7" s="16">
        <v>3</v>
      </c>
      <c r="G7" s="16">
        <v>100</v>
      </c>
      <c r="H7" s="16" t="s">
        <v>69</v>
      </c>
      <c r="I7" s="16" t="s">
        <v>69</v>
      </c>
      <c r="J7" s="16" t="s">
        <v>69</v>
      </c>
      <c r="K7" s="16" t="s">
        <v>69</v>
      </c>
      <c r="L7" s="16" t="s">
        <v>69</v>
      </c>
      <c r="M7" s="17" t="s">
        <v>247</v>
      </c>
      <c r="N7" s="16" t="s">
        <v>70</v>
      </c>
      <c r="O7" s="16" t="s">
        <v>70</v>
      </c>
      <c r="P7" s="16" t="s">
        <v>70</v>
      </c>
      <c r="Q7" s="16" t="s">
        <v>67</v>
      </c>
      <c r="R7" s="16" t="s">
        <v>67</v>
      </c>
      <c r="S7" s="16" t="s">
        <v>70</v>
      </c>
      <c r="T7" s="16" t="s">
        <v>246</v>
      </c>
      <c r="U7" s="16" t="s">
        <v>70</v>
      </c>
    </row>
    <row r="8" spans="1:21" ht="30" customHeight="1" x14ac:dyDescent="0.25">
      <c r="A8" s="16" t="str">
        <f>'M-Barbero'!F3</f>
        <v>prefijo</v>
      </c>
      <c r="B8" s="17" t="str">
        <f>'M-Barbero'!F2</f>
        <v>Representa cual es el prefijo del numero de celular del barbero</v>
      </c>
      <c r="C8" s="16" t="s">
        <v>70</v>
      </c>
      <c r="D8" s="91" t="s">
        <v>21</v>
      </c>
      <c r="E8" s="16" t="s">
        <v>67</v>
      </c>
      <c r="F8" s="16" t="s">
        <v>69</v>
      </c>
      <c r="G8" s="16" t="s">
        <v>69</v>
      </c>
      <c r="H8" s="16" t="s">
        <v>69</v>
      </c>
      <c r="I8" s="16" t="s">
        <v>69</v>
      </c>
      <c r="J8" s="16" t="s">
        <v>69</v>
      </c>
      <c r="K8" s="16" t="s">
        <v>69</v>
      </c>
      <c r="L8" s="16" t="s">
        <v>69</v>
      </c>
      <c r="M8" s="16" t="s">
        <v>69</v>
      </c>
      <c r="N8" s="16" t="s">
        <v>70</v>
      </c>
      <c r="O8" s="16" t="s">
        <v>69</v>
      </c>
      <c r="P8" s="16" t="s">
        <v>69</v>
      </c>
      <c r="Q8" s="16" t="s">
        <v>69</v>
      </c>
      <c r="R8" s="16" t="s">
        <v>69</v>
      </c>
      <c r="S8" s="16" t="s">
        <v>70</v>
      </c>
      <c r="T8" s="16" t="s">
        <v>71</v>
      </c>
      <c r="U8" s="16" t="s">
        <v>70</v>
      </c>
    </row>
    <row r="9" spans="1:21" ht="45" customHeight="1" x14ac:dyDescent="0.25">
      <c r="A9" s="16" t="str">
        <f>'M-Barbero'!G3</f>
        <v>celular</v>
      </c>
      <c r="B9" s="17" t="str">
        <f>'M-Barbero'!G2</f>
        <v>Representa el número de celular del barbero, es el dato que el cliente necesita en caso de que tenga que contactarse con el</v>
      </c>
      <c r="C9" s="16" t="s">
        <v>70</v>
      </c>
      <c r="D9" s="16" t="s">
        <v>157</v>
      </c>
      <c r="E9" s="16" t="s">
        <v>67</v>
      </c>
      <c r="F9" s="16" t="s">
        <v>69</v>
      </c>
      <c r="G9" s="16" t="s">
        <v>69</v>
      </c>
      <c r="H9" s="16" t="s">
        <v>69</v>
      </c>
      <c r="I9" s="16" t="s">
        <v>69</v>
      </c>
      <c r="J9" s="16">
        <v>1000000</v>
      </c>
      <c r="K9" s="16">
        <v>9999999999</v>
      </c>
      <c r="L9" s="17" t="s">
        <v>248</v>
      </c>
      <c r="M9" s="16" t="s">
        <v>69</v>
      </c>
      <c r="N9" s="16" t="s">
        <v>70</v>
      </c>
      <c r="O9" s="16" t="s">
        <v>69</v>
      </c>
      <c r="P9" s="16" t="s">
        <v>69</v>
      </c>
      <c r="Q9" s="16" t="s">
        <v>69</v>
      </c>
      <c r="R9" s="16" t="s">
        <v>69</v>
      </c>
      <c r="S9" s="16" t="s">
        <v>67</v>
      </c>
      <c r="T9" s="16" t="s">
        <v>249</v>
      </c>
      <c r="U9" s="16" t="s">
        <v>70</v>
      </c>
    </row>
    <row r="10" spans="1:21" ht="60" customHeight="1" x14ac:dyDescent="0.25">
      <c r="A10" s="16" t="str">
        <f>'M-Barbero'!H3</f>
        <v>vigente</v>
      </c>
      <c r="B10" s="17" t="str">
        <f>'M-Barbero'!H2</f>
        <v>Representa si el barbero sigue o no trabajando en la barberia</v>
      </c>
      <c r="C10" s="16" t="s">
        <v>70</v>
      </c>
      <c r="D10" s="16" t="s">
        <v>158</v>
      </c>
      <c r="E10" s="16" t="s">
        <v>70</v>
      </c>
      <c r="F10" s="16" t="s">
        <v>69</v>
      </c>
      <c r="G10" s="16" t="s">
        <v>69</v>
      </c>
      <c r="H10" s="16" t="s">
        <v>69</v>
      </c>
      <c r="I10" s="16" t="s">
        <v>69</v>
      </c>
      <c r="J10" s="16" t="s">
        <v>69</v>
      </c>
      <c r="K10" s="16" t="s">
        <v>69</v>
      </c>
      <c r="L10" s="16" t="s">
        <v>69</v>
      </c>
      <c r="M10" s="17" t="s">
        <v>69</v>
      </c>
      <c r="N10" s="16" t="s">
        <v>67</v>
      </c>
      <c r="O10" s="16" t="s">
        <v>69</v>
      </c>
      <c r="P10" s="16" t="s">
        <v>69</v>
      </c>
      <c r="Q10" s="16" t="s">
        <v>69</v>
      </c>
      <c r="R10" s="16" t="s">
        <v>69</v>
      </c>
      <c r="S10" s="16" t="s">
        <v>70</v>
      </c>
      <c r="T10" s="16" t="s">
        <v>67</v>
      </c>
      <c r="U10" s="16" t="s">
        <v>70</v>
      </c>
    </row>
    <row r="11" spans="1:21" ht="75" customHeight="1" x14ac:dyDescent="0.25">
      <c r="A11" s="16" t="str">
        <f>'M-Barbero'!I3</f>
        <v>anticipacionEnHorasParaAgendarCita</v>
      </c>
      <c r="B11" s="17" t="str">
        <f>'M-Barbero'!I2</f>
        <v>Representa la parte en horas del tiempo mínimo de anticipación con el que un cliente debe pedirle una cita a este barbero. Junto con anticipacionEnMinutosParaAgendarCita forma el tiempo total de anticipación que exige el barbero</v>
      </c>
      <c r="C11" s="16" t="s">
        <v>70</v>
      </c>
      <c r="D11" s="16" t="s">
        <v>157</v>
      </c>
      <c r="E11" s="16" t="s">
        <v>70</v>
      </c>
      <c r="F11" s="16" t="s">
        <v>69</v>
      </c>
      <c r="G11" s="16" t="s">
        <v>69</v>
      </c>
      <c r="H11" s="16" t="s">
        <v>69</v>
      </c>
      <c r="I11" s="16" t="s">
        <v>69</v>
      </c>
      <c r="J11" s="16">
        <v>0</v>
      </c>
      <c r="K11" s="16">
        <v>720</v>
      </c>
      <c r="L11" s="16" t="s">
        <v>250</v>
      </c>
      <c r="M11" s="16" t="s">
        <v>69</v>
      </c>
      <c r="N11" s="16" t="s">
        <v>70</v>
      </c>
      <c r="O11" s="16" t="s">
        <v>69</v>
      </c>
      <c r="P11" s="16" t="s">
        <v>69</v>
      </c>
      <c r="Q11" s="16" t="s">
        <v>69</v>
      </c>
      <c r="R11" s="16" t="s">
        <v>69</v>
      </c>
      <c r="S11" s="16" t="s">
        <v>70</v>
      </c>
      <c r="T11" s="92">
        <v>0</v>
      </c>
      <c r="U11" s="16" t="s">
        <v>70</v>
      </c>
    </row>
    <row r="12" spans="1:21" ht="75" customHeight="1" x14ac:dyDescent="0.25">
      <c r="A12" s="16" t="str">
        <f>'M-Barbero'!J3</f>
        <v>anticipacionEnMinutosParaAgendarCita</v>
      </c>
      <c r="B12" s="17" t="str">
        <f>'M-Barbero'!J2</f>
        <v>Representa la parte en minutos del tiempo mínimo de anticipación con el que un cliente debe pedirle una cita a este barbero. Junto con anticipacionEnHorasParaAgendarCita forma el tiempo total de anticipación que exige el barbero</v>
      </c>
      <c r="C12" s="16" t="s">
        <v>70</v>
      </c>
      <c r="D12" s="16" t="s">
        <v>157</v>
      </c>
      <c r="E12" s="16" t="s">
        <v>70</v>
      </c>
      <c r="F12" s="16" t="s">
        <v>69</v>
      </c>
      <c r="G12" s="16" t="s">
        <v>69</v>
      </c>
      <c r="H12" s="16" t="s">
        <v>69</v>
      </c>
      <c r="I12" s="16" t="s">
        <v>69</v>
      </c>
      <c r="J12" s="16">
        <v>0</v>
      </c>
      <c r="K12" s="16">
        <v>59</v>
      </c>
      <c r="L12" s="16" t="s">
        <v>251</v>
      </c>
      <c r="M12" s="16" t="s">
        <v>69</v>
      </c>
      <c r="N12" s="16" t="s">
        <v>70</v>
      </c>
      <c r="O12" s="16" t="s">
        <v>69</v>
      </c>
      <c r="P12" s="16" t="s">
        <v>69</v>
      </c>
      <c r="Q12" s="16" t="s">
        <v>69</v>
      </c>
      <c r="R12" s="16" t="s">
        <v>69</v>
      </c>
      <c r="S12" s="16" t="s">
        <v>70</v>
      </c>
      <c r="T12" s="92">
        <v>0</v>
      </c>
      <c r="U12" s="16" t="s">
        <v>70</v>
      </c>
    </row>
    <row r="14" spans="1:21" ht="15" customHeight="1" x14ac:dyDescent="0.25">
      <c r="A14" s="18" t="s">
        <v>75</v>
      </c>
      <c r="B14" s="18" t="s">
        <v>76</v>
      </c>
      <c r="C14" s="18" t="s">
        <v>77</v>
      </c>
    </row>
    <row r="15" spans="1:21" ht="23.25" customHeight="1" x14ac:dyDescent="0.25">
      <c r="A15" s="191" t="str">
        <f>'M-Barbero'!K3</f>
        <v>Combinación única  1</v>
      </c>
      <c r="B15" s="210" t="str">
        <f>'M-Barbero'!K2</f>
        <v>Combinacion única que indica que no puede existir más de un barbero con el mismo prefijo de celular y número de celular</v>
      </c>
      <c r="C15" s="21" t="str">
        <f>A8</f>
        <v>prefijo</v>
      </c>
    </row>
    <row r="16" spans="1:21" ht="21" customHeight="1" x14ac:dyDescent="0.25">
      <c r="A16" s="191"/>
      <c r="B16" s="191"/>
      <c r="C16" s="21" t="str">
        <f>A9</f>
        <v>celular</v>
      </c>
    </row>
  </sheetData>
  <mergeCells count="2">
    <mergeCell ref="A15:A16"/>
    <mergeCell ref="B15:B16"/>
  </mergeCells>
  <hyperlinks>
    <hyperlink ref="A1" location="'Modelo de Dominio'!A1" display="&lt;&lt;&lt;&lt; Ir al modulo de dominio" xr:uid="{00000000-0004-0000-1A00-000000000000}"/>
    <hyperlink ref="B1" location="'Objetos de Dominio'!A1" display="&lt;&lt;&lt;&lt; Ir a objetos de dominio" xr:uid="{00000000-0004-0000-1A00-000001000000}"/>
    <hyperlink ref="A3" location="'M-Barbero'!A3" display="#'M-Barbero'.A3" xr:uid="{00000000-0004-0000-1A00-000002000000}"/>
    <hyperlink ref="B3" location="'M-Barbero'!A2" display="#'M-Barbero'.A2" xr:uid="{00000000-0004-0000-1A00-000003000000}"/>
    <hyperlink ref="A4" location="'M-Barbero'!A3" display="#'M-Barbero'.A3" xr:uid="{00000000-0004-0000-1A00-000004000000}"/>
    <hyperlink ref="B4" location="'M-Barbero'!A2" display="#'M-Barbero'.A2" xr:uid="{00000000-0004-0000-1A00-000005000000}"/>
    <hyperlink ref="A5" location="'M-Barbero'!A3" display="#'M-Barbero'.A3" xr:uid="{00000000-0004-0000-1A00-000006000000}"/>
    <hyperlink ref="B5" location="'M-Barbero'!A2" display="#'M-Barbero'.A2" xr:uid="{00000000-0004-0000-1A00-000007000000}"/>
    <hyperlink ref="A6" location="'M-Barbero'!A3" display="#'M-Barbero'.A3" xr:uid="{00000000-0004-0000-1A00-000008000000}"/>
    <hyperlink ref="B6" location="'M-Barbero'!A2" display="#'M-Barbero'.A2" xr:uid="{00000000-0004-0000-1A00-000009000000}"/>
    <hyperlink ref="A7" location="'M-Barbero'!A3" display="#'M-Barbero'.A3" xr:uid="{00000000-0004-0000-1A00-00000A000000}"/>
    <hyperlink ref="B7" location="'M-Barbero'!A2" display="#'M-Barbero'.A2" xr:uid="{00000000-0004-0000-1A00-00000B000000}"/>
    <hyperlink ref="A8" location="'M-Barbero'!A3" display="#'M-Barbero'.A3" xr:uid="{00000000-0004-0000-1A00-00000C000000}"/>
    <hyperlink ref="B8" location="'M-Barbero'!A2" display="#'M-Barbero'.A2" xr:uid="{00000000-0004-0000-1A00-00000D000000}"/>
    <hyperlink ref="D8" location="'C-PrefijoCelular'!A1" display="PrefijoCelular" xr:uid="{00000000-0004-0000-1A00-00000E000000}"/>
    <hyperlink ref="A9" location="'M-Barbero'!A3" display="#'M-Barbero'.A3" xr:uid="{00000000-0004-0000-1A00-00000F000000}"/>
    <hyperlink ref="B9" location="'M-Barbero'!A2" display="#'M-Barbero'.A2" xr:uid="{00000000-0004-0000-1A00-000010000000}"/>
    <hyperlink ref="A10" location="'M-Barbero'!A3" display="#'M-Barbero'.A3" xr:uid="{00000000-0004-0000-1A00-000011000000}"/>
    <hyperlink ref="B10" location="'M-Barbero'!A2" display="#'M-Barbero'.A2" xr:uid="{00000000-0004-0000-1A00-000012000000}"/>
    <hyperlink ref="A15" location="'M-Barbero'!A3" display="#'M-Barbero'.A3" xr:uid="{00000000-0004-0000-1A00-000013000000}"/>
    <hyperlink ref="B15" location="'M-Barbero'!A2" display="#'M-Barbero'.A2" xr:uid="{00000000-0004-0000-1A00-000014000000}"/>
  </hyperlink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0"/>
  <sheetViews>
    <sheetView showGridLines="0" zoomScaleNormal="100" workbookViewId="0">
      <selection activeCell="B6" sqref="B6:C6"/>
    </sheetView>
  </sheetViews>
  <sheetFormatPr baseColWidth="10" defaultColWidth="8.7109375" defaultRowHeight="15" x14ac:dyDescent="0.25"/>
  <cols>
    <col min="1" max="1" width="16" customWidth="1"/>
    <col min="2" max="2" width="28.5703125" bestFit="1" customWidth="1"/>
    <col min="3" max="3" width="35.5703125" bestFit="1" customWidth="1"/>
    <col min="4" max="4" width="37.140625" bestFit="1" customWidth="1"/>
    <col min="5" max="5" width="36.7109375" bestFit="1"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Dominio'!A10</f>
        <v>Barbero</v>
      </c>
      <c r="C2" s="185"/>
      <c r="D2" s="185"/>
      <c r="E2" s="185"/>
    </row>
    <row r="3" spans="1:5" ht="30" customHeight="1" x14ac:dyDescent="0.25">
      <c r="A3" s="23" t="s">
        <v>84</v>
      </c>
      <c r="B3" s="186" t="str">
        <f>'Objetos de Dominio'!B10</f>
        <v>Representa a un trabajador de la barbería que atiende clientes según los servicios que sabe realizar, organiza su propio horario y tiene su agenda personal</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47.25" customHeight="1" x14ac:dyDescent="0.25">
      <c r="A6" s="8" t="s">
        <v>252</v>
      </c>
      <c r="B6" s="184" t="s">
        <v>641</v>
      </c>
      <c r="C6" s="184"/>
      <c r="D6" s="24" t="s">
        <v>25</v>
      </c>
      <c r="E6" s="24"/>
    </row>
    <row r="7" spans="1:5" ht="30" customHeight="1" x14ac:dyDescent="0.25">
      <c r="A7" s="8" t="s">
        <v>253</v>
      </c>
      <c r="B7" s="184" t="s">
        <v>642</v>
      </c>
      <c r="C7" s="184"/>
      <c r="D7" s="24" t="s">
        <v>25</v>
      </c>
      <c r="E7" s="24"/>
    </row>
    <row r="8" spans="1:5" ht="30" customHeight="1" x14ac:dyDescent="0.25">
      <c r="A8" s="8" t="s">
        <v>254</v>
      </c>
      <c r="B8" s="184" t="s">
        <v>255</v>
      </c>
      <c r="C8" s="184"/>
      <c r="D8" s="24" t="s">
        <v>39</v>
      </c>
      <c r="E8" s="24"/>
    </row>
    <row r="9" spans="1:5" ht="42.75" customHeight="1" x14ac:dyDescent="0.25">
      <c r="A9" s="8" t="s">
        <v>644</v>
      </c>
      <c r="B9" s="184" t="s">
        <v>646</v>
      </c>
      <c r="C9" s="184"/>
      <c r="D9" s="24" t="s">
        <v>25</v>
      </c>
      <c r="E9" s="24"/>
    </row>
    <row r="10" spans="1:5" ht="48" customHeight="1" x14ac:dyDescent="0.25">
      <c r="A10" s="8" t="s">
        <v>645</v>
      </c>
      <c r="B10" s="184" t="s">
        <v>647</v>
      </c>
      <c r="C10" s="184"/>
      <c r="D10" s="24" t="s">
        <v>25</v>
      </c>
      <c r="E10" s="24"/>
    </row>
  </sheetData>
  <mergeCells count="11">
    <mergeCell ref="A4:A5"/>
    <mergeCell ref="B4:C5"/>
    <mergeCell ref="D4:D5"/>
    <mergeCell ref="E4:E5"/>
    <mergeCell ref="B6:C6"/>
    <mergeCell ref="B10:C10"/>
    <mergeCell ref="B9:C9"/>
    <mergeCell ref="B7:C7"/>
    <mergeCell ref="B8:C8"/>
    <mergeCell ref="B2:E2"/>
    <mergeCell ref="B3:E3"/>
  </mergeCells>
  <hyperlinks>
    <hyperlink ref="A1" location="'Modelo de Dominio'!A1" display="&lt;&lt; Ir al modelo de dominio" xr:uid="{00000000-0004-0000-1B00-000000000000}"/>
    <hyperlink ref="B1" location="'Objetos de Dominio'!A1" display="&lt;&lt; Ir al listado de objetos de dominio" xr:uid="{00000000-0004-0000-1B00-000001000000}"/>
    <hyperlink ref="C1" location="'C-Barbero'!A1" display="&lt;&lt; Ir a la caracterización del objeto de dominio" xr:uid="{00000000-0004-0000-1B00-000002000000}"/>
    <hyperlink ref="D1" location="'M-Barbero'!A1" display="Ir al muestreo de datos del objeto de dominio &gt;&gt;" xr:uid="{00000000-0004-0000-1B00-000003000000}"/>
    <hyperlink ref="E1" location="'E-Barbero'!A1" display="Ir al event storming del objeto de dominio &gt;&gt;" xr:uid="{09E2D31A-1325-468D-8E51-583431565EE2}"/>
  </hyperlink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4"/>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Dominio'!A10</f>
        <v>Barbero</v>
      </c>
      <c r="C2" s="194"/>
      <c r="D2" s="194"/>
      <c r="E2" s="194"/>
      <c r="F2" s="194"/>
      <c r="G2" s="194"/>
      <c r="H2" s="194"/>
      <c r="I2" s="194"/>
      <c r="J2" s="194"/>
      <c r="K2" s="194"/>
    </row>
    <row r="3" spans="1:11" ht="30" customHeight="1" x14ac:dyDescent="0.25">
      <c r="A3" s="23" t="s">
        <v>84</v>
      </c>
      <c r="B3" s="195" t="str">
        <f>'Objetos de Dominio'!B10</f>
        <v>Representa a un trabajador de la barbería que atiende clientes según los servicios que sabe realizar, organiza su propio horario y tiene su agenda personal</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205" t="s">
        <v>25</v>
      </c>
      <c r="B7" s="204" t="s">
        <v>256</v>
      </c>
      <c r="C7" s="204" t="s">
        <v>257</v>
      </c>
      <c r="D7" s="205" t="str">
        <f>$B$2</f>
        <v>Barbero</v>
      </c>
      <c r="E7" s="204"/>
      <c r="F7" s="204"/>
      <c r="G7" s="179" t="str">
        <f>'P-Barbero'!A6</f>
        <v>P-BAR-0001</v>
      </c>
      <c r="H7" s="180" t="s">
        <v>629</v>
      </c>
      <c r="I7" s="205"/>
      <c r="J7" s="204" t="s">
        <v>258</v>
      </c>
      <c r="K7" s="204"/>
    </row>
    <row r="8" spans="1:11" ht="30" customHeight="1" x14ac:dyDescent="0.25">
      <c r="A8" s="205"/>
      <c r="B8" s="205"/>
      <c r="C8" s="205"/>
      <c r="D8" s="205"/>
      <c r="E8" s="205"/>
      <c r="F8" s="205"/>
      <c r="G8" s="179" t="str">
        <f>'P-Barbero'!A7</f>
        <v>P-BAR-0002</v>
      </c>
      <c r="H8" s="180" t="s">
        <v>629</v>
      </c>
      <c r="I8" s="205"/>
      <c r="J8" s="205"/>
      <c r="K8" s="205"/>
    </row>
    <row r="9" spans="1:11" ht="30" customHeight="1" x14ac:dyDescent="0.25">
      <c r="A9" s="3" t="s">
        <v>25</v>
      </c>
      <c r="B9" s="33" t="s">
        <v>643</v>
      </c>
      <c r="C9" s="33" t="s">
        <v>259</v>
      </c>
      <c r="D9" s="3" t="str">
        <f t="shared" ref="D9:D14" si="0">$B$2</f>
        <v>Barbero</v>
      </c>
      <c r="E9" s="33"/>
      <c r="F9" s="33"/>
      <c r="G9" s="182" t="str">
        <f>'P-Barbero'!A9</f>
        <v>P-BAR-0004</v>
      </c>
      <c r="H9" s="183" t="s">
        <v>629</v>
      </c>
      <c r="I9" s="3"/>
      <c r="J9" s="33" t="s">
        <v>260</v>
      </c>
      <c r="K9" s="33"/>
    </row>
    <row r="10" spans="1:11" ht="30" customHeight="1" x14ac:dyDescent="0.25">
      <c r="A10" s="3" t="s">
        <v>25</v>
      </c>
      <c r="B10" s="33" t="s">
        <v>261</v>
      </c>
      <c r="C10" s="33" t="s">
        <v>262</v>
      </c>
      <c r="D10" s="3" t="str">
        <f t="shared" si="0"/>
        <v>Barbero</v>
      </c>
      <c r="E10" s="33"/>
      <c r="F10" s="33"/>
      <c r="G10" s="182" t="str">
        <f>'P-Barbero'!A10</f>
        <v>P-BAR-0005</v>
      </c>
      <c r="H10" s="183" t="s">
        <v>629</v>
      </c>
      <c r="I10" s="3"/>
      <c r="J10" s="33" t="s">
        <v>263</v>
      </c>
      <c r="K10" s="33"/>
    </row>
    <row r="11" spans="1:11" ht="30" customHeight="1" x14ac:dyDescent="0.25">
      <c r="A11" s="3" t="s">
        <v>27</v>
      </c>
      <c r="B11" s="33" t="s">
        <v>654</v>
      </c>
      <c r="C11" s="33" t="s">
        <v>652</v>
      </c>
      <c r="D11" s="3" t="str">
        <f t="shared" si="0"/>
        <v>Barbero</v>
      </c>
      <c r="E11" s="33"/>
      <c r="F11" s="33"/>
      <c r="G11" s="3"/>
      <c r="H11" s="34"/>
      <c r="I11" s="3"/>
      <c r="J11" s="33" t="s">
        <v>655</v>
      </c>
      <c r="K11" s="33"/>
    </row>
    <row r="12" spans="1:11" ht="30" customHeight="1" x14ac:dyDescent="0.25">
      <c r="A12" s="3" t="s">
        <v>25</v>
      </c>
      <c r="B12" s="33" t="s">
        <v>654</v>
      </c>
      <c r="C12" s="33" t="s">
        <v>653</v>
      </c>
      <c r="D12" s="3" t="str">
        <f t="shared" si="0"/>
        <v>Barbero</v>
      </c>
      <c r="E12" s="33"/>
      <c r="F12" s="33"/>
      <c r="G12" s="3"/>
      <c r="H12" s="34"/>
      <c r="I12" s="3"/>
      <c r="J12" s="33" t="s">
        <v>655</v>
      </c>
      <c r="K12" s="33"/>
    </row>
    <row r="13" spans="1:11" ht="30" customHeight="1" x14ac:dyDescent="0.25">
      <c r="A13" s="3" t="s">
        <v>25</v>
      </c>
      <c r="B13" s="33" t="s">
        <v>264</v>
      </c>
      <c r="C13" s="33" t="s">
        <v>265</v>
      </c>
      <c r="D13" s="3" t="str">
        <f t="shared" si="0"/>
        <v>Barbero</v>
      </c>
      <c r="E13" s="33"/>
      <c r="F13" s="33"/>
      <c r="G13" s="179" t="str">
        <f>'P-Barbero'!A8</f>
        <v>P-BAR-0003</v>
      </c>
      <c r="H13" s="180" t="s">
        <v>629</v>
      </c>
      <c r="I13" s="3"/>
      <c r="J13" s="33" t="s">
        <v>266</v>
      </c>
      <c r="K13" s="33" t="s">
        <v>648</v>
      </c>
    </row>
    <row r="14" spans="1:11" ht="27.75" customHeight="1" x14ac:dyDescent="0.25">
      <c r="A14" s="3" t="s">
        <v>25</v>
      </c>
      <c r="B14" s="33" t="s">
        <v>668</v>
      </c>
      <c r="C14" s="33" t="s">
        <v>669</v>
      </c>
      <c r="D14" s="3" t="str">
        <f t="shared" si="0"/>
        <v>Barbero</v>
      </c>
      <c r="E14" s="33"/>
      <c r="F14" s="33"/>
      <c r="G14" s="179"/>
      <c r="H14" s="180"/>
      <c r="I14" s="3"/>
      <c r="J14" s="33"/>
      <c r="K14" s="33"/>
    </row>
  </sheetData>
  <mergeCells count="27">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1C00-000000000000}"/>
    <hyperlink ref="C1" location="'Objetos de Dominio'!A1" display="&lt;&lt; Ir al listado de objetos de dominio" xr:uid="{00000000-0004-0000-1C00-000001000000}"/>
    <hyperlink ref="F1" location="'C-Barbero'!A1" display="&lt;&lt; Ir a la caracterización del objeto de dominio" xr:uid="{00000000-0004-0000-1C00-000002000000}"/>
    <hyperlink ref="J1" location="'M-Barbero'!A1" display="Ir al muestreo de datos del objeto de dominio &gt;&gt;" xr:uid="{00000000-0004-0000-1C00-000003000000}"/>
    <hyperlink ref="G7" location="'P-Barbero'!A6" display="P-BAR-0001" xr:uid="{DD1C027A-184F-4C9D-A623-5B0C3F4999BF}"/>
    <hyperlink ref="H7" location="'P-Barbero'!B6" display="aquí" xr:uid="{4E4B9022-73A4-495C-AE17-B968C98FC7E5}"/>
    <hyperlink ref="G8" location="'P-Barbero'!A7" display="P-BAR-0002" xr:uid="{4EB0C26C-8625-486E-AB92-DBF2AEDFCAD1}"/>
    <hyperlink ref="H8" location="'P-Barbero'!B7" display="aquí" xr:uid="{03C815BA-B074-404F-8AD5-8C968F1457E6}"/>
    <hyperlink ref="G9" location="'P-Barbero'!A9" display="'P-Barbero'!A9" xr:uid="{16F9D2E6-0D37-4700-BBF0-217514DF8299}"/>
    <hyperlink ref="H9" location="'P-Barbero'!B9" display="aquí" xr:uid="{F880D856-4AC0-4ADD-AB7F-C7DFFAA2F4BA}"/>
    <hyperlink ref="G10" location="'P-Barbero'!A10" display="'P-Barbero'!A10" xr:uid="{1B78E0A4-709C-47AA-A8A7-F111C1FD0994}"/>
    <hyperlink ref="H10" location="'P-Barbero'!B10" display="aquí" xr:uid="{6F4517C4-CE40-4E0E-ABD4-EF384E897B4E}"/>
    <hyperlink ref="G13" location="'P-Barbero'!A8" display="P-BAR-0003" xr:uid="{70AFEC7B-CE4C-4F67-A181-79E93D08D071}"/>
    <hyperlink ref="H13" location="'P-Barbero'!B8" display="aquí" xr:uid="{16AF998B-3BA6-44BC-93A1-1E046D02778D}"/>
  </hyperlink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20"/>
  <sheetViews>
    <sheetView zoomScaleNormal="100" workbookViewId="0">
      <selection activeCell="D15" sqref="D15"/>
    </sheetView>
  </sheetViews>
  <sheetFormatPr baseColWidth="10" defaultColWidth="8.7109375" defaultRowHeight="15" x14ac:dyDescent="0.25"/>
  <cols>
    <col min="1" max="1" width="27" customWidth="1"/>
    <col min="2" max="2" width="26.140625" customWidth="1"/>
    <col min="3" max="3" width="21.42578125" customWidth="1"/>
    <col min="4" max="4" width="19.42578125" customWidth="1"/>
    <col min="5" max="5" width="20.42578125" customWidth="1"/>
    <col min="6" max="6" width="20.5703125" customWidth="1"/>
    <col min="7" max="7" width="21" customWidth="1"/>
    <col min="8" max="8" width="33" customWidth="1"/>
    <col min="9" max="9" width="37.5703125" customWidth="1"/>
    <col min="10" max="10" width="36.7109375" customWidth="1"/>
    <col min="11" max="11" width="42" customWidth="1"/>
  </cols>
  <sheetData>
    <row r="1" spans="1:11" ht="14.25" customHeight="1" x14ac:dyDescent="0.25">
      <c r="A1" s="4" t="s">
        <v>1</v>
      </c>
      <c r="B1" s="4" t="s">
        <v>45</v>
      </c>
      <c r="C1" s="48"/>
      <c r="D1" s="48"/>
      <c r="E1" s="48"/>
      <c r="F1" s="48"/>
    </row>
    <row r="2" spans="1:11" ht="39" customHeight="1" x14ac:dyDescent="0.25">
      <c r="A2" s="35" t="s">
        <v>111</v>
      </c>
      <c r="B2" s="35" t="s">
        <v>227</v>
      </c>
      <c r="C2" s="35" t="s">
        <v>267</v>
      </c>
      <c r="D2" s="35" t="s">
        <v>268</v>
      </c>
      <c r="E2" s="35" t="s">
        <v>269</v>
      </c>
      <c r="F2" s="35" t="s">
        <v>270</v>
      </c>
      <c r="G2" s="35" t="s">
        <v>271</v>
      </c>
      <c r="H2" s="35" t="s">
        <v>272</v>
      </c>
      <c r="I2" s="35" t="s">
        <v>273</v>
      </c>
      <c r="J2" s="35" t="s">
        <v>274</v>
      </c>
      <c r="K2" s="36" t="s">
        <v>275</v>
      </c>
    </row>
    <row r="3" spans="1:11" ht="14.25" customHeight="1" x14ac:dyDescent="0.25">
      <c r="A3" s="37" t="s">
        <v>114</v>
      </c>
      <c r="B3" s="38" t="s">
        <v>276</v>
      </c>
      <c r="C3" s="38" t="s">
        <v>277</v>
      </c>
      <c r="D3" s="38" t="s">
        <v>278</v>
      </c>
      <c r="E3" s="38" t="s">
        <v>279</v>
      </c>
      <c r="F3" s="95" t="s">
        <v>223</v>
      </c>
      <c r="G3" s="38" t="s">
        <v>280</v>
      </c>
      <c r="H3" s="96" t="s">
        <v>281</v>
      </c>
      <c r="I3" s="97" t="s">
        <v>282</v>
      </c>
      <c r="J3" s="97" t="s">
        <v>283</v>
      </c>
      <c r="K3" s="39" t="s">
        <v>284</v>
      </c>
    </row>
    <row r="4" spans="1:11" ht="14.25" customHeight="1" x14ac:dyDescent="0.25">
      <c r="A4" s="40">
        <v>1</v>
      </c>
      <c r="B4" s="40" t="s">
        <v>285</v>
      </c>
      <c r="C4" s="40" t="s">
        <v>286</v>
      </c>
      <c r="D4" s="40" t="s">
        <v>287</v>
      </c>
      <c r="E4" s="40" t="s">
        <v>288</v>
      </c>
      <c r="F4" s="98" t="str">
        <f>'M-PrefijoCelular'!C4</f>
        <v>+57</v>
      </c>
      <c r="G4" s="40">
        <v>3245627890</v>
      </c>
      <c r="H4" s="40" t="s">
        <v>183</v>
      </c>
      <c r="I4" s="40">
        <v>24</v>
      </c>
      <c r="J4" s="40">
        <v>0</v>
      </c>
      <c r="K4" s="40" t="str">
        <f>_xlfn.CONCAT(F4,"-",G4)</f>
        <v>+57-3245627890</v>
      </c>
    </row>
    <row r="5" spans="1:11" ht="14.25" customHeight="1" x14ac:dyDescent="0.25">
      <c r="A5" s="40">
        <v>2</v>
      </c>
      <c r="B5" s="40" t="s">
        <v>285</v>
      </c>
      <c r="C5" s="40" t="s">
        <v>289</v>
      </c>
      <c r="D5" s="40" t="s">
        <v>290</v>
      </c>
      <c r="E5" s="40" t="s">
        <v>291</v>
      </c>
      <c r="F5" s="98" t="str">
        <f>'M-PrefijoCelular'!C4</f>
        <v>+57</v>
      </c>
      <c r="G5" s="40">
        <v>3124518923</v>
      </c>
      <c r="H5" s="40" t="s">
        <v>183</v>
      </c>
      <c r="I5" s="40">
        <v>0</v>
      </c>
      <c r="J5" s="40">
        <v>30</v>
      </c>
      <c r="K5" s="40" t="str">
        <f>_xlfn.CONCAT(F5,"-",G5)</f>
        <v>+57-3124518923</v>
      </c>
    </row>
    <row r="6" spans="1:11" ht="14.25" customHeight="1" x14ac:dyDescent="0.25">
      <c r="A6" s="40">
        <v>3</v>
      </c>
      <c r="B6" s="40" t="s">
        <v>292</v>
      </c>
      <c r="C6" s="40"/>
      <c r="D6" s="40" t="s">
        <v>293</v>
      </c>
      <c r="E6" s="40"/>
      <c r="F6" s="98" t="str">
        <f>'M-PrefijoCelular'!C4</f>
        <v>+57</v>
      </c>
      <c r="G6" s="40">
        <v>3214533321</v>
      </c>
      <c r="H6" s="40" t="s">
        <v>183</v>
      </c>
      <c r="I6" s="40">
        <v>1</v>
      </c>
      <c r="J6" s="40">
        <v>0</v>
      </c>
      <c r="K6" s="40" t="str">
        <f>_xlfn.CONCAT(F6,"-",G6)</f>
        <v>+57-3214533321</v>
      </c>
    </row>
    <row r="7" spans="1:11" ht="14.25" customHeight="1" x14ac:dyDescent="0.25">
      <c r="A7" s="40">
        <v>4</v>
      </c>
      <c r="B7" s="40" t="s">
        <v>294</v>
      </c>
      <c r="C7" s="40"/>
      <c r="D7" s="40" t="s">
        <v>295</v>
      </c>
      <c r="E7" s="40" t="s">
        <v>296</v>
      </c>
      <c r="F7" s="98" t="str">
        <f>'M-PrefijoCelular'!C5</f>
        <v>+91</v>
      </c>
      <c r="G7" s="40">
        <v>9876543210</v>
      </c>
      <c r="H7" s="40" t="s">
        <v>297</v>
      </c>
      <c r="I7" s="40">
        <v>0</v>
      </c>
      <c r="J7" s="40">
        <v>0</v>
      </c>
      <c r="K7" s="40" t="str">
        <f>_xlfn.CONCAT(F7,"-",G7)</f>
        <v>+91-9876543210</v>
      </c>
    </row>
    <row r="8" spans="1:11" ht="14.25" customHeight="1" x14ac:dyDescent="0.25">
      <c r="A8" s="40">
        <v>5</v>
      </c>
      <c r="B8" s="40" t="s">
        <v>285</v>
      </c>
      <c r="C8" s="40" t="s">
        <v>292</v>
      </c>
      <c r="D8" s="40" t="s">
        <v>298</v>
      </c>
      <c r="E8" s="40" t="s">
        <v>299</v>
      </c>
      <c r="F8" s="98" t="str">
        <f>'M-PrefijoCelular'!C6</f>
        <v>+593</v>
      </c>
      <c r="G8" s="40">
        <v>998765432</v>
      </c>
      <c r="H8" s="40" t="s">
        <v>297</v>
      </c>
      <c r="I8" s="40">
        <v>2</v>
      </c>
      <c r="J8" s="40">
        <v>0</v>
      </c>
      <c r="K8" s="40" t="str">
        <f>_xlfn.CONCAT(F8,"-",G8)</f>
        <v>+593-998765432</v>
      </c>
    </row>
    <row r="14" spans="1:11" ht="28.5" customHeight="1" x14ac:dyDescent="0.25">
      <c r="A14" s="43"/>
      <c r="B14" s="44" t="s">
        <v>124</v>
      </c>
    </row>
    <row r="15" spans="1:11" ht="28.5" customHeight="1" x14ac:dyDescent="0.25">
      <c r="A15" s="45"/>
      <c r="B15" s="44" t="s">
        <v>125</v>
      </c>
    </row>
    <row r="16" spans="1:11" ht="28.5" customHeight="1" x14ac:dyDescent="0.25">
      <c r="A16" s="46"/>
      <c r="B16" s="44" t="s">
        <v>126</v>
      </c>
    </row>
    <row r="17" spans="1:2" ht="28.5" customHeight="1" x14ac:dyDescent="0.25">
      <c r="A17" s="69"/>
      <c r="B17" s="44" t="s">
        <v>300</v>
      </c>
    </row>
    <row r="18" spans="1:2" ht="28.5" customHeight="1" x14ac:dyDescent="0.25">
      <c r="A18" s="71"/>
      <c r="B18" s="44" t="s">
        <v>191</v>
      </c>
    </row>
    <row r="19" spans="1:2" ht="28.5" customHeight="1" x14ac:dyDescent="0.25">
      <c r="A19" s="72"/>
      <c r="B19" s="44" t="s">
        <v>301</v>
      </c>
    </row>
    <row r="20" spans="1:2" ht="28.5" customHeight="1" x14ac:dyDescent="0.25">
      <c r="A20" s="47"/>
      <c r="B20" s="44" t="s">
        <v>302</v>
      </c>
    </row>
  </sheetData>
  <hyperlinks>
    <hyperlink ref="A1" location="'Modelo de Dominio'!A1" display="&lt;&lt;&lt;&lt; Ir al modulo de dominio" xr:uid="{00000000-0004-0000-1D00-000000000000}"/>
    <hyperlink ref="B1" location="'Objetos de Dominio'!A1" display="&lt;&lt;&lt;&lt; Ir a objetos de dominio" xr:uid="{00000000-0004-0000-1D00-000001000000}"/>
    <hyperlink ref="F4" location="'M-PrefijoCelular'!A4" display="#'M-PrefijoCelular'.A4" xr:uid="{00000000-0004-0000-1D00-000002000000}"/>
    <hyperlink ref="F5" location="'M-PrefijoCelular'!A4" display="#'M-PrefijoCelular'.A4" xr:uid="{00000000-0004-0000-1D00-000003000000}"/>
    <hyperlink ref="F6" location="'M-PrefijoCelular'!A4" display="#'M-PrefijoCelular'.A4" xr:uid="{00000000-0004-0000-1D00-000004000000}"/>
    <hyperlink ref="F7" location="'M-PrefijoCelular'!A5" display="#'M-PrefijoCelular'.A5" xr:uid="{00000000-0004-0000-1D00-000005000000}"/>
    <hyperlink ref="F8" location="'M-PrefijoCelular'!A6" display="#'M-PrefijoCelular'.A6" xr:uid="{00000000-0004-0000-1D00-000006000000}"/>
  </hyperlink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41"/>
  <sheetViews>
    <sheetView zoomScaleNormal="100" workbookViewId="0"/>
  </sheetViews>
  <sheetFormatPr baseColWidth="10" defaultColWidth="8.7109375" defaultRowHeight="15" x14ac:dyDescent="0.25"/>
  <cols>
    <col min="1" max="1" width="27" customWidth="1"/>
    <col min="2" max="2" width="45" customWidth="1"/>
    <col min="3" max="3" width="30.42578125" customWidth="1"/>
    <col min="4" max="4" width="24.28515625" customWidth="1"/>
    <col min="5" max="5" width="18"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8" customWidth="1"/>
    <col min="13" max="13" width="40" customWidth="1"/>
    <col min="14" max="14" width="18" customWidth="1"/>
    <col min="15" max="15" width="29.7109375" customWidth="1"/>
    <col min="16" max="16" width="25" customWidth="1"/>
    <col min="17" max="17" width="38.42578125" customWidth="1"/>
    <col min="18" max="18" width="35.7109375" customWidth="1"/>
    <col min="19" max="19" width="21" customWidth="1"/>
    <col min="20" max="20" width="24" customWidth="1"/>
    <col min="21" max="21" width="18" customWidth="1"/>
  </cols>
  <sheetData>
    <row r="1" spans="1:21" ht="15" customHeight="1" x14ac:dyDescent="0.25">
      <c r="A1" s="4" t="s">
        <v>1</v>
      </c>
      <c r="B1" s="4" t="s">
        <v>45</v>
      </c>
    </row>
    <row r="2" spans="1:21" ht="15" customHeight="1" x14ac:dyDescent="0.25">
      <c r="A2" s="52" t="s">
        <v>46</v>
      </c>
      <c r="B2" s="52" t="s">
        <v>47</v>
      </c>
      <c r="C2" s="52" t="s">
        <v>48</v>
      </c>
      <c r="D2" s="52" t="s">
        <v>49</v>
      </c>
      <c r="E2" s="52" t="s">
        <v>50</v>
      </c>
      <c r="F2" s="52" t="s">
        <v>51</v>
      </c>
      <c r="G2" s="52" t="s">
        <v>52</v>
      </c>
      <c r="H2" s="52" t="s">
        <v>53</v>
      </c>
      <c r="I2" s="52" t="s">
        <v>54</v>
      </c>
      <c r="J2" s="52" t="s">
        <v>55</v>
      </c>
      <c r="K2" s="52" t="s">
        <v>56</v>
      </c>
      <c r="L2" s="52" t="s">
        <v>57</v>
      </c>
      <c r="M2" s="52" t="s">
        <v>58</v>
      </c>
      <c r="N2" s="52" t="s">
        <v>59</v>
      </c>
      <c r="O2" s="52" t="s">
        <v>60</v>
      </c>
      <c r="P2" s="52" t="s">
        <v>61</v>
      </c>
      <c r="Q2" s="52" t="s">
        <v>62</v>
      </c>
      <c r="R2" s="52" t="s">
        <v>63</v>
      </c>
      <c r="S2" s="52" t="s">
        <v>64</v>
      </c>
      <c r="T2" s="52" t="s">
        <v>65</v>
      </c>
      <c r="U2" s="52" t="s">
        <v>66</v>
      </c>
    </row>
    <row r="3" spans="1:21" ht="45" customHeight="1" x14ac:dyDescent="0.25">
      <c r="A3" s="16" t="str">
        <f>'M-Cliente'!A3</f>
        <v>id</v>
      </c>
      <c r="B3" s="17" t="str">
        <f>'M-Cliente'!A2</f>
        <v>Representa un identificador que hará unico cada objeto de dominio de este tipo, no se puede repetir</v>
      </c>
      <c r="C3" s="16" t="s">
        <v>67</v>
      </c>
      <c r="D3" s="16" t="s">
        <v>68</v>
      </c>
      <c r="E3" s="16" t="s">
        <v>67</v>
      </c>
      <c r="F3" s="16" t="s">
        <v>69</v>
      </c>
      <c r="G3" s="16" t="s">
        <v>69</v>
      </c>
      <c r="H3" s="16" t="s">
        <v>69</v>
      </c>
      <c r="I3" s="16" t="s">
        <v>69</v>
      </c>
      <c r="J3" s="16" t="s">
        <v>69</v>
      </c>
      <c r="K3" s="16" t="s">
        <v>69</v>
      </c>
      <c r="L3" s="16" t="s">
        <v>69</v>
      </c>
      <c r="M3" s="17" t="s">
        <v>69</v>
      </c>
      <c r="N3" s="16" t="s">
        <v>67</v>
      </c>
      <c r="O3" s="16" t="s">
        <v>70</v>
      </c>
      <c r="P3" s="16" t="s">
        <v>69</v>
      </c>
      <c r="Q3" s="16" t="s">
        <v>69</v>
      </c>
      <c r="R3" s="16" t="s">
        <v>69</v>
      </c>
      <c r="S3" s="16" t="s">
        <v>70</v>
      </c>
      <c r="T3" s="16" t="s">
        <v>71</v>
      </c>
      <c r="U3" s="16" t="s">
        <v>67</v>
      </c>
    </row>
    <row r="4" spans="1:21" ht="45" customHeight="1" x14ac:dyDescent="0.25">
      <c r="A4" s="16" t="str">
        <f>'M-Cliente'!B3</f>
        <v>primerNombre</v>
      </c>
      <c r="B4" s="17" t="str">
        <f>'M-Cliente'!B2</f>
        <v>Representa el primer nombre de la persona, que va a estar llendo a la barberia para las citas</v>
      </c>
      <c r="C4" s="16" t="s">
        <v>70</v>
      </c>
      <c r="D4" s="16" t="s">
        <v>72</v>
      </c>
      <c r="E4" s="16" t="s">
        <v>67</v>
      </c>
      <c r="F4" s="16">
        <v>2</v>
      </c>
      <c r="G4" s="16">
        <v>50</v>
      </c>
      <c r="H4" s="16" t="s">
        <v>69</v>
      </c>
      <c r="I4" s="16" t="s">
        <v>69</v>
      </c>
      <c r="J4" s="16" t="s">
        <v>69</v>
      </c>
      <c r="K4" s="16" t="s">
        <v>69</v>
      </c>
      <c r="L4" s="16" t="s">
        <v>69</v>
      </c>
      <c r="M4" s="17" t="s">
        <v>245</v>
      </c>
      <c r="N4" s="16" t="s">
        <v>70</v>
      </c>
      <c r="O4" s="16" t="s">
        <v>70</v>
      </c>
      <c r="P4" s="16" t="s">
        <v>70</v>
      </c>
      <c r="Q4" s="16" t="s">
        <v>67</v>
      </c>
      <c r="R4" s="16" t="s">
        <v>67</v>
      </c>
      <c r="S4" s="16" t="s">
        <v>70</v>
      </c>
      <c r="T4" s="16" t="s">
        <v>74</v>
      </c>
      <c r="U4" s="16" t="s">
        <v>70</v>
      </c>
    </row>
    <row r="5" spans="1:21" ht="45" customHeight="1" x14ac:dyDescent="0.25">
      <c r="A5" s="16" t="str">
        <f>'M-Cliente'!C3</f>
        <v>segundoNombre</v>
      </c>
      <c r="B5" s="17" t="str">
        <f>'M-Cliente'!C2</f>
        <v>Representa el segundo nombre de la persona, que va a estar llendo a la barberia para las citas</v>
      </c>
      <c r="C5" s="16" t="s">
        <v>70</v>
      </c>
      <c r="D5" s="16" t="s">
        <v>72</v>
      </c>
      <c r="E5" s="16" t="s">
        <v>70</v>
      </c>
      <c r="F5" s="16">
        <v>2</v>
      </c>
      <c r="G5" s="16">
        <v>50</v>
      </c>
      <c r="H5" s="16" t="s">
        <v>69</v>
      </c>
      <c r="I5" s="16" t="s">
        <v>69</v>
      </c>
      <c r="J5" s="16" t="s">
        <v>69</v>
      </c>
      <c r="K5" s="16" t="s">
        <v>69</v>
      </c>
      <c r="L5" s="16" t="s">
        <v>69</v>
      </c>
      <c r="M5" s="17" t="s">
        <v>245</v>
      </c>
      <c r="N5" s="16" t="s">
        <v>70</v>
      </c>
      <c r="O5" s="16" t="s">
        <v>70</v>
      </c>
      <c r="P5" s="16" t="s">
        <v>70</v>
      </c>
      <c r="Q5" s="16" t="s">
        <v>67</v>
      </c>
      <c r="R5" s="16" t="s">
        <v>67</v>
      </c>
      <c r="S5" s="16" t="s">
        <v>70</v>
      </c>
      <c r="T5" s="16" t="s">
        <v>74</v>
      </c>
      <c r="U5" s="16" t="s">
        <v>70</v>
      </c>
    </row>
    <row r="6" spans="1:21" ht="45" customHeight="1" x14ac:dyDescent="0.25">
      <c r="A6" s="16" t="str">
        <f>'M-Cliente'!D3</f>
        <v>primerApellido</v>
      </c>
      <c r="B6" s="17" t="str">
        <f>'M-Cliente'!D2</f>
        <v>Representa el primer apellido de la persona, que va a estar llendo a la barberia para las citas</v>
      </c>
      <c r="C6" s="16" t="s">
        <v>70</v>
      </c>
      <c r="D6" s="16" t="s">
        <v>72</v>
      </c>
      <c r="E6" s="16" t="s">
        <v>67</v>
      </c>
      <c r="F6" s="16">
        <v>2</v>
      </c>
      <c r="G6" s="16">
        <v>50</v>
      </c>
      <c r="H6" s="16" t="s">
        <v>69</v>
      </c>
      <c r="I6" s="16" t="s">
        <v>69</v>
      </c>
      <c r="J6" s="16" t="s">
        <v>69</v>
      </c>
      <c r="K6" s="16" t="s">
        <v>69</v>
      </c>
      <c r="L6" s="16" t="s">
        <v>69</v>
      </c>
      <c r="M6" s="17" t="s">
        <v>245</v>
      </c>
      <c r="N6" s="16" t="s">
        <v>70</v>
      </c>
      <c r="O6" s="16" t="s">
        <v>70</v>
      </c>
      <c r="P6" s="16" t="s">
        <v>70</v>
      </c>
      <c r="Q6" s="16" t="s">
        <v>67</v>
      </c>
      <c r="R6" s="16" t="s">
        <v>67</v>
      </c>
      <c r="S6" s="16" t="s">
        <v>70</v>
      </c>
      <c r="T6" s="16" t="s">
        <v>74</v>
      </c>
      <c r="U6" s="16" t="s">
        <v>70</v>
      </c>
    </row>
    <row r="7" spans="1:21" ht="45" customHeight="1" x14ac:dyDescent="0.25">
      <c r="A7" s="16" t="str">
        <f>'M-Cliente'!E3</f>
        <v>segundoApellido</v>
      </c>
      <c r="B7" s="17" t="str">
        <f>'M-Cliente'!E2</f>
        <v>Representa el segundo apellido de la persona, que va a estar llendo a la barberia para las citas</v>
      </c>
      <c r="C7" s="16" t="s">
        <v>70</v>
      </c>
      <c r="D7" s="16" t="s">
        <v>72</v>
      </c>
      <c r="E7" s="16" t="s">
        <v>70</v>
      </c>
      <c r="F7" s="16">
        <v>2</v>
      </c>
      <c r="G7" s="16">
        <v>50</v>
      </c>
      <c r="H7" s="16" t="s">
        <v>69</v>
      </c>
      <c r="I7" s="16" t="s">
        <v>69</v>
      </c>
      <c r="J7" s="16" t="s">
        <v>69</v>
      </c>
      <c r="K7" s="16" t="s">
        <v>69</v>
      </c>
      <c r="L7" s="16" t="s">
        <v>69</v>
      </c>
      <c r="M7" s="17" t="s">
        <v>245</v>
      </c>
      <c r="N7" s="16" t="s">
        <v>70</v>
      </c>
      <c r="O7" s="16" t="s">
        <v>70</v>
      </c>
      <c r="P7" s="16" t="s">
        <v>70</v>
      </c>
      <c r="Q7" s="16" t="s">
        <v>67</v>
      </c>
      <c r="R7" s="16" t="s">
        <v>67</v>
      </c>
      <c r="S7" s="16" t="s">
        <v>70</v>
      </c>
      <c r="T7" s="16" t="s">
        <v>74</v>
      </c>
      <c r="U7" s="16" t="s">
        <v>70</v>
      </c>
    </row>
    <row r="8" spans="1:21" ht="45" customHeight="1" x14ac:dyDescent="0.25">
      <c r="A8" s="16" t="str">
        <f>'M-Cliente'!F3</f>
        <v>prefijoCelular</v>
      </c>
      <c r="B8" s="17" t="str">
        <f>'M-Cliente'!F2</f>
        <v>Representa cual es el prefijo del numero de celular del cliente</v>
      </c>
      <c r="C8" s="16" t="s">
        <v>70</v>
      </c>
      <c r="D8" s="91" t="s">
        <v>21</v>
      </c>
      <c r="E8" s="16" t="s">
        <v>67</v>
      </c>
      <c r="F8" s="16">
        <v>2</v>
      </c>
      <c r="G8" s="16">
        <v>4</v>
      </c>
      <c r="H8" s="16" t="s">
        <v>69</v>
      </c>
      <c r="I8" s="16" t="s">
        <v>69</v>
      </c>
      <c r="J8" s="16" t="s">
        <v>69</v>
      </c>
      <c r="K8" s="16" t="s">
        <v>69</v>
      </c>
      <c r="L8" s="17" t="s">
        <v>303</v>
      </c>
      <c r="M8" s="17" t="s">
        <v>304</v>
      </c>
      <c r="N8" s="16" t="s">
        <v>70</v>
      </c>
      <c r="O8" s="16" t="s">
        <v>70</v>
      </c>
      <c r="P8" s="16" t="s">
        <v>69</v>
      </c>
      <c r="Q8" s="16" t="s">
        <v>70</v>
      </c>
      <c r="R8" s="16" t="s">
        <v>70</v>
      </c>
      <c r="S8" s="16" t="s">
        <v>67</v>
      </c>
      <c r="T8" s="16" t="s">
        <v>71</v>
      </c>
      <c r="U8" s="16" t="s">
        <v>70</v>
      </c>
    </row>
    <row r="9" spans="1:21" ht="57" customHeight="1" x14ac:dyDescent="0.25">
      <c r="A9" s="16" t="str">
        <f>'M-Cliente'!G3</f>
        <v>celular</v>
      </c>
      <c r="B9" s="17" t="str">
        <f>'M-Cliente'!G2</f>
        <v>Representa el numero de celular del cliente, es el dato que el barbero necesita en caso de que tenga que contactarse con el</v>
      </c>
      <c r="C9" s="16" t="s">
        <v>70</v>
      </c>
      <c r="D9" s="16" t="s">
        <v>72</v>
      </c>
      <c r="E9" s="16" t="s">
        <v>67</v>
      </c>
      <c r="F9" s="16">
        <v>4</v>
      </c>
      <c r="G9" s="16">
        <v>15</v>
      </c>
      <c r="H9" s="16" t="s">
        <v>69</v>
      </c>
      <c r="I9" s="16" t="s">
        <v>69</v>
      </c>
      <c r="J9" s="16" t="s">
        <v>69</v>
      </c>
      <c r="K9" s="16" t="s">
        <v>69</v>
      </c>
      <c r="L9" s="17" t="s">
        <v>305</v>
      </c>
      <c r="M9" s="17" t="s">
        <v>69</v>
      </c>
      <c r="N9" s="16" t="s">
        <v>70</v>
      </c>
      <c r="O9" s="16" t="s">
        <v>70</v>
      </c>
      <c r="P9" s="16" t="s">
        <v>70</v>
      </c>
      <c r="Q9" s="16" t="s">
        <v>67</v>
      </c>
      <c r="R9" s="16" t="s">
        <v>67</v>
      </c>
      <c r="S9" s="16" t="s">
        <v>67</v>
      </c>
      <c r="T9" s="16">
        <v>0</v>
      </c>
      <c r="U9" s="16" t="s">
        <v>70</v>
      </c>
    </row>
    <row r="10" spans="1:21" ht="45" customHeight="1" x14ac:dyDescent="0.25">
      <c r="A10" s="16" t="str">
        <f>'M-Cliente'!I3</f>
        <v>multasSinPagar</v>
      </c>
      <c r="B10" s="17" t="str">
        <f>'M-Cliente'!I2</f>
        <v>Representa la cantidad de multas que tiene sin pagar en las citas que ha tenido, ya sea multa por tardanza o por no llegar</v>
      </c>
      <c r="C10" s="16" t="s">
        <v>70</v>
      </c>
      <c r="D10" s="16" t="s">
        <v>157</v>
      </c>
      <c r="E10" s="16" t="s">
        <v>67</v>
      </c>
      <c r="F10" s="16" t="s">
        <v>69</v>
      </c>
      <c r="G10" s="16" t="s">
        <v>69</v>
      </c>
      <c r="H10" s="16" t="s">
        <v>69</v>
      </c>
      <c r="I10" s="16" t="s">
        <v>69</v>
      </c>
      <c r="J10" s="16">
        <v>0</v>
      </c>
      <c r="K10" s="16">
        <v>3</v>
      </c>
      <c r="L10" s="16" t="s">
        <v>69</v>
      </c>
      <c r="M10" s="17" t="s">
        <v>306</v>
      </c>
      <c r="N10" s="16" t="s">
        <v>67</v>
      </c>
      <c r="O10" s="16" t="s">
        <v>70</v>
      </c>
      <c r="P10" s="16" t="s">
        <v>69</v>
      </c>
      <c r="Q10" s="16" t="s">
        <v>69</v>
      </c>
      <c r="R10" s="16" t="s">
        <v>69</v>
      </c>
      <c r="S10" s="16" t="s">
        <v>70</v>
      </c>
      <c r="T10" s="16">
        <v>0</v>
      </c>
      <c r="U10" s="16" t="s">
        <v>70</v>
      </c>
    </row>
    <row r="11" spans="1:21" ht="60" customHeight="1" x14ac:dyDescent="0.25">
      <c r="A11" s="16" t="str">
        <f>'M-Cliente'!J3</f>
        <v>estaVetado</v>
      </c>
      <c r="B11" s="17" t="str">
        <f>'M-Cliente'!J2</f>
        <v>Representa si el cliente esta en estado de veto o no, cuando el cliente esta vetado el sistema no va a permitir agendar citas con este cliente con ningun barbero</v>
      </c>
      <c r="C11" s="16" t="s">
        <v>70</v>
      </c>
      <c r="D11" s="16" t="s">
        <v>158</v>
      </c>
      <c r="E11" s="16" t="s">
        <v>67</v>
      </c>
      <c r="F11" s="16" t="s">
        <v>69</v>
      </c>
      <c r="G11" s="16" t="s">
        <v>69</v>
      </c>
      <c r="H11" s="16" t="s">
        <v>69</v>
      </c>
      <c r="I11" s="16" t="s">
        <v>69</v>
      </c>
      <c r="J11" s="16" t="s">
        <v>69</v>
      </c>
      <c r="K11" s="16" t="s">
        <v>69</v>
      </c>
      <c r="L11" s="16" t="s">
        <v>69</v>
      </c>
      <c r="M11" s="17" t="s">
        <v>307</v>
      </c>
      <c r="N11" s="16" t="s">
        <v>67</v>
      </c>
      <c r="O11" s="16" t="s">
        <v>70</v>
      </c>
      <c r="P11" s="16" t="s">
        <v>69</v>
      </c>
      <c r="Q11" s="16" t="s">
        <v>69</v>
      </c>
      <c r="R11" s="16" t="s">
        <v>69</v>
      </c>
      <c r="S11" s="16" t="s">
        <v>70</v>
      </c>
      <c r="T11" s="16" t="s">
        <v>70</v>
      </c>
      <c r="U11" s="16" t="s">
        <v>70</v>
      </c>
    </row>
    <row r="12" spans="1:21" ht="60" customHeight="1" x14ac:dyDescent="0.25">
      <c r="A12" s="16" t="str">
        <f>'M-Cliente'!K3</f>
        <v>cantidadDeDescuentoCitas</v>
      </c>
      <c r="B12" s="17" t="str">
        <f>'M-Cliente'!K2</f>
        <v>Representa la cantidad de citas que un cliente va a tener con descuento, cada inasistencia que un barbero le haga al cliente se le suma un descuento a la proxima cita</v>
      </c>
      <c r="C12" s="16" t="s">
        <v>70</v>
      </c>
      <c r="D12" s="16" t="s">
        <v>157</v>
      </c>
      <c r="E12" s="16" t="s">
        <v>67</v>
      </c>
      <c r="F12" s="16" t="s">
        <v>69</v>
      </c>
      <c r="G12" s="16" t="s">
        <v>69</v>
      </c>
      <c r="H12" s="16" t="s">
        <v>69</v>
      </c>
      <c r="I12" s="16" t="s">
        <v>69</v>
      </c>
      <c r="J12" s="16">
        <v>0</v>
      </c>
      <c r="K12" s="16">
        <v>1000</v>
      </c>
      <c r="L12" s="16" t="s">
        <v>69</v>
      </c>
      <c r="M12" s="17" t="s">
        <v>308</v>
      </c>
      <c r="N12" s="16" t="s">
        <v>67</v>
      </c>
      <c r="O12" s="16" t="s">
        <v>70</v>
      </c>
      <c r="P12" s="16" t="s">
        <v>69</v>
      </c>
      <c r="Q12" s="16" t="s">
        <v>69</v>
      </c>
      <c r="R12" s="16" t="s">
        <v>69</v>
      </c>
      <c r="S12" s="16" t="s">
        <v>70</v>
      </c>
      <c r="T12" s="16">
        <v>0</v>
      </c>
      <c r="U12" s="16" t="s">
        <v>70</v>
      </c>
    </row>
    <row r="13" spans="1:21" ht="15" customHeight="1" x14ac:dyDescent="0.25">
      <c r="A13" s="5"/>
      <c r="B13" s="5"/>
      <c r="C13" s="5"/>
      <c r="D13" s="5"/>
      <c r="E13" s="5"/>
      <c r="F13" s="5"/>
      <c r="G13" s="5"/>
      <c r="H13" s="5"/>
      <c r="I13" s="5"/>
      <c r="J13" s="5"/>
      <c r="K13" s="5"/>
      <c r="L13" s="5"/>
      <c r="M13" s="5"/>
      <c r="N13" s="5"/>
      <c r="O13" s="5"/>
      <c r="P13" s="5"/>
      <c r="Q13" s="5"/>
      <c r="R13" s="5"/>
      <c r="S13" s="5"/>
      <c r="T13" s="5"/>
      <c r="U13" s="5"/>
    </row>
    <row r="14" spans="1:21" ht="15" customHeight="1" x14ac:dyDescent="0.25">
      <c r="A14" s="18" t="s">
        <v>75</v>
      </c>
      <c r="B14" s="18" t="s">
        <v>76</v>
      </c>
      <c r="C14" s="18" t="s">
        <v>77</v>
      </c>
      <c r="D14" s="54"/>
      <c r="E14" s="54"/>
      <c r="F14" s="54"/>
      <c r="G14" s="54"/>
      <c r="H14" s="54"/>
      <c r="I14" s="54"/>
      <c r="J14" s="54"/>
      <c r="K14" s="54"/>
      <c r="L14" s="54"/>
      <c r="M14" s="54"/>
      <c r="N14" s="54"/>
      <c r="O14" s="54"/>
      <c r="P14" s="54"/>
      <c r="Q14" s="54"/>
      <c r="R14" s="54"/>
      <c r="S14" s="54"/>
      <c r="T14" s="54"/>
      <c r="U14" s="54"/>
    </row>
    <row r="15" spans="1:21" ht="15" customHeight="1" x14ac:dyDescent="0.25">
      <c r="A15" s="211" t="str">
        <f>'M-Cliente'!L3</f>
        <v>Combinación única  1</v>
      </c>
      <c r="B15" s="212" t="str">
        <f>'M-Cliente'!L2</f>
        <v>Combinacion única que indica que no puede existir más de un cliente con el mismo prefijo de celular y número de celular</v>
      </c>
      <c r="C15" s="213" t="str">
        <f>A8</f>
        <v>prefijoCelular</v>
      </c>
      <c r="D15" s="5"/>
      <c r="E15" s="5"/>
      <c r="F15" s="5"/>
      <c r="G15" s="5"/>
      <c r="H15" s="5"/>
      <c r="I15" s="5"/>
      <c r="J15" s="5"/>
      <c r="K15" s="5"/>
      <c r="L15" s="5"/>
      <c r="M15" s="5"/>
      <c r="N15" s="5"/>
      <c r="O15" s="5"/>
      <c r="P15" s="5"/>
      <c r="Q15" s="5"/>
      <c r="R15" s="5"/>
      <c r="S15" s="5"/>
      <c r="T15" s="5"/>
      <c r="U15" s="5"/>
    </row>
    <row r="16" spans="1:21" ht="15" customHeight="1" x14ac:dyDescent="0.25">
      <c r="A16" s="211"/>
      <c r="B16" s="211"/>
      <c r="C16" s="211"/>
      <c r="D16" s="5"/>
      <c r="E16" s="5"/>
      <c r="F16" s="5"/>
      <c r="G16" s="5"/>
      <c r="H16" s="5"/>
      <c r="I16" s="5"/>
      <c r="J16" s="5"/>
      <c r="K16" s="5"/>
      <c r="L16" s="5"/>
      <c r="M16" s="5"/>
      <c r="N16" s="5"/>
      <c r="O16" s="5"/>
      <c r="P16" s="5"/>
      <c r="Q16" s="5"/>
      <c r="R16" s="5"/>
      <c r="S16" s="5"/>
      <c r="T16" s="5"/>
      <c r="U16" s="5"/>
    </row>
    <row r="17" spans="1:21" ht="15" customHeight="1" x14ac:dyDescent="0.25">
      <c r="A17" s="211"/>
      <c r="B17" s="211"/>
      <c r="C17" s="213"/>
      <c r="D17" s="5"/>
      <c r="E17" s="5"/>
      <c r="F17" s="5"/>
      <c r="G17" s="5"/>
      <c r="H17" s="5"/>
      <c r="I17" s="5"/>
      <c r="J17" s="5"/>
      <c r="K17" s="5"/>
      <c r="L17" s="5"/>
      <c r="M17" s="5"/>
      <c r="N17" s="5"/>
      <c r="O17" s="5"/>
      <c r="P17" s="5"/>
      <c r="Q17" s="5"/>
      <c r="R17" s="5"/>
      <c r="S17" s="5"/>
      <c r="T17" s="5"/>
      <c r="U17" s="5"/>
    </row>
    <row r="18" spans="1:21" ht="15" customHeight="1" x14ac:dyDescent="0.25">
      <c r="A18" s="211"/>
      <c r="B18" s="211"/>
      <c r="C18" s="213" t="str">
        <f>A9</f>
        <v>celular</v>
      </c>
      <c r="D18" s="5"/>
      <c r="E18" s="5"/>
      <c r="F18" s="5"/>
      <c r="G18" s="5"/>
      <c r="H18" s="5"/>
      <c r="I18" s="5"/>
      <c r="J18" s="5"/>
      <c r="K18" s="5"/>
      <c r="L18" s="5"/>
      <c r="M18" s="5"/>
      <c r="N18" s="5"/>
      <c r="O18" s="5"/>
      <c r="P18" s="5"/>
      <c r="Q18" s="5"/>
      <c r="R18" s="5"/>
      <c r="S18" s="5"/>
      <c r="T18" s="5"/>
      <c r="U18" s="5"/>
    </row>
    <row r="19" spans="1:21" ht="15" customHeight="1" x14ac:dyDescent="0.25">
      <c r="A19" s="211"/>
      <c r="B19" s="211"/>
      <c r="C19" s="211"/>
      <c r="D19" s="5"/>
      <c r="E19" s="5"/>
      <c r="F19" s="5"/>
      <c r="G19" s="5"/>
      <c r="H19" s="5"/>
      <c r="I19" s="5"/>
      <c r="J19" s="5"/>
      <c r="K19" s="5"/>
      <c r="L19" s="5"/>
      <c r="M19" s="5"/>
      <c r="N19" s="5"/>
      <c r="O19" s="5"/>
      <c r="P19" s="5"/>
      <c r="Q19" s="5"/>
      <c r="R19" s="5"/>
      <c r="S19" s="5"/>
      <c r="T19" s="5"/>
      <c r="U19" s="5"/>
    </row>
    <row r="20" spans="1:21" ht="15" customHeight="1" x14ac:dyDescent="0.25">
      <c r="A20" s="211"/>
      <c r="B20" s="211"/>
      <c r="C20" s="211"/>
      <c r="D20" s="5"/>
      <c r="E20" s="5"/>
      <c r="F20" s="5"/>
      <c r="G20" s="5"/>
      <c r="H20" s="5"/>
      <c r="I20" s="5"/>
      <c r="J20" s="5"/>
      <c r="K20" s="5"/>
      <c r="L20" s="5"/>
      <c r="M20" s="5"/>
      <c r="N20" s="5"/>
      <c r="O20" s="5"/>
      <c r="P20" s="5"/>
      <c r="Q20" s="5"/>
      <c r="R20" s="5"/>
      <c r="S20" s="5"/>
      <c r="T20" s="5"/>
      <c r="U20" s="5"/>
    </row>
    <row r="21" spans="1:21" ht="15" customHeight="1" x14ac:dyDescent="0.25">
      <c r="A21" s="48"/>
      <c r="B21" s="48"/>
    </row>
    <row r="22" spans="1:21" ht="15" customHeight="1" x14ac:dyDescent="0.25">
      <c r="A22" s="48"/>
      <c r="B22" s="48"/>
    </row>
    <row r="23" spans="1:21" ht="15" customHeight="1" x14ac:dyDescent="0.25">
      <c r="A23" s="48"/>
      <c r="B23" s="48"/>
    </row>
    <row r="24" spans="1:21" ht="15" customHeight="1" x14ac:dyDescent="0.25">
      <c r="A24" s="48"/>
      <c r="B24" s="48"/>
    </row>
    <row r="25" spans="1:21" ht="15" customHeight="1" x14ac:dyDescent="0.25">
      <c r="A25" s="48"/>
      <c r="B25" s="48"/>
    </row>
    <row r="26" spans="1:21" ht="15" customHeight="1" x14ac:dyDescent="0.25">
      <c r="A26" s="55"/>
      <c r="B26" s="55"/>
      <c r="C26" s="55"/>
      <c r="D26" s="55"/>
      <c r="E26" s="55"/>
      <c r="F26" s="55"/>
      <c r="G26" s="55"/>
      <c r="H26" s="55"/>
      <c r="I26" s="55"/>
      <c r="J26" s="55"/>
      <c r="K26" s="55"/>
      <c r="L26" s="55"/>
      <c r="M26" s="55"/>
      <c r="N26" s="55"/>
      <c r="O26" s="55"/>
      <c r="P26" s="55"/>
      <c r="Q26" s="55"/>
      <c r="R26" s="55"/>
      <c r="S26" s="55"/>
      <c r="T26" s="55"/>
      <c r="U26" s="55"/>
    </row>
    <row r="27" spans="1:21" ht="15" customHeight="1" x14ac:dyDescent="0.25">
      <c r="A27" s="48"/>
      <c r="B27" s="48"/>
    </row>
    <row r="28" spans="1:21" ht="15" customHeight="1" x14ac:dyDescent="0.25">
      <c r="A28" s="48"/>
      <c r="B28" s="48"/>
    </row>
    <row r="29" spans="1:21" ht="15" customHeight="1" x14ac:dyDescent="0.25">
      <c r="A29" s="48"/>
      <c r="B29" s="48"/>
    </row>
    <row r="30" spans="1:21" ht="15" customHeight="1" x14ac:dyDescent="0.25">
      <c r="A30" s="48"/>
      <c r="B30" s="48"/>
    </row>
    <row r="31" spans="1:21" ht="15" customHeight="1" x14ac:dyDescent="0.25">
      <c r="A31" s="48"/>
      <c r="B31" s="48"/>
    </row>
    <row r="32" spans="1:21" ht="15" customHeight="1" x14ac:dyDescent="0.25">
      <c r="A32" s="48"/>
      <c r="B32" s="48"/>
    </row>
    <row r="33" spans="1:3" ht="15" customHeight="1" x14ac:dyDescent="0.25">
      <c r="A33" s="48"/>
      <c r="B33" s="48"/>
    </row>
    <row r="34" spans="1:3" ht="15" customHeight="1" x14ac:dyDescent="0.25">
      <c r="A34" s="48"/>
      <c r="B34" s="48"/>
    </row>
    <row r="35" spans="1:3" ht="15" customHeight="1" x14ac:dyDescent="0.25">
      <c r="A35" s="48"/>
      <c r="B35" s="48"/>
    </row>
    <row r="36" spans="1:3" ht="15" customHeight="1" x14ac:dyDescent="0.25">
      <c r="A36" s="48"/>
      <c r="B36" s="48"/>
    </row>
    <row r="37" spans="1:3" ht="15" customHeight="1" x14ac:dyDescent="0.25">
      <c r="A37" s="48"/>
      <c r="B37" s="48"/>
    </row>
    <row r="39" spans="1:3" ht="15" customHeight="1" x14ac:dyDescent="0.25">
      <c r="A39" s="56"/>
      <c r="B39" s="56"/>
      <c r="C39" s="56"/>
    </row>
    <row r="40" spans="1:3" ht="15" customHeight="1" x14ac:dyDescent="0.25">
      <c r="A40" s="48"/>
      <c r="B40" s="48"/>
    </row>
    <row r="41" spans="1:3" ht="15" customHeight="1" x14ac:dyDescent="0.25">
      <c r="A41" s="48"/>
      <c r="B41" s="48"/>
    </row>
  </sheetData>
  <mergeCells count="4">
    <mergeCell ref="A15:A20"/>
    <mergeCell ref="B15:B20"/>
    <mergeCell ref="C15:C17"/>
    <mergeCell ref="C18:C20"/>
  </mergeCells>
  <hyperlinks>
    <hyperlink ref="A1" location="'Modelo de Dominio'!A1" display="&lt;&lt;&lt;&lt; Ir al modulo de dominio" xr:uid="{00000000-0004-0000-1E00-000000000000}"/>
    <hyperlink ref="B1" location="'Objetos de Dominio'!A1" display="&lt;&lt;&lt;&lt; Ir a objetos de dominio" xr:uid="{00000000-0004-0000-1E00-000001000000}"/>
    <hyperlink ref="D8" location="'C-PrefijoCelular'!A1" display="PrefijoCelular" xr:uid="{00000000-0004-0000-1E00-000002000000}"/>
  </hyperlink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8"/>
  <sheetViews>
    <sheetView showGridLines="0" zoomScaleNormal="100" workbookViewId="0">
      <selection activeCell="B6" sqref="B6:C6"/>
    </sheetView>
  </sheetViews>
  <sheetFormatPr baseColWidth="10" defaultColWidth="8.7109375" defaultRowHeight="15" x14ac:dyDescent="0.25"/>
  <cols>
    <col min="1" max="1" width="20.7109375" bestFit="1" customWidth="1"/>
    <col min="2" max="2" width="28.5703125" bestFit="1" customWidth="1"/>
    <col min="3" max="3" width="35.5703125" bestFit="1" customWidth="1"/>
    <col min="4" max="4" width="37.140625" bestFit="1" customWidth="1"/>
    <col min="5" max="5" width="36.7109375" bestFit="1"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Dominio'!A11</f>
        <v>Cliente</v>
      </c>
      <c r="C2" s="185"/>
      <c r="D2" s="185"/>
      <c r="E2" s="185"/>
    </row>
    <row r="3" spans="1:5" ht="30" customHeight="1" x14ac:dyDescent="0.25">
      <c r="A3" s="23" t="s">
        <v>84</v>
      </c>
      <c r="B3" s="186" t="str">
        <f>'Objetos de Dominio'!B11</f>
        <v>Representa a la persona que solicita citas en la barbería con un barbero. Guarda su historial de multas sin pagar para saber si está o no vetado</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48" customHeight="1" x14ac:dyDescent="0.25">
      <c r="A6" s="8" t="s">
        <v>309</v>
      </c>
      <c r="B6" s="184" t="s">
        <v>662</v>
      </c>
      <c r="C6" s="184"/>
      <c r="D6" s="24" t="s">
        <v>27</v>
      </c>
      <c r="E6" s="24"/>
    </row>
    <row r="7" spans="1:5" ht="30" customHeight="1" x14ac:dyDescent="0.25">
      <c r="A7" s="8" t="s">
        <v>310</v>
      </c>
      <c r="B7" s="184" t="s">
        <v>649</v>
      </c>
      <c r="C7" s="184"/>
      <c r="D7" s="24" t="s">
        <v>27</v>
      </c>
      <c r="E7" s="24"/>
    </row>
    <row r="8" spans="1:5" ht="54" customHeight="1" x14ac:dyDescent="0.25">
      <c r="A8" s="8" t="s">
        <v>650</v>
      </c>
      <c r="B8" s="184" t="s">
        <v>651</v>
      </c>
      <c r="C8" s="184"/>
      <c r="D8" s="24" t="s">
        <v>27</v>
      </c>
      <c r="E8" s="24"/>
    </row>
  </sheetData>
  <mergeCells count="9">
    <mergeCell ref="A4:A5"/>
    <mergeCell ref="B4:C5"/>
    <mergeCell ref="D4:D5"/>
    <mergeCell ref="E4:E5"/>
    <mergeCell ref="B8:C8"/>
    <mergeCell ref="B6:C6"/>
    <mergeCell ref="B7:C7"/>
    <mergeCell ref="B2:E2"/>
    <mergeCell ref="B3:E3"/>
  </mergeCells>
  <hyperlinks>
    <hyperlink ref="A1" location="'Modelo de Dominio'!A1" display="&lt;&lt; Ir al modelo de dominio" xr:uid="{00000000-0004-0000-1F00-000000000000}"/>
    <hyperlink ref="B1" location="'Objetos de Dominio'!A1" display="&lt;&lt; Ir al listado de objetos de dominio" xr:uid="{00000000-0004-0000-1F00-000001000000}"/>
    <hyperlink ref="C1" location="'C-Cliente'!A1" display="&lt;&lt; Ir a la caracterización del objeto de dominio" xr:uid="{00000000-0004-0000-1F00-000002000000}"/>
    <hyperlink ref="D1" location="'M-Cliente'!A1" display="Ir al muestreo de datos del objeto de dominio &gt;&gt;" xr:uid="{00000000-0004-0000-1F00-000003000000}"/>
    <hyperlink ref="E1" location="'E-Cliente'!A1" display="Ir al event storming del objeto de dominio &gt;&gt;" xr:uid="{3A336C5A-7376-4526-BB66-3A8AE33E7052}"/>
  </hyperlink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3"/>
  <sheetViews>
    <sheetView showGridLines="0" zoomScaleNormal="100" workbookViewId="0">
      <selection activeCell="K7" sqref="K7:K8"/>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Dominio'!A11</f>
        <v>Cliente</v>
      </c>
      <c r="C2" s="194"/>
      <c r="D2" s="194"/>
      <c r="E2" s="194"/>
      <c r="F2" s="194"/>
      <c r="G2" s="194"/>
      <c r="H2" s="194"/>
      <c r="I2" s="194"/>
      <c r="J2" s="194"/>
      <c r="K2" s="194"/>
    </row>
    <row r="3" spans="1:11" ht="30" customHeight="1" x14ac:dyDescent="0.25">
      <c r="A3" s="23" t="s">
        <v>84</v>
      </c>
      <c r="B3" s="195" t="str">
        <f>'Objetos de Dominio'!B11</f>
        <v>Representa a la persona que solicita citas en la barbería con un barbero. Guarda su historial de multas sin pagar para saber si está o no vetado</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205" t="s">
        <v>27</v>
      </c>
      <c r="B7" s="204" t="s">
        <v>311</v>
      </c>
      <c r="C7" s="204" t="s">
        <v>312</v>
      </c>
      <c r="D7" s="205" t="str">
        <f>$B$2</f>
        <v>Cliente</v>
      </c>
      <c r="E7" s="204"/>
      <c r="F7" s="204"/>
      <c r="G7" s="179" t="str">
        <f>'P-Cliente'!A6</f>
        <v>P-CLI-0001</v>
      </c>
      <c r="H7" s="180" t="s">
        <v>629</v>
      </c>
      <c r="I7" s="205"/>
      <c r="J7" s="204" t="s">
        <v>313</v>
      </c>
      <c r="K7" s="204"/>
    </row>
    <row r="8" spans="1:11" ht="30" customHeight="1" x14ac:dyDescent="0.25">
      <c r="A8" s="205"/>
      <c r="B8" s="205"/>
      <c r="C8" s="205"/>
      <c r="D8" s="205"/>
      <c r="E8" s="205"/>
      <c r="F8" s="205"/>
      <c r="G8" s="179" t="str">
        <f>'P-Cliente'!A7</f>
        <v>P-CLI-0002</v>
      </c>
      <c r="H8" s="180" t="s">
        <v>629</v>
      </c>
      <c r="I8" s="205"/>
      <c r="J8" s="205"/>
      <c r="K8" s="205"/>
    </row>
    <row r="9" spans="1:11" ht="30" customHeight="1" x14ac:dyDescent="0.25">
      <c r="A9" s="3" t="s">
        <v>27</v>
      </c>
      <c r="B9" s="33" t="s">
        <v>643</v>
      </c>
      <c r="C9" s="33" t="s">
        <v>314</v>
      </c>
      <c r="D9" s="3" t="str">
        <f>$B$2</f>
        <v>Cliente</v>
      </c>
      <c r="E9" s="33"/>
      <c r="F9" s="33"/>
      <c r="G9" s="179" t="str">
        <f>'P-Cliente'!A8</f>
        <v>P-CLI-0003</v>
      </c>
      <c r="H9" s="183" t="s">
        <v>629</v>
      </c>
      <c r="I9" s="3"/>
      <c r="J9" s="33" t="s">
        <v>315</v>
      </c>
      <c r="K9" s="33"/>
    </row>
    <row r="10" spans="1:11" ht="30" customHeight="1" x14ac:dyDescent="0.25">
      <c r="A10" s="3" t="s">
        <v>25</v>
      </c>
      <c r="B10" s="33" t="s">
        <v>658</v>
      </c>
      <c r="C10" s="33" t="s">
        <v>316</v>
      </c>
      <c r="D10" s="3" t="str">
        <f>$B$2</f>
        <v>Cliente</v>
      </c>
      <c r="E10" s="33"/>
      <c r="F10" s="33"/>
      <c r="G10" s="3"/>
      <c r="H10" s="34"/>
      <c r="I10" s="3"/>
      <c r="J10" s="33" t="s">
        <v>656</v>
      </c>
      <c r="K10" s="33"/>
    </row>
    <row r="11" spans="1:11" ht="30" customHeight="1" x14ac:dyDescent="0.25">
      <c r="A11" s="3" t="s">
        <v>27</v>
      </c>
      <c r="B11" s="33" t="s">
        <v>657</v>
      </c>
      <c r="C11" s="33" t="s">
        <v>660</v>
      </c>
      <c r="D11" s="3" t="str">
        <f>$B$2</f>
        <v>Cliente</v>
      </c>
      <c r="E11" s="33"/>
      <c r="F11" s="33"/>
      <c r="G11" s="3"/>
      <c r="H11" s="34"/>
      <c r="I11" s="3"/>
      <c r="J11" s="33" t="s">
        <v>667</v>
      </c>
      <c r="K11" s="33"/>
    </row>
    <row r="12" spans="1:11" ht="30" customHeight="1" x14ac:dyDescent="0.25">
      <c r="A12" s="3" t="s">
        <v>27</v>
      </c>
      <c r="B12" s="33" t="s">
        <v>659</v>
      </c>
      <c r="C12" s="33" t="s">
        <v>661</v>
      </c>
      <c r="D12" s="3" t="str">
        <f>$B$2</f>
        <v>Cliente</v>
      </c>
      <c r="E12" s="33"/>
      <c r="F12" s="33"/>
      <c r="G12" s="3"/>
      <c r="H12" s="34"/>
      <c r="I12" s="3"/>
      <c r="J12" s="33" t="s">
        <v>666</v>
      </c>
      <c r="K12" s="33"/>
    </row>
    <row r="13" spans="1:11" ht="20.25" customHeight="1" x14ac:dyDescent="0.25">
      <c r="A13" s="3" t="s">
        <v>27</v>
      </c>
      <c r="B13" s="33" t="s">
        <v>663</v>
      </c>
      <c r="C13" s="33" t="s">
        <v>664</v>
      </c>
      <c r="D13" s="3" t="str">
        <f>$B$2</f>
        <v>Cliente</v>
      </c>
      <c r="E13" s="33"/>
      <c r="F13" s="33"/>
      <c r="G13" s="3"/>
      <c r="H13" s="34"/>
      <c r="I13" s="3"/>
      <c r="J13" s="33" t="s">
        <v>665</v>
      </c>
      <c r="K13" s="33"/>
    </row>
  </sheetData>
  <mergeCells count="27">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2000-000000000000}"/>
    <hyperlink ref="C1" location="'Objetos de Dominio'!A1" display="&lt;&lt; Ir al listado de objetos de dominio" xr:uid="{00000000-0004-0000-2000-000001000000}"/>
    <hyperlink ref="F1" location="'C-Cliente'!A1" display="&lt;&lt; Ir a la caracterización del objeto de dominio" xr:uid="{00000000-0004-0000-2000-000002000000}"/>
    <hyperlink ref="J1" location="'M-Cliente'!A1" display="Ir al muestreo de datos del objeto de dominio &gt;&gt;" xr:uid="{00000000-0004-0000-2000-000003000000}"/>
    <hyperlink ref="G7" location="'P-Cliente'!A6" display="P-CLI-0001" xr:uid="{C3A73399-D4FF-45FB-8151-1DE6C3F3BE46}"/>
    <hyperlink ref="H7" location="'P-Cliente'!B6" display="aquí" xr:uid="{193AFBDD-951F-463B-B055-4FFF6877B172}"/>
    <hyperlink ref="G8" location="'P-Cliente'!A7" display="P-CLI-0002" xr:uid="{D1DFF0E8-4085-4D26-A655-6610BE4641C8}"/>
    <hyperlink ref="H8" location="'P-Cliente'!B7" display="aquí" xr:uid="{7C109F9B-7651-49EA-827D-1236D08EFCA4}"/>
    <hyperlink ref="G9" location="'P-Cliente'!A6" display="P-CLI-0001" xr:uid="{1DF1FFDE-24F4-449F-AB6A-7500135B387D}"/>
    <hyperlink ref="H9" location="'P-Cliente'!B8" display="aquí" xr:uid="{D2B284FF-2D12-472B-BFCF-A53D2BDD02FD}"/>
  </hyperlink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19"/>
  <sheetViews>
    <sheetView topLeftCell="D1" zoomScaleNormal="100" workbookViewId="0"/>
  </sheetViews>
  <sheetFormatPr baseColWidth="10" defaultColWidth="8.7109375" defaultRowHeight="15" x14ac:dyDescent="0.25"/>
  <cols>
    <col min="1" max="1" width="27" customWidth="1"/>
    <col min="2" max="2" width="26.140625" customWidth="1"/>
    <col min="3" max="3" width="21.85546875" customWidth="1"/>
    <col min="4" max="4" width="22.140625" customWidth="1"/>
    <col min="5" max="5" width="22.42578125" customWidth="1"/>
    <col min="6" max="6" width="19.5703125" customWidth="1"/>
    <col min="7" max="7" width="28.28515625" customWidth="1"/>
    <col min="8" max="8" width="27.7109375" customWidth="1"/>
    <col min="9" max="9" width="41.85546875" customWidth="1"/>
    <col min="10" max="10" width="35.85546875" customWidth="1"/>
    <col min="11" max="11" width="40.7109375" customWidth="1"/>
    <col min="12" max="12" width="28.28515625" customWidth="1"/>
  </cols>
  <sheetData>
    <row r="1" spans="1:12" ht="14.25" customHeight="1" x14ac:dyDescent="0.25">
      <c r="A1" s="4" t="s">
        <v>1</v>
      </c>
      <c r="B1" s="4" t="s">
        <v>45</v>
      </c>
      <c r="C1" s="98"/>
      <c r="D1" s="98"/>
      <c r="E1" s="98"/>
      <c r="F1" s="98"/>
      <c r="G1" s="40"/>
      <c r="H1" s="40"/>
      <c r="I1" s="40"/>
      <c r="J1" s="40"/>
      <c r="K1" s="40"/>
      <c r="L1" s="40"/>
    </row>
    <row r="2" spans="1:12" ht="37.5" customHeight="1" x14ac:dyDescent="0.25">
      <c r="A2" s="59" t="s">
        <v>111</v>
      </c>
      <c r="B2" s="59" t="s">
        <v>317</v>
      </c>
      <c r="C2" s="59" t="s">
        <v>318</v>
      </c>
      <c r="D2" s="59" t="s">
        <v>319</v>
      </c>
      <c r="E2" s="59" t="s">
        <v>320</v>
      </c>
      <c r="F2" s="59" t="s">
        <v>321</v>
      </c>
      <c r="G2" s="99" t="s">
        <v>322</v>
      </c>
      <c r="H2" s="99" t="s">
        <v>323</v>
      </c>
      <c r="I2" s="99" t="s">
        <v>324</v>
      </c>
      <c r="J2" s="99" t="s">
        <v>325</v>
      </c>
      <c r="K2" s="99" t="s">
        <v>326</v>
      </c>
      <c r="L2" s="100" t="s">
        <v>327</v>
      </c>
    </row>
    <row r="3" spans="1:12" ht="14.25" customHeight="1" x14ac:dyDescent="0.25">
      <c r="A3" s="37" t="s">
        <v>114</v>
      </c>
      <c r="B3" s="38" t="s">
        <v>276</v>
      </c>
      <c r="C3" s="38" t="s">
        <v>277</v>
      </c>
      <c r="D3" s="38" t="s">
        <v>278</v>
      </c>
      <c r="E3" s="38" t="s">
        <v>279</v>
      </c>
      <c r="F3" s="101" t="s">
        <v>328</v>
      </c>
      <c r="G3" s="38" t="s">
        <v>280</v>
      </c>
      <c r="H3" s="102" t="s">
        <v>329</v>
      </c>
      <c r="I3" s="103" t="s">
        <v>330</v>
      </c>
      <c r="J3" s="103" t="s">
        <v>331</v>
      </c>
      <c r="K3" s="103" t="s">
        <v>332</v>
      </c>
      <c r="L3" s="39" t="s">
        <v>284</v>
      </c>
    </row>
    <row r="4" spans="1:12" ht="14.25" customHeight="1" x14ac:dyDescent="0.25">
      <c r="A4" s="40">
        <v>1</v>
      </c>
      <c r="B4" s="40" t="s">
        <v>285</v>
      </c>
      <c r="C4" s="40"/>
      <c r="D4" s="40" t="s">
        <v>333</v>
      </c>
      <c r="E4" s="40"/>
      <c r="F4" s="98" t="str">
        <f>'M-PrefijoCelular'!C4</f>
        <v>+57</v>
      </c>
      <c r="G4" s="40">
        <v>3234528921</v>
      </c>
      <c r="H4" s="40" t="s">
        <v>67</v>
      </c>
      <c r="I4" s="40">
        <v>0</v>
      </c>
      <c r="J4" s="40" t="s">
        <v>297</v>
      </c>
      <c r="K4" s="40">
        <v>0</v>
      </c>
      <c r="L4" s="40" t="str">
        <f>_xlfn.CONCAT(F4,"-",G4)</f>
        <v>+57-3234528921</v>
      </c>
    </row>
    <row r="5" spans="1:12" ht="14.25" customHeight="1" x14ac:dyDescent="0.25">
      <c r="A5" s="40">
        <v>2</v>
      </c>
      <c r="B5" s="40" t="s">
        <v>334</v>
      </c>
      <c r="C5" s="40" t="s">
        <v>335</v>
      </c>
      <c r="D5" s="40" t="s">
        <v>295</v>
      </c>
      <c r="E5" s="40" t="s">
        <v>299</v>
      </c>
      <c r="F5" s="98" t="str">
        <f>'M-PrefijoCelular'!C4</f>
        <v>+57</v>
      </c>
      <c r="G5" s="40">
        <v>3161657782</v>
      </c>
      <c r="H5" s="40" t="s">
        <v>67</v>
      </c>
      <c r="I5" s="40">
        <v>0</v>
      </c>
      <c r="J5" s="40" t="s">
        <v>297</v>
      </c>
      <c r="K5" s="40">
        <v>0</v>
      </c>
      <c r="L5" s="40" t="str">
        <f>_xlfn.CONCAT(F5,"-",G5)</f>
        <v>+57-3161657782</v>
      </c>
    </row>
    <row r="6" spans="1:12" ht="14.25" customHeight="1" x14ac:dyDescent="0.25">
      <c r="A6" s="40">
        <v>3</v>
      </c>
      <c r="B6" s="40" t="s">
        <v>336</v>
      </c>
      <c r="C6" s="40"/>
      <c r="D6" s="40" t="s">
        <v>337</v>
      </c>
      <c r="E6" s="40" t="s">
        <v>295</v>
      </c>
      <c r="F6" s="98" t="str">
        <f>'M-PrefijoCelular'!C4</f>
        <v>+57</v>
      </c>
      <c r="G6" s="40">
        <v>3119884321</v>
      </c>
      <c r="H6" s="40" t="s">
        <v>67</v>
      </c>
      <c r="I6" s="40">
        <v>0</v>
      </c>
      <c r="J6" s="40" t="s">
        <v>297</v>
      </c>
      <c r="K6" s="40">
        <v>0</v>
      </c>
      <c r="L6" s="40" t="str">
        <f>_xlfn.CONCAT(F6,"-",G6)</f>
        <v>+57-3119884321</v>
      </c>
    </row>
    <row r="7" spans="1:12" ht="14.25" customHeight="1" x14ac:dyDescent="0.25">
      <c r="A7" s="40">
        <v>4</v>
      </c>
      <c r="B7" s="40" t="s">
        <v>338</v>
      </c>
      <c r="C7" s="40"/>
      <c r="D7" s="40" t="s">
        <v>339</v>
      </c>
      <c r="E7" s="40"/>
      <c r="F7" s="98" t="str">
        <f>'M-PrefijoCelular'!C7</f>
        <v>+58</v>
      </c>
      <c r="G7" s="40">
        <v>4127359182</v>
      </c>
      <c r="H7" s="40" t="s">
        <v>67</v>
      </c>
      <c r="I7" s="40">
        <v>1</v>
      </c>
      <c r="J7" s="40" t="s">
        <v>297</v>
      </c>
      <c r="K7" s="40">
        <v>1</v>
      </c>
      <c r="L7" s="40" t="str">
        <f>_xlfn.CONCAT(F7,"-",G7)</f>
        <v>+58-4127359182</v>
      </c>
    </row>
    <row r="8" spans="1:12" ht="14.25" customHeight="1" x14ac:dyDescent="0.25">
      <c r="A8" s="40">
        <v>5</v>
      </c>
      <c r="B8" s="40" t="s">
        <v>340</v>
      </c>
      <c r="C8" s="40" t="s">
        <v>341</v>
      </c>
      <c r="D8" s="40" t="s">
        <v>342</v>
      </c>
      <c r="E8" s="40" t="s">
        <v>343</v>
      </c>
      <c r="F8" s="98" t="str">
        <f>'M-PrefijoCelular'!C4</f>
        <v>+57</v>
      </c>
      <c r="G8" s="40">
        <v>3005544332</v>
      </c>
      <c r="H8" s="40" t="s">
        <v>67</v>
      </c>
      <c r="I8" s="40">
        <v>3</v>
      </c>
      <c r="J8" s="40" t="s">
        <v>183</v>
      </c>
      <c r="K8" s="40">
        <v>0</v>
      </c>
      <c r="L8" s="40" t="str">
        <f>_xlfn.CONCAT(F8,"-",G8)</f>
        <v>+57-3005544332</v>
      </c>
    </row>
    <row r="13" spans="1:12" ht="14.25" customHeight="1" x14ac:dyDescent="0.25">
      <c r="B13" s="44"/>
    </row>
    <row r="14" spans="1:12" ht="28.5" customHeight="1" x14ac:dyDescent="0.25">
      <c r="A14" s="43"/>
      <c r="B14" s="44" t="s">
        <v>124</v>
      </c>
    </row>
    <row r="15" spans="1:12" ht="28.5" customHeight="1" x14ac:dyDescent="0.25">
      <c r="A15" s="45"/>
      <c r="B15" s="44" t="s">
        <v>125</v>
      </c>
    </row>
    <row r="16" spans="1:12" ht="28.5" customHeight="1" x14ac:dyDescent="0.25">
      <c r="A16" s="46"/>
      <c r="B16" s="44" t="s">
        <v>126</v>
      </c>
    </row>
    <row r="17" spans="1:2" ht="28.5" customHeight="1" x14ac:dyDescent="0.25">
      <c r="A17" s="69"/>
      <c r="B17" s="44" t="s">
        <v>300</v>
      </c>
    </row>
    <row r="18" spans="1:2" ht="28.5" customHeight="1" x14ac:dyDescent="0.25">
      <c r="A18" s="104"/>
      <c r="B18" s="44" t="s">
        <v>344</v>
      </c>
    </row>
    <row r="19" spans="1:2" ht="28.5" customHeight="1" x14ac:dyDescent="0.25">
      <c r="A19" s="47"/>
      <c r="B19" s="44" t="s">
        <v>127</v>
      </c>
    </row>
  </sheetData>
  <hyperlinks>
    <hyperlink ref="A1" location="'Modelo de Dominio'!A1" display="&lt;&lt;&lt;&lt; Ir al modulo de dominio" xr:uid="{00000000-0004-0000-2100-000000000000}"/>
    <hyperlink ref="B1" location="'Objetos de Dominio'!A1" display="&lt;&lt;&lt;&lt; Ir a objetos de dominio" xr:uid="{00000000-0004-0000-2100-000001000000}"/>
    <hyperlink ref="F3" location="'M-PrefijoCelular'!A1" display="prefijoCelular" xr:uid="{00000000-0004-0000-2100-000002000000}"/>
    <hyperlink ref="F4" location="'M-PrefijoCelular'!A4" display="#'M-PrefijoCelular'.A4" xr:uid="{00000000-0004-0000-2100-000003000000}"/>
    <hyperlink ref="F5" location="'M-PrefijoCelular'!A4" display="#'M-PrefijoCelular'.A4" xr:uid="{00000000-0004-0000-2100-000004000000}"/>
    <hyperlink ref="F6" location="'M-PrefijoCelular'!A4" display="#'M-PrefijoCelular'.A4" xr:uid="{00000000-0004-0000-2100-000005000000}"/>
    <hyperlink ref="F7" location="'M-PrefijoCelular'!A7" display="#'M-PrefijoCelular'.A7" xr:uid="{00000000-0004-0000-2100-000006000000}"/>
    <hyperlink ref="F8" location="'M-PrefijoCelular'!A4" display="#'M-PrefijoCelular'.A4" xr:uid="{00000000-0004-0000-2100-000007000000}"/>
  </hyperlink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4"/>
  <sheetViews>
    <sheetView zoomScaleNormal="100" workbookViewId="0"/>
  </sheetViews>
  <sheetFormatPr baseColWidth="10" defaultColWidth="8.7109375" defaultRowHeight="15" x14ac:dyDescent="0.25"/>
  <cols>
    <col min="1" max="1" width="26.7109375" customWidth="1"/>
    <col min="2" max="2" width="45" customWidth="1"/>
    <col min="3" max="3" width="35.7109375" customWidth="1"/>
    <col min="4" max="4" width="18" customWidth="1"/>
    <col min="6" max="6" width="25.42578125" customWidth="1"/>
    <col min="7" max="7" width="25.7109375" customWidth="1"/>
    <col min="8" max="8" width="18" customWidth="1"/>
    <col min="13" max="13" width="40" customWidth="1"/>
    <col min="14" max="14" width="18" customWidth="1"/>
    <col min="15" max="15" width="29.7109375" customWidth="1"/>
    <col min="16" max="16" width="27" customWidth="1"/>
    <col min="17" max="17" width="38.42578125" customWidth="1"/>
    <col min="18" max="18" width="38.85546875" customWidth="1"/>
    <col min="19" max="19" width="22.85546875" customWidth="1"/>
    <col min="20" max="20" width="25.85546875" customWidth="1"/>
    <col min="21" max="21" width="18" customWidth="1"/>
  </cols>
  <sheetData>
    <row r="1" spans="1:21" ht="15" customHeight="1" x14ac:dyDescent="0.25">
      <c r="A1" s="4" t="s">
        <v>1</v>
      </c>
      <c r="B1" s="4" t="s">
        <v>45</v>
      </c>
    </row>
    <row r="2" spans="1:21" ht="15" customHeight="1" x14ac:dyDescent="0.25">
      <c r="A2" s="52" t="s">
        <v>46</v>
      </c>
      <c r="B2" s="52" t="s">
        <v>47</v>
      </c>
      <c r="C2" s="52" t="s">
        <v>48</v>
      </c>
      <c r="D2" s="52" t="s">
        <v>49</v>
      </c>
      <c r="E2" s="52" t="s">
        <v>50</v>
      </c>
      <c r="F2" s="52" t="s">
        <v>51</v>
      </c>
      <c r="G2" s="52" t="s">
        <v>52</v>
      </c>
      <c r="H2" s="52" t="s">
        <v>53</v>
      </c>
      <c r="I2" s="52" t="s">
        <v>54</v>
      </c>
      <c r="J2" s="52" t="s">
        <v>55</v>
      </c>
      <c r="K2" s="52" t="s">
        <v>56</v>
      </c>
      <c r="L2" s="52" t="s">
        <v>57</v>
      </c>
      <c r="M2" s="52" t="s">
        <v>58</v>
      </c>
      <c r="N2" s="52" t="s">
        <v>59</v>
      </c>
      <c r="O2" s="52" t="s">
        <v>60</v>
      </c>
      <c r="P2" s="52" t="s">
        <v>61</v>
      </c>
      <c r="Q2" s="52" t="s">
        <v>62</v>
      </c>
      <c r="R2" s="52" t="s">
        <v>63</v>
      </c>
      <c r="S2" s="52" t="s">
        <v>64</v>
      </c>
      <c r="T2" s="52" t="s">
        <v>65</v>
      </c>
      <c r="U2" s="52" t="s">
        <v>66</v>
      </c>
    </row>
    <row r="3" spans="1:21" ht="45" customHeight="1" x14ac:dyDescent="0.25">
      <c r="A3" s="16" t="str">
        <f>'M-HorarioBarberia'!A3</f>
        <v>id</v>
      </c>
      <c r="B3" s="17" t="str">
        <f>'M-HorarioBarberia'!A2</f>
        <v>Representa un identificador que hará unico cada objeto de dominio de este tipo, no se puede repetir</v>
      </c>
      <c r="C3" s="16" t="s">
        <v>67</v>
      </c>
      <c r="D3" s="16" t="s">
        <v>68</v>
      </c>
      <c r="E3" s="16" t="s">
        <v>67</v>
      </c>
      <c r="F3" s="16" t="s">
        <v>69</v>
      </c>
      <c r="G3" s="16" t="s">
        <v>69</v>
      </c>
      <c r="H3" s="16" t="s">
        <v>69</v>
      </c>
      <c r="I3" s="16" t="s">
        <v>69</v>
      </c>
      <c r="J3" s="16" t="s">
        <v>69</v>
      </c>
      <c r="K3" s="16" t="s">
        <v>69</v>
      </c>
      <c r="L3" s="16" t="s">
        <v>69</v>
      </c>
      <c r="M3" s="17" t="s">
        <v>69</v>
      </c>
      <c r="N3" s="16" t="s">
        <v>70</v>
      </c>
      <c r="O3" s="16" t="s">
        <v>70</v>
      </c>
      <c r="P3" s="16" t="s">
        <v>69</v>
      </c>
      <c r="Q3" s="16" t="s">
        <v>69</v>
      </c>
      <c r="R3" s="16" t="s">
        <v>69</v>
      </c>
      <c r="S3" s="16" t="s">
        <v>70</v>
      </c>
      <c r="T3" s="16" t="s">
        <v>71</v>
      </c>
      <c r="U3" s="16" t="s">
        <v>67</v>
      </c>
    </row>
    <row r="4" spans="1:21" ht="30" customHeight="1" x14ac:dyDescent="0.25">
      <c r="A4" s="16" t="str">
        <f>'M-HorarioBarberia'!B3</f>
        <v>diaDeLaSemana</v>
      </c>
      <c r="B4" s="17" t="str">
        <f>'M-HorarioBarberia'!B2</f>
        <v>Representa el día de la semana en el que la barberia abre</v>
      </c>
      <c r="C4" s="16" t="s">
        <v>70</v>
      </c>
      <c r="D4" s="91" t="s">
        <v>9</v>
      </c>
      <c r="E4" s="16" t="s">
        <v>67</v>
      </c>
      <c r="F4" s="16" t="s">
        <v>69</v>
      </c>
      <c r="G4" s="16" t="s">
        <v>69</v>
      </c>
      <c r="H4" s="16" t="s">
        <v>69</v>
      </c>
      <c r="I4" s="16" t="s">
        <v>69</v>
      </c>
      <c r="J4" s="16" t="s">
        <v>69</v>
      </c>
      <c r="K4" s="16" t="s">
        <v>69</v>
      </c>
      <c r="L4" s="16" t="s">
        <v>69</v>
      </c>
      <c r="M4" s="17" t="s">
        <v>304</v>
      </c>
      <c r="N4" s="16" t="s">
        <v>70</v>
      </c>
      <c r="O4" s="16" t="s">
        <v>70</v>
      </c>
      <c r="P4" s="16" t="s">
        <v>69</v>
      </c>
      <c r="Q4" s="16" t="s">
        <v>69</v>
      </c>
      <c r="R4" s="16" t="s">
        <v>69</v>
      </c>
      <c r="S4" s="16" t="s">
        <v>70</v>
      </c>
      <c r="T4" s="16" t="s">
        <v>71</v>
      </c>
      <c r="U4" s="16" t="s">
        <v>70</v>
      </c>
    </row>
    <row r="5" spans="1:21" ht="27.75" customHeight="1" x14ac:dyDescent="0.25">
      <c r="A5" s="16" t="str">
        <f>'M-HorarioBarberia'!C3</f>
        <v>horaApertura</v>
      </c>
      <c r="B5" s="17" t="str">
        <f>'M-HorarioBarberia'!C2</f>
        <v>Representa la hora a la que abre la barbería</v>
      </c>
      <c r="C5" s="16" t="s">
        <v>70</v>
      </c>
      <c r="D5" s="16" t="s">
        <v>345</v>
      </c>
      <c r="E5" s="16" t="s">
        <v>70</v>
      </c>
      <c r="F5" s="16" t="s">
        <v>69</v>
      </c>
      <c r="G5" s="16" t="s">
        <v>69</v>
      </c>
      <c r="H5" s="16" t="s">
        <v>69</v>
      </c>
      <c r="I5" s="16" t="s">
        <v>69</v>
      </c>
      <c r="J5" s="16" t="s">
        <v>69</v>
      </c>
      <c r="K5" s="16" t="s">
        <v>69</v>
      </c>
      <c r="L5" s="16" t="s">
        <v>69</v>
      </c>
      <c r="M5" s="17" t="s">
        <v>69</v>
      </c>
      <c r="N5" s="16" t="s">
        <v>70</v>
      </c>
      <c r="O5" s="16" t="s">
        <v>70</v>
      </c>
      <c r="P5" s="16" t="s">
        <v>69</v>
      </c>
      <c r="Q5" s="16" t="s">
        <v>69</v>
      </c>
      <c r="R5" s="16" t="s">
        <v>69</v>
      </c>
      <c r="S5" s="16" t="s">
        <v>70</v>
      </c>
      <c r="T5" s="16" t="s">
        <v>346</v>
      </c>
      <c r="U5" s="16" t="s">
        <v>70</v>
      </c>
    </row>
    <row r="6" spans="1:21" ht="27.75" customHeight="1" x14ac:dyDescent="0.25">
      <c r="A6" s="16" t="str">
        <f>'M-HorarioBarberia'!D3</f>
        <v>horaCierre</v>
      </c>
      <c r="B6" s="17" t="str">
        <f>'M-HorarioBarberia'!D2</f>
        <v>Representa la hora a la que cierra la barbería</v>
      </c>
      <c r="C6" s="16" t="s">
        <v>70</v>
      </c>
      <c r="D6" s="16" t="s">
        <v>345</v>
      </c>
      <c r="E6" s="16" t="s">
        <v>67</v>
      </c>
      <c r="F6" s="16" t="s">
        <v>69</v>
      </c>
      <c r="G6" s="16" t="s">
        <v>69</v>
      </c>
      <c r="H6" s="16" t="s">
        <v>69</v>
      </c>
      <c r="I6" s="16" t="s">
        <v>69</v>
      </c>
      <c r="J6" s="16" t="s">
        <v>69</v>
      </c>
      <c r="K6" s="16" t="s">
        <v>69</v>
      </c>
      <c r="L6" s="16" t="s">
        <v>69</v>
      </c>
      <c r="M6" s="17" t="s">
        <v>347</v>
      </c>
      <c r="N6" s="16" t="s">
        <v>70</v>
      </c>
      <c r="O6" s="16" t="s">
        <v>70</v>
      </c>
      <c r="P6" s="16" t="s">
        <v>69</v>
      </c>
      <c r="Q6" s="16" t="s">
        <v>69</v>
      </c>
      <c r="R6" s="16" t="s">
        <v>69</v>
      </c>
      <c r="S6" s="16" t="s">
        <v>70</v>
      </c>
      <c r="T6" s="16" t="s">
        <v>346</v>
      </c>
      <c r="U6" s="16" t="s">
        <v>70</v>
      </c>
    </row>
    <row r="7" spans="1:21" ht="45" customHeight="1" x14ac:dyDescent="0.25">
      <c r="A7" s="16" t="str">
        <f>'M-HorarioBarberia'!E3</f>
        <v>fechaCreacion</v>
      </c>
      <c r="B7" s="17" t="str">
        <f>'M-HorarioBarberia'!E2</f>
        <v>Representa la fecha en el que el dueño definio el horario de la barberia. Es un dato calculado que toma la fecha del sistema en ese momento</v>
      </c>
      <c r="C7" s="16" t="s">
        <v>70</v>
      </c>
      <c r="D7" s="16" t="s">
        <v>348</v>
      </c>
      <c r="E7" s="16" t="s">
        <v>67</v>
      </c>
      <c r="F7" s="16" t="s">
        <v>69</v>
      </c>
      <c r="G7" s="16" t="s">
        <v>69</v>
      </c>
      <c r="H7" s="16" t="s">
        <v>69</v>
      </c>
      <c r="I7" s="16" t="s">
        <v>69</v>
      </c>
      <c r="J7" s="16" t="s">
        <v>69</v>
      </c>
      <c r="K7" s="16" t="s">
        <v>69</v>
      </c>
      <c r="L7" s="16" t="s">
        <v>69</v>
      </c>
      <c r="M7" s="17" t="s">
        <v>69</v>
      </c>
      <c r="N7" s="16" t="s">
        <v>67</v>
      </c>
      <c r="O7" s="16" t="s">
        <v>70</v>
      </c>
      <c r="P7" s="16" t="s">
        <v>69</v>
      </c>
      <c r="Q7" s="16" t="s">
        <v>69</v>
      </c>
      <c r="R7" s="16" t="s">
        <v>69</v>
      </c>
      <c r="S7" s="16" t="s">
        <v>70</v>
      </c>
      <c r="T7" s="16" t="s">
        <v>349</v>
      </c>
      <c r="U7" s="16" t="s">
        <v>70</v>
      </c>
    </row>
    <row r="8" spans="1:21" ht="45" customHeight="1" x14ac:dyDescent="0.25">
      <c r="A8" s="16" t="str">
        <f>'M-HorarioBarberia'!F3</f>
        <v>fechaDesactivacion</v>
      </c>
      <c r="B8" s="17" t="str">
        <f>'M-HorarioBarberia'!F2</f>
        <v>Representa la fecha en la que este horario dejó de estar vigente, dueño. Es un dato calculado que toma la fecha del sistema en ese momento</v>
      </c>
      <c r="C8" s="16" t="s">
        <v>70</v>
      </c>
      <c r="D8" s="16" t="s">
        <v>348</v>
      </c>
      <c r="E8" s="16" t="s">
        <v>70</v>
      </c>
      <c r="F8" s="16" t="s">
        <v>69</v>
      </c>
      <c r="G8" s="16" t="s">
        <v>69</v>
      </c>
      <c r="H8" s="16" t="s">
        <v>69</v>
      </c>
      <c r="I8" s="16" t="s">
        <v>69</v>
      </c>
      <c r="J8" s="16" t="s">
        <v>69</v>
      </c>
      <c r="K8" s="16" t="s">
        <v>69</v>
      </c>
      <c r="L8" s="16" t="s">
        <v>69</v>
      </c>
      <c r="M8" s="17" t="s">
        <v>69</v>
      </c>
      <c r="N8" s="16" t="s">
        <v>67</v>
      </c>
      <c r="O8" s="16" t="s">
        <v>70</v>
      </c>
      <c r="P8" s="16" t="s">
        <v>69</v>
      </c>
      <c r="Q8" s="16" t="s">
        <v>69</v>
      </c>
      <c r="R8" s="16" t="s">
        <v>69</v>
      </c>
      <c r="S8" s="16" t="s">
        <v>70</v>
      </c>
      <c r="T8" s="16" t="s">
        <v>349</v>
      </c>
      <c r="U8" s="16" t="s">
        <v>70</v>
      </c>
    </row>
    <row r="9" spans="1:21" ht="60" customHeight="1" x14ac:dyDescent="0.25">
      <c r="A9" s="16" t="str">
        <f>'M-HorarioBarberia'!G3</f>
        <v>vigente</v>
      </c>
      <c r="B9" s="17" t="str">
        <f>'M-HorarioBarberia'!G2</f>
        <v>Representa si este horario lo sigue o no vigente en la barberia. Una vez que el dueño desactive el horario de la barberia, no se puede volver a cambiar</v>
      </c>
      <c r="C9" s="16" t="s">
        <v>70</v>
      </c>
      <c r="D9" s="105" t="s">
        <v>158</v>
      </c>
      <c r="E9" s="16" t="s">
        <v>70</v>
      </c>
      <c r="F9" s="16" t="s">
        <v>69</v>
      </c>
      <c r="G9" s="16" t="s">
        <v>69</v>
      </c>
      <c r="H9" s="16" t="s">
        <v>69</v>
      </c>
      <c r="I9" s="16" t="s">
        <v>69</v>
      </c>
      <c r="J9" s="16" t="s">
        <v>69</v>
      </c>
      <c r="K9" s="16" t="s">
        <v>69</v>
      </c>
      <c r="L9" s="16" t="s">
        <v>69</v>
      </c>
      <c r="M9" s="17" t="s">
        <v>69</v>
      </c>
      <c r="N9" s="16" t="s">
        <v>70</v>
      </c>
      <c r="O9" s="16" t="s">
        <v>70</v>
      </c>
      <c r="P9" s="16" t="s">
        <v>69</v>
      </c>
      <c r="Q9" s="16" t="s">
        <v>69</v>
      </c>
      <c r="R9" s="16" t="s">
        <v>69</v>
      </c>
      <c r="S9" s="16" t="s">
        <v>70</v>
      </c>
      <c r="T9" s="16" t="s">
        <v>67</v>
      </c>
      <c r="U9" s="16" t="s">
        <v>70</v>
      </c>
    </row>
    <row r="10" spans="1:21" ht="15" customHeight="1" x14ac:dyDescent="0.25">
      <c r="A10" s="5"/>
      <c r="B10" s="5"/>
      <c r="C10" s="5"/>
      <c r="D10" s="5"/>
      <c r="E10" s="5"/>
      <c r="F10" s="5"/>
      <c r="G10" s="5"/>
      <c r="H10" s="5"/>
      <c r="I10" s="5"/>
      <c r="J10" s="5"/>
      <c r="K10" s="5"/>
      <c r="L10" s="5"/>
      <c r="M10" s="5"/>
      <c r="N10" s="5"/>
      <c r="O10" s="5"/>
      <c r="P10" s="5"/>
      <c r="Q10" s="5"/>
      <c r="R10" s="5"/>
      <c r="S10" s="5"/>
      <c r="T10" s="5"/>
      <c r="U10" s="5"/>
    </row>
    <row r="11" spans="1:21" ht="15" customHeight="1" x14ac:dyDescent="0.25">
      <c r="A11" s="18" t="s">
        <v>75</v>
      </c>
      <c r="B11" s="18" t="s">
        <v>76</v>
      </c>
      <c r="C11" s="18" t="s">
        <v>77</v>
      </c>
      <c r="D11" s="54"/>
      <c r="E11" s="54"/>
      <c r="F11" s="54"/>
      <c r="G11" s="54"/>
      <c r="H11" s="54"/>
      <c r="I11" s="54"/>
      <c r="J11" s="54"/>
      <c r="K11" s="54"/>
      <c r="L11" s="54"/>
      <c r="M11" s="54"/>
      <c r="N11" s="54"/>
      <c r="O11" s="54"/>
      <c r="P11" s="54"/>
      <c r="Q11" s="54"/>
      <c r="R11" s="54"/>
      <c r="S11" s="54"/>
      <c r="T11" s="54"/>
      <c r="U11" s="54"/>
    </row>
    <row r="12" spans="1:21" ht="15" customHeight="1" x14ac:dyDescent="0.25">
      <c r="A12" s="191" t="str">
        <f>'M-HorarioBarberia'!H3</f>
        <v>Combinación única</v>
      </c>
      <c r="B12" s="210" t="str">
        <f>'M-HorarioBarberia'!H2</f>
        <v>Combinacion única que indica que no puede existir más de un horario con la misma barberia, dia de la semana, hora de apertura y cierre</v>
      </c>
      <c r="C12" s="21" t="str">
        <f t="shared" ref="C12:C17" si="0">A4</f>
        <v>diaDeLaSemana</v>
      </c>
      <c r="D12" s="5"/>
      <c r="E12" s="5"/>
      <c r="F12" s="5"/>
      <c r="G12" s="5"/>
      <c r="H12" s="5"/>
      <c r="I12" s="5"/>
      <c r="J12" s="5"/>
      <c r="K12" s="5"/>
      <c r="L12" s="5"/>
      <c r="M12" s="5"/>
      <c r="N12" s="5"/>
      <c r="O12" s="5"/>
      <c r="P12" s="5"/>
      <c r="Q12" s="5"/>
      <c r="R12" s="5"/>
      <c r="S12" s="5"/>
      <c r="T12" s="5"/>
      <c r="U12" s="5"/>
    </row>
    <row r="13" spans="1:21" ht="15" customHeight="1" x14ac:dyDescent="0.25">
      <c r="A13" s="191"/>
      <c r="B13" s="191"/>
      <c r="C13" s="21" t="str">
        <f t="shared" si="0"/>
        <v>horaApertura</v>
      </c>
      <c r="D13" s="5"/>
      <c r="E13" s="5"/>
      <c r="F13" s="5"/>
      <c r="G13" s="5"/>
      <c r="H13" s="5"/>
      <c r="I13" s="5"/>
      <c r="J13" s="5"/>
      <c r="K13" s="5"/>
      <c r="L13" s="5"/>
      <c r="M13" s="5"/>
      <c r="N13" s="5"/>
      <c r="O13" s="5"/>
      <c r="P13" s="5"/>
      <c r="Q13" s="5"/>
      <c r="R13" s="5"/>
      <c r="S13" s="5"/>
      <c r="T13" s="5"/>
      <c r="U13" s="5"/>
    </row>
    <row r="14" spans="1:21" ht="15" customHeight="1" x14ac:dyDescent="0.25">
      <c r="A14" s="191"/>
      <c r="B14" s="191"/>
      <c r="C14" s="21" t="str">
        <f t="shared" si="0"/>
        <v>horaCierre</v>
      </c>
      <c r="D14" s="5"/>
      <c r="E14" s="5"/>
      <c r="F14" s="5"/>
      <c r="G14" s="5"/>
      <c r="H14" s="5"/>
      <c r="I14" s="5"/>
      <c r="J14" s="5"/>
      <c r="K14" s="5"/>
      <c r="L14" s="5"/>
      <c r="M14" s="5"/>
      <c r="N14" s="5"/>
      <c r="O14" s="5"/>
      <c r="P14" s="5"/>
      <c r="Q14" s="5"/>
      <c r="R14" s="5"/>
      <c r="S14" s="5"/>
      <c r="T14" s="5"/>
      <c r="U14" s="5"/>
    </row>
    <row r="15" spans="1:21" ht="15" customHeight="1" x14ac:dyDescent="0.25">
      <c r="A15" s="191"/>
      <c r="B15" s="191"/>
      <c r="C15" s="21" t="str">
        <f t="shared" si="0"/>
        <v>fechaCreacion</v>
      </c>
    </row>
    <row r="16" spans="1:21" ht="15" customHeight="1" x14ac:dyDescent="0.25">
      <c r="A16" s="191"/>
      <c r="B16" s="191"/>
      <c r="C16" s="21" t="str">
        <f t="shared" si="0"/>
        <v>fechaDesactivacion</v>
      </c>
    </row>
    <row r="17" spans="1:21" ht="15" customHeight="1" x14ac:dyDescent="0.25">
      <c r="A17" s="191"/>
      <c r="B17" s="191"/>
      <c r="C17" s="21" t="str">
        <f t="shared" si="0"/>
        <v>vigente</v>
      </c>
      <c r="D17" s="55"/>
      <c r="E17" s="55"/>
      <c r="F17" s="55"/>
      <c r="G17" s="55"/>
      <c r="H17" s="55"/>
      <c r="I17" s="55"/>
      <c r="J17" s="55"/>
      <c r="K17" s="55"/>
      <c r="L17" s="55"/>
      <c r="M17" s="55"/>
      <c r="N17" s="55"/>
      <c r="O17" s="55"/>
      <c r="P17" s="55"/>
      <c r="Q17" s="55"/>
      <c r="R17" s="55"/>
      <c r="S17" s="55"/>
      <c r="T17" s="55"/>
      <c r="U17" s="55"/>
    </row>
    <row r="18" spans="1:21" ht="15" customHeight="1" x14ac:dyDescent="0.25">
      <c r="A18" s="48"/>
      <c r="B18" s="48"/>
    </row>
    <row r="19" spans="1:21" ht="15" customHeight="1" x14ac:dyDescent="0.25">
      <c r="A19" s="48"/>
      <c r="B19" s="48"/>
    </row>
    <row r="20" spans="1:21" ht="15" customHeight="1" x14ac:dyDescent="0.25">
      <c r="A20" s="48"/>
      <c r="B20" s="48"/>
    </row>
    <row r="21" spans="1:21" ht="15" customHeight="1" x14ac:dyDescent="0.25">
      <c r="A21" s="48"/>
      <c r="B21" s="48"/>
    </row>
    <row r="23" spans="1:21" ht="15" customHeight="1" x14ac:dyDescent="0.25">
      <c r="A23" s="56"/>
      <c r="B23" s="56"/>
      <c r="C23" s="56"/>
    </row>
    <row r="24" spans="1:21" ht="15" customHeight="1" x14ac:dyDescent="0.25">
      <c r="A24" s="48"/>
      <c r="B24" s="48"/>
    </row>
  </sheetData>
  <mergeCells count="2">
    <mergeCell ref="A12:A17"/>
    <mergeCell ref="B12:B17"/>
  </mergeCells>
  <hyperlinks>
    <hyperlink ref="A1" location="'Modelo de Dominio'!A1" display="&lt;&lt;&lt;&lt; Ir al modulo de dominio" xr:uid="{00000000-0004-0000-2200-000000000000}"/>
    <hyperlink ref="B1" location="'Objetos de Dominio'!A1" display="&lt;&lt;&lt;&lt; Ir a objetos de dominio" xr:uid="{00000000-0004-0000-2200-000001000000}"/>
    <hyperlink ref="D4" location="'C-DiaSemana'!A1" display="DiaSemana" xr:uid="{00000000-0004-0000-2200-000002000000}"/>
  </hyperlink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6"/>
  <sheetViews>
    <sheetView showGridLines="0" zoomScaleNormal="100" workbookViewId="0">
      <selection activeCell="M5" sqref="M5"/>
    </sheetView>
  </sheetViews>
  <sheetFormatPr baseColWidth="10" defaultColWidth="8.7109375" defaultRowHeight="15" x14ac:dyDescent="0.25"/>
  <cols>
    <col min="1" max="1" width="16" customWidth="1"/>
    <col min="2" max="2" width="28.5703125" bestFit="1" customWidth="1"/>
    <col min="3" max="3" width="35.5703125" bestFit="1" customWidth="1"/>
    <col min="4" max="4" width="37.140625" bestFit="1" customWidth="1"/>
    <col min="5" max="5" width="36.7109375" bestFit="1"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Dominio'!A12</f>
        <v>HorarioBarberia</v>
      </c>
      <c r="C2" s="185"/>
      <c r="D2" s="185"/>
      <c r="E2" s="185"/>
    </row>
    <row r="3" spans="1:5" ht="30" customHeight="1" x14ac:dyDescent="0.25">
      <c r="A3" s="23" t="s">
        <v>84</v>
      </c>
      <c r="B3" s="186" t="str">
        <f>'Objetos de Dominio'!B12</f>
        <v>Representa, día por día, a qué hora abre y cierra el negocio; es el límite dentro del cual debe caber el horario de cualquier barbero</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49.5" customHeight="1" x14ac:dyDescent="0.25">
      <c r="A6" s="8" t="s">
        <v>350</v>
      </c>
      <c r="B6" s="184" t="s">
        <v>351</v>
      </c>
      <c r="C6" s="184"/>
      <c r="D6" s="24" t="s">
        <v>29</v>
      </c>
      <c r="E6" s="24"/>
    </row>
    <row r="7" spans="1:5" ht="30" customHeight="1" x14ac:dyDescent="0.25">
      <c r="A7" s="8" t="s">
        <v>352</v>
      </c>
      <c r="B7" s="184" t="s">
        <v>636</v>
      </c>
      <c r="C7" s="184"/>
      <c r="D7" s="24" t="s">
        <v>29</v>
      </c>
      <c r="E7" s="24"/>
    </row>
    <row r="8" spans="1:5" ht="30" customHeight="1" x14ac:dyDescent="0.25">
      <c r="A8" s="8" t="s">
        <v>353</v>
      </c>
      <c r="B8" s="184" t="s">
        <v>354</v>
      </c>
      <c r="C8" s="184"/>
      <c r="D8" s="24" t="s">
        <v>35</v>
      </c>
      <c r="E8" s="24"/>
    </row>
    <row r="14" spans="1:5" x14ac:dyDescent="0.25">
      <c r="C14" t="s">
        <v>638</v>
      </c>
    </row>
    <row r="15" spans="1:5" x14ac:dyDescent="0.25">
      <c r="C15" t="s">
        <v>639</v>
      </c>
    </row>
    <row r="16" spans="1:5" x14ac:dyDescent="0.25">
      <c r="C16" t="s">
        <v>640</v>
      </c>
    </row>
  </sheetData>
  <mergeCells count="9">
    <mergeCell ref="B7:C7"/>
    <mergeCell ref="B8:C8"/>
    <mergeCell ref="B2:E2"/>
    <mergeCell ref="B3:E3"/>
    <mergeCell ref="A4:A5"/>
    <mergeCell ref="B4:C5"/>
    <mergeCell ref="D4:D5"/>
    <mergeCell ref="E4:E5"/>
    <mergeCell ref="B6:C6"/>
  </mergeCells>
  <hyperlinks>
    <hyperlink ref="A1" location="'Modelo de Dominio'!A1" display="&lt;&lt; Ir al modelo de dominio" xr:uid="{00000000-0004-0000-2300-000000000000}"/>
    <hyperlink ref="B1" location="'Objetos de Dominio'!A1" display="&lt;&lt; Ir al listado de objetos de dominio" xr:uid="{00000000-0004-0000-2300-000001000000}"/>
    <hyperlink ref="C1" location="'C-HorarioBarberia'!A1" display="&lt;&lt; Ir a la caracterización del objeto de dominio" xr:uid="{00000000-0004-0000-2300-000002000000}"/>
    <hyperlink ref="D1" location="'M-HorarioBarberia'!A1" display="Ir al muestreo de datos del objeto de dominio &gt;&gt;" xr:uid="{00000000-0004-0000-2300-000003000000}"/>
    <hyperlink ref="E1" location="'E-HorarioBarberia'!A1" display="Ir al event storming del objeto de dominio &gt;&gt;" xr:uid="{3771096E-5003-43B0-9310-10738F12D7BE}"/>
  </hyperlink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2"/>
  <sheetViews>
    <sheetView showGridLines="0" zoomScaleNormal="100" workbookViewId="0">
      <selection sqref="A1:B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7.28515625" bestFit="1"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Dominio'!A12</f>
        <v>HorarioBarberia</v>
      </c>
      <c r="C2" s="194"/>
      <c r="D2" s="194"/>
      <c r="E2" s="194"/>
      <c r="F2" s="194"/>
      <c r="G2" s="194"/>
      <c r="H2" s="194"/>
      <c r="I2" s="194"/>
      <c r="J2" s="194"/>
      <c r="K2" s="194"/>
    </row>
    <row r="3" spans="1:11" ht="30" customHeight="1" x14ac:dyDescent="0.25">
      <c r="A3" s="23" t="s">
        <v>84</v>
      </c>
      <c r="B3" s="195" t="str">
        <f>'Objetos de Dominio'!B12</f>
        <v>Representa, día por día, a qué hora abre y cierra el negocio; es el límite dentro del cual debe caber el horario de cualquier barbero</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205" t="s">
        <v>107</v>
      </c>
      <c r="B7" s="204" t="s">
        <v>355</v>
      </c>
      <c r="C7" s="204" t="s">
        <v>356</v>
      </c>
      <c r="D7" s="205" t="str">
        <f>$B$2</f>
        <v>HorarioBarberia</v>
      </c>
      <c r="E7" s="204"/>
      <c r="F7" s="204"/>
      <c r="G7" s="179" t="str">
        <f>'P-HorarioBarberia'!A6</f>
        <v>P-HBA-0001</v>
      </c>
      <c r="H7" s="181" t="s">
        <v>629</v>
      </c>
      <c r="I7" s="205"/>
      <c r="J7" s="204" t="s">
        <v>357</v>
      </c>
      <c r="K7" s="204"/>
    </row>
    <row r="8" spans="1:11" ht="30" customHeight="1" x14ac:dyDescent="0.25">
      <c r="A8" s="205"/>
      <c r="B8" s="205"/>
      <c r="C8" s="205"/>
      <c r="D8" s="205"/>
      <c r="E8" s="205"/>
      <c r="F8" s="205"/>
      <c r="G8" s="179" t="str">
        <f>'P-HorarioBarberia'!A7</f>
        <v>P-HBA-0002</v>
      </c>
      <c r="H8" s="181" t="s">
        <v>629</v>
      </c>
      <c r="I8" s="205"/>
      <c r="J8" s="205"/>
      <c r="K8" s="205"/>
    </row>
    <row r="9" spans="1:11" ht="30" customHeight="1" x14ac:dyDescent="0.25">
      <c r="A9" s="3" t="s">
        <v>107</v>
      </c>
      <c r="B9" s="33" t="s">
        <v>358</v>
      </c>
      <c r="C9" s="33" t="s">
        <v>670</v>
      </c>
      <c r="D9" s="3" t="str">
        <f>$B$2</f>
        <v>HorarioBarberia</v>
      </c>
      <c r="E9" s="33"/>
      <c r="F9" s="33"/>
      <c r="G9" s="3"/>
      <c r="H9" s="177"/>
      <c r="I9" s="3"/>
      <c r="J9" s="33" t="s">
        <v>359</v>
      </c>
      <c r="K9" s="33"/>
    </row>
    <row r="10" spans="1:11" ht="30" customHeight="1" x14ac:dyDescent="0.25">
      <c r="A10" s="3" t="s">
        <v>25</v>
      </c>
      <c r="B10" s="33" t="s">
        <v>358</v>
      </c>
      <c r="C10" s="33" t="s">
        <v>671</v>
      </c>
      <c r="D10" s="3" t="str">
        <f>$B$2</f>
        <v>HorarioBarberia</v>
      </c>
      <c r="E10" s="33"/>
      <c r="F10" s="33"/>
      <c r="G10" s="3"/>
      <c r="H10" s="177"/>
      <c r="I10" s="3"/>
      <c r="J10" s="33" t="s">
        <v>359</v>
      </c>
      <c r="K10" s="33"/>
    </row>
    <row r="11" spans="1:11" ht="30" customHeight="1" x14ac:dyDescent="0.25">
      <c r="A11" s="3" t="s">
        <v>27</v>
      </c>
      <c r="B11" s="33" t="s">
        <v>358</v>
      </c>
      <c r="C11" s="33" t="s">
        <v>672</v>
      </c>
      <c r="D11" s="3" t="str">
        <f>$B$2</f>
        <v>HorarioBarberia</v>
      </c>
      <c r="E11" s="33"/>
      <c r="F11" s="33"/>
      <c r="G11" s="3"/>
      <c r="H11" s="177"/>
      <c r="I11" s="3"/>
      <c r="J11" s="33" t="s">
        <v>359</v>
      </c>
      <c r="K11" s="33"/>
    </row>
    <row r="12" spans="1:11" ht="40.5" x14ac:dyDescent="0.25">
      <c r="A12" s="3" t="s">
        <v>107</v>
      </c>
      <c r="B12" s="33" t="s">
        <v>360</v>
      </c>
      <c r="C12" s="33" t="s">
        <v>637</v>
      </c>
      <c r="D12" s="3" t="str">
        <f>$B$2</f>
        <v>HorarioBarberia</v>
      </c>
      <c r="E12" s="33"/>
      <c r="F12" s="33"/>
      <c r="G12" s="179" t="str">
        <f>'P-HorarioBarberia'!A8</f>
        <v>P-HBA-0003</v>
      </c>
      <c r="H12" s="181" t="s">
        <v>629</v>
      </c>
      <c r="I12" s="3"/>
      <c r="J12" s="33" t="s">
        <v>361</v>
      </c>
      <c r="K12" s="33" t="s">
        <v>362</v>
      </c>
    </row>
  </sheetData>
  <mergeCells count="27">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2400-000000000000}"/>
    <hyperlink ref="C1" location="'Objetos de Dominio'!A1" display="&lt;&lt; Ir al listado de objetos de dominio" xr:uid="{00000000-0004-0000-2400-000001000000}"/>
    <hyperlink ref="F1" location="'C-HorarioBarberia'!A1" display="&lt;&lt; Ir a la caracterización del objeto de dominio" xr:uid="{00000000-0004-0000-2400-000002000000}"/>
    <hyperlink ref="J1" location="'M-HorarioBarberia'!A1" display="Ir al muestreo de datos del objeto de dominio &gt;&gt;" xr:uid="{00000000-0004-0000-2400-000003000000}"/>
    <hyperlink ref="G7" location="'P-HorarioBarberia'!A6" display="P-HBA-0001" xr:uid="{69E529A4-C3B6-430B-ADA7-6EF83CED1388}"/>
    <hyperlink ref="H7" location="'P-HorarioBarberia'!B6" display="aquí" xr:uid="{D5BA47B7-63D1-4C78-A1B1-1F24C421BAFA}"/>
    <hyperlink ref="G8" location="'P-HorarioBarberia'!A7" display="P-HBA-0002" xr:uid="{26F66CBE-31AA-4AE9-8AA1-5328952E820F}"/>
    <hyperlink ref="H8" location="'P-HorarioBarberia'!B7" display="aquí" xr:uid="{6AB8F1AE-6306-4BF3-BA89-42A0928F94A5}"/>
    <hyperlink ref="G12" location="'P-HorarioBarberia'!A8" display="P-HBA-0003" xr:uid="{7ACB1511-2E40-468D-86F5-A50E3F37A98E}"/>
    <hyperlink ref="H12" location="'P-HorarioBarberia'!B8" display="aquí" xr:uid="{57E0DA46-BF9F-4B9E-A2BE-9E12B19AA6AA}"/>
  </hyperlink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22"/>
  <sheetViews>
    <sheetView zoomScaleNormal="100" workbookViewId="0">
      <selection activeCell="F17" sqref="F17"/>
    </sheetView>
  </sheetViews>
  <sheetFormatPr baseColWidth="10" defaultColWidth="8.7109375" defaultRowHeight="15" x14ac:dyDescent="0.25"/>
  <cols>
    <col min="1" max="1" width="27" customWidth="1"/>
    <col min="2" max="2" width="26.140625" customWidth="1"/>
    <col min="3" max="3" width="15.7109375" customWidth="1"/>
    <col min="4" max="4" width="17.42578125" customWidth="1"/>
    <col min="5" max="5" width="24.85546875" customWidth="1"/>
    <col min="6" max="6" width="38.7109375" customWidth="1"/>
    <col min="7" max="7" width="24.42578125" customWidth="1"/>
    <col min="8" max="8" width="40.85546875" bestFit="1" customWidth="1"/>
  </cols>
  <sheetData>
    <row r="1" spans="1:8" ht="14.25" customHeight="1" x14ac:dyDescent="0.25">
      <c r="A1" s="4" t="s">
        <v>1</v>
      </c>
      <c r="B1" s="4" t="s">
        <v>45</v>
      </c>
    </row>
    <row r="2" spans="1:8" ht="42" customHeight="1" x14ac:dyDescent="0.25">
      <c r="A2" s="99" t="s">
        <v>111</v>
      </c>
      <c r="B2" s="99" t="s">
        <v>363</v>
      </c>
      <c r="C2" s="99" t="s">
        <v>364</v>
      </c>
      <c r="D2" s="99" t="s">
        <v>365</v>
      </c>
      <c r="E2" s="59" t="s">
        <v>366</v>
      </c>
      <c r="F2" s="59" t="s">
        <v>367</v>
      </c>
      <c r="G2" s="59" t="s">
        <v>368</v>
      </c>
      <c r="H2" s="99" t="s">
        <v>369</v>
      </c>
    </row>
    <row r="3" spans="1:8" ht="23.25" customHeight="1" x14ac:dyDescent="0.25">
      <c r="A3" s="37" t="s">
        <v>114</v>
      </c>
      <c r="B3" s="101" t="s">
        <v>370</v>
      </c>
      <c r="C3" s="106" t="s">
        <v>371</v>
      </c>
      <c r="D3" s="107" t="s">
        <v>372</v>
      </c>
      <c r="E3" s="108" t="s">
        <v>373</v>
      </c>
      <c r="F3" s="108" t="s">
        <v>374</v>
      </c>
      <c r="G3" s="102" t="s">
        <v>281</v>
      </c>
      <c r="H3" s="109" t="s">
        <v>239</v>
      </c>
    </row>
    <row r="4" spans="1:8" ht="14.25" customHeight="1" x14ac:dyDescent="0.25">
      <c r="A4" s="40">
        <v>1</v>
      </c>
      <c r="B4" s="110" t="str">
        <f>'M-DiaSemana'!C4</f>
        <v>Lunes</v>
      </c>
      <c r="C4" s="111">
        <v>0.375</v>
      </c>
      <c r="D4" s="111">
        <v>0.79166666666666696</v>
      </c>
      <c r="E4" s="112">
        <v>45242</v>
      </c>
      <c r="F4" s="111" t="s">
        <v>349</v>
      </c>
      <c r="G4" s="111" t="s">
        <v>67</v>
      </c>
      <c r="H4" s="40" t="str">
        <f t="shared" ref="H4:H10" si="0">_xlfn.CONCAT(B4,"-",TEXT(C4,"hh:mm"),"-",TEXT(D4,"hh:mm"),"-",TEXT(E4,"dd/mm/yyyy"),"-",TEXT(F4,"dd/mm/yyyy"))</f>
        <v>Lunes-09:00-19:00-12/11/2023-1/01/1000</v>
      </c>
    </row>
    <row r="5" spans="1:8" ht="14.25" customHeight="1" x14ac:dyDescent="0.25">
      <c r="A5" s="40">
        <v>2</v>
      </c>
      <c r="B5" s="110" t="str">
        <f>'M-DiaSemana'!C5</f>
        <v>Martes</v>
      </c>
      <c r="C5" s="111">
        <v>0.375</v>
      </c>
      <c r="D5" s="111">
        <v>0.79166666666666696</v>
      </c>
      <c r="E5" s="112">
        <v>45242</v>
      </c>
      <c r="F5" s="111" t="s">
        <v>349</v>
      </c>
      <c r="G5" s="111" t="s">
        <v>67</v>
      </c>
      <c r="H5" s="40" t="str">
        <f t="shared" si="0"/>
        <v>Martes-09:00-19:00-12/11/2023-1/01/1000</v>
      </c>
    </row>
    <row r="6" spans="1:8" ht="14.25" customHeight="1" x14ac:dyDescent="0.25">
      <c r="A6" s="40">
        <v>3</v>
      </c>
      <c r="B6" s="110" t="str">
        <f>'M-DiaSemana'!C6</f>
        <v>Miércoles</v>
      </c>
      <c r="C6" s="111">
        <v>0.375</v>
      </c>
      <c r="D6" s="111">
        <v>0.79166666666666696</v>
      </c>
      <c r="E6" s="112">
        <v>45242</v>
      </c>
      <c r="F6" s="111" t="s">
        <v>349</v>
      </c>
      <c r="G6" s="111" t="s">
        <v>67</v>
      </c>
      <c r="H6" s="40" t="str">
        <f t="shared" si="0"/>
        <v>Miércoles-09:00-19:00-12/11/2023-1/01/1000</v>
      </c>
    </row>
    <row r="7" spans="1:8" ht="14.25" customHeight="1" x14ac:dyDescent="0.25">
      <c r="A7" s="40">
        <v>4</v>
      </c>
      <c r="B7" s="110" t="str">
        <f>'M-DiaSemana'!C7</f>
        <v>Jueves</v>
      </c>
      <c r="C7" s="111">
        <v>0.375</v>
      </c>
      <c r="D7" s="111">
        <v>0.79166666666666696</v>
      </c>
      <c r="E7" s="112">
        <v>45242</v>
      </c>
      <c r="F7" s="111" t="s">
        <v>349</v>
      </c>
      <c r="G7" s="111" t="s">
        <v>67</v>
      </c>
      <c r="H7" s="40" t="str">
        <f t="shared" si="0"/>
        <v>Jueves-09:00-19:00-12/11/2023-1/01/1000</v>
      </c>
    </row>
    <row r="8" spans="1:8" ht="14.25" customHeight="1" x14ac:dyDescent="0.25">
      <c r="A8" s="40">
        <v>5</v>
      </c>
      <c r="B8" s="110" t="str">
        <f>'M-DiaSemana'!C8</f>
        <v>Viernes</v>
      </c>
      <c r="C8" s="111">
        <v>0.375</v>
      </c>
      <c r="D8" s="111">
        <v>0.79166666666666696</v>
      </c>
      <c r="E8" s="112">
        <v>45242</v>
      </c>
      <c r="F8" s="111" t="s">
        <v>349</v>
      </c>
      <c r="G8" s="111" t="s">
        <v>67</v>
      </c>
      <c r="H8" s="40" t="str">
        <f t="shared" si="0"/>
        <v>Viernes-09:00-19:00-12/11/2023-1/01/1000</v>
      </c>
    </row>
    <row r="9" spans="1:8" ht="14.25" customHeight="1" x14ac:dyDescent="0.25">
      <c r="A9" s="40">
        <v>6</v>
      </c>
      <c r="B9" s="110" t="str">
        <f>'M-DiaSemana'!C9</f>
        <v>Sábado</v>
      </c>
      <c r="C9" s="113">
        <v>0.33333333333333298</v>
      </c>
      <c r="D9" s="111">
        <v>0.875</v>
      </c>
      <c r="E9" s="112">
        <v>45638</v>
      </c>
      <c r="F9" s="111" t="s">
        <v>349</v>
      </c>
      <c r="G9" s="111" t="s">
        <v>67</v>
      </c>
      <c r="H9" s="40" t="str">
        <f t="shared" si="0"/>
        <v>Sábado-08:00-21:00-12/12/2024-1/01/1000</v>
      </c>
    </row>
    <row r="10" spans="1:8" ht="14.25" customHeight="1" x14ac:dyDescent="0.25">
      <c r="A10" s="40">
        <v>7</v>
      </c>
      <c r="B10" s="110" t="str">
        <f>'M-DiaSemana'!C11</f>
        <v>Festivo</v>
      </c>
      <c r="C10" s="111">
        <v>0.41666666666666702</v>
      </c>
      <c r="D10" s="111">
        <v>0.625</v>
      </c>
      <c r="E10" s="112">
        <v>45638</v>
      </c>
      <c r="F10" s="111" t="s">
        <v>349</v>
      </c>
      <c r="G10" s="111" t="s">
        <v>67</v>
      </c>
      <c r="H10" s="40" t="str">
        <f t="shared" si="0"/>
        <v>Festivo-10:00-15:00-12/12/2024-1/01/1000</v>
      </c>
    </row>
    <row r="16" spans="1:8" ht="28.5" customHeight="1" x14ac:dyDescent="0.25">
      <c r="A16" s="43"/>
      <c r="B16" s="44" t="s">
        <v>124</v>
      </c>
    </row>
    <row r="17" spans="1:2" ht="28.5" customHeight="1" x14ac:dyDescent="0.25">
      <c r="A17" s="45"/>
      <c r="B17" s="44" t="s">
        <v>125</v>
      </c>
    </row>
    <row r="18" spans="1:2" ht="28.5" customHeight="1" x14ac:dyDescent="0.25">
      <c r="A18" s="69"/>
      <c r="B18" s="44" t="s">
        <v>300</v>
      </c>
    </row>
    <row r="19" spans="1:2" ht="28.5" customHeight="1" x14ac:dyDescent="0.25">
      <c r="A19" s="114"/>
      <c r="B19" s="44" t="s">
        <v>375</v>
      </c>
    </row>
    <row r="20" spans="1:2" ht="28.5" customHeight="1" x14ac:dyDescent="0.25">
      <c r="A20" s="115"/>
      <c r="B20" s="44" t="s">
        <v>344</v>
      </c>
    </row>
    <row r="21" spans="1:2" ht="28.5" customHeight="1" x14ac:dyDescent="0.25">
      <c r="A21" s="116"/>
      <c r="B21" s="44" t="s">
        <v>376</v>
      </c>
    </row>
    <row r="22" spans="1:2" ht="28.5" customHeight="1" x14ac:dyDescent="0.25">
      <c r="A22" s="47"/>
      <c r="B22" s="44" t="s">
        <v>127</v>
      </c>
    </row>
  </sheetData>
  <hyperlinks>
    <hyperlink ref="A1" location="'Modelo de Dominio'!A1" display="&lt;&lt;&lt;&lt; Ir al modulo de dominio" xr:uid="{00000000-0004-0000-2500-000000000000}"/>
    <hyperlink ref="B1" location="'Objetos de Dominio'!A1" display="&lt;&lt;&lt;&lt; Ir a objetos de dominio" xr:uid="{00000000-0004-0000-2500-000001000000}"/>
    <hyperlink ref="B3" location="'M-DiaSemana'!A1" display="diaDeLaSemana" xr:uid="{00000000-0004-0000-2500-000002000000}"/>
    <hyperlink ref="B4" location="'M-DiaSemana'!A4" display="#'M-DiaSemana'.A4" xr:uid="{00000000-0004-0000-2500-000003000000}"/>
    <hyperlink ref="B5" location="'M-DiaSemana'!A5" display="#'M-DiaSemana'.A5" xr:uid="{00000000-0004-0000-2500-000004000000}"/>
    <hyperlink ref="B6" location="'M-DiaSemana'!A6" display="#'M-DiaSemana'.A6" xr:uid="{00000000-0004-0000-2500-000005000000}"/>
    <hyperlink ref="B7" location="'M-DiaSemana'!A7" display="#'M-DiaSemana'.A7" xr:uid="{00000000-0004-0000-2500-000006000000}"/>
    <hyperlink ref="B8" location="'M-DiaSemana'!A8" display="#'M-DiaSemana'.A8" xr:uid="{00000000-0004-0000-2500-000007000000}"/>
    <hyperlink ref="B9" location="'M-DiaSemana'!A9" display="#'M-DiaSemana'.A9" xr:uid="{00000000-0004-0000-2500-000008000000}"/>
    <hyperlink ref="B10" location="'M-DiaSemana'!A11" display="#'M-DiaSemana'.A11" xr:uid="{00000000-0004-0000-2500-000009000000}"/>
  </hyperlink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13"/>
  <sheetViews>
    <sheetView zoomScaleNormal="100" workbookViewId="0"/>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5" width="18" customWidth="1"/>
    <col min="13" max="13" width="40" customWidth="1"/>
    <col min="14" max="14" width="18" customWidth="1"/>
  </cols>
  <sheetData>
    <row r="1" spans="1:21" ht="15" customHeight="1" x14ac:dyDescent="0.25">
      <c r="A1" s="4" t="s">
        <v>1</v>
      </c>
      <c r="B1" s="4" t="s">
        <v>45</v>
      </c>
    </row>
    <row r="2" spans="1:21" ht="45" customHeight="1" x14ac:dyDescent="0.25">
      <c r="A2" s="117" t="s">
        <v>46</v>
      </c>
      <c r="B2" s="117" t="s">
        <v>47</v>
      </c>
      <c r="C2" s="117" t="s">
        <v>48</v>
      </c>
      <c r="D2" s="117" t="s">
        <v>49</v>
      </c>
      <c r="E2" s="117" t="s">
        <v>50</v>
      </c>
      <c r="F2" s="117" t="s">
        <v>51</v>
      </c>
      <c r="G2" s="117" t="s">
        <v>52</v>
      </c>
      <c r="H2" s="117" t="s">
        <v>53</v>
      </c>
      <c r="I2" s="117" t="s">
        <v>54</v>
      </c>
      <c r="J2" s="117" t="s">
        <v>55</v>
      </c>
      <c r="K2" s="117" t="s">
        <v>56</v>
      </c>
      <c r="L2" s="117" t="s">
        <v>57</v>
      </c>
      <c r="M2" s="117" t="s">
        <v>58</v>
      </c>
      <c r="N2" s="117" t="s">
        <v>59</v>
      </c>
      <c r="O2" s="117" t="s">
        <v>60</v>
      </c>
      <c r="P2" s="117" t="s">
        <v>61</v>
      </c>
      <c r="Q2" s="117" t="s">
        <v>62</v>
      </c>
      <c r="R2" s="117" t="s">
        <v>63</v>
      </c>
      <c r="S2" s="117" t="s">
        <v>64</v>
      </c>
      <c r="T2" s="117" t="s">
        <v>65</v>
      </c>
      <c r="U2" s="117" t="s">
        <v>66</v>
      </c>
    </row>
    <row r="3" spans="1:21" ht="45" customHeight="1" x14ac:dyDescent="0.25">
      <c r="A3" s="118" t="str">
        <f>'M-BarberoServicio'!A3</f>
        <v>id</v>
      </c>
      <c r="B3" s="119" t="str">
        <f>'M-BarberoServicio'!A2</f>
        <v>Representa un identificador que hará unico cada objeto de dominio de este tipo, no se puede repetir</v>
      </c>
      <c r="C3" s="118" t="s">
        <v>67</v>
      </c>
      <c r="D3" s="118" t="s">
        <v>68</v>
      </c>
      <c r="E3" s="118" t="s">
        <v>67</v>
      </c>
      <c r="F3" s="118" t="s">
        <v>69</v>
      </c>
      <c r="G3" s="118" t="s">
        <v>69</v>
      </c>
      <c r="H3" s="118" t="s">
        <v>69</v>
      </c>
      <c r="I3" s="118" t="s">
        <v>69</v>
      </c>
      <c r="J3" s="118" t="s">
        <v>69</v>
      </c>
      <c r="K3" s="118" t="s">
        <v>69</v>
      </c>
      <c r="L3" s="118" t="s">
        <v>69</v>
      </c>
      <c r="M3" s="118" t="s">
        <v>69</v>
      </c>
      <c r="N3" s="118" t="s">
        <v>70</v>
      </c>
      <c r="O3" s="118" t="s">
        <v>69</v>
      </c>
      <c r="P3" s="118" t="s">
        <v>69</v>
      </c>
      <c r="Q3" s="118" t="s">
        <v>69</v>
      </c>
      <c r="R3" s="118" t="s">
        <v>69</v>
      </c>
      <c r="S3" s="118" t="s">
        <v>70</v>
      </c>
      <c r="T3" s="118" t="s">
        <v>71</v>
      </c>
      <c r="U3" s="118" t="s">
        <v>67</v>
      </c>
    </row>
    <row r="4" spans="1:21" ht="27.75" customHeight="1" x14ac:dyDescent="0.25">
      <c r="A4" s="118" t="str">
        <f>'M-BarberoServicio'!B3</f>
        <v>barbero</v>
      </c>
      <c r="B4" s="119" t="str">
        <f>'M-BarberoServicio'!B2</f>
        <v>Representa el nombre y apellidos del barbero</v>
      </c>
      <c r="C4" s="118" t="s">
        <v>70</v>
      </c>
      <c r="D4" s="120" t="s">
        <v>25</v>
      </c>
      <c r="E4" s="118" t="s">
        <v>67</v>
      </c>
      <c r="F4" s="118" t="s">
        <v>69</v>
      </c>
      <c r="G4" s="118" t="s">
        <v>69</v>
      </c>
      <c r="H4" s="118" t="s">
        <v>69</v>
      </c>
      <c r="I4" s="118" t="s">
        <v>69</v>
      </c>
      <c r="J4" s="118" t="s">
        <v>69</v>
      </c>
      <c r="K4" s="118" t="s">
        <v>69</v>
      </c>
      <c r="L4" s="118" t="s">
        <v>69</v>
      </c>
      <c r="M4" s="17" t="s">
        <v>304</v>
      </c>
      <c r="N4" s="118" t="s">
        <v>70</v>
      </c>
      <c r="O4" s="118" t="s">
        <v>69</v>
      </c>
      <c r="P4" s="118" t="s">
        <v>69</v>
      </c>
      <c r="Q4" s="118" t="s">
        <v>69</v>
      </c>
      <c r="R4" s="118" t="s">
        <v>69</v>
      </c>
      <c r="S4" s="118" t="s">
        <v>70</v>
      </c>
      <c r="T4" s="118" t="s">
        <v>71</v>
      </c>
      <c r="U4" s="118" t="s">
        <v>70</v>
      </c>
    </row>
    <row r="5" spans="1:21" ht="27.75" customHeight="1" x14ac:dyDescent="0.25">
      <c r="A5" s="118" t="str">
        <f>'M-BarberoServicio'!C3</f>
        <v>servicio</v>
      </c>
      <c r="B5" s="119" t="str">
        <f>'M-BarberoServicio'!C2</f>
        <v xml:space="preserve">Representa el nombre del servicio de la barberia </v>
      </c>
      <c r="C5" s="118" t="s">
        <v>70</v>
      </c>
      <c r="D5" s="120" t="s">
        <v>17</v>
      </c>
      <c r="E5" s="118" t="s">
        <v>67</v>
      </c>
      <c r="F5" s="118" t="s">
        <v>69</v>
      </c>
      <c r="G5" s="118" t="s">
        <v>69</v>
      </c>
      <c r="H5" s="118" t="s">
        <v>69</v>
      </c>
      <c r="I5" s="118" t="s">
        <v>69</v>
      </c>
      <c r="J5" s="118" t="s">
        <v>69</v>
      </c>
      <c r="K5" s="118" t="s">
        <v>69</v>
      </c>
      <c r="L5" s="118" t="s">
        <v>69</v>
      </c>
      <c r="M5" s="17" t="s">
        <v>304</v>
      </c>
      <c r="N5" s="118" t="s">
        <v>70</v>
      </c>
      <c r="O5" s="118" t="s">
        <v>69</v>
      </c>
      <c r="P5" s="118" t="s">
        <v>69</v>
      </c>
      <c r="Q5" s="118" t="s">
        <v>69</v>
      </c>
      <c r="R5" s="118" t="s">
        <v>69</v>
      </c>
      <c r="S5" s="118" t="s">
        <v>70</v>
      </c>
      <c r="T5" s="118" t="s">
        <v>71</v>
      </c>
      <c r="U5" s="118" t="s">
        <v>70</v>
      </c>
    </row>
    <row r="6" spans="1:21" ht="60" customHeight="1" x14ac:dyDescent="0.25">
      <c r="A6" s="118" t="str">
        <f>'M-BarberoServicio'!D3</f>
        <v>duracionEnHoras</v>
      </c>
      <c r="B6" s="119" t="str">
        <f>'M-BarberoServicio'!D2</f>
        <v>Representa la cantidad de horas que un barbero tarda en realizar un servicio, esta duracion el barbero debe de ser consiente de cuanto se demora en realizarlo</v>
      </c>
      <c r="C6" s="118" t="s">
        <v>70</v>
      </c>
      <c r="D6" s="121" t="s">
        <v>157</v>
      </c>
      <c r="E6" s="118" t="s">
        <v>70</v>
      </c>
      <c r="F6" s="118" t="s">
        <v>69</v>
      </c>
      <c r="G6" s="118" t="s">
        <v>69</v>
      </c>
      <c r="H6" s="118" t="s">
        <v>69</v>
      </c>
      <c r="I6" s="118" t="s">
        <v>69</v>
      </c>
      <c r="J6" s="118">
        <v>0</v>
      </c>
      <c r="K6" s="118">
        <v>3</v>
      </c>
      <c r="L6" s="118" t="s">
        <v>69</v>
      </c>
      <c r="M6" s="118" t="s">
        <v>69</v>
      </c>
      <c r="N6" s="118" t="s">
        <v>70</v>
      </c>
      <c r="O6" s="118" t="s">
        <v>69</v>
      </c>
      <c r="P6" s="118" t="s">
        <v>69</v>
      </c>
      <c r="Q6" s="118" t="s">
        <v>69</v>
      </c>
      <c r="R6" s="118" t="s">
        <v>69</v>
      </c>
      <c r="S6" s="118" t="s">
        <v>70</v>
      </c>
      <c r="T6" s="122">
        <v>0</v>
      </c>
      <c r="U6" s="118" t="s">
        <v>70</v>
      </c>
    </row>
    <row r="7" spans="1:21" ht="60" customHeight="1" x14ac:dyDescent="0.25">
      <c r="A7" s="118" t="str">
        <f>'M-BarberoServicio'!E3</f>
        <v>duracionEnMinutos</v>
      </c>
      <c r="B7" s="119" t="str">
        <f>'M-BarberoServicio'!E2</f>
        <v>Representa la cantidad de minutos que un barbero tarda en realizar un servicio, esta duracion el barbero debe de ser consiente de cuanto se demora en realizarlo</v>
      </c>
      <c r="C7" s="118" t="s">
        <v>70</v>
      </c>
      <c r="D7" s="118" t="s">
        <v>157</v>
      </c>
      <c r="E7" s="118" t="s">
        <v>70</v>
      </c>
      <c r="F7" s="118" t="s">
        <v>69</v>
      </c>
      <c r="G7" s="118" t="s">
        <v>69</v>
      </c>
      <c r="H7" s="118" t="s">
        <v>69</v>
      </c>
      <c r="I7" s="118" t="s">
        <v>69</v>
      </c>
      <c r="J7" s="118">
        <v>0</v>
      </c>
      <c r="K7" s="118">
        <v>59</v>
      </c>
      <c r="L7" s="118" t="s">
        <v>69</v>
      </c>
      <c r="M7" s="118" t="s">
        <v>69</v>
      </c>
      <c r="N7" s="118" t="s">
        <v>70</v>
      </c>
      <c r="O7" s="118" t="s">
        <v>69</v>
      </c>
      <c r="P7" s="118" t="s">
        <v>69</v>
      </c>
      <c r="Q7" s="118" t="s">
        <v>69</v>
      </c>
      <c r="R7" s="118" t="s">
        <v>69</v>
      </c>
      <c r="S7" s="118" t="s">
        <v>70</v>
      </c>
      <c r="T7" s="118" t="s">
        <v>249</v>
      </c>
      <c r="U7" s="118" t="s">
        <v>70</v>
      </c>
    </row>
    <row r="8" spans="1:21" ht="90" customHeight="1" x14ac:dyDescent="0.25">
      <c r="A8" s="118" t="str">
        <f>'M-BarberoServicio'!F3</f>
        <v>tiempoExtra</v>
      </c>
      <c r="B8" s="119" t="str">
        <f>'M-BarberoServicio'!F2</f>
        <v>Representa la cantidad de minutos que un barbero pone de tiempo extra en las citas de su agenda, cada barbero usa este tiempo porque hay ocaciones que la cita se puede demorar más de lo previsto. Este tiempo les ayuda a evitar que se les retrase la agenda</v>
      </c>
      <c r="C8" s="118" t="s">
        <v>70</v>
      </c>
      <c r="D8" s="118" t="s">
        <v>157</v>
      </c>
      <c r="E8" s="118" t="s">
        <v>70</v>
      </c>
      <c r="F8" s="118" t="s">
        <v>69</v>
      </c>
      <c r="G8" s="118" t="s">
        <v>69</v>
      </c>
      <c r="H8" s="118" t="s">
        <v>69</v>
      </c>
      <c r="I8" s="118" t="s">
        <v>69</v>
      </c>
      <c r="J8" s="118">
        <v>0</v>
      </c>
      <c r="K8" s="118">
        <v>59</v>
      </c>
      <c r="L8" s="118" t="s">
        <v>69</v>
      </c>
      <c r="M8" s="118" t="s">
        <v>69</v>
      </c>
      <c r="N8" s="118" t="s">
        <v>70</v>
      </c>
      <c r="O8" s="118" t="s">
        <v>69</v>
      </c>
      <c r="P8" s="118" t="s">
        <v>69</v>
      </c>
      <c r="Q8" s="118" t="s">
        <v>69</v>
      </c>
      <c r="R8" s="118" t="s">
        <v>69</v>
      </c>
      <c r="S8" s="118" t="s">
        <v>70</v>
      </c>
      <c r="T8" s="118" t="s">
        <v>249</v>
      </c>
      <c r="U8" s="118" t="s">
        <v>70</v>
      </c>
    </row>
    <row r="9" spans="1:21" ht="30" customHeight="1" x14ac:dyDescent="0.25">
      <c r="A9" s="118" t="str">
        <f>'M-BarberoServicio'!G3</f>
        <v>vigente</v>
      </c>
      <c r="B9" s="119" t="str">
        <f>'M-BarberoServicio'!G2</f>
        <v>Representa si el barbero sigue o no presentando el servicio en la barbería</v>
      </c>
      <c r="C9" s="118" t="s">
        <v>70</v>
      </c>
      <c r="D9" s="118" t="s">
        <v>158</v>
      </c>
      <c r="E9" s="118" t="s">
        <v>70</v>
      </c>
      <c r="F9" s="118" t="s">
        <v>69</v>
      </c>
      <c r="G9" s="118" t="s">
        <v>69</v>
      </c>
      <c r="H9" s="118" t="s">
        <v>69</v>
      </c>
      <c r="I9" s="118" t="s">
        <v>69</v>
      </c>
      <c r="J9" s="118" t="s">
        <v>69</v>
      </c>
      <c r="K9" s="118" t="s">
        <v>69</v>
      </c>
      <c r="L9" s="118" t="s">
        <v>69</v>
      </c>
      <c r="M9" s="118" t="s">
        <v>69</v>
      </c>
      <c r="N9" s="118" t="s">
        <v>70</v>
      </c>
      <c r="O9" s="118" t="s">
        <v>69</v>
      </c>
      <c r="P9" s="118" t="s">
        <v>69</v>
      </c>
      <c r="Q9" s="118" t="s">
        <v>69</v>
      </c>
      <c r="R9" s="118" t="s">
        <v>69</v>
      </c>
      <c r="S9" s="118" t="s">
        <v>70</v>
      </c>
      <c r="T9" s="118" t="s">
        <v>67</v>
      </c>
      <c r="U9" s="118" t="s">
        <v>70</v>
      </c>
    </row>
    <row r="10" spans="1:21" ht="15" customHeight="1" x14ac:dyDescent="0.25"/>
    <row r="11" spans="1:21" ht="15" customHeight="1" x14ac:dyDescent="0.25">
      <c r="A11" s="18" t="s">
        <v>75</v>
      </c>
      <c r="B11" s="18" t="s">
        <v>76</v>
      </c>
      <c r="C11" s="18" t="s">
        <v>77</v>
      </c>
    </row>
    <row r="12" spans="1:21" ht="15" customHeight="1" x14ac:dyDescent="0.25">
      <c r="A12" s="191" t="str">
        <f>'M-BarberoServicio'!H3</f>
        <v>Combinación única</v>
      </c>
      <c r="B12" s="210" t="str">
        <f>'M-BarberoServicio'!H2</f>
        <v>Combinación única que indica que un mismo barbero no puede aparecer dos veces ofreciendo el mismo servicio</v>
      </c>
      <c r="C12" s="19" t="s">
        <v>377</v>
      </c>
    </row>
    <row r="13" spans="1:21" ht="15" customHeight="1" x14ac:dyDescent="0.25">
      <c r="A13" s="191"/>
      <c r="B13" s="191"/>
      <c r="C13" s="19" t="s">
        <v>378</v>
      </c>
    </row>
  </sheetData>
  <mergeCells count="2">
    <mergeCell ref="A12:A13"/>
    <mergeCell ref="B12:B13"/>
  </mergeCells>
  <hyperlinks>
    <hyperlink ref="A1" location="'Modelo de Dominio'!A1" display="&lt;&lt;&lt;&lt; Ir al modulo de dominio" xr:uid="{00000000-0004-0000-2600-000000000000}"/>
    <hyperlink ref="B1" location="'Objetos de Dominio'!A1" display="&lt;&lt;&lt;&lt; Ir a objetos de dominio" xr:uid="{00000000-0004-0000-2600-000001000000}"/>
    <hyperlink ref="D4" location="'C-Barbero'!A1" display="Barbero" xr:uid="{00000000-0004-0000-2600-000002000000}"/>
    <hyperlink ref="D5" location="'C-Servicio'!A1" display="Servicio" xr:uid="{00000000-0004-0000-2600-000003000000}"/>
  </hyperlink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7"/>
  <sheetViews>
    <sheetView showGridLines="0" zoomScaleNormal="100" workbookViewId="0">
      <selection activeCell="A6" sqref="A6"/>
    </sheetView>
  </sheetViews>
  <sheetFormatPr baseColWidth="10" defaultColWidth="8.7109375" defaultRowHeight="15" x14ac:dyDescent="0.25"/>
  <cols>
    <col min="1" max="1" width="16" customWidth="1"/>
    <col min="2" max="2" width="28.5703125" bestFit="1" customWidth="1"/>
    <col min="3" max="3" width="35.5703125" bestFit="1" customWidth="1"/>
    <col min="4" max="4" width="37.140625" bestFit="1" customWidth="1"/>
    <col min="5" max="5" width="36.7109375" bestFit="1"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Dominio'!A13</f>
        <v>BarberoServicio</v>
      </c>
      <c r="C2" s="185"/>
      <c r="D2" s="185"/>
      <c r="E2" s="185"/>
    </row>
    <row r="3" spans="1:5" ht="30" customHeight="1" x14ac:dyDescent="0.25">
      <c r="A3" s="23" t="s">
        <v>84</v>
      </c>
      <c r="B3" s="186" t="str">
        <f>'Objetos de Dominio'!B13</f>
        <v>Representa qué servicios sabe hacer cada barbero, cuánto se demora en realizarlos y cuánto tiempo extra usa de colchón, ya que no todos los barberos ofrecen los mismos servicios</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48" customHeight="1" x14ac:dyDescent="0.25">
      <c r="A6" s="8" t="s">
        <v>379</v>
      </c>
      <c r="B6" s="184" t="s">
        <v>380</v>
      </c>
      <c r="C6" s="184"/>
      <c r="D6" s="24" t="s">
        <v>31</v>
      </c>
      <c r="E6" s="24"/>
    </row>
    <row r="7" spans="1:5" ht="30" customHeight="1" x14ac:dyDescent="0.25">
      <c r="A7" s="8" t="s">
        <v>381</v>
      </c>
      <c r="B7" s="184" t="s">
        <v>382</v>
      </c>
      <c r="C7" s="184"/>
      <c r="D7" s="24" t="s">
        <v>31</v>
      </c>
      <c r="E7" s="24"/>
    </row>
  </sheetData>
  <mergeCells count="8">
    <mergeCell ref="B6:C6"/>
    <mergeCell ref="B7:C7"/>
    <mergeCell ref="B2:E2"/>
    <mergeCell ref="B3:E3"/>
    <mergeCell ref="A4:A5"/>
    <mergeCell ref="B4:C5"/>
    <mergeCell ref="D4:D5"/>
    <mergeCell ref="E4:E5"/>
  </mergeCells>
  <hyperlinks>
    <hyperlink ref="A1" location="'Modelo de Dominio'!A1" display="&lt;&lt; Ir al modelo de dominio" xr:uid="{00000000-0004-0000-2700-000000000000}"/>
    <hyperlink ref="B1" location="'Objetos de Dominio'!A1" display="&lt;&lt; Ir al listado de objetos de dominio" xr:uid="{00000000-0004-0000-2700-000001000000}"/>
    <hyperlink ref="C1" location="'C-BarberoServicio'!A1" display="&lt;&lt; Ir a la caracterización del objeto de dominio" xr:uid="{00000000-0004-0000-2700-000002000000}"/>
    <hyperlink ref="D1" location="'M-BarberoServicio'!A1" display="Ir al muestreo de datos del objeto de dominio &gt;&gt;" xr:uid="{00000000-0004-0000-2700-000003000000}"/>
    <hyperlink ref="E1" location="'E-BarberoServicio'!A1" display="Ir al event storming del objeto de dominio &gt;&gt;" xr:uid="{B1285DF6-60ED-4989-8E57-44FA3D2CE6EA}"/>
  </hyperlink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2"/>
  <sheetViews>
    <sheetView showGridLines="0" zoomScaleNormal="100" workbookViewId="0">
      <selection activeCell="G7" sqref="G7"/>
    </sheetView>
  </sheetViews>
  <sheetFormatPr baseColWidth="10" defaultColWidth="8.7109375" defaultRowHeight="15" x14ac:dyDescent="0.25"/>
  <cols>
    <col min="1" max="1" width="20" customWidth="1"/>
    <col min="2" max="2" width="30" customWidth="1"/>
    <col min="3" max="3" width="42" customWidth="1"/>
    <col min="4" max="4" width="15.7109375" bestFit="1"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Dominio'!A13</f>
        <v>BarberoServicio</v>
      </c>
      <c r="C2" s="194"/>
      <c r="D2" s="194"/>
      <c r="E2" s="194"/>
      <c r="F2" s="194"/>
      <c r="G2" s="194"/>
      <c r="H2" s="194"/>
      <c r="I2" s="194"/>
      <c r="J2" s="194"/>
      <c r="K2" s="194"/>
    </row>
    <row r="3" spans="1:11" ht="30" customHeight="1" x14ac:dyDescent="0.25">
      <c r="A3" s="23" t="s">
        <v>84</v>
      </c>
      <c r="B3" s="195" t="str">
        <f>'Objetos de Dominio'!B13</f>
        <v>Representa qué servicios sabe hacer cada barbero, cuánto se demora en realizarlos y cuánto tiempo extra usa de colchón, ya que no todos los barberos ofrecen los mismos servicios</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205" t="s">
        <v>25</v>
      </c>
      <c r="B7" s="204" t="s">
        <v>383</v>
      </c>
      <c r="C7" s="204" t="s">
        <v>384</v>
      </c>
      <c r="D7" s="205" t="str">
        <f>$B$2</f>
        <v>BarberoServicio</v>
      </c>
      <c r="E7" s="204"/>
      <c r="F7" s="204"/>
      <c r="G7" s="179" t="str">
        <f>'P-BarberoServicio'!A6</f>
        <v>P-BSE-0001</v>
      </c>
      <c r="H7" s="180" t="s">
        <v>629</v>
      </c>
      <c r="I7" s="205"/>
      <c r="J7" s="204" t="s">
        <v>385</v>
      </c>
      <c r="K7" s="204"/>
    </row>
    <row r="8" spans="1:11" ht="30" customHeight="1" x14ac:dyDescent="0.25">
      <c r="A8" s="205"/>
      <c r="B8" s="205"/>
      <c r="C8" s="205"/>
      <c r="D8" s="205"/>
      <c r="E8" s="205"/>
      <c r="F8" s="205"/>
      <c r="G8" s="179" t="str">
        <f>'P-BarberoServicio'!A7</f>
        <v>P-BSE-0002</v>
      </c>
      <c r="H8" s="180" t="s">
        <v>629</v>
      </c>
      <c r="I8" s="205"/>
      <c r="J8" s="205"/>
      <c r="K8" s="205"/>
    </row>
    <row r="9" spans="1:11" ht="30" customHeight="1" x14ac:dyDescent="0.25">
      <c r="A9" s="3" t="s">
        <v>25</v>
      </c>
      <c r="B9" s="33" t="s">
        <v>386</v>
      </c>
      <c r="C9" s="33" t="s">
        <v>387</v>
      </c>
      <c r="D9" s="3" t="str">
        <f>$B$2</f>
        <v>BarberoServicio</v>
      </c>
      <c r="E9" s="33"/>
      <c r="F9" s="33"/>
      <c r="G9" s="179" t="str">
        <f>'P-BarberoServicio'!A6</f>
        <v>P-BSE-0001</v>
      </c>
      <c r="H9" s="180" t="s">
        <v>629</v>
      </c>
      <c r="I9" s="3"/>
      <c r="J9" s="33" t="s">
        <v>388</v>
      </c>
      <c r="K9" s="33"/>
    </row>
    <row r="10" spans="1:11" ht="30" customHeight="1" x14ac:dyDescent="0.25">
      <c r="A10" s="3" t="s">
        <v>25</v>
      </c>
      <c r="B10" s="33" t="s">
        <v>673</v>
      </c>
      <c r="C10" s="33" t="s">
        <v>389</v>
      </c>
      <c r="D10" s="3" t="str">
        <f>$B$2</f>
        <v>BarberoServicio</v>
      </c>
      <c r="E10" s="33"/>
      <c r="F10" s="33"/>
      <c r="G10" s="3"/>
      <c r="H10" s="34"/>
      <c r="I10" s="3"/>
      <c r="J10" s="33" t="s">
        <v>390</v>
      </c>
      <c r="K10" s="33"/>
    </row>
    <row r="11" spans="1:11" ht="30" customHeight="1" x14ac:dyDescent="0.25">
      <c r="A11" s="3" t="s">
        <v>27</v>
      </c>
      <c r="B11" s="33" t="s">
        <v>391</v>
      </c>
      <c r="C11" s="33" t="s">
        <v>392</v>
      </c>
      <c r="D11" s="3" t="str">
        <f>$B$2</f>
        <v>BarberoServicio</v>
      </c>
      <c r="E11" s="33"/>
      <c r="F11" s="33"/>
      <c r="G11" s="3"/>
      <c r="H11" s="34"/>
      <c r="I11" s="3"/>
      <c r="J11" s="33" t="s">
        <v>390</v>
      </c>
      <c r="K11" s="33"/>
    </row>
    <row r="12" spans="1:11" ht="30" customHeight="1" x14ac:dyDescent="0.25">
      <c r="A12" s="3" t="s">
        <v>25</v>
      </c>
      <c r="B12" s="33" t="s">
        <v>393</v>
      </c>
      <c r="C12" s="33" t="s">
        <v>394</v>
      </c>
      <c r="D12" s="3" t="str">
        <f>$B$2</f>
        <v>BarberoServicio</v>
      </c>
      <c r="E12" s="33"/>
      <c r="F12" s="33"/>
      <c r="G12" s="3"/>
      <c r="H12" s="34"/>
      <c r="I12" s="3"/>
      <c r="J12" s="33" t="s">
        <v>395</v>
      </c>
      <c r="K12" s="33"/>
    </row>
  </sheetData>
  <mergeCells count="27">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2800-000000000000}"/>
    <hyperlink ref="C1" location="'Objetos de Dominio'!A1" display="&lt;&lt; Ir al listado de objetos de dominio" xr:uid="{00000000-0004-0000-2800-000001000000}"/>
    <hyperlink ref="F1" location="'C-BarberoServicio'!A1" display="&lt;&lt; Ir a la caracterización del objeto de dominio" xr:uid="{00000000-0004-0000-2800-000002000000}"/>
    <hyperlink ref="J1" location="'M-BarberoServicio'!A1" display="Ir al muestreo de datos del objeto de dominio &gt;&gt;" xr:uid="{00000000-0004-0000-2800-000003000000}"/>
    <hyperlink ref="G7" location="'P-BarberoServicio'!A6" display="P-BSE-0001" xr:uid="{C90799D7-670F-440F-B37A-1B293CAE1A25}"/>
    <hyperlink ref="H7" location="'P-BarberoServicio'!B6" display="aquí" xr:uid="{4A5D9EEC-BD20-4E60-9789-24949A191C17}"/>
    <hyperlink ref="G8" location="'P-BarberoServicio'!A7" display="P-BSE-0002" xr:uid="{71B7103B-DE9C-43A4-8270-72B24AE31046}"/>
    <hyperlink ref="H8" location="'P-BarberoServicio'!B7" display="aquí" xr:uid="{246DD18C-C972-4F8E-83B8-E35AABC89004}"/>
    <hyperlink ref="G9" location="'P-BarberoServicio'!A6" display="P-BSE-0001" xr:uid="{50267F46-71EF-4D54-ABAF-96C71EFFF5BF}"/>
    <hyperlink ref="H9" location="'P-BarberoServicio'!B6" display="aquí" xr:uid="{E73D0BD3-BD41-4DDE-9C33-29FAB47E343D}"/>
  </hyperlink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12"/>
  <sheetViews>
    <sheetView zoomScaleNormal="100" workbookViewId="0">
      <selection activeCell="C35" sqref="C35"/>
    </sheetView>
  </sheetViews>
  <sheetFormatPr baseColWidth="10" defaultColWidth="8.7109375" defaultRowHeight="15" x14ac:dyDescent="0.25"/>
  <cols>
    <col min="1" max="1" width="27" customWidth="1"/>
    <col min="2" max="2" width="26.140625" customWidth="1"/>
    <col min="3" max="4" width="42" customWidth="1"/>
    <col min="5" max="5" width="40.28515625" customWidth="1"/>
    <col min="6" max="6" width="35.7109375" customWidth="1"/>
    <col min="8" max="8" width="56.85546875" customWidth="1"/>
  </cols>
  <sheetData>
    <row r="1" spans="1:8" ht="14.25" customHeight="1" x14ac:dyDescent="0.25">
      <c r="A1" s="4" t="s">
        <v>1</v>
      </c>
      <c r="B1" s="4" t="s">
        <v>45</v>
      </c>
    </row>
    <row r="2" spans="1:8" ht="51.75" customHeight="1" x14ac:dyDescent="0.25">
      <c r="A2" s="59" t="s">
        <v>111</v>
      </c>
      <c r="B2" s="123" t="s">
        <v>396</v>
      </c>
      <c r="C2" s="59" t="s">
        <v>397</v>
      </c>
      <c r="D2" s="59" t="s">
        <v>398</v>
      </c>
      <c r="E2" s="59" t="s">
        <v>399</v>
      </c>
      <c r="F2" s="59" t="s">
        <v>400</v>
      </c>
      <c r="G2" s="59" t="s">
        <v>401</v>
      </c>
      <c r="H2" s="60" t="s">
        <v>402</v>
      </c>
    </row>
    <row r="3" spans="1:8" ht="14.25" customHeight="1" x14ac:dyDescent="0.25">
      <c r="A3" s="84" t="s">
        <v>114</v>
      </c>
      <c r="B3" s="124" t="s">
        <v>377</v>
      </c>
      <c r="C3" s="124" t="s">
        <v>378</v>
      </c>
      <c r="D3" s="125" t="s">
        <v>403</v>
      </c>
      <c r="E3" s="125" t="s">
        <v>404</v>
      </c>
      <c r="F3" s="125" t="s">
        <v>405</v>
      </c>
      <c r="G3" s="102" t="s">
        <v>281</v>
      </c>
      <c r="H3" s="126" t="s">
        <v>239</v>
      </c>
    </row>
    <row r="4" spans="1:8" ht="14.25" customHeight="1" x14ac:dyDescent="0.25">
      <c r="A4" s="40">
        <v>1</v>
      </c>
      <c r="B4" s="98" t="str">
        <f>_xlfn.CONCAT('M-Barbero'!B4," ",'M-Barbero'!D4)</f>
        <v>Juan García</v>
      </c>
      <c r="C4" s="98" t="str">
        <f>'M-Servicio'!B4</f>
        <v>Motilada</v>
      </c>
      <c r="D4" s="127">
        <v>0</v>
      </c>
      <c r="E4" s="127">
        <v>45</v>
      </c>
      <c r="F4" s="127">
        <v>15</v>
      </c>
      <c r="G4" s="127" t="s">
        <v>183</v>
      </c>
      <c r="H4" s="40" t="str">
        <f t="shared" ref="H4:H12" si="0">_xlfn.CONCAT(B4,"-",C4)</f>
        <v>Juan García-Motilada</v>
      </c>
    </row>
    <row r="5" spans="1:8" ht="14.25" customHeight="1" x14ac:dyDescent="0.25">
      <c r="A5" s="40">
        <v>2</v>
      </c>
      <c r="B5" s="98" t="str">
        <f>_xlfn.CONCAT('M-Barbero'!B5," ",'M-Barbero'!D5)</f>
        <v>Juan Ortiz</v>
      </c>
      <c r="C5" s="98" t="str">
        <f>'M-Servicio'!B5</f>
        <v>Corte de barba</v>
      </c>
      <c r="D5" s="127">
        <v>0</v>
      </c>
      <c r="E5" s="127">
        <v>10</v>
      </c>
      <c r="F5" s="127">
        <v>5</v>
      </c>
      <c r="G5" s="127" t="s">
        <v>183</v>
      </c>
      <c r="H5" s="40" t="str">
        <f t="shared" si="0"/>
        <v>Juan Ortiz-Corte de barba</v>
      </c>
    </row>
    <row r="6" spans="1:8" ht="14.25" customHeight="1" x14ac:dyDescent="0.25">
      <c r="A6" s="40">
        <v>3</v>
      </c>
      <c r="B6" s="98" t="str">
        <f>_xlfn.CONCAT('M-Barbero'!B6," ",'M-Barbero'!D6)</f>
        <v>Carlos Arbeladez</v>
      </c>
      <c r="C6" s="98" t="str">
        <f>'M-Servicio'!B6</f>
        <v>Perfilada de barba</v>
      </c>
      <c r="D6" s="127">
        <v>0</v>
      </c>
      <c r="E6" s="127">
        <v>15</v>
      </c>
      <c r="F6" s="127">
        <v>5</v>
      </c>
      <c r="G6" s="127" t="s">
        <v>183</v>
      </c>
      <c r="H6" s="40" t="str">
        <f t="shared" si="0"/>
        <v>Carlos Arbeladez-Perfilada de barba</v>
      </c>
    </row>
    <row r="7" spans="1:8" ht="14.25" customHeight="1" x14ac:dyDescent="0.25">
      <c r="A7" s="40">
        <v>4</v>
      </c>
      <c r="B7" s="98" t="str">
        <f>_xlfn.CONCAT('M-Barbero'!B7," ",'M-Barbero'!D7)</f>
        <v>Andres Ramirez</v>
      </c>
      <c r="C7" s="98" t="str">
        <f>'M-Servicio'!B7</f>
        <v>Arreglo completo de barba con toalla caliente</v>
      </c>
      <c r="D7" s="127">
        <v>0</v>
      </c>
      <c r="E7" s="127">
        <v>40</v>
      </c>
      <c r="F7" s="127">
        <v>10</v>
      </c>
      <c r="G7" s="127" t="s">
        <v>183</v>
      </c>
      <c r="H7" s="40" t="str">
        <f t="shared" si="0"/>
        <v>Andres Ramirez-Arreglo completo de barba con toalla caliente</v>
      </c>
    </row>
    <row r="8" spans="1:8" ht="14.25" customHeight="1" x14ac:dyDescent="0.25">
      <c r="A8" s="40">
        <v>5</v>
      </c>
      <c r="B8" s="98" t="str">
        <f>_xlfn.CONCAT('M-Barbero'!B5," ",'M-Barbero'!D5)</f>
        <v>Juan Ortiz</v>
      </c>
      <c r="C8" s="98" t="str">
        <f>'M-Servicio'!B4</f>
        <v>Motilada</v>
      </c>
      <c r="D8" s="127">
        <v>0</v>
      </c>
      <c r="E8" s="127">
        <v>40</v>
      </c>
      <c r="F8" s="127">
        <v>10</v>
      </c>
      <c r="G8" s="127" t="s">
        <v>183</v>
      </c>
      <c r="H8" s="40" t="str">
        <f t="shared" si="0"/>
        <v>Juan Ortiz-Motilada</v>
      </c>
    </row>
    <row r="9" spans="1:8" ht="14.25" customHeight="1" x14ac:dyDescent="0.25">
      <c r="A9" s="40">
        <v>6</v>
      </c>
      <c r="B9" s="98" t="str">
        <f>_xlfn.CONCAT('M-Barbero'!B6," ",'M-Barbero'!D6)</f>
        <v>Carlos Arbeladez</v>
      </c>
      <c r="C9" s="98" t="str">
        <f>'M-Servicio'!B5</f>
        <v>Corte de barba</v>
      </c>
      <c r="D9" s="127">
        <v>0</v>
      </c>
      <c r="E9" s="127">
        <v>15</v>
      </c>
      <c r="F9" s="127">
        <v>5</v>
      </c>
      <c r="G9" s="127" t="s">
        <v>183</v>
      </c>
      <c r="H9" s="40" t="str">
        <f t="shared" si="0"/>
        <v>Carlos Arbeladez-Corte de barba</v>
      </c>
    </row>
    <row r="10" spans="1:8" ht="14.25" customHeight="1" x14ac:dyDescent="0.25">
      <c r="A10" s="40">
        <v>7</v>
      </c>
      <c r="B10" s="98" t="str">
        <f>_xlfn.CONCAT('M-Barbero'!B4," ",'M-Barbero'!D4)</f>
        <v>Juan García</v>
      </c>
      <c r="C10" s="98" t="str">
        <f>'M-Servicio'!B6</f>
        <v>Perfilada de barba</v>
      </c>
      <c r="D10" s="127">
        <v>0</v>
      </c>
      <c r="E10" s="127">
        <v>20</v>
      </c>
      <c r="F10" s="127">
        <v>5</v>
      </c>
      <c r="G10" s="127" t="s">
        <v>183</v>
      </c>
      <c r="H10" s="40" t="str">
        <f t="shared" si="0"/>
        <v>Juan García-Perfilada de barba</v>
      </c>
    </row>
    <row r="11" spans="1:8" ht="14.25" customHeight="1" x14ac:dyDescent="0.25">
      <c r="A11" s="40">
        <v>8</v>
      </c>
      <c r="B11" s="98" t="str">
        <f>_xlfn.CONCAT('M-Barbero'!B7," ",'M-Barbero'!D7)</f>
        <v>Andres Ramirez</v>
      </c>
      <c r="C11" s="98" t="str">
        <f>'M-Servicio'!B4</f>
        <v>Motilada</v>
      </c>
      <c r="D11" s="127">
        <v>0</v>
      </c>
      <c r="E11" s="127">
        <v>50</v>
      </c>
      <c r="F11" s="127">
        <v>15</v>
      </c>
      <c r="G11" s="127" t="s">
        <v>183</v>
      </c>
      <c r="H11" s="40" t="str">
        <f t="shared" si="0"/>
        <v>Andres Ramirez-Motilada</v>
      </c>
    </row>
    <row r="12" spans="1:8" ht="14.25" customHeight="1" x14ac:dyDescent="0.25">
      <c r="A12" s="40">
        <v>9</v>
      </c>
      <c r="B12" s="98" t="str">
        <f>_xlfn.CONCAT('M-Barbero'!B8," ",'M-Barbero'!D8)</f>
        <v>Juan Zambrano</v>
      </c>
      <c r="C12" s="98" t="str">
        <f>'M-Servicio'!B5</f>
        <v>Corte de barba</v>
      </c>
      <c r="D12" s="127">
        <v>0</v>
      </c>
      <c r="E12" s="127">
        <v>12</v>
      </c>
      <c r="F12" s="127">
        <v>5</v>
      </c>
      <c r="G12" s="127" t="s">
        <v>183</v>
      </c>
      <c r="H12" s="40" t="str">
        <f t="shared" si="0"/>
        <v>Juan Zambrano-Corte de barba</v>
      </c>
    </row>
  </sheetData>
  <hyperlinks>
    <hyperlink ref="A1" location="'Modelo de Dominio'!A1" display="&lt;&lt;&lt;&lt; Ir al modulo de dominio" xr:uid="{00000000-0004-0000-2900-000000000000}"/>
    <hyperlink ref="B1" location="'Objetos de Dominio'!A1" display="&lt;&lt;&lt;&lt; Ir a objetos de dominio" xr:uid="{00000000-0004-0000-2900-000001000000}"/>
    <hyperlink ref="B3" location="'M-Barbero'!A1" display="barbero" xr:uid="{00000000-0004-0000-2900-000002000000}"/>
    <hyperlink ref="C3" location="'M-Servicio'!A1" display="servicio" xr:uid="{00000000-0004-0000-2900-000003000000}"/>
    <hyperlink ref="B4" location="'M-Barbero'!A4" display="#'M-Barbero'.A4" xr:uid="{00000000-0004-0000-2900-000004000000}"/>
    <hyperlink ref="C4" location="'M-Servicio'!A4" display="#'M-Servicio'.A4" xr:uid="{00000000-0004-0000-2900-000005000000}"/>
    <hyperlink ref="B5" location="'M-Barbero'!A5" display="#'M-Barbero'.A5" xr:uid="{00000000-0004-0000-2900-000006000000}"/>
    <hyperlink ref="C5" location="'M-Servicio'!A5" display="#'M-Servicio'.A5" xr:uid="{00000000-0004-0000-2900-000007000000}"/>
    <hyperlink ref="B6" location="'M-Barbero'!A6" display="#'M-Barbero'.A6" xr:uid="{00000000-0004-0000-2900-000008000000}"/>
    <hyperlink ref="C6" location="'M-Servicio'!A6" display="#'M-Servicio'.A6" xr:uid="{00000000-0004-0000-2900-000009000000}"/>
    <hyperlink ref="B7" location="'M-Barbero'!A7" display="#'M-Barbero'.A7" xr:uid="{00000000-0004-0000-2900-00000A000000}"/>
    <hyperlink ref="C7" location="'M-Servicio'!A7" display="#'M-Servicio'.A7" xr:uid="{00000000-0004-0000-2900-00000B000000}"/>
    <hyperlink ref="B8" location="'M-Barbero'!A5" display="#'M-Barbero'.A5" xr:uid="{00000000-0004-0000-2900-00000C000000}"/>
    <hyperlink ref="C8" location="'M-Servicio'!A4" display="#'M-Servicio'.A4" xr:uid="{00000000-0004-0000-2900-00000D000000}"/>
    <hyperlink ref="B9" location="'M-Barbero'!A6" display="#'M-Barbero'.A6" xr:uid="{00000000-0004-0000-2900-00000E000000}"/>
    <hyperlink ref="C9" location="'M-Servicio'!A5" display="#'M-Servicio'.A5" xr:uid="{00000000-0004-0000-2900-00000F000000}"/>
    <hyperlink ref="B10" location="'M-Barbero'!A4" display="#'M-Barbero'.A4" xr:uid="{00000000-0004-0000-2900-000010000000}"/>
    <hyperlink ref="C10" location="'M-Servicio'!A6" display="#'M-Servicio'.A6" xr:uid="{00000000-0004-0000-2900-000011000000}"/>
    <hyperlink ref="B11" location="'M-Barbero'!A7" display="#'M-Barbero'.A7" xr:uid="{00000000-0004-0000-2900-000012000000}"/>
    <hyperlink ref="C11" location="'M-Servicio'!A4" display="#'M-Servicio'.A4" xr:uid="{00000000-0004-0000-2900-000013000000}"/>
    <hyperlink ref="B12" location="'M-Barbero'!A8" display="#'M-Barbero'.A8" xr:uid="{00000000-0004-0000-2900-000014000000}"/>
    <hyperlink ref="C12" location="'M-Servicio'!A5" display="#'M-Servicio'.A5" xr:uid="{00000000-0004-0000-2900-000015000000}"/>
  </hyperlink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17"/>
  <sheetViews>
    <sheetView zoomScaleNormal="100" workbookViewId="0"/>
  </sheetViews>
  <sheetFormatPr baseColWidth="10" defaultColWidth="8.7109375" defaultRowHeight="15" x14ac:dyDescent="0.25"/>
  <cols>
    <col min="1" max="1" width="26.7109375" customWidth="1"/>
    <col min="2" max="2" width="51.85546875" customWidth="1"/>
    <col min="3" max="3" width="43" customWidth="1"/>
    <col min="4" max="4" width="25" customWidth="1"/>
    <col min="5" max="5" width="18" customWidth="1"/>
    <col min="13" max="13" width="40" customWidth="1"/>
    <col min="14" max="14" width="18" customWidth="1"/>
  </cols>
  <sheetData>
    <row r="1" spans="1:21" ht="15" customHeight="1" x14ac:dyDescent="0.25">
      <c r="A1" s="4" t="s">
        <v>1</v>
      </c>
      <c r="B1" s="4" t="s">
        <v>45</v>
      </c>
    </row>
    <row r="2" spans="1:21" ht="45" customHeight="1" x14ac:dyDescent="0.25">
      <c r="A2" s="117" t="s">
        <v>46</v>
      </c>
      <c r="B2" s="117" t="s">
        <v>47</v>
      </c>
      <c r="C2" s="117" t="s">
        <v>48</v>
      </c>
      <c r="D2" s="117" t="s">
        <v>49</v>
      </c>
      <c r="E2" s="117" t="s">
        <v>50</v>
      </c>
      <c r="F2" s="117" t="s">
        <v>51</v>
      </c>
      <c r="G2" s="117" t="s">
        <v>52</v>
      </c>
      <c r="H2" s="117" t="s">
        <v>53</v>
      </c>
      <c r="I2" s="117" t="s">
        <v>54</v>
      </c>
      <c r="J2" s="117" t="s">
        <v>55</v>
      </c>
      <c r="K2" s="117" t="s">
        <v>56</v>
      </c>
      <c r="L2" s="117" t="s">
        <v>57</v>
      </c>
      <c r="M2" s="117" t="s">
        <v>58</v>
      </c>
      <c r="N2" s="117" t="s">
        <v>59</v>
      </c>
      <c r="O2" s="117" t="s">
        <v>60</v>
      </c>
      <c r="P2" s="117" t="s">
        <v>61</v>
      </c>
      <c r="Q2" s="117" t="s">
        <v>62</v>
      </c>
      <c r="R2" s="117" t="s">
        <v>63</v>
      </c>
      <c r="S2" s="117" t="s">
        <v>64</v>
      </c>
      <c r="T2" s="117" t="s">
        <v>65</v>
      </c>
      <c r="U2" s="117" t="s">
        <v>66</v>
      </c>
    </row>
    <row r="3" spans="1:21" ht="30" customHeight="1" x14ac:dyDescent="0.25">
      <c r="A3" s="118" t="str">
        <f>'M-HorarioBarbero'!A3</f>
        <v>id</v>
      </c>
      <c r="B3" s="119" t="str">
        <f>'M-HorarioBarbero'!A2</f>
        <v>Representa un identificador que hará unico cada objeto de dominio de este tipo, no se puede repetir</v>
      </c>
      <c r="C3" s="118" t="s">
        <v>67</v>
      </c>
      <c r="D3" s="118" t="s">
        <v>68</v>
      </c>
      <c r="E3" s="118" t="s">
        <v>67</v>
      </c>
      <c r="F3" s="118" t="s">
        <v>69</v>
      </c>
      <c r="G3" s="118" t="s">
        <v>69</v>
      </c>
      <c r="H3" s="118" t="s">
        <v>69</v>
      </c>
      <c r="I3" s="118" t="s">
        <v>69</v>
      </c>
      <c r="J3" s="118" t="s">
        <v>69</v>
      </c>
      <c r="K3" s="118" t="s">
        <v>69</v>
      </c>
      <c r="L3" s="118" t="s">
        <v>69</v>
      </c>
      <c r="M3" s="118" t="s">
        <v>69</v>
      </c>
      <c r="N3" s="118" t="s">
        <v>70</v>
      </c>
      <c r="O3" s="118" t="s">
        <v>70</v>
      </c>
      <c r="P3" s="118" t="s">
        <v>69</v>
      </c>
      <c r="Q3" s="118" t="s">
        <v>70</v>
      </c>
      <c r="R3" s="118" t="s">
        <v>70</v>
      </c>
      <c r="S3" s="118" t="s">
        <v>70</v>
      </c>
      <c r="T3" s="118" t="s">
        <v>71</v>
      </c>
      <c r="U3" s="118" t="s">
        <v>67</v>
      </c>
    </row>
    <row r="4" spans="1:21" ht="27.75" customHeight="1" x14ac:dyDescent="0.25">
      <c r="A4" s="118" t="str">
        <f>'M-HorarioBarbero'!B3</f>
        <v>barbero</v>
      </c>
      <c r="B4" s="119" t="str">
        <f>'M-HorarioBarbero'!B2</f>
        <v>Referencia a que barbero va a ser dueño de este horario</v>
      </c>
      <c r="C4" s="118" t="s">
        <v>70</v>
      </c>
      <c r="D4" s="120" t="s">
        <v>25</v>
      </c>
      <c r="E4" s="118" t="s">
        <v>67</v>
      </c>
      <c r="F4" s="118" t="s">
        <v>69</v>
      </c>
      <c r="G4" s="118" t="s">
        <v>69</v>
      </c>
      <c r="H4" s="118" t="s">
        <v>69</v>
      </c>
      <c r="I4" s="118" t="s">
        <v>69</v>
      </c>
      <c r="J4" s="118" t="s">
        <v>69</v>
      </c>
      <c r="K4" s="118" t="s">
        <v>69</v>
      </c>
      <c r="L4" s="118" t="s">
        <v>69</v>
      </c>
      <c r="M4" s="17" t="s">
        <v>304</v>
      </c>
      <c r="N4" s="118" t="s">
        <v>70</v>
      </c>
      <c r="O4" s="118" t="s">
        <v>69</v>
      </c>
      <c r="P4" s="118" t="s">
        <v>69</v>
      </c>
      <c r="Q4" s="118" t="s">
        <v>69</v>
      </c>
      <c r="R4" s="118" t="s">
        <v>69</v>
      </c>
      <c r="S4" s="118" t="s">
        <v>70</v>
      </c>
      <c r="T4" s="118" t="s">
        <v>71</v>
      </c>
      <c r="U4" s="118" t="s">
        <v>70</v>
      </c>
    </row>
    <row r="5" spans="1:21" ht="30" customHeight="1" x14ac:dyDescent="0.25">
      <c r="A5" s="118" t="str">
        <f>'M-HorarioBarbero'!C3</f>
        <v>horarioDeLaBarberia</v>
      </c>
      <c r="B5" s="119" t="str">
        <f>'M-HorarioBarbero'!C2</f>
        <v>Hace referencia a la agenda del barbero en la que queda guardado este horario de trabajo</v>
      </c>
      <c r="C5" s="118" t="s">
        <v>70</v>
      </c>
      <c r="D5" s="120" t="s">
        <v>29</v>
      </c>
      <c r="E5" s="118" t="s">
        <v>67</v>
      </c>
      <c r="F5" s="118" t="s">
        <v>69</v>
      </c>
      <c r="G5" s="118" t="s">
        <v>69</v>
      </c>
      <c r="H5" s="118" t="s">
        <v>69</v>
      </c>
      <c r="I5" s="118" t="s">
        <v>69</v>
      </c>
      <c r="J5" s="118" t="s">
        <v>69</v>
      </c>
      <c r="K5" s="118" t="s">
        <v>69</v>
      </c>
      <c r="L5" s="118" t="s">
        <v>69</v>
      </c>
      <c r="M5" s="17" t="s">
        <v>304</v>
      </c>
      <c r="N5" s="118" t="s">
        <v>70</v>
      </c>
      <c r="O5" s="118" t="s">
        <v>69</v>
      </c>
      <c r="P5" s="118" t="s">
        <v>69</v>
      </c>
      <c r="Q5" s="118" t="s">
        <v>69</v>
      </c>
      <c r="R5" s="118" t="s">
        <v>69</v>
      </c>
      <c r="S5" s="118" t="s">
        <v>70</v>
      </c>
      <c r="T5" s="118" t="s">
        <v>71</v>
      </c>
      <c r="U5" s="118" t="s">
        <v>70</v>
      </c>
    </row>
    <row r="6" spans="1:21" ht="30" customHeight="1" x14ac:dyDescent="0.25">
      <c r="A6" s="118" t="str">
        <f>'M-HorarioBarbero'!D3</f>
        <v>horaInicio</v>
      </c>
      <c r="B6" s="119" t="str">
        <f>'M-HorarioBarbero'!D2</f>
        <v>Representa la hora en la que el barbero empieza a estar disponible ese dia</v>
      </c>
      <c r="C6" s="118" t="s">
        <v>70</v>
      </c>
      <c r="D6" s="118" t="s">
        <v>345</v>
      </c>
      <c r="E6" s="118" t="s">
        <v>67</v>
      </c>
      <c r="F6" s="118" t="s">
        <v>69</v>
      </c>
      <c r="G6" s="118" t="s">
        <v>69</v>
      </c>
      <c r="H6" s="118" t="s">
        <v>69</v>
      </c>
      <c r="I6" s="118" t="s">
        <v>69</v>
      </c>
      <c r="J6" s="118" t="s">
        <v>69</v>
      </c>
      <c r="K6" s="118" t="s">
        <v>69</v>
      </c>
      <c r="L6" s="118" t="s">
        <v>422</v>
      </c>
      <c r="M6" s="119" t="s">
        <v>423</v>
      </c>
      <c r="N6" s="118" t="s">
        <v>70</v>
      </c>
      <c r="O6" s="118" t="s">
        <v>69</v>
      </c>
      <c r="P6" s="118" t="s">
        <v>69</v>
      </c>
      <c r="Q6" s="118" t="s">
        <v>69</v>
      </c>
      <c r="R6" s="118" t="s">
        <v>69</v>
      </c>
      <c r="S6" s="118" t="s">
        <v>70</v>
      </c>
      <c r="T6" s="118" t="s">
        <v>346</v>
      </c>
      <c r="U6" s="118" t="s">
        <v>70</v>
      </c>
    </row>
    <row r="7" spans="1:21" ht="28.5" customHeight="1" x14ac:dyDescent="0.25">
      <c r="A7" s="118" t="str">
        <f>'M-HorarioBarbero'!E3</f>
        <v>horaFinal</v>
      </c>
      <c r="B7" s="119" t="str">
        <f>'M-HorarioBarbero'!E2</f>
        <v>Representa la hora en la que el barbero deja de estar disponible ese día.</v>
      </c>
      <c r="C7" s="118" t="s">
        <v>70</v>
      </c>
      <c r="D7" s="118" t="s">
        <v>345</v>
      </c>
      <c r="E7" s="118" t="s">
        <v>67</v>
      </c>
      <c r="F7" s="118" t="s">
        <v>69</v>
      </c>
      <c r="G7" s="118" t="s">
        <v>69</v>
      </c>
      <c r="H7" s="118" t="s">
        <v>69</v>
      </c>
      <c r="I7" s="118" t="s">
        <v>69</v>
      </c>
      <c r="J7" s="118" t="s">
        <v>69</v>
      </c>
      <c r="K7" s="118" t="s">
        <v>69</v>
      </c>
      <c r="L7" s="118" t="s">
        <v>422</v>
      </c>
      <c r="M7" s="119" t="s">
        <v>424</v>
      </c>
      <c r="N7" s="118" t="s">
        <v>70</v>
      </c>
      <c r="O7" s="118" t="s">
        <v>69</v>
      </c>
      <c r="P7" s="118" t="s">
        <v>69</v>
      </c>
      <c r="Q7" s="118" t="s">
        <v>69</v>
      </c>
      <c r="R7" s="118" t="s">
        <v>69</v>
      </c>
      <c r="S7" s="118" t="s">
        <v>70</v>
      </c>
      <c r="T7" s="118" t="s">
        <v>346</v>
      </c>
      <c r="U7" s="118" t="s">
        <v>70</v>
      </c>
    </row>
    <row r="8" spans="1:21" ht="45" customHeight="1" x14ac:dyDescent="0.25">
      <c r="A8" s="118" t="str">
        <f>'M-HorarioBarbero'!F3</f>
        <v>fechaCreacion</v>
      </c>
      <c r="B8" s="119" t="str">
        <f>'M-HorarioBarbero'!F2</f>
        <v>Representa la fecha en el que el barbero creo su horario. Es un dato calculado que toma la fecha de hoy cuando el barbero la crea</v>
      </c>
      <c r="C8" s="118" t="s">
        <v>70</v>
      </c>
      <c r="D8" s="118" t="s">
        <v>348</v>
      </c>
      <c r="E8" s="118" t="s">
        <v>67</v>
      </c>
      <c r="F8" s="118" t="s">
        <v>69</v>
      </c>
      <c r="G8" s="118" t="s">
        <v>69</v>
      </c>
      <c r="H8" s="118" t="s">
        <v>69</v>
      </c>
      <c r="I8" s="118" t="s">
        <v>69</v>
      </c>
      <c r="J8" s="118" t="s">
        <v>69</v>
      </c>
      <c r="K8" s="118" t="s">
        <v>69</v>
      </c>
      <c r="L8" s="118" t="s">
        <v>425</v>
      </c>
      <c r="M8" s="119" t="s">
        <v>426</v>
      </c>
      <c r="N8" s="118" t="s">
        <v>67</v>
      </c>
      <c r="O8" s="118" t="s">
        <v>69</v>
      </c>
      <c r="P8" s="118" t="s">
        <v>69</v>
      </c>
      <c r="Q8" s="118" t="s">
        <v>69</v>
      </c>
      <c r="R8" s="118" t="s">
        <v>69</v>
      </c>
      <c r="S8" s="118" t="s">
        <v>70</v>
      </c>
      <c r="T8" s="118" t="s">
        <v>427</v>
      </c>
      <c r="U8" s="118" t="s">
        <v>70</v>
      </c>
    </row>
    <row r="9" spans="1:21" ht="60" customHeight="1" x14ac:dyDescent="0.25">
      <c r="A9" s="118" t="str">
        <f>'M-HorarioBarbero'!G3</f>
        <v>fechaDesactivacion</v>
      </c>
      <c r="B9" s="119" t="str">
        <f>'M-HorarioBarbero'!G2</f>
        <v>Representa la fecha en la que este horario dejó de estar vigente, ya sea porque el barbero lo retiró o porque se desactivó el horario de la barbería del que depende. Es un dato calculado que toma la fecha del sistema en ese momento.</v>
      </c>
      <c r="C9" s="135" t="s">
        <v>70</v>
      </c>
      <c r="D9" s="135" t="s">
        <v>348</v>
      </c>
      <c r="E9" s="135" t="s">
        <v>70</v>
      </c>
      <c r="F9" s="135" t="s">
        <v>69</v>
      </c>
      <c r="G9" s="135" t="s">
        <v>69</v>
      </c>
      <c r="H9" s="135" t="s">
        <v>69</v>
      </c>
      <c r="I9" s="135" t="s">
        <v>69</v>
      </c>
      <c r="J9" s="135" t="s">
        <v>69</v>
      </c>
      <c r="K9" s="135" t="s">
        <v>69</v>
      </c>
      <c r="L9" s="135" t="s">
        <v>425</v>
      </c>
      <c r="M9" s="135" t="s">
        <v>428</v>
      </c>
      <c r="N9" s="135" t="s">
        <v>67</v>
      </c>
      <c r="O9" s="135" t="s">
        <v>69</v>
      </c>
      <c r="P9" s="135" t="s">
        <v>69</v>
      </c>
      <c r="Q9" s="135" t="s">
        <v>69</v>
      </c>
      <c r="R9" s="135" t="s">
        <v>69</v>
      </c>
      <c r="S9" s="135" t="s">
        <v>70</v>
      </c>
      <c r="T9" s="135" t="s">
        <v>427</v>
      </c>
      <c r="U9" s="135" t="s">
        <v>70</v>
      </c>
    </row>
    <row r="10" spans="1:21" ht="45" customHeight="1" x14ac:dyDescent="0.25">
      <c r="A10" s="118" t="str">
        <f>'M-HorarioBarbero'!H3</f>
        <v>vigente</v>
      </c>
      <c r="B10" s="119" t="str">
        <f>'M-HorarioBarbero'!H2</f>
        <v>Representa si este horario lo sigue o no usando el barbero. Una vez que el barbero cambie este estado a no vigente, no se puede volver a cambiar</v>
      </c>
      <c r="C10" s="118" t="s">
        <v>70</v>
      </c>
      <c r="D10" s="118" t="s">
        <v>158</v>
      </c>
      <c r="E10" s="118" t="s">
        <v>67</v>
      </c>
      <c r="F10" s="118" t="s">
        <v>69</v>
      </c>
      <c r="G10" s="118" t="s">
        <v>69</v>
      </c>
      <c r="H10" s="118" t="s">
        <v>69</v>
      </c>
      <c r="I10" s="118" t="s">
        <v>69</v>
      </c>
      <c r="J10" s="118" t="s">
        <v>69</v>
      </c>
      <c r="K10" s="118" t="s">
        <v>69</v>
      </c>
      <c r="L10" s="118" t="s">
        <v>69</v>
      </c>
      <c r="M10" s="119" t="s">
        <v>429</v>
      </c>
      <c r="N10" s="118" t="s">
        <v>70</v>
      </c>
      <c r="O10" s="118" t="s">
        <v>69</v>
      </c>
      <c r="P10" s="118" t="s">
        <v>69</v>
      </c>
      <c r="Q10" s="118" t="s">
        <v>69</v>
      </c>
      <c r="R10" s="118" t="s">
        <v>69</v>
      </c>
      <c r="S10" s="118" t="s">
        <v>70</v>
      </c>
      <c r="T10" s="118" t="s">
        <v>67</v>
      </c>
      <c r="U10" s="118" t="s">
        <v>70</v>
      </c>
    </row>
    <row r="12" spans="1:21" ht="15" customHeight="1" x14ac:dyDescent="0.25">
      <c r="A12" s="18" t="s">
        <v>75</v>
      </c>
      <c r="B12" s="18" t="s">
        <v>76</v>
      </c>
      <c r="C12" s="18" t="s">
        <v>77</v>
      </c>
    </row>
    <row r="13" spans="1:21" ht="15" customHeight="1" x14ac:dyDescent="0.25">
      <c r="A13" s="191" t="str">
        <f>'M-HorarioBarbero'!I3</f>
        <v>Combinación única</v>
      </c>
      <c r="B13" s="210" t="str">
        <f>'M-HorarioBarbero'!I2</f>
        <v>Combinación única que indica que un mismo barbero no puede tener dos horarios con el mismo día de la barbería, la misma hora de inicio y la misma hora final. No incluye vigente porque la identidad de un horario no puede cambiar cuando se desactiva</v>
      </c>
      <c r="C13" s="19" t="str">
        <f>A4</f>
        <v>barbero</v>
      </c>
    </row>
    <row r="14" spans="1:21" ht="15" customHeight="1" x14ac:dyDescent="0.25">
      <c r="A14" s="191"/>
      <c r="B14" s="191"/>
      <c r="C14" s="19" t="str">
        <f>A5</f>
        <v>horarioDeLaBarberia</v>
      </c>
    </row>
    <row r="15" spans="1:21" ht="15" customHeight="1" x14ac:dyDescent="0.25">
      <c r="A15" s="191"/>
      <c r="B15" s="191"/>
      <c r="C15" s="19" t="str">
        <f>A6</f>
        <v>horaInicio</v>
      </c>
    </row>
    <row r="16" spans="1:21" ht="15" customHeight="1" x14ac:dyDescent="0.25">
      <c r="A16" s="191"/>
      <c r="B16" s="191"/>
      <c r="C16" s="19" t="str">
        <f>A7</f>
        <v>horaFinal</v>
      </c>
    </row>
    <row r="17" spans="1:3" ht="15" customHeight="1" x14ac:dyDescent="0.25">
      <c r="A17" s="191"/>
      <c r="B17" s="191"/>
      <c r="C17" s="19" t="str">
        <f>A10</f>
        <v>vigente</v>
      </c>
    </row>
  </sheetData>
  <mergeCells count="2">
    <mergeCell ref="A13:A17"/>
    <mergeCell ref="B13:B17"/>
  </mergeCells>
  <hyperlinks>
    <hyperlink ref="A1" location="'Modelo de Dominio'!A1" display="&lt;&lt;&lt;&lt; Ir al modulo de dominio" xr:uid="{00000000-0004-0000-2E00-000000000000}"/>
    <hyperlink ref="B1" location="'Objetos de Dominio'!A1" display="&lt;&lt;&lt;&lt; Ir a objetos de dominio" xr:uid="{00000000-0004-0000-2E00-000001000000}"/>
    <hyperlink ref="D4" location="'C-Barbero'!A1" display="Barbero" xr:uid="{00000000-0004-0000-2E00-000002000000}"/>
    <hyperlink ref="D5" location="'C-HorarioBarberia'!A1" display="HorarioBarberia" xr:uid="{00000000-0004-0000-2E00-000003000000}"/>
    <hyperlink ref="A13" location="'M-HorarioBarbero'!A3" display="#'M-HorarioBarbero'.A3" xr:uid="{00000000-0004-0000-2E00-000004000000}"/>
    <hyperlink ref="B13" location="'M-HorarioBarbero'!A2" display="#'M-HorarioBarbero'.A2" xr:uid="{00000000-0004-0000-2E00-000005000000}"/>
  </hyperlink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8"/>
  <sheetViews>
    <sheetView showGridLines="0" zoomScaleNormal="100" workbookViewId="0">
      <selection activeCell="A2" sqref="A2"/>
    </sheetView>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Dominio'!A14</f>
        <v>HorarioBarbero</v>
      </c>
      <c r="C2" s="185"/>
      <c r="D2" s="185"/>
      <c r="E2" s="185"/>
    </row>
    <row r="3" spans="1:5" ht="30" customHeight="1" x14ac:dyDescent="0.25">
      <c r="A3" s="23" t="s">
        <v>84</v>
      </c>
      <c r="B3" s="186" t="str">
        <f>'Objetos de Dominio'!B14</f>
        <v>Representa el día de la semana en que trabaja un barbero, junto con la hora en la que empieza y termina su jornada</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30" customHeight="1" x14ac:dyDescent="0.25">
      <c r="A6" s="8" t="s">
        <v>430</v>
      </c>
      <c r="B6" s="184" t="s">
        <v>431</v>
      </c>
      <c r="C6" s="184"/>
      <c r="D6" s="24" t="s">
        <v>35</v>
      </c>
      <c r="E6" s="24"/>
    </row>
    <row r="7" spans="1:5" ht="30" customHeight="1" x14ac:dyDescent="0.25">
      <c r="A7" s="8" t="s">
        <v>432</v>
      </c>
      <c r="B7" s="184" t="s">
        <v>433</v>
      </c>
      <c r="C7" s="184"/>
      <c r="D7" s="24" t="s">
        <v>29</v>
      </c>
      <c r="E7" s="24"/>
    </row>
    <row r="8" spans="1:5" ht="30" customHeight="1" x14ac:dyDescent="0.25">
      <c r="A8" s="8" t="s">
        <v>434</v>
      </c>
      <c r="B8" s="184" t="s">
        <v>435</v>
      </c>
      <c r="C8" s="184"/>
      <c r="D8" s="24" t="s">
        <v>37</v>
      </c>
      <c r="E8" s="24"/>
    </row>
  </sheetData>
  <mergeCells count="9">
    <mergeCell ref="B7:C7"/>
    <mergeCell ref="B8:C8"/>
    <mergeCell ref="B2:E2"/>
    <mergeCell ref="B3:E3"/>
    <mergeCell ref="A4:A5"/>
    <mergeCell ref="B4:C5"/>
    <mergeCell ref="D4:D5"/>
    <mergeCell ref="E4:E5"/>
    <mergeCell ref="B6:C6"/>
  </mergeCells>
  <hyperlinks>
    <hyperlink ref="A1" location="'Modelo de Dominio'!A1" display="&lt;&lt; Ir al modelo de dominio" xr:uid="{00000000-0004-0000-2F00-000000000000}"/>
    <hyperlink ref="B1" location="'Objetos de Dominio'!A1" display="&lt;&lt; Ir al listado de objetos de dominio" xr:uid="{00000000-0004-0000-2F00-000001000000}"/>
    <hyperlink ref="C1" location="'C-HorarioBarbero'!A1" display="&lt;&lt; Ir a la caracterización del objeto de dominio" xr:uid="{00000000-0004-0000-2F00-000002000000}"/>
    <hyperlink ref="D1" location="'M-HorarioBarbero'!A1" display="Ir al muestreo de datos del objeto de dominio &gt;&gt;" xr:uid="{00000000-0004-0000-2F00-000003000000}"/>
    <hyperlink ref="E1" location="'E-HorarioBarbero'!A1" display="Ir al event storming del objeto de dominio &gt;&gt;" xr:uid="{CB5606D8-A1B5-4D08-812B-DEC47F6CFC1A}"/>
  </hyperlink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11"/>
  <sheetViews>
    <sheetView showGridLines="0" topLeftCell="D1" zoomScaleNormal="100" workbookViewId="0">
      <selection activeCell="A2" sqref="A2"/>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Dominio'!A14</f>
        <v>HorarioBarbero</v>
      </c>
      <c r="C2" s="194"/>
      <c r="D2" s="194"/>
      <c r="E2" s="194"/>
      <c r="F2" s="194"/>
      <c r="G2" s="194"/>
      <c r="H2" s="194"/>
      <c r="I2" s="194"/>
      <c r="J2" s="194"/>
      <c r="K2" s="194"/>
    </row>
    <row r="3" spans="1:11" ht="30" customHeight="1" x14ac:dyDescent="0.25">
      <c r="A3" s="23" t="s">
        <v>84</v>
      </c>
      <c r="B3" s="195" t="str">
        <f>'Objetos de Dominio'!B14</f>
        <v>Representa el día de la semana en que trabaja un barbero, junto con la hora en la que empieza y termina su jornada</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205" t="s">
        <v>25</v>
      </c>
      <c r="B7" s="204" t="s">
        <v>436</v>
      </c>
      <c r="C7" s="204" t="s">
        <v>437</v>
      </c>
      <c r="D7" s="205" t="str">
        <f>$B$2</f>
        <v>HorarioBarbero</v>
      </c>
      <c r="E7" s="204"/>
      <c r="F7" s="204"/>
      <c r="G7" s="179" t="str">
        <f>'P-HorarioBarbero'!A6</f>
        <v>P-HBO-0001</v>
      </c>
      <c r="H7" s="180" t="s">
        <v>629</v>
      </c>
      <c r="I7" s="205"/>
      <c r="J7" s="204" t="s">
        <v>438</v>
      </c>
      <c r="K7" s="204"/>
    </row>
    <row r="8" spans="1:11" ht="30" customHeight="1" x14ac:dyDescent="0.25">
      <c r="A8" s="205"/>
      <c r="B8" s="205"/>
      <c r="C8" s="205"/>
      <c r="D8" s="205"/>
      <c r="E8" s="205"/>
      <c r="F8" s="205"/>
      <c r="G8" s="179" t="str">
        <f>'P-HorarioBarbero'!A7</f>
        <v>P-HBO-0002</v>
      </c>
      <c r="H8" s="180" t="s">
        <v>629</v>
      </c>
      <c r="I8" s="205"/>
      <c r="J8" s="205"/>
      <c r="K8" s="205"/>
    </row>
    <row r="9" spans="1:11" ht="30" customHeight="1" x14ac:dyDescent="0.25">
      <c r="A9" s="3" t="s">
        <v>25</v>
      </c>
      <c r="B9" s="33" t="s">
        <v>439</v>
      </c>
      <c r="C9" s="33" t="s">
        <v>440</v>
      </c>
      <c r="D9" s="3" t="str">
        <f>$B$2</f>
        <v>HorarioBarbero</v>
      </c>
      <c r="E9" s="33"/>
      <c r="F9" s="33"/>
      <c r="G9" s="3"/>
      <c r="H9" s="34"/>
      <c r="I9" s="3"/>
      <c r="J9" s="33" t="s">
        <v>441</v>
      </c>
      <c r="K9" s="33"/>
    </row>
    <row r="10" spans="1:11" ht="30" customHeight="1" x14ac:dyDescent="0.25">
      <c r="A10" s="3" t="s">
        <v>25</v>
      </c>
      <c r="B10" s="33" t="s">
        <v>442</v>
      </c>
      <c r="C10" s="33" t="s">
        <v>443</v>
      </c>
      <c r="D10" s="3" t="str">
        <f>$B$2</f>
        <v>HorarioBarbero</v>
      </c>
      <c r="E10" s="33"/>
      <c r="F10" s="33"/>
      <c r="G10" s="179" t="str">
        <f>'P-HorarioBarbero'!A8</f>
        <v>P-HBO-0003</v>
      </c>
      <c r="H10" s="180" t="s">
        <v>629</v>
      </c>
      <c r="I10" s="3"/>
      <c r="J10" s="33" t="s">
        <v>444</v>
      </c>
      <c r="K10" s="33"/>
    </row>
    <row r="11" spans="1:11" ht="30" customHeight="1" x14ac:dyDescent="0.25">
      <c r="A11" s="3" t="s">
        <v>27</v>
      </c>
      <c r="B11" s="33" t="s">
        <v>445</v>
      </c>
      <c r="C11" s="33" t="s">
        <v>446</v>
      </c>
      <c r="D11" s="3" t="str">
        <f>$B$2</f>
        <v>HorarioBarbero</v>
      </c>
      <c r="E11" s="33"/>
      <c r="F11" s="33"/>
      <c r="G11" s="3"/>
      <c r="H11" s="34"/>
      <c r="I11" s="3"/>
      <c r="J11" s="33" t="s">
        <v>441</v>
      </c>
      <c r="K11" s="33"/>
    </row>
  </sheetData>
  <mergeCells count="27">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3000-000000000000}"/>
    <hyperlink ref="C1" location="'Objetos de Dominio'!A1" display="&lt;&lt; Ir al listado de objetos de dominio" xr:uid="{00000000-0004-0000-3000-000001000000}"/>
    <hyperlink ref="F1" location="'C-HorarioBarbero'!A1" display="&lt;&lt; Ir a la caracterización del objeto de dominio" xr:uid="{00000000-0004-0000-3000-000002000000}"/>
    <hyperlink ref="J1" location="'M-HorarioBarbero'!A1" display="Ir al muestreo de datos del objeto de dominio &gt;&gt;" xr:uid="{00000000-0004-0000-3000-000003000000}"/>
    <hyperlink ref="G7" location="'P-HorarioBarbero'!A6" display="P-HBO-0001" xr:uid="{29AE09E0-98BE-4ED5-9114-97718183FE0B}"/>
    <hyperlink ref="H7" location="'P-HorarioBarbero'!B6" display="aquí" xr:uid="{0B0EF953-1723-45D6-B823-26FB5008BA52}"/>
    <hyperlink ref="G8" location="'P-HorarioBarbero'!A7" display="P-HBO-0002" xr:uid="{B7D55124-094B-46F9-B303-241285FE2204}"/>
    <hyperlink ref="H8" location="'P-HorarioBarbero'!B7" display="aquí" xr:uid="{77E602A7-DBB6-4DEF-B75F-F4890BC8E8D8}"/>
    <hyperlink ref="G10" location="'P-HorarioBarbero'!A8" display="P-HBO-0003" xr:uid="{FCB5C1D2-886D-4C6A-8D31-B9385BA2B0FE}"/>
    <hyperlink ref="H10" location="'P-HorarioBarbero'!B8" display="aquí" xr:uid="{4B302043-A16A-41EF-A548-91BA537F3CA7}"/>
  </hyperlink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21"/>
  <sheetViews>
    <sheetView zoomScaleNormal="100" workbookViewId="0"/>
  </sheetViews>
  <sheetFormatPr baseColWidth="10" defaultColWidth="8.7109375" defaultRowHeight="15" x14ac:dyDescent="0.25"/>
  <cols>
    <col min="1" max="1" width="27" customWidth="1"/>
    <col min="2" max="2" width="26.140625" customWidth="1"/>
    <col min="3" max="3" width="20.5703125" customWidth="1"/>
    <col min="4" max="4" width="24.42578125" customWidth="1"/>
    <col min="5" max="5" width="38.42578125" customWidth="1"/>
    <col min="6" max="6" width="26.42578125" customWidth="1"/>
    <col min="7" max="7" width="29.140625" customWidth="1"/>
    <col min="8" max="8" width="26" customWidth="1"/>
    <col min="9" max="9" width="41.42578125" customWidth="1"/>
  </cols>
  <sheetData>
    <row r="1" spans="1:9" ht="14.25" customHeight="1" x14ac:dyDescent="0.25">
      <c r="A1" s="48" t="s">
        <v>1</v>
      </c>
      <c r="B1" s="48" t="s">
        <v>45</v>
      </c>
      <c r="C1" s="4"/>
      <c r="D1" s="4"/>
      <c r="E1" s="4"/>
      <c r="F1" s="4"/>
      <c r="G1" s="4"/>
      <c r="H1" s="4"/>
    </row>
    <row r="2" spans="1:9" ht="51.75" customHeight="1" x14ac:dyDescent="0.25">
      <c r="A2" s="59" t="s">
        <v>111</v>
      </c>
      <c r="B2" s="59" t="s">
        <v>447</v>
      </c>
      <c r="C2" s="59" t="s">
        <v>448</v>
      </c>
      <c r="D2" s="59" t="s">
        <v>449</v>
      </c>
      <c r="E2" s="59" t="s">
        <v>450</v>
      </c>
      <c r="F2" s="59" t="s">
        <v>451</v>
      </c>
      <c r="G2" s="59" t="s">
        <v>452</v>
      </c>
      <c r="H2" s="59" t="s">
        <v>453</v>
      </c>
      <c r="I2" s="60" t="s">
        <v>454</v>
      </c>
    </row>
    <row r="3" spans="1:9" ht="14.25" customHeight="1" x14ac:dyDescent="0.25">
      <c r="A3" s="84" t="s">
        <v>114</v>
      </c>
      <c r="B3" s="124" t="s">
        <v>377</v>
      </c>
      <c r="C3" s="124" t="s">
        <v>455</v>
      </c>
      <c r="D3" s="136" t="s">
        <v>456</v>
      </c>
      <c r="E3" s="136" t="s">
        <v>457</v>
      </c>
      <c r="F3" s="108" t="s">
        <v>373</v>
      </c>
      <c r="G3" s="108" t="s">
        <v>374</v>
      </c>
      <c r="H3" s="102" t="s">
        <v>281</v>
      </c>
      <c r="I3" s="65" t="s">
        <v>239</v>
      </c>
    </row>
    <row r="4" spans="1:9" ht="28.5" customHeight="1" x14ac:dyDescent="0.25">
      <c r="A4" s="40">
        <v>1</v>
      </c>
      <c r="B4" s="131" t="str">
        <f>'M-Barbero'!K4</f>
        <v>+57-3245627890</v>
      </c>
      <c r="C4" s="131" t="str">
        <f>'M-HorarioBarberia'!H4</f>
        <v>Lunes-09:00-19:00-12/11/2023-1/01/1000</v>
      </c>
      <c r="D4" s="111">
        <v>0.41666666666666702</v>
      </c>
      <c r="E4" s="111">
        <v>0.66666666666666696</v>
      </c>
      <c r="F4" s="112">
        <v>45780</v>
      </c>
      <c r="G4" s="112" t="s">
        <v>349</v>
      </c>
      <c r="H4" s="111" t="s">
        <v>183</v>
      </c>
      <c r="I4" s="50" t="str">
        <f>_xlfn.CONCAT(B4,"-",C4,"-",TEXT(D4,"hh:mm"),"-",TEXT(E4,"hh:mm"))</f>
        <v>+57-3245627890-Lunes-09:00-19:00-12/11/2023-1/01/1000-10:00-16:00</v>
      </c>
    </row>
    <row r="5" spans="1:9" ht="28.5" customHeight="1" x14ac:dyDescent="0.25">
      <c r="A5" s="40">
        <v>2</v>
      </c>
      <c r="B5" s="131" t="str">
        <f>'M-Barbero'!K5</f>
        <v>+57-3124518923</v>
      </c>
      <c r="C5" s="131" t="str">
        <f>'M-HorarioBarberia'!H5</f>
        <v>Martes-09:00-19:00-12/11/2023-1/01/1000</v>
      </c>
      <c r="D5" s="111">
        <v>0.375</v>
      </c>
      <c r="E5" s="111">
        <v>0.625</v>
      </c>
      <c r="F5" s="112">
        <v>45718</v>
      </c>
      <c r="G5" s="112" t="s">
        <v>349</v>
      </c>
      <c r="H5" s="111" t="s">
        <v>183</v>
      </c>
      <c r="I5" s="50" t="str">
        <f>_xlfn.CONCAT(B5,"-",C5,"-",TEXT(D5,"hh:mm"),"-",TEXT(E5,"hh:mm"))</f>
        <v>+57-3124518923-Martes-09:00-19:00-12/11/2023-1/01/1000-09:00-15:00</v>
      </c>
    </row>
    <row r="6" spans="1:9" ht="28.5" customHeight="1" x14ac:dyDescent="0.25">
      <c r="A6" s="40">
        <v>3</v>
      </c>
      <c r="B6" s="131" t="str">
        <f>'M-Barbero'!K6</f>
        <v>+57-3214533321</v>
      </c>
      <c r="C6" s="131" t="str">
        <f>'M-HorarioBarberia'!H7</f>
        <v>Jueves-09:00-19:00-12/11/2023-1/01/1000</v>
      </c>
      <c r="D6" s="111">
        <v>0.54166666666666696</v>
      </c>
      <c r="E6" s="111">
        <v>0.79166666666666696</v>
      </c>
      <c r="F6" s="112">
        <v>44917</v>
      </c>
      <c r="G6" s="137" t="s">
        <v>349</v>
      </c>
      <c r="H6" s="111" t="s">
        <v>183</v>
      </c>
      <c r="I6" s="50" t="str">
        <f>_xlfn.CONCAT(B6,"-",C6,"-",TEXT(D6,"hh:mm"),"-",TEXT(E6,"hh:mm"))</f>
        <v>+57-3214533321-Jueves-09:00-19:00-12/11/2023-1/01/1000-13:00-19:00</v>
      </c>
    </row>
    <row r="7" spans="1:9" ht="28.5" customHeight="1" x14ac:dyDescent="0.25">
      <c r="A7" s="40">
        <v>4</v>
      </c>
      <c r="B7" s="131" t="str">
        <f>'M-Barbero'!K7</f>
        <v>+91-9876543210</v>
      </c>
      <c r="C7" s="131" t="str">
        <f>'M-HorarioBarberia'!H9</f>
        <v>Sábado-08:00-21:00-12/12/2024-1/01/1000</v>
      </c>
      <c r="D7" s="111">
        <v>0.33333333333333298</v>
      </c>
      <c r="E7" s="111">
        <v>0.58333333333333304</v>
      </c>
      <c r="F7" s="138">
        <v>45915</v>
      </c>
      <c r="G7" s="112">
        <v>46023</v>
      </c>
      <c r="H7" s="139" t="s">
        <v>297</v>
      </c>
      <c r="I7" s="50" t="str">
        <f>_xlfn.CONCAT(B7,"-",C7,"-",TEXT(D7,"hh:mm"),"-",TEXT(E7,"hh:mm"))</f>
        <v>+91-9876543210-Sábado-08:00-21:00-12/12/2024-1/01/1000-08:00-14:00</v>
      </c>
    </row>
    <row r="8" spans="1:9" ht="28.5" customHeight="1" x14ac:dyDescent="0.25">
      <c r="A8" s="40">
        <v>5</v>
      </c>
      <c r="B8" s="131" t="str">
        <f>'M-Barbero'!K7</f>
        <v>+91-9876543210</v>
      </c>
      <c r="C8" s="131" t="str">
        <f>'M-HorarioBarberia'!H10</f>
        <v>Festivo-10:00-15:00-12/12/2024-1/01/1000</v>
      </c>
      <c r="D8" s="111">
        <v>0.5</v>
      </c>
      <c r="E8" s="111">
        <v>0.625</v>
      </c>
      <c r="F8" s="138">
        <v>46054</v>
      </c>
      <c r="G8" s="112">
        <v>46083</v>
      </c>
      <c r="H8" s="139" t="s">
        <v>297</v>
      </c>
      <c r="I8" s="50" t="str">
        <f>_xlfn.CONCAT(B8,"-",C8,"-",TEXT(D8,"hh:mm"),"-",TEXT(E8,"hh:mm"))</f>
        <v>+91-9876543210-Festivo-10:00-15:00-12/12/2024-1/01/1000-12:00-15:00</v>
      </c>
    </row>
    <row r="10" spans="1:9" ht="14.25" customHeight="1" x14ac:dyDescent="0.25">
      <c r="G10" s="140"/>
    </row>
    <row r="14" spans="1:9" ht="28.5" customHeight="1" x14ac:dyDescent="0.25">
      <c r="A14" s="43"/>
      <c r="B14" s="44" t="s">
        <v>124</v>
      </c>
      <c r="C14" s="44"/>
    </row>
    <row r="15" spans="1:9" ht="28.5" customHeight="1" x14ac:dyDescent="0.25">
      <c r="A15" s="45"/>
      <c r="B15" s="44" t="s">
        <v>125</v>
      </c>
      <c r="C15" s="44"/>
    </row>
    <row r="16" spans="1:9" ht="28.5" customHeight="1" x14ac:dyDescent="0.25">
      <c r="A16" s="69"/>
      <c r="B16" s="44" t="s">
        <v>300</v>
      </c>
      <c r="C16" s="44"/>
    </row>
    <row r="17" spans="1:3" ht="28.5" customHeight="1" x14ac:dyDescent="0.25">
      <c r="A17" s="70"/>
      <c r="B17" s="44" t="s">
        <v>126</v>
      </c>
      <c r="C17" s="44"/>
    </row>
    <row r="18" spans="1:3" ht="28.5" customHeight="1" x14ac:dyDescent="0.25">
      <c r="A18" s="114"/>
      <c r="B18" s="44" t="s">
        <v>375</v>
      </c>
      <c r="C18" s="44"/>
    </row>
    <row r="19" spans="1:3" ht="28.5" customHeight="1" x14ac:dyDescent="0.25">
      <c r="A19" s="115"/>
      <c r="B19" s="44" t="s">
        <v>458</v>
      </c>
      <c r="C19" s="44"/>
    </row>
    <row r="20" spans="1:3" ht="28.5" customHeight="1" x14ac:dyDescent="0.25">
      <c r="A20" s="72"/>
      <c r="B20" s="44" t="s">
        <v>376</v>
      </c>
      <c r="C20" s="44"/>
    </row>
    <row r="21" spans="1:3" ht="28.5" customHeight="1" x14ac:dyDescent="0.25">
      <c r="A21" s="47"/>
      <c r="B21" s="44" t="s">
        <v>127</v>
      </c>
      <c r="C21" s="44"/>
    </row>
  </sheetData>
  <hyperlinks>
    <hyperlink ref="A1" location="'Modelo%20de%20Dominio'!A1" display="&lt;&lt;&lt;&lt; Ir al modulo de dominio" xr:uid="{00000000-0004-0000-3100-000000000000}"/>
    <hyperlink ref="B1" location="'Objetos%20de%20Dominio'!A1" display="&lt;&lt;&lt;&lt; Ir a objetos de dominio" xr:uid="{00000000-0004-0000-3100-000001000000}"/>
    <hyperlink ref="B3" location="'M-Barbero'!A1" display="barbero" xr:uid="{00000000-0004-0000-3100-000002000000}"/>
    <hyperlink ref="C3" location="'M-HorarioBarberia'!A1" display="horarioDeLaBarberia" xr:uid="{00000000-0004-0000-3100-000003000000}"/>
    <hyperlink ref="B4" location="'M-Barbero'!A4" display="#'M-Barbero'.A4" xr:uid="{00000000-0004-0000-3100-000004000000}"/>
    <hyperlink ref="C4" location="'M-HorarioBarberia'!A4" display="#'M-HorarioBarberia'.A4" xr:uid="{00000000-0004-0000-3100-000005000000}"/>
    <hyperlink ref="B5" location="'M-Barbero'!A5" display="#'M-Barbero'.A5" xr:uid="{00000000-0004-0000-3100-000006000000}"/>
    <hyperlink ref="C5" location="'M-HorarioBarberia'!A5" display="#'M-HorarioBarberia'.A5" xr:uid="{00000000-0004-0000-3100-000007000000}"/>
    <hyperlink ref="B6" location="'M-Barbero'!A6" display="#'M-Barbero'.A6" xr:uid="{00000000-0004-0000-3100-000008000000}"/>
    <hyperlink ref="C6" location="'M-HorarioBarberia'!A7" display="#'M-HorarioBarberia'.A7" xr:uid="{00000000-0004-0000-3100-000009000000}"/>
    <hyperlink ref="B7" location="'M-Barbero'!A7" display="#'M-Barbero'.A7" xr:uid="{00000000-0004-0000-3100-00000A000000}"/>
    <hyperlink ref="C7" location="'M-HorarioBarberia'!A9" display="#'M-HorarioBarberia'.A9" xr:uid="{00000000-0004-0000-3100-00000B000000}"/>
    <hyperlink ref="B8" location="'M-Barbero'!A7" display="#'M-Barbero'.A7" xr:uid="{00000000-0004-0000-3100-00000C000000}"/>
    <hyperlink ref="C8" location="'M-HorarioBarberia'!A10" display="#'M-HorarioBarberia'.A10" xr:uid="{00000000-0004-0000-3100-00000D000000}"/>
  </hyperlink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9"/>
  <sheetViews>
    <sheetView zoomScaleNormal="100" workbookViewId="0">
      <selection activeCell="B1" sqref="B1"/>
    </sheetView>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5" width="18" customWidth="1"/>
    <col min="13" max="13" width="40" customWidth="1"/>
    <col min="14" max="14" width="18" customWidth="1"/>
  </cols>
  <sheetData>
    <row r="1" spans="1:21" ht="15" customHeight="1" x14ac:dyDescent="0.25">
      <c r="A1" s="4" t="s">
        <v>1</v>
      </c>
      <c r="B1" s="4" t="s">
        <v>45</v>
      </c>
    </row>
    <row r="2" spans="1:21" ht="45" customHeight="1" x14ac:dyDescent="0.25">
      <c r="A2" s="117" t="s">
        <v>46</v>
      </c>
      <c r="B2" s="117" t="s">
        <v>47</v>
      </c>
      <c r="C2" s="117" t="s">
        <v>48</v>
      </c>
      <c r="D2" s="117" t="s">
        <v>49</v>
      </c>
      <c r="E2" s="117" t="s">
        <v>50</v>
      </c>
      <c r="F2" s="117" t="s">
        <v>51</v>
      </c>
      <c r="G2" s="117" t="s">
        <v>52</v>
      </c>
      <c r="H2" s="117" t="s">
        <v>53</v>
      </c>
      <c r="I2" s="117" t="s">
        <v>54</v>
      </c>
      <c r="J2" s="117" t="s">
        <v>55</v>
      </c>
      <c r="K2" s="117" t="s">
        <v>56</v>
      </c>
      <c r="L2" s="117" t="s">
        <v>57</v>
      </c>
      <c r="M2" s="117" t="s">
        <v>58</v>
      </c>
      <c r="N2" s="117" t="s">
        <v>59</v>
      </c>
      <c r="O2" s="117" t="s">
        <v>60</v>
      </c>
      <c r="P2" s="117" t="s">
        <v>61</v>
      </c>
      <c r="Q2" s="117" t="s">
        <v>62</v>
      </c>
      <c r="R2" s="117" t="s">
        <v>63</v>
      </c>
      <c r="S2" s="117" t="s">
        <v>64</v>
      </c>
      <c r="T2" s="117" t="s">
        <v>65</v>
      </c>
      <c r="U2" s="117" t="s">
        <v>66</v>
      </c>
    </row>
    <row r="3" spans="1:21" ht="45" customHeight="1" x14ac:dyDescent="0.25">
      <c r="A3" s="118" t="str">
        <f>'M-Agenda'!A3</f>
        <v>id</v>
      </c>
      <c r="B3" s="119" t="str">
        <f>'M-Agenda'!A2</f>
        <v>Representa un identificador que hará unico cada objeto de dominio de este tipo, no se puede repetir</v>
      </c>
      <c r="C3" s="118" t="s">
        <v>67</v>
      </c>
      <c r="D3" s="118" t="s">
        <v>68</v>
      </c>
      <c r="E3" s="118" t="s">
        <v>67</v>
      </c>
      <c r="F3" s="118" t="s">
        <v>69</v>
      </c>
      <c r="G3" s="118" t="s">
        <v>69</v>
      </c>
      <c r="H3" s="118" t="s">
        <v>69</v>
      </c>
      <c r="I3" s="118" t="s">
        <v>69</v>
      </c>
      <c r="J3" s="118" t="s">
        <v>69</v>
      </c>
      <c r="K3" s="118" t="s">
        <v>69</v>
      </c>
      <c r="L3" s="118" t="s">
        <v>69</v>
      </c>
      <c r="M3" s="118" t="s">
        <v>69</v>
      </c>
      <c r="N3" s="118" t="s">
        <v>70</v>
      </c>
      <c r="O3" s="118" t="s">
        <v>70</v>
      </c>
      <c r="P3" s="118" t="s">
        <v>69</v>
      </c>
      <c r="Q3" s="118" t="s">
        <v>70</v>
      </c>
      <c r="R3" s="118" t="s">
        <v>70</v>
      </c>
      <c r="S3" s="118" t="s">
        <v>70</v>
      </c>
      <c r="T3" s="118" t="s">
        <v>71</v>
      </c>
      <c r="U3" s="118" t="s">
        <v>67</v>
      </c>
    </row>
    <row r="4" spans="1:21" ht="45" customHeight="1" x14ac:dyDescent="0.25">
      <c r="A4" s="118" t="str">
        <f>'M-Agenda'!B3</f>
        <v>horarioDelBarbero</v>
      </c>
      <c r="B4" s="119" t="str">
        <f>'M-Agenda'!B2</f>
        <v>Hace referencia al horario de trabajo del barbero (día de la semana, hora de inicio y hora final) al que pertenece esta agenda</v>
      </c>
      <c r="C4" s="118" t="s">
        <v>70</v>
      </c>
      <c r="D4" s="120" t="s">
        <v>35</v>
      </c>
      <c r="E4" s="118" t="s">
        <v>67</v>
      </c>
      <c r="F4" s="118" t="s">
        <v>69</v>
      </c>
      <c r="G4" s="118" t="s">
        <v>69</v>
      </c>
      <c r="H4" s="118" t="s">
        <v>69</v>
      </c>
      <c r="I4" s="118" t="s">
        <v>69</v>
      </c>
      <c r="J4" s="118" t="s">
        <v>69</v>
      </c>
      <c r="K4" s="118" t="s">
        <v>69</v>
      </c>
      <c r="L4" s="118" t="s">
        <v>69</v>
      </c>
      <c r="M4" s="17" t="s">
        <v>304</v>
      </c>
      <c r="N4" s="118" t="s">
        <v>70</v>
      </c>
      <c r="O4" s="118" t="s">
        <v>69</v>
      </c>
      <c r="P4" s="118" t="s">
        <v>69</v>
      </c>
      <c r="Q4" s="118" t="s">
        <v>69</v>
      </c>
      <c r="R4" s="118" t="s">
        <v>69</v>
      </c>
      <c r="S4" s="118" t="s">
        <v>70</v>
      </c>
      <c r="T4" s="118" t="s">
        <v>71</v>
      </c>
      <c r="U4" s="118" t="s">
        <v>70</v>
      </c>
    </row>
    <row r="5" spans="1:21" ht="30" customHeight="1" x14ac:dyDescent="0.25">
      <c r="A5" s="118" t="str">
        <f>'M-Agenda'!C3</f>
        <v>fecha</v>
      </c>
      <c r="B5" s="119" t="str">
        <f>'M-Agenda'!C2</f>
        <v>Representa la fecha específica en el que la agenda va a guardar las citas de ese barbero</v>
      </c>
      <c r="C5" s="118" t="s">
        <v>70</v>
      </c>
      <c r="D5" s="121" t="s">
        <v>348</v>
      </c>
      <c r="E5" s="118" t="s">
        <v>67</v>
      </c>
      <c r="F5" s="118" t="s">
        <v>69</v>
      </c>
      <c r="G5" s="118" t="s">
        <v>69</v>
      </c>
      <c r="H5" s="118" t="s">
        <v>69</v>
      </c>
      <c r="I5" s="118" t="s">
        <v>69</v>
      </c>
      <c r="J5" s="118" t="s">
        <v>69</v>
      </c>
      <c r="K5" s="118" t="s">
        <v>69</v>
      </c>
      <c r="L5" s="118" t="s">
        <v>69</v>
      </c>
      <c r="M5" s="17" t="s">
        <v>69</v>
      </c>
      <c r="N5" s="118" t="s">
        <v>70</v>
      </c>
      <c r="O5" s="118" t="s">
        <v>69</v>
      </c>
      <c r="P5" s="118" t="s">
        <v>69</v>
      </c>
      <c r="Q5" s="118" t="s">
        <v>69</v>
      </c>
      <c r="R5" s="118" t="s">
        <v>69</v>
      </c>
      <c r="S5" s="118" t="s">
        <v>70</v>
      </c>
      <c r="T5" s="118" t="s">
        <v>427</v>
      </c>
      <c r="U5" s="118" t="s">
        <v>67</v>
      </c>
    </row>
    <row r="7" spans="1:21" ht="15" customHeight="1" x14ac:dyDescent="0.25">
      <c r="A7" s="18" t="s">
        <v>75</v>
      </c>
      <c r="B7" s="18" t="s">
        <v>76</v>
      </c>
      <c r="C7" s="18" t="s">
        <v>77</v>
      </c>
    </row>
    <row r="8" spans="1:21" ht="21" customHeight="1" x14ac:dyDescent="0.25">
      <c r="A8" s="191" t="str">
        <f>'M-Agenda'!D3</f>
        <v xml:space="preserve">Combinación única </v>
      </c>
      <c r="B8" s="210" t="str">
        <f>'M-Agenda'!D2</f>
        <v>Combinación única que indica que un mismo horario de barbero no puede tener más de una agenda para el mismo día</v>
      </c>
      <c r="C8" s="19" t="str">
        <f>A4</f>
        <v>horarioDelBarbero</v>
      </c>
    </row>
    <row r="9" spans="1:21" ht="21.75" customHeight="1" x14ac:dyDescent="0.25">
      <c r="A9" s="191"/>
      <c r="B9" s="191"/>
      <c r="C9" s="19" t="str">
        <f>A5</f>
        <v>fecha</v>
      </c>
    </row>
  </sheetData>
  <mergeCells count="2">
    <mergeCell ref="A8:A9"/>
    <mergeCell ref="B8:B9"/>
  </mergeCells>
  <hyperlinks>
    <hyperlink ref="A1" location="'Modelo de Dominio'!A1" display="&lt;&lt;&lt;&lt; Ir al modulo de dominio" xr:uid="{00000000-0004-0000-3200-000000000000}"/>
    <hyperlink ref="B1" location="'Objetos de Dominio'!A1" display="&lt;&lt;&lt;&lt; Ir a objetos de dominio" xr:uid="{00000000-0004-0000-3200-000001000000}"/>
    <hyperlink ref="A3" location="'M-Agenda'!A3" display="#'M-Agenda'.A3" xr:uid="{00000000-0004-0000-3200-000002000000}"/>
    <hyperlink ref="B3" location="'M-Agenda'!A2" display="#'M-Agenda'.A2" xr:uid="{00000000-0004-0000-3200-000003000000}"/>
    <hyperlink ref="A4" location="'M-Agenda'!A3" display="#'M-Agenda'.A3" xr:uid="{00000000-0004-0000-3200-000004000000}"/>
    <hyperlink ref="B4" location="'M-Agenda'!A2" display="#'M-Agenda'.A2" xr:uid="{00000000-0004-0000-3200-000005000000}"/>
    <hyperlink ref="D4" location="'C-HorarioBarbero'!A1" display="HorarioBarbero" xr:uid="{00000000-0004-0000-3200-000006000000}"/>
    <hyperlink ref="A5" location="'M-Agenda'!A3" display="#'M-Agenda'.A3" xr:uid="{00000000-0004-0000-3200-000007000000}"/>
    <hyperlink ref="B5" location="'M-Agenda'!A2" display="#'M-Agenda'.A2" xr:uid="{00000000-0004-0000-3200-000008000000}"/>
    <hyperlink ref="A8" location="'M-Agenda'!A3" display="#'M-Agenda'.A3" xr:uid="{00000000-0004-0000-3200-000009000000}"/>
    <hyperlink ref="B8" location="'M-Agenda'!A2" display="#'M-Agenda'.A2" xr:uid="{00000000-0004-0000-3200-00000A000000}"/>
  </hyperlink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7"/>
  <sheetViews>
    <sheetView showGridLines="0" zoomScaleNormal="100" workbookViewId="0">
      <selection activeCell="A2" sqref="A2"/>
    </sheetView>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Dominio'!A15</f>
        <v>Agenda</v>
      </c>
      <c r="C2" s="185"/>
      <c r="D2" s="185"/>
      <c r="E2" s="185"/>
    </row>
    <row r="3" spans="1:5" ht="30" customHeight="1" x14ac:dyDescent="0.25">
      <c r="A3" s="23" t="s">
        <v>84</v>
      </c>
      <c r="B3" s="186" t="str">
        <f>'Objetos de Dominio'!B15</f>
        <v>Representa un día puntual del calendario en el que un barbero, según su horario de trabajo, va a recibir citas. Es donde se agrupan todas las citas de ese barbero para ese día</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30" customHeight="1" x14ac:dyDescent="0.25">
      <c r="A6" s="8" t="s">
        <v>459</v>
      </c>
      <c r="B6" s="184" t="s">
        <v>460</v>
      </c>
      <c r="C6" s="184"/>
      <c r="D6" s="24" t="s">
        <v>37</v>
      </c>
      <c r="E6" s="24"/>
    </row>
    <row r="7" spans="1:5" ht="30" customHeight="1" x14ac:dyDescent="0.25">
      <c r="A7" s="8" t="s">
        <v>461</v>
      </c>
      <c r="B7" s="184" t="s">
        <v>462</v>
      </c>
      <c r="C7" s="184"/>
      <c r="D7" s="24" t="s">
        <v>25</v>
      </c>
      <c r="E7" s="24"/>
    </row>
  </sheetData>
  <mergeCells count="8">
    <mergeCell ref="B6:C6"/>
    <mergeCell ref="B7:C7"/>
    <mergeCell ref="B2:E2"/>
    <mergeCell ref="B3:E3"/>
    <mergeCell ref="A4:A5"/>
    <mergeCell ref="B4:C5"/>
    <mergeCell ref="D4:D5"/>
    <mergeCell ref="E4:E5"/>
  </mergeCells>
  <hyperlinks>
    <hyperlink ref="A1" location="'Modelo de Dominio'!A1" display="&lt;&lt; Ir al modelo de dominio" xr:uid="{00000000-0004-0000-3300-000000000000}"/>
    <hyperlink ref="B1" location="'Objetos de Dominio'!A1" display="&lt;&lt; Ir al listado de objetos de dominio" xr:uid="{00000000-0004-0000-3300-000001000000}"/>
    <hyperlink ref="C1" location="'C-Agenda'!A1" display="&lt;&lt; Ir a la caracterización del objeto de dominio" xr:uid="{00000000-0004-0000-3300-000002000000}"/>
    <hyperlink ref="D1" location="'M-Agenda'!A1" display="Ir al muestreo de datos del objeto de dominio &gt;&gt;" xr:uid="{00000000-0004-0000-3300-000003000000}"/>
    <hyperlink ref="E1" location="'E-Agenda'!A1" display="Ir al event storming del objeto de dominio &gt;&gt;" xr:uid="{9B70C172-E700-49D9-AF05-F8F4E16F4FFB}"/>
  </hyperlink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11"/>
  <sheetViews>
    <sheetView showGridLines="0" topLeftCell="D1" zoomScaleNormal="100" workbookViewId="0">
      <selection activeCell="F1" sqref="F1:I1"/>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Dominio'!A15</f>
        <v>Agenda</v>
      </c>
      <c r="C2" s="194"/>
      <c r="D2" s="194"/>
      <c r="E2" s="194"/>
      <c r="F2" s="194"/>
      <c r="G2" s="194"/>
      <c r="H2" s="194"/>
      <c r="I2" s="194"/>
      <c r="J2" s="194"/>
      <c r="K2" s="194"/>
    </row>
    <row r="3" spans="1:11" ht="30" customHeight="1" x14ac:dyDescent="0.25">
      <c r="A3" s="23" t="s">
        <v>84</v>
      </c>
      <c r="B3" s="195" t="str">
        <f>'Objetos de Dominio'!B15</f>
        <v>Representa un día puntual del calendario en el que un barbero, según su horario de trabajo, va a recibir citas. Es donde se agrupan todas las citas de ese barbero para ese día</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205" t="s">
        <v>463</v>
      </c>
      <c r="B7" s="204" t="s">
        <v>464</v>
      </c>
      <c r="C7" s="204" t="s">
        <v>465</v>
      </c>
      <c r="D7" s="205" t="str">
        <f>$B$2</f>
        <v>Agenda</v>
      </c>
      <c r="E7" s="204"/>
      <c r="F7" s="204"/>
      <c r="G7" s="179" t="str">
        <f>'P-Agenda'!A6</f>
        <v>P-AGE-0001</v>
      </c>
      <c r="H7" s="180" t="s">
        <v>629</v>
      </c>
      <c r="I7" s="205"/>
      <c r="J7" s="204" t="s">
        <v>466</v>
      </c>
      <c r="K7" s="204"/>
    </row>
    <row r="8" spans="1:11" ht="30" customHeight="1" x14ac:dyDescent="0.25">
      <c r="A8" s="205"/>
      <c r="B8" s="205"/>
      <c r="C8" s="205"/>
      <c r="D8" s="205"/>
      <c r="E8" s="205"/>
      <c r="F8" s="205"/>
      <c r="G8" s="179" t="str">
        <f>'P-Agenda'!A7</f>
        <v>P-AGE-0002</v>
      </c>
      <c r="H8" s="180" t="s">
        <v>629</v>
      </c>
      <c r="I8" s="205"/>
      <c r="J8" s="205"/>
      <c r="K8" s="205"/>
    </row>
    <row r="9" spans="1:11" ht="30" customHeight="1" x14ac:dyDescent="0.25">
      <c r="A9" s="3" t="s">
        <v>27</v>
      </c>
      <c r="B9" s="33" t="s">
        <v>467</v>
      </c>
      <c r="C9" s="33" t="s">
        <v>468</v>
      </c>
      <c r="D9" s="3" t="str">
        <f>$B$2</f>
        <v>Agenda</v>
      </c>
      <c r="E9" s="33"/>
      <c r="F9" s="33"/>
      <c r="G9" s="3"/>
      <c r="H9" s="34"/>
      <c r="I9" s="3"/>
      <c r="J9" s="33" t="s">
        <v>469</v>
      </c>
      <c r="K9" s="33"/>
    </row>
    <row r="10" spans="1:11" ht="30" customHeight="1" x14ac:dyDescent="0.25">
      <c r="A10" s="3" t="s">
        <v>25</v>
      </c>
      <c r="B10" s="33" t="s">
        <v>470</v>
      </c>
      <c r="C10" s="33" t="s">
        <v>471</v>
      </c>
      <c r="D10" s="3" t="str">
        <f>$B$2</f>
        <v>Agenda</v>
      </c>
      <c r="E10" s="33"/>
      <c r="F10" s="33"/>
      <c r="G10" s="3"/>
      <c r="H10" s="34"/>
      <c r="I10" s="3"/>
      <c r="J10" s="33" t="s">
        <v>472</v>
      </c>
      <c r="K10" s="33"/>
    </row>
    <row r="11" spans="1:11" ht="30" customHeight="1" x14ac:dyDescent="0.25">
      <c r="A11" s="3" t="s">
        <v>27</v>
      </c>
      <c r="B11" s="33" t="s">
        <v>470</v>
      </c>
      <c r="C11" s="33" t="s">
        <v>471</v>
      </c>
      <c r="D11" s="3" t="str">
        <f>$B$2</f>
        <v>Agenda</v>
      </c>
      <c r="E11" s="33"/>
      <c r="F11" s="33"/>
      <c r="G11" s="3"/>
      <c r="H11" s="34"/>
      <c r="I11" s="3"/>
      <c r="J11" s="33" t="s">
        <v>472</v>
      </c>
      <c r="K11" s="33"/>
    </row>
  </sheetData>
  <mergeCells count="27">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3400-000000000000}"/>
    <hyperlink ref="C1" location="'Objetos de Dominio'!A1" display="&lt;&lt; Ir al listado de objetos de dominio" xr:uid="{00000000-0004-0000-3400-000001000000}"/>
    <hyperlink ref="F1" location="'C-Agenda'!A1" display="&lt;&lt; Ir a la caracterización del objeto de dominio" xr:uid="{00000000-0004-0000-3400-000002000000}"/>
    <hyperlink ref="J1" location="'M-Agenda'!A1" display="Ir al muestreo de datos del objeto de dominio &gt;&gt;" xr:uid="{00000000-0004-0000-3400-000003000000}"/>
    <hyperlink ref="G7" location="'P-Agenda'!A6" display="P-AGE-0001" xr:uid="{C3472E06-52D3-48A2-A06F-F517E9BE276E}"/>
    <hyperlink ref="H7" location="'P-Agenda'!B6" display="aquí" xr:uid="{B0ED90E4-336B-4E81-9022-079BF88B4A7F}"/>
    <hyperlink ref="G8" location="'P-Agenda'!A7" display="P-AGE-0002" xr:uid="{AC0FE383-DAC5-4E5C-8E8A-855F40B4CAC1}"/>
    <hyperlink ref="H8" location="'P-Agenda'!B7" display="aquí" xr:uid="{498B8A20-9300-47CB-B710-BA79F401D059}"/>
  </hyperlinks>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22"/>
  <sheetViews>
    <sheetView zoomScaleNormal="100" workbookViewId="0"/>
  </sheetViews>
  <sheetFormatPr baseColWidth="10" defaultColWidth="8.7109375" defaultRowHeight="15" x14ac:dyDescent="0.25"/>
  <cols>
    <col min="1" max="1" width="27" customWidth="1"/>
    <col min="2" max="2" width="69.140625" customWidth="1"/>
    <col min="3" max="3" width="33.7109375" customWidth="1"/>
    <col min="4" max="4" width="80.85546875" customWidth="1"/>
  </cols>
  <sheetData>
    <row r="1" spans="1:4" ht="14.25" customHeight="1" x14ac:dyDescent="0.25">
      <c r="A1" s="4" t="s">
        <v>1</v>
      </c>
      <c r="B1" s="4" t="s">
        <v>45</v>
      </c>
      <c r="C1" s="48"/>
    </row>
    <row r="2" spans="1:4" ht="36" customHeight="1" x14ac:dyDescent="0.25">
      <c r="A2" s="35" t="s">
        <v>111</v>
      </c>
      <c r="B2" s="35" t="s">
        <v>473</v>
      </c>
      <c r="C2" s="35" t="s">
        <v>474</v>
      </c>
      <c r="D2" s="36" t="s">
        <v>475</v>
      </c>
    </row>
    <row r="3" spans="1:4" ht="14.25" customHeight="1" x14ac:dyDescent="0.25">
      <c r="A3" s="37" t="s">
        <v>114</v>
      </c>
      <c r="B3" s="124" t="s">
        <v>476</v>
      </c>
      <c r="C3" s="141" t="s">
        <v>477</v>
      </c>
      <c r="D3" s="39" t="s">
        <v>115</v>
      </c>
    </row>
    <row r="4" spans="1:4" ht="14.25" customHeight="1" x14ac:dyDescent="0.25">
      <c r="A4" s="40">
        <v>1</v>
      </c>
      <c r="B4" s="98" t="str">
        <f>'M-HorarioBarbero'!I4</f>
        <v>+57-3245627890-Lunes-09:00-19:00-12/11/2023-1/01/1000-10:00-16:00</v>
      </c>
      <c r="C4" s="142">
        <v>46265</v>
      </c>
      <c r="D4" s="40" t="str">
        <f t="shared" ref="D4:D12" si="0">_xlfn.CONCAT(B4,"-",TEXT(C4,"dd/mm/yyyy"))</f>
        <v>+57-3245627890-Lunes-09:00-19:00-12/11/2023-1/01/1000-10:00-16:00-31/08/2026</v>
      </c>
    </row>
    <row r="5" spans="1:4" ht="14.25" customHeight="1" x14ac:dyDescent="0.25">
      <c r="A5" s="40">
        <v>2</v>
      </c>
      <c r="B5" s="98" t="str">
        <f>'M-HorarioBarbero'!I5</f>
        <v>+57-3124518923-Martes-09:00-19:00-12/11/2023-1/01/1000-09:00-15:00</v>
      </c>
      <c r="C5" s="142">
        <v>46091</v>
      </c>
      <c r="D5" s="40" t="str">
        <f t="shared" si="0"/>
        <v>+57-3124518923-Martes-09:00-19:00-12/11/2023-1/01/1000-09:00-15:00-10/03/2026</v>
      </c>
    </row>
    <row r="6" spans="1:4" ht="14.25" customHeight="1" x14ac:dyDescent="0.25">
      <c r="A6" s="40">
        <v>3</v>
      </c>
      <c r="B6" s="98" t="str">
        <f>'M-HorarioBarbero'!I6</f>
        <v>+57-3214533321-Jueves-09:00-19:00-12/11/2023-1/01/1000-13:00-19:00</v>
      </c>
      <c r="C6" s="142">
        <v>46156</v>
      </c>
      <c r="D6" s="40" t="str">
        <f t="shared" si="0"/>
        <v>+57-3214533321-Jueves-09:00-19:00-12/11/2023-1/01/1000-13:00-19:00-14/05/2026</v>
      </c>
    </row>
    <row r="7" spans="1:4" ht="14.25" customHeight="1" x14ac:dyDescent="0.25">
      <c r="A7" s="40">
        <v>4</v>
      </c>
      <c r="B7" s="98" t="str">
        <f>'M-HorarioBarbero'!I8</f>
        <v>+91-9876543210-Festivo-10:00-15:00-12/12/2024-1/01/1000-12:00-15:00</v>
      </c>
      <c r="C7" s="142">
        <v>46073</v>
      </c>
      <c r="D7" s="40" t="str">
        <f t="shared" si="0"/>
        <v>+91-9876543210-Festivo-10:00-15:00-12/12/2024-1/01/1000-12:00-15:00-20/02/2026</v>
      </c>
    </row>
    <row r="8" spans="1:4" ht="14.25" customHeight="1" x14ac:dyDescent="0.25">
      <c r="A8" s="40">
        <v>5</v>
      </c>
      <c r="B8" s="98" t="str">
        <f>'M-HorarioBarbero'!I7</f>
        <v>+91-9876543210-Sábado-08:00-21:00-12/12/2024-1/01/1000-08:00-14:00</v>
      </c>
      <c r="C8" s="142">
        <v>45983</v>
      </c>
      <c r="D8" s="40" t="str">
        <f t="shared" si="0"/>
        <v>+91-9876543210-Sábado-08:00-21:00-12/12/2024-1/01/1000-08:00-14:00-22/11/2025</v>
      </c>
    </row>
    <row r="9" spans="1:4" ht="14.25" customHeight="1" x14ac:dyDescent="0.25">
      <c r="A9" s="40">
        <v>6</v>
      </c>
      <c r="B9" s="98" t="str">
        <f>'M-HorarioBarbero'!I6</f>
        <v>+57-3214533321-Jueves-09:00-19:00-12/11/2023-1/01/1000-13:00-19:00</v>
      </c>
      <c r="C9" s="142">
        <v>46240</v>
      </c>
      <c r="D9" s="40" t="str">
        <f t="shared" si="0"/>
        <v>+57-3214533321-Jueves-09:00-19:00-12/11/2023-1/01/1000-13:00-19:00-06/08/2026</v>
      </c>
    </row>
    <row r="10" spans="1:4" ht="14.25" customHeight="1" x14ac:dyDescent="0.25">
      <c r="A10" s="40">
        <v>7</v>
      </c>
      <c r="B10" s="98" t="str">
        <f>'M-HorarioBarbero'!I4</f>
        <v>+57-3245627890-Lunes-09:00-19:00-12/11/2023-1/01/1000-10:00-16:00</v>
      </c>
      <c r="C10" s="142">
        <v>46174</v>
      </c>
      <c r="D10" s="40" t="str">
        <f t="shared" si="0"/>
        <v>+57-3245627890-Lunes-09:00-19:00-12/11/2023-1/01/1000-10:00-16:00-01/06/2026</v>
      </c>
    </row>
    <row r="11" spans="1:4" ht="14.25" customHeight="1" x14ac:dyDescent="0.25">
      <c r="A11" s="40">
        <v>8</v>
      </c>
      <c r="B11" s="98" t="str">
        <f>'M-HorarioBarbero'!I5</f>
        <v>+57-3124518923-Martes-09:00-19:00-12/11/2023-1/01/1000-09:00-15:00</v>
      </c>
      <c r="C11" s="142">
        <v>46189</v>
      </c>
      <c r="D11" s="40" t="str">
        <f t="shared" si="0"/>
        <v>+57-3124518923-Martes-09:00-19:00-12/11/2023-1/01/1000-09:00-15:00-16/06/2026</v>
      </c>
    </row>
    <row r="12" spans="1:4" ht="14.25" customHeight="1" x14ac:dyDescent="0.25">
      <c r="A12" s="40">
        <v>9</v>
      </c>
      <c r="B12" s="98" t="str">
        <f>'M-HorarioBarbero'!I6</f>
        <v>+57-3214533321-Jueves-09:00-19:00-12/11/2023-1/01/1000-13:00-19:00</v>
      </c>
      <c r="C12" s="142">
        <v>46205</v>
      </c>
      <c r="D12" s="40" t="str">
        <f t="shared" si="0"/>
        <v>+57-3214533321-Jueves-09:00-19:00-12/11/2023-1/01/1000-13:00-19:00-02/07/2026</v>
      </c>
    </row>
    <row r="13" spans="1:4" ht="14.25" customHeight="1" x14ac:dyDescent="0.25">
      <c r="B13" s="44"/>
    </row>
    <row r="14" spans="1:4" ht="14.25" customHeight="1" x14ac:dyDescent="0.25">
      <c r="B14" s="44"/>
    </row>
    <row r="15" spans="1:4" ht="14.25" customHeight="1" x14ac:dyDescent="0.25">
      <c r="B15" s="44"/>
    </row>
    <row r="16" spans="1:4" ht="14.25" customHeight="1" x14ac:dyDescent="0.25">
      <c r="B16" s="44"/>
    </row>
    <row r="17" spans="1:2" ht="14.25" customHeight="1" x14ac:dyDescent="0.25">
      <c r="B17" s="44"/>
    </row>
    <row r="18" spans="1:2" ht="14.25" customHeight="1" x14ac:dyDescent="0.25">
      <c r="A18" s="43"/>
      <c r="B18" s="44" t="s">
        <v>124</v>
      </c>
    </row>
    <row r="19" spans="1:2" ht="27.75" customHeight="1" x14ac:dyDescent="0.25">
      <c r="A19" s="45"/>
      <c r="B19" s="44" t="s">
        <v>125</v>
      </c>
    </row>
    <row r="20" spans="1:2" ht="14.25" customHeight="1" x14ac:dyDescent="0.25">
      <c r="A20" s="69"/>
      <c r="B20" t="s">
        <v>300</v>
      </c>
    </row>
    <row r="21" spans="1:2" ht="14.25" customHeight="1" x14ac:dyDescent="0.25">
      <c r="A21" s="143"/>
      <c r="B21" t="s">
        <v>478</v>
      </c>
    </row>
    <row r="22" spans="1:2" ht="14.25" customHeight="1" x14ac:dyDescent="0.25">
      <c r="A22" s="47"/>
      <c r="B22" t="s">
        <v>127</v>
      </c>
    </row>
  </sheetData>
  <hyperlinks>
    <hyperlink ref="A1" location="'Modelo de Dominio'!A1" display="&lt;&lt;&lt;&lt; Ir al modulo de dominio" xr:uid="{00000000-0004-0000-3500-000000000000}"/>
    <hyperlink ref="B1" location="'Objetos de Dominio'!A1" display="&lt;&lt;&lt;&lt; Ir a objetos de dominio" xr:uid="{00000000-0004-0000-3500-000001000000}"/>
    <hyperlink ref="B3" location="'M-HorarioBarbero'!A1" display="horarioDelBarbero" xr:uid="{00000000-0004-0000-3500-000002000000}"/>
    <hyperlink ref="B4" location="'M-HorarioBarbero'!A4" display="#'M-HorarioBarbero'.A4" xr:uid="{00000000-0004-0000-3500-000003000000}"/>
    <hyperlink ref="B5" location="'M-HorarioBarbero'!A5" display="#'M-HorarioBarbero'.A5" xr:uid="{00000000-0004-0000-3500-000004000000}"/>
    <hyperlink ref="B6" location="'M-HorarioBarbero'!A6" display="#'M-HorarioBarbero'.A6" xr:uid="{00000000-0004-0000-3500-000005000000}"/>
    <hyperlink ref="B7" location="'M-HorarioBarbero'!A8" display="#'M-HorarioBarbero'.A8" xr:uid="{00000000-0004-0000-3500-000006000000}"/>
    <hyperlink ref="B8" location="'M-HorarioBarbero'!A7" display="#'M-HorarioBarbero'.A7" xr:uid="{00000000-0004-0000-3500-000007000000}"/>
    <hyperlink ref="B9" location="'M-HorarioBarbero'!A6" display="#'M-HorarioBarbero'.A6" xr:uid="{00000000-0004-0000-3500-000008000000}"/>
    <hyperlink ref="B10" location="'M-HorarioBarbero'!A4" display="#'M-HorarioBarbero'.A4" xr:uid="{00000000-0004-0000-3500-000009000000}"/>
    <hyperlink ref="B11" location="'M-HorarioBarbero'!A5" display="#'M-HorarioBarbero'.A5" xr:uid="{00000000-0004-0000-3500-00000A000000}"/>
    <hyperlink ref="B12" location="'M-HorarioBarbero'!A6" display="#'M-HorarioBarbero'.A6" xr:uid="{00000000-0004-0000-3500-00000B000000}"/>
  </hyperlink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3"/>
  <sheetViews>
    <sheetView zoomScaleNormal="100" workbookViewId="0"/>
  </sheetViews>
  <sheetFormatPr baseColWidth="10" defaultColWidth="8.7109375" defaultRowHeight="15" x14ac:dyDescent="0.25"/>
  <cols>
    <col min="1" max="1" width="28.140625" customWidth="1"/>
    <col min="2" max="2" width="45" customWidth="1"/>
    <col min="3" max="3" width="21.5703125" customWidth="1"/>
    <col min="4" max="4" width="26.7109375" customWidth="1"/>
    <col min="5" max="5" width="18" customWidth="1"/>
    <col min="13" max="13" width="42.85546875" customWidth="1"/>
    <col min="14" max="14" width="18" customWidth="1"/>
  </cols>
  <sheetData>
    <row r="1" spans="1:21" ht="15" customHeight="1" x14ac:dyDescent="0.25">
      <c r="A1" s="4" t="s">
        <v>1</v>
      </c>
      <c r="B1" s="4" t="s">
        <v>45</v>
      </c>
    </row>
    <row r="2" spans="1:21" ht="45" customHeight="1" x14ac:dyDescent="0.25">
      <c r="A2" s="117" t="s">
        <v>46</v>
      </c>
      <c r="B2" s="117" t="s">
        <v>47</v>
      </c>
      <c r="C2" s="117" t="s">
        <v>48</v>
      </c>
      <c r="D2" s="117" t="s">
        <v>49</v>
      </c>
      <c r="E2" s="117" t="s">
        <v>50</v>
      </c>
      <c r="F2" s="117" t="s">
        <v>51</v>
      </c>
      <c r="G2" s="117" t="s">
        <v>52</v>
      </c>
      <c r="H2" s="117" t="s">
        <v>53</v>
      </c>
      <c r="I2" s="117" t="s">
        <v>54</v>
      </c>
      <c r="J2" s="117" t="s">
        <v>55</v>
      </c>
      <c r="K2" s="117" t="s">
        <v>56</v>
      </c>
      <c r="L2" s="117" t="s">
        <v>57</v>
      </c>
      <c r="M2" s="117" t="s">
        <v>58</v>
      </c>
      <c r="N2" s="117" t="s">
        <v>59</v>
      </c>
      <c r="O2" s="117" t="s">
        <v>60</v>
      </c>
      <c r="P2" s="117" t="s">
        <v>61</v>
      </c>
      <c r="Q2" s="117" t="s">
        <v>62</v>
      </c>
      <c r="R2" s="117" t="s">
        <v>63</v>
      </c>
      <c r="S2" s="117" t="s">
        <v>64</v>
      </c>
      <c r="T2" s="117" t="s">
        <v>65</v>
      </c>
      <c r="U2" s="117" t="s">
        <v>66</v>
      </c>
    </row>
    <row r="3" spans="1:21" ht="45" customHeight="1" x14ac:dyDescent="0.25">
      <c r="A3" s="118" t="str">
        <f>'M-Cita'!A3</f>
        <v>id</v>
      </c>
      <c r="B3" s="119" t="str">
        <f>'M-Cita'!A2</f>
        <v>Representa un identificador que hará unico cada objeto de dominio de este tipo, no se puede repetir</v>
      </c>
      <c r="C3" s="118" t="s">
        <v>67</v>
      </c>
      <c r="D3" s="118" t="s">
        <v>68</v>
      </c>
      <c r="E3" s="118" t="s">
        <v>67</v>
      </c>
      <c r="F3" s="118" t="s">
        <v>69</v>
      </c>
      <c r="G3" s="118" t="s">
        <v>69</v>
      </c>
      <c r="H3" s="118" t="s">
        <v>69</v>
      </c>
      <c r="I3" s="118" t="s">
        <v>69</v>
      </c>
      <c r="J3" s="118" t="s">
        <v>69</v>
      </c>
      <c r="K3" s="118" t="s">
        <v>69</v>
      </c>
      <c r="L3" s="118" t="s">
        <v>69</v>
      </c>
      <c r="M3" s="118" t="s">
        <v>69</v>
      </c>
      <c r="N3" s="118" t="s">
        <v>70</v>
      </c>
      <c r="O3" s="118" t="s">
        <v>70</v>
      </c>
      <c r="P3" s="118" t="s">
        <v>69</v>
      </c>
      <c r="Q3" s="118" t="s">
        <v>70</v>
      </c>
      <c r="R3" s="118" t="s">
        <v>70</v>
      </c>
      <c r="S3" s="118" t="s">
        <v>70</v>
      </c>
      <c r="T3" s="118" t="s">
        <v>71</v>
      </c>
      <c r="U3" s="118" t="s">
        <v>67</v>
      </c>
    </row>
    <row r="4" spans="1:21" ht="45" customHeight="1" x14ac:dyDescent="0.25">
      <c r="A4" s="118" t="str">
        <f>'M-Cita'!B3</f>
        <v>cliente</v>
      </c>
      <c r="B4" s="119" t="str">
        <f>'M-Cita'!B2</f>
        <v>Representa a cuál cliente le pertenece esta cita</v>
      </c>
      <c r="C4" s="118" t="s">
        <v>70</v>
      </c>
      <c r="D4" s="120" t="s">
        <v>27</v>
      </c>
      <c r="E4" s="118" t="s">
        <v>67</v>
      </c>
      <c r="F4" s="118" t="s">
        <v>69</v>
      </c>
      <c r="G4" s="118" t="s">
        <v>69</v>
      </c>
      <c r="H4" s="118" t="s">
        <v>69</v>
      </c>
      <c r="I4" s="118" t="s">
        <v>69</v>
      </c>
      <c r="J4" s="118" t="s">
        <v>69</v>
      </c>
      <c r="K4" s="118" t="s">
        <v>69</v>
      </c>
      <c r="L4" s="118" t="s">
        <v>69</v>
      </c>
      <c r="M4" s="144" t="s">
        <v>479</v>
      </c>
      <c r="N4" s="118" t="s">
        <v>70</v>
      </c>
      <c r="O4" s="118" t="s">
        <v>69</v>
      </c>
      <c r="P4" s="118" t="s">
        <v>69</v>
      </c>
      <c r="Q4" s="118" t="s">
        <v>69</v>
      </c>
      <c r="R4" s="118" t="s">
        <v>69</v>
      </c>
      <c r="S4" s="118" t="s">
        <v>70</v>
      </c>
      <c r="T4" s="118" t="s">
        <v>71</v>
      </c>
      <c r="U4" s="118" t="s">
        <v>70</v>
      </c>
    </row>
    <row r="5" spans="1:21" ht="27.75" customHeight="1" x14ac:dyDescent="0.25">
      <c r="A5" s="118" t="str">
        <f>'M-Cita'!C3</f>
        <v>agenda</v>
      </c>
      <c r="B5" s="119" t="str">
        <f>'M-Cita'!C2</f>
        <v>Referencia en cual agenda va a estar esta cita</v>
      </c>
      <c r="C5" s="118" t="s">
        <v>70</v>
      </c>
      <c r="D5" s="120" t="s">
        <v>37</v>
      </c>
      <c r="E5" s="118" t="s">
        <v>67</v>
      </c>
      <c r="F5" s="118" t="s">
        <v>69</v>
      </c>
      <c r="G5" s="118" t="s">
        <v>69</v>
      </c>
      <c r="H5" s="118" t="s">
        <v>69</v>
      </c>
      <c r="I5" s="118" t="s">
        <v>69</v>
      </c>
      <c r="J5" s="118" t="s">
        <v>69</v>
      </c>
      <c r="K5" s="118" t="s">
        <v>69</v>
      </c>
      <c r="L5" s="118" t="s">
        <v>69</v>
      </c>
      <c r="M5" s="144" t="s">
        <v>304</v>
      </c>
      <c r="N5" s="118" t="s">
        <v>70</v>
      </c>
      <c r="O5" s="118" t="s">
        <v>69</v>
      </c>
      <c r="P5" s="118" t="s">
        <v>69</v>
      </c>
      <c r="Q5" s="118" t="s">
        <v>69</v>
      </c>
      <c r="R5" s="118" t="s">
        <v>69</v>
      </c>
      <c r="S5" s="118" t="s">
        <v>70</v>
      </c>
      <c r="T5" s="118" t="s">
        <v>71</v>
      </c>
      <c r="U5" s="118" t="s">
        <v>70</v>
      </c>
    </row>
    <row r="6" spans="1:21" ht="60" customHeight="1" x14ac:dyDescent="0.25">
      <c r="A6" s="135" t="str">
        <f>'M-Cita'!D3</f>
        <v>regla</v>
      </c>
      <c r="B6" s="135" t="str">
        <f>'M-Cita'!D2</f>
        <v>Hace referencia a la Regla vigente de la barbería en el momento de agendar; de ahí salen las tolerancias, el monto de multa fija y el porcentaje de descuento que aplican a esta cita</v>
      </c>
      <c r="C6" s="135" t="s">
        <v>70</v>
      </c>
      <c r="D6" s="145" t="s">
        <v>19</v>
      </c>
      <c r="E6" s="135" t="s">
        <v>67</v>
      </c>
      <c r="F6" s="135" t="s">
        <v>69</v>
      </c>
      <c r="G6" s="135" t="s">
        <v>69</v>
      </c>
      <c r="H6" s="135" t="s">
        <v>69</v>
      </c>
      <c r="I6" s="135" t="s">
        <v>69</v>
      </c>
      <c r="J6" s="135" t="s">
        <v>69</v>
      </c>
      <c r="K6" s="135" t="s">
        <v>69</v>
      </c>
      <c r="L6" s="135" t="s">
        <v>69</v>
      </c>
      <c r="M6" s="135" t="s">
        <v>480</v>
      </c>
      <c r="N6" s="135" t="s">
        <v>70</v>
      </c>
      <c r="O6" s="135" t="s">
        <v>69</v>
      </c>
      <c r="P6" s="135" t="s">
        <v>69</v>
      </c>
      <c r="Q6" s="135" t="s">
        <v>69</v>
      </c>
      <c r="R6" s="135" t="s">
        <v>69</v>
      </c>
      <c r="S6" s="135" t="s">
        <v>70</v>
      </c>
      <c r="T6" s="135" t="s">
        <v>71</v>
      </c>
      <c r="U6" s="135" t="s">
        <v>70</v>
      </c>
    </row>
    <row r="7" spans="1:21" ht="45" customHeight="1" x14ac:dyDescent="0.25">
      <c r="A7" s="118" t="str">
        <f>'M-Cita'!E3</f>
        <v>estado</v>
      </c>
      <c r="B7" s="119" t="str">
        <f>'M-Cita'!E2</f>
        <v>Representa en qué estado se encuentra esta cita puntual: agendada, finalizada, cancelada, con tardanza del cliente o del barbero, o inasistencia</v>
      </c>
      <c r="C7" s="118" t="s">
        <v>70</v>
      </c>
      <c r="D7" s="120" t="s">
        <v>15</v>
      </c>
      <c r="E7" s="118" t="s">
        <v>67</v>
      </c>
      <c r="F7" s="118" t="s">
        <v>69</v>
      </c>
      <c r="G7" s="118" t="s">
        <v>69</v>
      </c>
      <c r="H7" s="118" t="s">
        <v>69</v>
      </c>
      <c r="I7" s="118" t="s">
        <v>69</v>
      </c>
      <c r="J7" s="118" t="s">
        <v>69</v>
      </c>
      <c r="K7" s="118" t="s">
        <v>69</v>
      </c>
      <c r="L7" s="118" t="s">
        <v>69</v>
      </c>
      <c r="M7" s="118" t="s">
        <v>304</v>
      </c>
      <c r="N7" s="118" t="s">
        <v>70</v>
      </c>
      <c r="O7" s="118" t="s">
        <v>69</v>
      </c>
      <c r="P7" s="118" t="s">
        <v>69</v>
      </c>
      <c r="Q7" s="118" t="s">
        <v>69</v>
      </c>
      <c r="R7" s="118" t="s">
        <v>69</v>
      </c>
      <c r="S7" s="118" t="s">
        <v>70</v>
      </c>
      <c r="T7" s="118" t="s">
        <v>71</v>
      </c>
      <c r="U7" s="118" t="s">
        <v>70</v>
      </c>
    </row>
    <row r="8" spans="1:21" ht="30" customHeight="1" x14ac:dyDescent="0.25">
      <c r="A8" s="118" t="str">
        <f>'M-Cita'!F3</f>
        <v>horaInicio</v>
      </c>
      <c r="B8" s="119" t="str">
        <f>'M-Cita'!F2</f>
        <v>Representa la hora en la que se va a realizar la cita al cliente</v>
      </c>
      <c r="C8" s="118" t="s">
        <v>70</v>
      </c>
      <c r="D8" s="121" t="s">
        <v>345</v>
      </c>
      <c r="E8" s="118" t="s">
        <v>70</v>
      </c>
      <c r="F8" s="118" t="s">
        <v>69</v>
      </c>
      <c r="G8" s="118" t="s">
        <v>69</v>
      </c>
      <c r="H8" s="118" t="s">
        <v>69</v>
      </c>
      <c r="I8" s="118" t="s">
        <v>69</v>
      </c>
      <c r="J8" s="118" t="s">
        <v>69</v>
      </c>
      <c r="K8" s="118" t="s">
        <v>69</v>
      </c>
      <c r="L8" s="118" t="s">
        <v>69</v>
      </c>
      <c r="M8" s="144" t="s">
        <v>481</v>
      </c>
      <c r="N8" s="118" t="s">
        <v>70</v>
      </c>
      <c r="O8" s="118" t="s">
        <v>69</v>
      </c>
      <c r="P8" s="118" t="s">
        <v>69</v>
      </c>
      <c r="Q8" s="118" t="s">
        <v>69</v>
      </c>
      <c r="R8" s="118" t="s">
        <v>69</v>
      </c>
      <c r="S8" s="118" t="s">
        <v>70</v>
      </c>
      <c r="T8" s="118" t="s">
        <v>346</v>
      </c>
      <c r="U8" s="118" t="s">
        <v>70</v>
      </c>
    </row>
    <row r="9" spans="1:21" ht="60" customHeight="1" x14ac:dyDescent="0.25">
      <c r="A9" s="118" t="str">
        <f>'M-Cita'!G3</f>
        <v>horaFinEstimada</v>
      </c>
      <c r="B9" s="119" t="str">
        <f>'M-Cita'!G2</f>
        <v>Representa la hora en la que se espera que termine la cita, sumando horaInicio más la duración total de los servicios pedidos. Es un dato calculado</v>
      </c>
      <c r="C9" s="118" t="s">
        <v>70</v>
      </c>
      <c r="D9" s="121" t="s">
        <v>345</v>
      </c>
      <c r="E9" s="118" t="s">
        <v>67</v>
      </c>
      <c r="F9" s="118" t="s">
        <v>69</v>
      </c>
      <c r="G9" s="118" t="s">
        <v>69</v>
      </c>
      <c r="H9" s="118" t="s">
        <v>69</v>
      </c>
      <c r="I9" s="118" t="s">
        <v>69</v>
      </c>
      <c r="J9" s="118" t="s">
        <v>69</v>
      </c>
      <c r="K9" s="118" t="s">
        <v>69</v>
      </c>
      <c r="L9" s="118" t="s">
        <v>69</v>
      </c>
      <c r="M9" s="144" t="s">
        <v>482</v>
      </c>
      <c r="N9" s="118" t="s">
        <v>67</v>
      </c>
      <c r="O9" s="118" t="s">
        <v>69</v>
      </c>
      <c r="P9" s="118" t="s">
        <v>69</v>
      </c>
      <c r="Q9" s="118" t="s">
        <v>69</v>
      </c>
      <c r="R9" s="118" t="s">
        <v>69</v>
      </c>
      <c r="S9" s="118" t="s">
        <v>70</v>
      </c>
      <c r="T9" s="118" t="s">
        <v>346</v>
      </c>
      <c r="U9" s="118" t="s">
        <v>70</v>
      </c>
    </row>
    <row r="10" spans="1:21" ht="60" customHeight="1" x14ac:dyDescent="0.25">
      <c r="A10" s="135" t="str">
        <f>'M-Cita'!H3</f>
        <v>horaLlegadaCliente</v>
      </c>
      <c r="B10" s="135" t="str">
        <f>'M-Cita'!H2</f>
        <v>Representa la hora real en la que el cliente llegó a la barbería para esta cita. Su valor por defecto es 00:00 y es permitido: significa que el cliente aún no ha llegado</v>
      </c>
      <c r="C10" s="135" t="s">
        <v>70</v>
      </c>
      <c r="D10" s="135" t="s">
        <v>345</v>
      </c>
      <c r="E10" s="135" t="s">
        <v>70</v>
      </c>
      <c r="F10" s="135" t="s">
        <v>69</v>
      </c>
      <c r="G10" s="135" t="s">
        <v>69</v>
      </c>
      <c r="H10" s="135" t="s">
        <v>69</v>
      </c>
      <c r="I10" s="135" t="s">
        <v>69</v>
      </c>
      <c r="J10" s="135" t="s">
        <v>69</v>
      </c>
      <c r="K10" s="135" t="s">
        <v>69</v>
      </c>
      <c r="L10" s="118" t="s">
        <v>69</v>
      </c>
      <c r="M10" s="135" t="s">
        <v>69</v>
      </c>
      <c r="N10" s="135" t="s">
        <v>70</v>
      </c>
      <c r="O10" s="135" t="s">
        <v>69</v>
      </c>
      <c r="P10" s="135" t="s">
        <v>69</v>
      </c>
      <c r="Q10" s="135" t="s">
        <v>69</v>
      </c>
      <c r="R10" s="135" t="s">
        <v>69</v>
      </c>
      <c r="S10" s="135" t="s">
        <v>70</v>
      </c>
      <c r="T10" s="135" t="s">
        <v>346</v>
      </c>
      <c r="U10" s="135" t="s">
        <v>70</v>
      </c>
    </row>
    <row r="11" spans="1:21" ht="60" customHeight="1" x14ac:dyDescent="0.25">
      <c r="A11" s="135" t="str">
        <f>'M-Cita'!I3</f>
        <v>horaDelBarberoPreparado</v>
      </c>
      <c r="B11" s="135" t="str">
        <f>'M-Cita'!I2</f>
        <v>Representa la hora real en la que el barbero quedó listo y disponible para empezar a atender esta cita. Su valor por defecto es 00:00 y es permitido: significa que el barbero aún no se ha preparado</v>
      </c>
      <c r="C11" s="135" t="s">
        <v>70</v>
      </c>
      <c r="D11" s="135" t="s">
        <v>345</v>
      </c>
      <c r="E11" s="135" t="s">
        <v>70</v>
      </c>
      <c r="F11" s="135" t="s">
        <v>69</v>
      </c>
      <c r="G11" s="135" t="s">
        <v>69</v>
      </c>
      <c r="H11" s="135" t="s">
        <v>69</v>
      </c>
      <c r="I11" s="135" t="s">
        <v>69</v>
      </c>
      <c r="J11" s="135" t="s">
        <v>69</v>
      </c>
      <c r="K11" s="135" t="s">
        <v>69</v>
      </c>
      <c r="L11" s="118" t="s">
        <v>69</v>
      </c>
      <c r="M11" s="135" t="s">
        <v>69</v>
      </c>
      <c r="N11" s="135" t="s">
        <v>70</v>
      </c>
      <c r="O11" s="135" t="s">
        <v>69</v>
      </c>
      <c r="P11" s="135" t="s">
        <v>69</v>
      </c>
      <c r="Q11" s="135" t="s">
        <v>69</v>
      </c>
      <c r="R11" s="135" t="s">
        <v>69</v>
      </c>
      <c r="S11" s="135" t="s">
        <v>70</v>
      </c>
      <c r="T11" s="135" t="s">
        <v>346</v>
      </c>
      <c r="U11" s="135" t="s">
        <v>70</v>
      </c>
    </row>
    <row r="12" spans="1:21" ht="60" customHeight="1" x14ac:dyDescent="0.25">
      <c r="A12" s="118" t="str">
        <f>'M-Cita'!J3</f>
        <v>horaInicioAtencion</v>
      </c>
      <c r="B12" s="119" t="str">
        <f>'M-Cita'!J2</f>
        <v>Representa la hora real en la que el barbero empezó a atender al cliente. Su valor por defecto es 00:00 y es permitido: significa que la atención aún no ha comenzado</v>
      </c>
      <c r="C12" s="118" t="s">
        <v>70</v>
      </c>
      <c r="D12" s="118" t="s">
        <v>345</v>
      </c>
      <c r="E12" s="118" t="s">
        <v>70</v>
      </c>
      <c r="F12" s="118" t="s">
        <v>69</v>
      </c>
      <c r="G12" s="118" t="s">
        <v>69</v>
      </c>
      <c r="H12" s="118" t="s">
        <v>69</v>
      </c>
      <c r="I12" s="118" t="s">
        <v>69</v>
      </c>
      <c r="J12" s="118" t="s">
        <v>69</v>
      </c>
      <c r="K12" s="118" t="s">
        <v>69</v>
      </c>
      <c r="L12" s="118" t="s">
        <v>69</v>
      </c>
      <c r="M12" s="118" t="s">
        <v>69</v>
      </c>
      <c r="N12" s="118" t="s">
        <v>70</v>
      </c>
      <c r="O12" s="118" t="s">
        <v>69</v>
      </c>
      <c r="P12" s="118" t="s">
        <v>69</v>
      </c>
      <c r="Q12" s="118" t="s">
        <v>69</v>
      </c>
      <c r="R12" s="118" t="s">
        <v>69</v>
      </c>
      <c r="S12" s="118" t="s">
        <v>70</v>
      </c>
      <c r="T12" s="118" t="s">
        <v>346</v>
      </c>
      <c r="U12" s="118" t="s">
        <v>70</v>
      </c>
    </row>
    <row r="13" spans="1:21" ht="60" customHeight="1" x14ac:dyDescent="0.25">
      <c r="A13" s="118" t="str">
        <f>'M-Cita'!K3</f>
        <v>horaFinAtencion</v>
      </c>
      <c r="B13" s="119" t="str">
        <f>'M-Cita'!K2</f>
        <v>Representa la hora real en la que el barbero terminó de atender al cliente. Su valor por defecto es 00:00 y es permitido: significa que la atención aún no ha terminado</v>
      </c>
      <c r="C13" s="118" t="s">
        <v>70</v>
      </c>
      <c r="D13" s="121" t="s">
        <v>345</v>
      </c>
      <c r="E13" s="118" t="s">
        <v>70</v>
      </c>
      <c r="F13" s="118" t="s">
        <v>69</v>
      </c>
      <c r="G13" s="118" t="s">
        <v>69</v>
      </c>
      <c r="H13" s="118" t="s">
        <v>69</v>
      </c>
      <c r="I13" s="118" t="s">
        <v>69</v>
      </c>
      <c r="J13" s="118" t="s">
        <v>69</v>
      </c>
      <c r="K13" s="118" t="s">
        <v>69</v>
      </c>
      <c r="L13" s="118" t="s">
        <v>69</v>
      </c>
      <c r="M13" s="144" t="s">
        <v>69</v>
      </c>
      <c r="N13" s="118" t="s">
        <v>70</v>
      </c>
      <c r="O13" s="118" t="s">
        <v>69</v>
      </c>
      <c r="P13" s="118" t="s">
        <v>69</v>
      </c>
      <c r="Q13" s="118" t="s">
        <v>69</v>
      </c>
      <c r="R13" s="118" t="s">
        <v>69</v>
      </c>
      <c r="S13" s="118" t="s">
        <v>70</v>
      </c>
      <c r="T13" s="118" t="s">
        <v>346</v>
      </c>
      <c r="U13" s="118" t="s">
        <v>70</v>
      </c>
    </row>
    <row r="14" spans="1:21" ht="60" customHeight="1" x14ac:dyDescent="0.25">
      <c r="A14" s="118" t="str">
        <f>'M-Cita'!L3</f>
        <v>duracionHoras</v>
      </c>
      <c r="B14" s="119" t="str">
        <f>'M-Cita'!L2</f>
        <v>Representa la cantidad total de horas que va a durar la cita, sumando la duración de cada servicio pedido más el tiempo extra de cada uno. Es un dato calculado</v>
      </c>
      <c r="C14" s="118" t="s">
        <v>70</v>
      </c>
      <c r="D14" s="121" t="s">
        <v>157</v>
      </c>
      <c r="E14" s="118" t="s">
        <v>70</v>
      </c>
      <c r="F14" s="118" t="s">
        <v>69</v>
      </c>
      <c r="G14" s="118" t="s">
        <v>69</v>
      </c>
      <c r="H14" s="118" t="s">
        <v>69</v>
      </c>
      <c r="I14" s="118" t="s">
        <v>69</v>
      </c>
      <c r="J14" s="118">
        <v>0</v>
      </c>
      <c r="K14" s="118">
        <v>3</v>
      </c>
      <c r="L14" s="118" t="s">
        <v>69</v>
      </c>
      <c r="M14" s="144" t="s">
        <v>483</v>
      </c>
      <c r="N14" s="118" t="s">
        <v>67</v>
      </c>
      <c r="O14" s="118" t="s">
        <v>69</v>
      </c>
      <c r="P14" s="118" t="s">
        <v>69</v>
      </c>
      <c r="Q14" s="118" t="s">
        <v>69</v>
      </c>
      <c r="R14" s="118" t="s">
        <v>69</v>
      </c>
      <c r="S14" s="118" t="s">
        <v>70</v>
      </c>
      <c r="T14" s="118">
        <v>0</v>
      </c>
      <c r="U14" s="118" t="s">
        <v>70</v>
      </c>
    </row>
    <row r="15" spans="1:21" ht="60" customHeight="1" x14ac:dyDescent="0.25">
      <c r="A15" s="118" t="str">
        <f>'M-Cita'!M3</f>
        <v>duracionMinutos</v>
      </c>
      <c r="B15" s="119" t="str">
        <f>'M-Cita'!M2</f>
        <v>Representa la cantidad total de minutos que va a durar la cita, sumando la duración de cada servicio pedido más el tiempo extra de cada uno. Es un dato calculado</v>
      </c>
      <c r="C15" s="118" t="s">
        <v>70</v>
      </c>
      <c r="D15" s="121" t="s">
        <v>157</v>
      </c>
      <c r="E15" s="118" t="s">
        <v>70</v>
      </c>
      <c r="F15" s="118" t="s">
        <v>69</v>
      </c>
      <c r="G15" s="118" t="s">
        <v>69</v>
      </c>
      <c r="H15" s="118" t="s">
        <v>69</v>
      </c>
      <c r="I15" s="118" t="s">
        <v>69</v>
      </c>
      <c r="J15" s="118">
        <v>0</v>
      </c>
      <c r="K15" s="118">
        <v>59</v>
      </c>
      <c r="L15" s="118" t="s">
        <v>69</v>
      </c>
      <c r="M15" s="144" t="s">
        <v>484</v>
      </c>
      <c r="N15" s="118" t="s">
        <v>67</v>
      </c>
      <c r="O15" s="118" t="s">
        <v>69</v>
      </c>
      <c r="P15" s="118" t="s">
        <v>69</v>
      </c>
      <c r="Q15" s="118" t="s">
        <v>69</v>
      </c>
      <c r="R15" s="118" t="s">
        <v>69</v>
      </c>
      <c r="S15" s="118" t="s">
        <v>70</v>
      </c>
      <c r="T15" s="118" t="s">
        <v>249</v>
      </c>
      <c r="U15" s="118" t="s">
        <v>70</v>
      </c>
    </row>
    <row r="16" spans="1:21" ht="60" customHeight="1" x14ac:dyDescent="0.25">
      <c r="A16" s="135" t="str">
        <f>'M-Cita'!N3</f>
        <v>minutosTardanzaCliente</v>
      </c>
      <c r="B16" s="135" t="str">
        <f>'M-Cita'!N2</f>
        <v>Representa cuántos minutos después de horaInicio llegó el cliente. Si llegó a tiempo o aún no ha llegado su valor es 0. Es un dato calculado</v>
      </c>
      <c r="C16" s="135" t="s">
        <v>70</v>
      </c>
      <c r="D16" s="135" t="s">
        <v>157</v>
      </c>
      <c r="E16" s="135" t="s">
        <v>70</v>
      </c>
      <c r="F16" s="135" t="s">
        <v>69</v>
      </c>
      <c r="G16" s="135" t="s">
        <v>69</v>
      </c>
      <c r="H16" s="135" t="s">
        <v>69</v>
      </c>
      <c r="I16" s="135" t="s">
        <v>69</v>
      </c>
      <c r="J16" s="135">
        <v>0</v>
      </c>
      <c r="K16" s="135">
        <v>300</v>
      </c>
      <c r="L16" s="118" t="s">
        <v>69</v>
      </c>
      <c r="M16" s="135" t="s">
        <v>485</v>
      </c>
      <c r="N16" s="135" t="s">
        <v>67</v>
      </c>
      <c r="O16" s="135" t="s">
        <v>69</v>
      </c>
      <c r="P16" s="135" t="s">
        <v>69</v>
      </c>
      <c r="Q16" s="135" t="s">
        <v>69</v>
      </c>
      <c r="R16" s="135" t="s">
        <v>69</v>
      </c>
      <c r="S16" s="135" t="s">
        <v>70</v>
      </c>
      <c r="T16" s="135" t="s">
        <v>249</v>
      </c>
      <c r="U16" s="135" t="s">
        <v>70</v>
      </c>
    </row>
    <row r="17" spans="1:21" ht="60" customHeight="1" x14ac:dyDescent="0.25">
      <c r="A17" s="118" t="str">
        <f>'M-Cita'!O3</f>
        <v>minutosDemoraBarbero</v>
      </c>
      <c r="B17" s="119" t="str">
        <f>'M-Cita'!O2</f>
        <v>Representa cuántos minutos después de la llegada del cliente empezó el barbero a atenderlo. Si no hubo demora su valor es 0. Es un dato calculado</v>
      </c>
      <c r="C17" s="118" t="s">
        <v>70</v>
      </c>
      <c r="D17" s="118" t="s">
        <v>157</v>
      </c>
      <c r="E17" s="118" t="s">
        <v>70</v>
      </c>
      <c r="F17" s="118" t="s">
        <v>69</v>
      </c>
      <c r="G17" s="118" t="s">
        <v>69</v>
      </c>
      <c r="H17" s="118" t="s">
        <v>69</v>
      </c>
      <c r="I17" s="118" t="s">
        <v>69</v>
      </c>
      <c r="J17" s="118">
        <v>0</v>
      </c>
      <c r="K17" s="118">
        <v>300</v>
      </c>
      <c r="L17" s="118" t="s">
        <v>69</v>
      </c>
      <c r="M17" s="119" t="s">
        <v>486</v>
      </c>
      <c r="N17" s="118" t="s">
        <v>67</v>
      </c>
      <c r="O17" s="118" t="s">
        <v>69</v>
      </c>
      <c r="P17" s="118" t="s">
        <v>69</v>
      </c>
      <c r="Q17" s="118" t="s">
        <v>69</v>
      </c>
      <c r="R17" s="118" t="s">
        <v>69</v>
      </c>
      <c r="S17" s="118" t="s">
        <v>70</v>
      </c>
      <c r="T17" s="118" t="s">
        <v>249</v>
      </c>
      <c r="U17" s="118" t="s">
        <v>70</v>
      </c>
    </row>
    <row r="18" spans="1:21" ht="60" customHeight="1" x14ac:dyDescent="0.25">
      <c r="A18" s="118" t="str">
        <f>'M-Cita'!P3</f>
        <v>porcentajeDescuentoAplicado</v>
      </c>
      <c r="B18" s="119" t="str">
        <f>'M-Cita'!P2</f>
        <v>Representa el porcentaje de descuento aplicado al cliente en esta cita, cuando minutosDemoraBarbero supera la toleranciaTardanzaBarbero de Regla. Su valor por defecto es 0 y es permitido. Es un dato auto generado: copia de Regla.porcentajeDescuentoCita</v>
      </c>
      <c r="C18" s="118" t="s">
        <v>70</v>
      </c>
      <c r="D18" s="121" t="s">
        <v>157</v>
      </c>
      <c r="E18" s="118" t="s">
        <v>70</v>
      </c>
      <c r="F18" s="118" t="s">
        <v>69</v>
      </c>
      <c r="G18" s="118" t="s">
        <v>69</v>
      </c>
      <c r="H18" s="118" t="s">
        <v>69</v>
      </c>
      <c r="I18" s="118" t="s">
        <v>69</v>
      </c>
      <c r="J18" s="118">
        <v>0</v>
      </c>
      <c r="K18" s="118">
        <v>100</v>
      </c>
      <c r="L18" s="118" t="s">
        <v>69</v>
      </c>
      <c r="M18" s="144" t="s">
        <v>487</v>
      </c>
      <c r="N18" s="118" t="s">
        <v>70</v>
      </c>
      <c r="O18" s="118" t="s">
        <v>69</v>
      </c>
      <c r="P18" s="118" t="s">
        <v>69</v>
      </c>
      <c r="Q18" s="118" t="s">
        <v>69</v>
      </c>
      <c r="R18" s="118" t="s">
        <v>69</v>
      </c>
      <c r="S18" s="118" t="s">
        <v>70</v>
      </c>
      <c r="T18" s="118" t="s">
        <v>249</v>
      </c>
      <c r="U18" s="118" t="s">
        <v>67</v>
      </c>
    </row>
    <row r="19" spans="1:21" ht="60" customHeight="1" x14ac:dyDescent="0.25">
      <c r="A19" s="118" t="str">
        <f>'M-Cita'!Q3</f>
        <v>precioFinal</v>
      </c>
      <c r="B19" s="119" t="str">
        <f>'M-Cita'!Q2</f>
        <v>Representa cuánto debe pagar el cliente por los servicios de esta cita: la suma de los precios de sus CitaServicio, menos el descuento si aplicó. Es un dato calculado</v>
      </c>
      <c r="C19" s="118" t="s">
        <v>70</v>
      </c>
      <c r="D19" s="121" t="s">
        <v>157</v>
      </c>
      <c r="E19" s="118" t="s">
        <v>67</v>
      </c>
      <c r="F19" s="118" t="s">
        <v>69</v>
      </c>
      <c r="G19" s="118" t="s">
        <v>69</v>
      </c>
      <c r="H19" s="118" t="s">
        <v>69</v>
      </c>
      <c r="I19" s="118" t="s">
        <v>69</v>
      </c>
      <c r="J19" s="118">
        <v>0</v>
      </c>
      <c r="K19" s="146">
        <v>3000000</v>
      </c>
      <c r="L19" s="118" t="s">
        <v>69</v>
      </c>
      <c r="M19" s="144" t="s">
        <v>488</v>
      </c>
      <c r="N19" s="118" t="s">
        <v>67</v>
      </c>
      <c r="O19" s="118" t="s">
        <v>69</v>
      </c>
      <c r="P19" s="118" t="s">
        <v>69</v>
      </c>
      <c r="Q19" s="118" t="s">
        <v>69</v>
      </c>
      <c r="R19" s="118" t="s">
        <v>69</v>
      </c>
      <c r="S19" s="118" t="s">
        <v>70</v>
      </c>
      <c r="T19" s="118" t="s">
        <v>249</v>
      </c>
      <c r="U19" s="118" t="s">
        <v>70</v>
      </c>
    </row>
    <row r="20" spans="1:21" ht="15" customHeight="1" x14ac:dyDescent="0.25"/>
    <row r="21" spans="1:21" ht="42.75" customHeight="1" x14ac:dyDescent="0.25">
      <c r="A21" s="147" t="s">
        <v>75</v>
      </c>
      <c r="B21" s="147" t="s">
        <v>76</v>
      </c>
      <c r="C21" s="18" t="s">
        <v>77</v>
      </c>
    </row>
    <row r="22" spans="1:21" ht="22.5" customHeight="1" x14ac:dyDescent="0.25">
      <c r="A22" s="191" t="str">
        <f>'M-Cita'!R3</f>
        <v>Combinación única</v>
      </c>
      <c r="B22" s="210" t="str">
        <f>'M-Cita'!R2</f>
        <v>Combinación única que indica que una misma agenda no puede tener dos citas que empiecen a la misma hora</v>
      </c>
      <c r="C22" s="19" t="str">
        <f>A5</f>
        <v>agenda</v>
      </c>
    </row>
    <row r="23" spans="1:21" ht="24.75" customHeight="1" x14ac:dyDescent="0.25">
      <c r="A23" s="191"/>
      <c r="B23" s="191"/>
      <c r="C23" s="19" t="str">
        <f>A8</f>
        <v>horaInicio</v>
      </c>
    </row>
  </sheetData>
  <mergeCells count="2">
    <mergeCell ref="A22:A23"/>
    <mergeCell ref="B22:B23"/>
  </mergeCells>
  <hyperlinks>
    <hyperlink ref="A1" location="'Modelo de Dominio'!A1" display="&lt;&lt;&lt;&lt; Ir al modulo de dominio" xr:uid="{00000000-0004-0000-3600-000000000000}"/>
    <hyperlink ref="B1" location="'Objetos de Dominio'!A1" display="&lt;&lt;&lt;&lt; Ir a objetos de dominio" xr:uid="{00000000-0004-0000-3600-000001000000}"/>
    <hyperlink ref="A3" location="'M-Cita'!A3" display="#'M-Cita'.A3" xr:uid="{00000000-0004-0000-3600-000002000000}"/>
    <hyperlink ref="B3" location="'M-Cita'!A2" display="#'M-Cita'.A2" xr:uid="{00000000-0004-0000-3600-000003000000}"/>
    <hyperlink ref="A4" location="'M-Cita'!A3" display="#'M-Cita'.A3" xr:uid="{00000000-0004-0000-3600-000004000000}"/>
    <hyperlink ref="B4" location="'M-Cita'!A2" display="#'M-Cita'.A2" xr:uid="{00000000-0004-0000-3600-000005000000}"/>
    <hyperlink ref="D4" location="'C-Cliente'!A1" display="Cliente" xr:uid="{00000000-0004-0000-3600-000006000000}"/>
    <hyperlink ref="A5" location="'M-Cita'!A3" display="#'M-Cita'.A3" xr:uid="{00000000-0004-0000-3600-000007000000}"/>
    <hyperlink ref="B5" location="'M-Cita'!A2" display="#'M-Cita'.A2" xr:uid="{00000000-0004-0000-3600-000008000000}"/>
    <hyperlink ref="D5" location="'C-Agenda'!A1" display="Agenda" xr:uid="{00000000-0004-0000-3600-000009000000}"/>
    <hyperlink ref="A6" location="'M-Cita'!A3" display="#'M-Cita'.A3" xr:uid="{00000000-0004-0000-3600-00000A000000}"/>
    <hyperlink ref="B6" location="'M-Cita'!A2" display="#'M-Cita'.A2" xr:uid="{00000000-0004-0000-3600-00000B000000}"/>
    <hyperlink ref="D6" location="'C-Regla'!A1" display="Regla" xr:uid="{00000000-0004-0000-3600-00000C000000}"/>
    <hyperlink ref="A7" location="'M-Cita'!A3" display="#'M-Cita'.A3" xr:uid="{00000000-0004-0000-3600-00000D000000}"/>
    <hyperlink ref="B7" location="'M-Cita'!A2" display="#'M-Cita'.A2" xr:uid="{00000000-0004-0000-3600-00000E000000}"/>
    <hyperlink ref="D7" location="'C-Estado'!A1" display="Estado" xr:uid="{00000000-0004-0000-3600-00000F000000}"/>
    <hyperlink ref="A8" location="'M-Cita'!A3" display="#'M-Cita'.A3" xr:uid="{00000000-0004-0000-3600-000010000000}"/>
    <hyperlink ref="B8" location="'M-Cita'!A2" display="#'M-Cita'.A2" xr:uid="{00000000-0004-0000-3600-000011000000}"/>
    <hyperlink ref="A9" location="'M-Cita'!A3" display="#'M-Cita'.A3" xr:uid="{00000000-0004-0000-3600-000012000000}"/>
    <hyperlink ref="B9" location="'M-Cita'!A2" display="#'M-Cita'.A2" xr:uid="{00000000-0004-0000-3600-000013000000}"/>
    <hyperlink ref="A10" location="'M-Cita'!A3" display="#'M-Cita'.A3" xr:uid="{00000000-0004-0000-3600-000014000000}"/>
    <hyperlink ref="B10" location="'M-Cita'!A2" display="#'M-Cita'.A2" xr:uid="{00000000-0004-0000-3600-000015000000}"/>
    <hyperlink ref="A11" location="'M-Cita'!A3" display="#'M-Cita'.A3" xr:uid="{00000000-0004-0000-3600-000016000000}"/>
    <hyperlink ref="B11" location="'M-Cita'!A2" display="#'M-Cita'.A2" xr:uid="{00000000-0004-0000-3600-000017000000}"/>
    <hyperlink ref="A12" location="'M-Cita'!A3" display="#'M-Cita'.A3" xr:uid="{00000000-0004-0000-3600-000018000000}"/>
    <hyperlink ref="B12" location="'M-Cita'!A2" display="#'M-Cita'.A2" xr:uid="{00000000-0004-0000-3600-000019000000}"/>
    <hyperlink ref="A14" location="'M-Cita'!A3" display="#'M-Cita'.A3" xr:uid="{00000000-0004-0000-3600-00001A000000}"/>
    <hyperlink ref="B14" location="'M-Cita'!A2" display="#'M-Cita'.A2" xr:uid="{00000000-0004-0000-3600-00001B000000}"/>
    <hyperlink ref="A15" location="'M-Cita'!A3" display="#'M-Cita'.A3" xr:uid="{00000000-0004-0000-3600-00001C000000}"/>
    <hyperlink ref="B15" location="'M-Cita'!A2" display="#'M-Cita'.A2" xr:uid="{00000000-0004-0000-3600-00001D000000}"/>
    <hyperlink ref="A16" location="'M-Cita'!A3" display="#'M-Cita'.A3" xr:uid="{00000000-0004-0000-3600-00001E000000}"/>
    <hyperlink ref="B16" location="'M-Cita'!A2" display="#'M-Cita'.A2" xr:uid="{00000000-0004-0000-3600-00001F000000}"/>
    <hyperlink ref="A17" location="'M-Cita'!A3" display="#'M-Cita'.A3" xr:uid="{00000000-0004-0000-3600-000020000000}"/>
    <hyperlink ref="B17" location="'M-Cita'!A2" display="#'M-Cita'.A2" xr:uid="{00000000-0004-0000-3600-000021000000}"/>
    <hyperlink ref="A18" location="'M-Cita'!A3" display="#'M-Cita'.A3" xr:uid="{00000000-0004-0000-3600-000022000000}"/>
    <hyperlink ref="B18" location="'M-Cita'!A2" display="#'M-Cita'.A2" xr:uid="{00000000-0004-0000-3600-000023000000}"/>
    <hyperlink ref="A21" location="'M-Cita'!A3" display="Nombre combinación única" xr:uid="{00000000-0004-0000-3600-000024000000}"/>
    <hyperlink ref="B21" location="'M-Cita'!A2" display="Descripción" xr:uid="{00000000-0004-0000-3600-000025000000}"/>
  </hyperlink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14"/>
  <sheetViews>
    <sheetView showGridLines="0" zoomScaleNormal="100" workbookViewId="0">
      <selection activeCell="A2" sqref="A2"/>
    </sheetView>
  </sheetViews>
  <sheetFormatPr baseColWidth="10" defaultColWidth="8.7109375" defaultRowHeight="15" x14ac:dyDescent="0.25"/>
  <cols>
    <col min="1" max="1" width="16" customWidth="1"/>
    <col min="2" max="2" width="60" customWidth="1"/>
    <col min="3" max="3" width="7.5703125" customWidth="1"/>
    <col min="4" max="5" width="20"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Dominio'!A16</f>
        <v>Cita</v>
      </c>
      <c r="C2" s="185"/>
      <c r="D2" s="185"/>
      <c r="E2" s="185"/>
    </row>
    <row r="3" spans="1:5" ht="30" customHeight="1" x14ac:dyDescent="0.25">
      <c r="A3" s="23" t="s">
        <v>84</v>
      </c>
      <c r="B3" s="186" t="str">
        <f>'Objetos de Dominio'!B16</f>
        <v>Representa la reserva de un cliente con un barbero para un día y hora puntual, con los servicios pedidos, su estado, y lo que realmente ocurrió (llegada, atención, tardanzas)</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30" customHeight="1" x14ac:dyDescent="0.25">
      <c r="A6" s="8" t="s">
        <v>489</v>
      </c>
      <c r="B6" s="184" t="s">
        <v>490</v>
      </c>
      <c r="C6" s="184"/>
      <c r="D6" s="24" t="s">
        <v>39</v>
      </c>
      <c r="E6" s="24"/>
    </row>
    <row r="7" spans="1:5" ht="30" customHeight="1" x14ac:dyDescent="0.25">
      <c r="A7" s="8" t="s">
        <v>491</v>
      </c>
      <c r="B7" s="184" t="s">
        <v>492</v>
      </c>
      <c r="C7" s="184"/>
      <c r="D7" s="24" t="s">
        <v>27</v>
      </c>
      <c r="E7" s="24"/>
    </row>
    <row r="8" spans="1:5" ht="30" customHeight="1" x14ac:dyDescent="0.25">
      <c r="A8" s="8" t="s">
        <v>493</v>
      </c>
      <c r="B8" s="184" t="s">
        <v>494</v>
      </c>
      <c r="C8" s="184"/>
      <c r="D8" s="24" t="s">
        <v>37</v>
      </c>
      <c r="E8" s="24"/>
    </row>
    <row r="9" spans="1:5" ht="30" customHeight="1" x14ac:dyDescent="0.25">
      <c r="A9" s="8" t="s">
        <v>495</v>
      </c>
      <c r="B9" s="184" t="s">
        <v>496</v>
      </c>
      <c r="C9" s="184"/>
      <c r="D9" s="24" t="s">
        <v>31</v>
      </c>
      <c r="E9" s="24"/>
    </row>
    <row r="10" spans="1:5" ht="30" customHeight="1" x14ac:dyDescent="0.25">
      <c r="A10" s="8" t="s">
        <v>497</v>
      </c>
      <c r="B10" s="184" t="s">
        <v>498</v>
      </c>
      <c r="C10" s="184"/>
      <c r="D10" s="24" t="s">
        <v>25</v>
      </c>
      <c r="E10" s="24"/>
    </row>
    <row r="11" spans="1:5" ht="30" customHeight="1" x14ac:dyDescent="0.25">
      <c r="A11" s="8" t="s">
        <v>499</v>
      </c>
      <c r="B11" s="184" t="s">
        <v>500</v>
      </c>
      <c r="C11" s="184"/>
      <c r="D11" s="24" t="s">
        <v>19</v>
      </c>
      <c r="E11" s="24"/>
    </row>
    <row r="12" spans="1:5" ht="30" customHeight="1" x14ac:dyDescent="0.25">
      <c r="A12" s="8" t="s">
        <v>501</v>
      </c>
      <c r="B12" s="184" t="s">
        <v>502</v>
      </c>
      <c r="C12" s="184"/>
      <c r="D12" s="24" t="s">
        <v>41</v>
      </c>
      <c r="E12" s="24"/>
    </row>
    <row r="13" spans="1:5" ht="30" customHeight="1" x14ac:dyDescent="0.25">
      <c r="A13" s="8" t="s">
        <v>503</v>
      </c>
      <c r="B13" s="184" t="s">
        <v>504</v>
      </c>
      <c r="C13" s="184"/>
      <c r="D13" s="24" t="s">
        <v>43</v>
      </c>
      <c r="E13" s="24"/>
    </row>
    <row r="14" spans="1:5" ht="30" customHeight="1" x14ac:dyDescent="0.25">
      <c r="A14" s="8" t="s">
        <v>505</v>
      </c>
      <c r="B14" s="184" t="s">
        <v>506</v>
      </c>
      <c r="C14" s="184"/>
      <c r="D14" s="24" t="s">
        <v>19</v>
      </c>
      <c r="E14" s="24"/>
    </row>
  </sheetData>
  <mergeCells count="15">
    <mergeCell ref="B11:C11"/>
    <mergeCell ref="B12:C12"/>
    <mergeCell ref="B13:C13"/>
    <mergeCell ref="B14:C14"/>
    <mergeCell ref="B6:C6"/>
    <mergeCell ref="B7:C7"/>
    <mergeCell ref="B8:C8"/>
    <mergeCell ref="B9:C9"/>
    <mergeCell ref="B10:C10"/>
    <mergeCell ref="B2:E2"/>
    <mergeCell ref="B3:E3"/>
    <mergeCell ref="A4:A5"/>
    <mergeCell ref="B4:C5"/>
    <mergeCell ref="D4:D5"/>
    <mergeCell ref="E4:E5"/>
  </mergeCells>
  <hyperlinks>
    <hyperlink ref="A1" location="'Modelo de Dominio'!A1" display="&lt;&lt; Ir al modelo de dominio" xr:uid="{00000000-0004-0000-3700-000000000000}"/>
    <hyperlink ref="B1" location="'Objetos de Dominio'!A1" display="&lt;&lt; Ir al listado de objetos de dominio" xr:uid="{00000000-0004-0000-3700-000001000000}"/>
    <hyperlink ref="C1" location="'C-Cita'!A1" display="&lt;&lt; Ir a la caracterización del objeto de dominio" xr:uid="{00000000-0004-0000-3700-000002000000}"/>
    <hyperlink ref="D1" location="'M-Cita'!A1" display="Ir al muestreo de datos del objeto de dominio &gt;&gt;" xr:uid="{00000000-0004-0000-3700-000003000000}"/>
    <hyperlink ref="E1" location="'E-Cita'!A1" display="Ir al event storming del objeto de dominio &gt;&gt;" xr:uid="{9155B36C-8B2F-4BF7-A3C0-A39B9C33AA8B}"/>
  </hyperlink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21"/>
  <sheetViews>
    <sheetView showGridLines="0" topLeftCell="E1" zoomScaleNormal="100" workbookViewId="0">
      <selection activeCell="A2" sqref="A2"/>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Dominio'!A16</f>
        <v>Cita</v>
      </c>
      <c r="C2" s="194"/>
      <c r="D2" s="194"/>
      <c r="E2" s="194"/>
      <c r="F2" s="194"/>
      <c r="G2" s="194"/>
      <c r="H2" s="194"/>
      <c r="I2" s="194"/>
      <c r="J2" s="194"/>
      <c r="K2" s="194"/>
    </row>
    <row r="3" spans="1:11" ht="30" customHeight="1" x14ac:dyDescent="0.25">
      <c r="A3" s="23" t="s">
        <v>84</v>
      </c>
      <c r="B3" s="195" t="str">
        <f>'Objetos de Dominio'!B16</f>
        <v>Representa la reserva de un cliente con un barbero para un día y hora puntual, con los servicios pedidos, su estado, y lo que realmente ocurrió (llegada, atención, tardanzas)</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205" t="s">
        <v>27</v>
      </c>
      <c r="B7" s="204" t="s">
        <v>507</v>
      </c>
      <c r="C7" s="204" t="s">
        <v>508</v>
      </c>
      <c r="D7" s="205" t="str">
        <f>$B$2</f>
        <v>Cita</v>
      </c>
      <c r="E7" s="204" t="s">
        <v>509</v>
      </c>
      <c r="F7" s="204" t="s">
        <v>510</v>
      </c>
      <c r="G7" s="179" t="str">
        <f>'P-Cita'!A6</f>
        <v>P-CIT-0001</v>
      </c>
      <c r="H7" s="180" t="s">
        <v>629</v>
      </c>
      <c r="I7" s="205"/>
      <c r="J7" s="204" t="s">
        <v>511</v>
      </c>
      <c r="K7" s="204" t="s">
        <v>512</v>
      </c>
    </row>
    <row r="8" spans="1:11" ht="30" customHeight="1" x14ac:dyDescent="0.25">
      <c r="A8" s="205"/>
      <c r="B8" s="205"/>
      <c r="C8" s="205"/>
      <c r="D8" s="205"/>
      <c r="E8" s="205"/>
      <c r="F8" s="205"/>
      <c r="G8" s="179" t="str">
        <f>'P-Cita'!A7</f>
        <v>P-CIT-0002</v>
      </c>
      <c r="H8" s="180" t="s">
        <v>629</v>
      </c>
      <c r="I8" s="205"/>
      <c r="J8" s="205"/>
      <c r="K8" s="205"/>
    </row>
    <row r="9" spans="1:11" ht="30" customHeight="1" x14ac:dyDescent="0.25">
      <c r="A9" s="205"/>
      <c r="B9" s="205"/>
      <c r="C9" s="205"/>
      <c r="D9" s="205"/>
      <c r="E9" s="205"/>
      <c r="F9" s="205"/>
      <c r="G9" s="179" t="str">
        <f>'P-Cita'!A8</f>
        <v>P-CIT-0003</v>
      </c>
      <c r="H9" s="180" t="s">
        <v>629</v>
      </c>
      <c r="I9" s="205"/>
      <c r="J9" s="205"/>
      <c r="K9" s="205"/>
    </row>
    <row r="10" spans="1:11" ht="30" customHeight="1" x14ac:dyDescent="0.25">
      <c r="A10" s="205"/>
      <c r="B10" s="205"/>
      <c r="C10" s="205"/>
      <c r="D10" s="205"/>
      <c r="E10" s="205"/>
      <c r="F10" s="205"/>
      <c r="G10" s="179" t="str">
        <f>'P-Cita'!A9</f>
        <v>P-CIT-0004</v>
      </c>
      <c r="H10" s="180" t="s">
        <v>629</v>
      </c>
      <c r="I10" s="205"/>
      <c r="J10" s="205"/>
      <c r="K10" s="205"/>
    </row>
    <row r="11" spans="1:11" ht="30" customHeight="1" x14ac:dyDescent="0.25">
      <c r="A11" s="205"/>
      <c r="B11" s="205"/>
      <c r="C11" s="205"/>
      <c r="D11" s="205"/>
      <c r="E11" s="205"/>
      <c r="F11" s="205"/>
      <c r="G11" s="179" t="str">
        <f>'P-Cita'!A10</f>
        <v>P-CIT-0005</v>
      </c>
      <c r="H11" s="180" t="s">
        <v>629</v>
      </c>
      <c r="I11" s="205"/>
      <c r="J11" s="205"/>
      <c r="K11" s="205"/>
    </row>
    <row r="12" spans="1:11" ht="30" customHeight="1" x14ac:dyDescent="0.25">
      <c r="A12" s="205"/>
      <c r="B12" s="205"/>
      <c r="C12" s="205"/>
      <c r="D12" s="205"/>
      <c r="E12" s="205"/>
      <c r="F12" s="205"/>
      <c r="G12" s="179" t="str">
        <f>'P-Cita'!A11</f>
        <v>P-CIT-0006</v>
      </c>
      <c r="H12" s="180" t="s">
        <v>629</v>
      </c>
      <c r="I12" s="205"/>
      <c r="J12" s="205"/>
      <c r="K12" s="205"/>
    </row>
    <row r="13" spans="1:11" ht="30" customHeight="1" x14ac:dyDescent="0.25">
      <c r="A13" s="205" t="s">
        <v>27</v>
      </c>
      <c r="B13" s="204" t="s">
        <v>513</v>
      </c>
      <c r="C13" s="204" t="s">
        <v>514</v>
      </c>
      <c r="D13" s="205" t="str">
        <f>$B$2</f>
        <v>Cita</v>
      </c>
      <c r="E13" s="204"/>
      <c r="F13" s="204"/>
      <c r="G13" s="179" t="str">
        <f>'P-Cita'!A8</f>
        <v>P-CIT-0003</v>
      </c>
      <c r="H13" s="180" t="s">
        <v>629</v>
      </c>
      <c r="I13" s="205"/>
      <c r="J13" s="204" t="s">
        <v>515</v>
      </c>
      <c r="K13" s="204"/>
    </row>
    <row r="14" spans="1:11" ht="30" customHeight="1" x14ac:dyDescent="0.25">
      <c r="A14" s="205"/>
      <c r="B14" s="205"/>
      <c r="C14" s="205"/>
      <c r="D14" s="205"/>
      <c r="E14" s="205"/>
      <c r="F14" s="205"/>
      <c r="G14" s="179" t="str">
        <f>'P-Cita'!A10</f>
        <v>P-CIT-0005</v>
      </c>
      <c r="H14" s="180" t="s">
        <v>629</v>
      </c>
      <c r="I14" s="205"/>
      <c r="J14" s="205"/>
      <c r="K14" s="205"/>
    </row>
    <row r="15" spans="1:11" ht="30" customHeight="1" x14ac:dyDescent="0.25">
      <c r="A15" s="3" t="s">
        <v>27</v>
      </c>
      <c r="B15" s="33" t="s">
        <v>516</v>
      </c>
      <c r="C15" s="33" t="s">
        <v>517</v>
      </c>
      <c r="D15" s="3" t="str">
        <f t="shared" ref="D15:D21" si="0">$B$2</f>
        <v>Cita</v>
      </c>
      <c r="E15" s="33"/>
      <c r="F15" s="33"/>
      <c r="G15" s="3"/>
      <c r="H15" s="34"/>
      <c r="I15" s="3"/>
      <c r="J15" s="33" t="s">
        <v>518</v>
      </c>
      <c r="K15" s="33" t="s">
        <v>519</v>
      </c>
    </row>
    <row r="16" spans="1:11" ht="30" customHeight="1" x14ac:dyDescent="0.25">
      <c r="A16" s="3" t="s">
        <v>25</v>
      </c>
      <c r="B16" s="33" t="s">
        <v>520</v>
      </c>
      <c r="C16" s="33" t="s">
        <v>521</v>
      </c>
      <c r="D16" s="3" t="str">
        <f t="shared" si="0"/>
        <v>Cita</v>
      </c>
      <c r="E16" s="33"/>
      <c r="F16" s="33"/>
      <c r="G16" s="3"/>
      <c r="H16" s="34"/>
      <c r="I16" s="3"/>
      <c r="J16" s="33" t="s">
        <v>522</v>
      </c>
      <c r="K16" s="33"/>
    </row>
    <row r="17" spans="1:11" ht="30" customHeight="1" x14ac:dyDescent="0.25">
      <c r="A17" s="3" t="s">
        <v>25</v>
      </c>
      <c r="B17" s="33" t="s">
        <v>523</v>
      </c>
      <c r="C17" s="33" t="s">
        <v>524</v>
      </c>
      <c r="D17" s="3" t="str">
        <f t="shared" si="0"/>
        <v>Cita</v>
      </c>
      <c r="E17" s="33"/>
      <c r="F17" s="33"/>
      <c r="G17" s="3"/>
      <c r="H17" s="34"/>
      <c r="I17" s="3"/>
      <c r="J17" s="33" t="s">
        <v>525</v>
      </c>
      <c r="K17" s="33"/>
    </row>
    <row r="18" spans="1:11" ht="30" customHeight="1" x14ac:dyDescent="0.25">
      <c r="A18" s="3" t="s">
        <v>25</v>
      </c>
      <c r="B18" s="33" t="s">
        <v>526</v>
      </c>
      <c r="C18" s="33" t="s">
        <v>527</v>
      </c>
      <c r="D18" s="3" t="str">
        <f t="shared" si="0"/>
        <v>Cita</v>
      </c>
      <c r="E18" s="33"/>
      <c r="F18" s="33"/>
      <c r="G18" s="3"/>
      <c r="H18" s="34"/>
      <c r="I18" s="3"/>
      <c r="J18" s="33" t="s">
        <v>528</v>
      </c>
      <c r="K18" s="33"/>
    </row>
    <row r="19" spans="1:11" ht="30" customHeight="1" x14ac:dyDescent="0.25">
      <c r="A19" s="3" t="s">
        <v>25</v>
      </c>
      <c r="B19" s="33" t="s">
        <v>529</v>
      </c>
      <c r="C19" s="33" t="s">
        <v>530</v>
      </c>
      <c r="D19" s="3" t="str">
        <f t="shared" si="0"/>
        <v>Cita</v>
      </c>
      <c r="E19" s="33"/>
      <c r="F19" s="33"/>
      <c r="G19" s="179" t="str">
        <f>'P-Cita'!A12</f>
        <v>P-CIT-0007</v>
      </c>
      <c r="H19" s="180" t="s">
        <v>629</v>
      </c>
      <c r="I19" s="3"/>
      <c r="J19" s="33" t="s">
        <v>531</v>
      </c>
      <c r="K19" s="33"/>
    </row>
    <row r="20" spans="1:11" ht="30" customHeight="1" x14ac:dyDescent="0.25">
      <c r="A20" s="3" t="s">
        <v>25</v>
      </c>
      <c r="B20" s="33" t="s">
        <v>532</v>
      </c>
      <c r="C20" s="33" t="s">
        <v>533</v>
      </c>
      <c r="D20" s="3" t="str">
        <f t="shared" si="0"/>
        <v>Cita</v>
      </c>
      <c r="E20" s="33"/>
      <c r="F20" s="33"/>
      <c r="G20" s="179" t="str">
        <f>'P-Cita'!A13</f>
        <v>P-CIT-0008</v>
      </c>
      <c r="H20" s="180" t="s">
        <v>629</v>
      </c>
      <c r="I20" s="3"/>
      <c r="J20" s="33" t="s">
        <v>534</v>
      </c>
      <c r="K20" s="33"/>
    </row>
    <row r="21" spans="1:11" ht="30" customHeight="1" x14ac:dyDescent="0.25">
      <c r="A21" s="3" t="s">
        <v>463</v>
      </c>
      <c r="B21" s="33" t="s">
        <v>535</v>
      </c>
      <c r="C21" s="33" t="s">
        <v>536</v>
      </c>
      <c r="D21" s="3" t="str">
        <f t="shared" si="0"/>
        <v>Cita</v>
      </c>
      <c r="E21" s="33"/>
      <c r="F21" s="33"/>
      <c r="G21" s="179" t="str">
        <f>'P-Cita'!A14</f>
        <v>P-CIT-0009</v>
      </c>
      <c r="H21" s="180" t="s">
        <v>629</v>
      </c>
      <c r="I21" s="3"/>
      <c r="J21" s="33" t="s">
        <v>537</v>
      </c>
      <c r="K21" s="33"/>
    </row>
  </sheetData>
  <mergeCells count="36">
    <mergeCell ref="F13:F14"/>
    <mergeCell ref="I13:I14"/>
    <mergeCell ref="J13:J14"/>
    <mergeCell ref="K13:K14"/>
    <mergeCell ref="A7:A12"/>
    <mergeCell ref="B7:B12"/>
    <mergeCell ref="C7:C12"/>
    <mergeCell ref="A13:A14"/>
    <mergeCell ref="B13:B14"/>
    <mergeCell ref="C13:C14"/>
    <mergeCell ref="D13:D14"/>
    <mergeCell ref="E13:E14"/>
    <mergeCell ref="D7:D12"/>
    <mergeCell ref="E7:E12"/>
    <mergeCell ref="F7:F12"/>
    <mergeCell ref="I7:I12"/>
    <mergeCell ref="B3:K3"/>
    <mergeCell ref="B4:C4"/>
    <mergeCell ref="E4:F4"/>
    <mergeCell ref="G4:H4"/>
    <mergeCell ref="G5:H5"/>
    <mergeCell ref="I5:I6"/>
    <mergeCell ref="J5:J6"/>
    <mergeCell ref="K5:K6"/>
    <mergeCell ref="J7:J12"/>
    <mergeCell ref="K7:K12"/>
    <mergeCell ref="A5:A6"/>
    <mergeCell ref="B5:B6"/>
    <mergeCell ref="C5:C6"/>
    <mergeCell ref="D5:D6"/>
    <mergeCell ref="E5:F5"/>
    <mergeCell ref="A1:B1"/>
    <mergeCell ref="C1:E1"/>
    <mergeCell ref="F1:I1"/>
    <mergeCell ref="J1:K1"/>
    <mergeCell ref="B2:K2"/>
  </mergeCells>
  <hyperlinks>
    <hyperlink ref="A1" location="'Modelo de Dominio'!A1" display="&lt;&lt; Ir al modelo de dominio" xr:uid="{00000000-0004-0000-3800-000000000000}"/>
    <hyperlink ref="C1" location="'Objetos de Dominio'!A1" display="&lt;&lt; Ir al listado de objetos de dominio" xr:uid="{00000000-0004-0000-3800-000001000000}"/>
    <hyperlink ref="F1" location="'C-Cita'!A1" display="&lt;&lt; Ir a la caracterización del objeto de dominio" xr:uid="{00000000-0004-0000-3800-000002000000}"/>
    <hyperlink ref="J1" location="'M-Cita'!A1" display="Ir al muestreo de datos del objeto de dominio &gt;&gt;" xr:uid="{00000000-0004-0000-3800-000003000000}"/>
    <hyperlink ref="G7" location="'P-Cita'!A6" display="P-CIT-0001" xr:uid="{574A4904-A203-4435-96F4-3B374440F2A7}"/>
    <hyperlink ref="H7" location="'P-Cita'!B6" display="aquí" xr:uid="{7B68CE7D-4E0E-492E-B4E0-B54AA3ED8AC9}"/>
    <hyperlink ref="G8" location="'P-Cita'!A7" display="P-CIT-0002" xr:uid="{4F00ADD1-4D1B-44EB-8B0C-5F93D1EA8EA5}"/>
    <hyperlink ref="H8" location="'P-Cita'!B7" display="aquí" xr:uid="{FD990178-F905-4204-AE76-DA0230A7AAC7}"/>
    <hyperlink ref="G9" location="'P-Cita'!A8" display="P-CIT-0003" xr:uid="{3EE625F6-63B4-4441-A78A-D1C4C881DA38}"/>
    <hyperlink ref="H9" location="'P-Cita'!B8" display="aquí" xr:uid="{8CDCA6D7-89CE-43BB-A4BA-C564DEFAFB98}"/>
    <hyperlink ref="G10" location="'P-Cita'!A9" display="P-CIT-0004" xr:uid="{68270A79-532B-42E9-8C2F-F23945424693}"/>
    <hyperlink ref="H10" location="'P-Cita'!B9" display="aquí" xr:uid="{24391902-2851-4AF3-8356-0BDAC0900C47}"/>
    <hyperlink ref="G11" location="'P-Cita'!A10" display="P-CIT-0005" xr:uid="{EF968341-5617-4A3B-9EBD-BF0166CD1F1F}"/>
    <hyperlink ref="H11" location="'P-Cita'!B10" display="aquí" xr:uid="{1AD261BA-A652-45A2-BEF8-89239D4D8061}"/>
    <hyperlink ref="G12" location="'P-Cita'!A11" display="P-CIT-0006" xr:uid="{14115DC1-06E2-4E74-A541-90A50C64E65C}"/>
    <hyperlink ref="H12" location="'P-Cita'!B11" display="aquí" xr:uid="{2DC67486-E7AE-47AE-BAFF-6AE910B44BEC}"/>
    <hyperlink ref="G13" location="'P-Cita'!A8" display="P-CIT-0003" xr:uid="{039CAC31-AEDB-4BC6-9C75-CCDCC63ED257}"/>
    <hyperlink ref="H13" location="'P-Cita'!B8" display="aquí" xr:uid="{5EB6EA6E-FF68-4959-A94F-E867E600DC3F}"/>
    <hyperlink ref="G14" location="'P-Cita'!A10" display="P-CIT-0005" xr:uid="{50C35ED8-4581-4D61-8A97-8E8107640E8C}"/>
    <hyperlink ref="H14" location="'P-Cita'!B10" display="aquí" xr:uid="{7471C8DE-9F11-4B84-875E-DA07FFC925AE}"/>
    <hyperlink ref="G19" location="'P-Cita'!A12" display="P-CIT-0007" xr:uid="{06DFCCC3-1F50-49C3-AC23-E1483D67E4C3}"/>
    <hyperlink ref="H19" location="'P-Cita'!B12" display="aquí" xr:uid="{77851ED8-D8D1-410D-8C89-854737F072E2}"/>
    <hyperlink ref="G20" location="'P-Cita'!A13" display="P-CIT-0008" xr:uid="{30162B3C-1951-4039-8DA1-9D3230B0B483}"/>
    <hyperlink ref="H20" location="'P-Cita'!B13" display="aquí" xr:uid="{8F82E356-0842-49FB-8437-4F687EE99159}"/>
    <hyperlink ref="G21" location="'P-Cita'!A14" display="P-CIT-0009" xr:uid="{6F5A7798-5282-43BA-8434-91DD25CDC248}"/>
    <hyperlink ref="H21" location="'P-Cita'!B14" display="aquí" xr:uid="{04B55E50-E83B-4D41-9BE5-00DE5D0D4149}"/>
  </hyperlink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R25"/>
  <sheetViews>
    <sheetView zoomScaleNormal="100" workbookViewId="0">
      <selection activeCell="B1" sqref="B1"/>
    </sheetView>
  </sheetViews>
  <sheetFormatPr baseColWidth="10" defaultColWidth="8.7109375" defaultRowHeight="15" x14ac:dyDescent="0.25"/>
  <cols>
    <col min="1" max="1" width="25" customWidth="1"/>
    <col min="2" max="2" width="27.5703125" customWidth="1"/>
    <col min="3" max="3" width="26.140625" customWidth="1"/>
    <col min="4" max="4" width="21.5703125" bestFit="1" customWidth="1"/>
    <col min="5" max="5" width="16.7109375" bestFit="1" customWidth="1"/>
    <col min="6" max="6" width="19.85546875" customWidth="1"/>
    <col min="7" max="7" width="17.5703125" bestFit="1" customWidth="1"/>
    <col min="8" max="8" width="18.140625" bestFit="1" customWidth="1"/>
    <col min="9" max="9" width="23.42578125" customWidth="1"/>
    <col min="10" max="10" width="20.42578125" customWidth="1"/>
    <col min="11" max="11" width="19.85546875" customWidth="1"/>
    <col min="12" max="13" width="18.28515625" bestFit="1" customWidth="1"/>
    <col min="14" max="14" width="23" customWidth="1"/>
    <col min="15" max="15" width="21.42578125" bestFit="1" customWidth="1"/>
    <col min="16" max="16" width="36" customWidth="1"/>
    <col min="17" max="17" width="26.7109375" customWidth="1"/>
    <col min="18" max="18" width="36" customWidth="1"/>
  </cols>
  <sheetData>
    <row r="1" spans="1:18" ht="14.25" customHeight="1" x14ac:dyDescent="0.25">
      <c r="A1" s="4" t="s">
        <v>1</v>
      </c>
      <c r="B1" s="4" t="s">
        <v>45</v>
      </c>
    </row>
    <row r="2" spans="1:18" ht="64.5" customHeight="1" x14ac:dyDescent="0.25">
      <c r="A2" s="148" t="s">
        <v>111</v>
      </c>
      <c r="B2" s="148" t="s">
        <v>538</v>
      </c>
      <c r="C2" s="148" t="s">
        <v>539</v>
      </c>
      <c r="D2" s="148" t="s">
        <v>540</v>
      </c>
      <c r="E2" s="148" t="s">
        <v>541</v>
      </c>
      <c r="F2" s="148" t="s">
        <v>542</v>
      </c>
      <c r="G2" s="148" t="s">
        <v>543</v>
      </c>
      <c r="H2" s="148" t="s">
        <v>544</v>
      </c>
      <c r="I2" s="148" t="s">
        <v>545</v>
      </c>
      <c r="J2" s="148" t="s">
        <v>546</v>
      </c>
      <c r="K2" s="148" t="s">
        <v>547</v>
      </c>
      <c r="L2" s="148" t="s">
        <v>548</v>
      </c>
      <c r="M2" s="148" t="s">
        <v>549</v>
      </c>
      <c r="N2" s="148" t="s">
        <v>550</v>
      </c>
      <c r="O2" s="148" t="s">
        <v>551</v>
      </c>
      <c r="P2" s="148" t="s">
        <v>552</v>
      </c>
      <c r="Q2" s="148" t="s">
        <v>553</v>
      </c>
      <c r="R2" s="148" t="s">
        <v>554</v>
      </c>
    </row>
    <row r="3" spans="1:18" ht="14.25" customHeight="1" x14ac:dyDescent="0.25">
      <c r="A3" s="149" t="s">
        <v>114</v>
      </c>
      <c r="B3" s="124" t="s">
        <v>555</v>
      </c>
      <c r="C3" s="124" t="s">
        <v>556</v>
      </c>
      <c r="D3" s="124" t="s">
        <v>557</v>
      </c>
      <c r="E3" s="124" t="s">
        <v>558</v>
      </c>
      <c r="F3" s="107" t="s">
        <v>456</v>
      </c>
      <c r="G3" s="107" t="s">
        <v>559</v>
      </c>
      <c r="H3" s="107" t="s">
        <v>560</v>
      </c>
      <c r="I3" s="107" t="s">
        <v>561</v>
      </c>
      <c r="J3" s="107" t="s">
        <v>562</v>
      </c>
      <c r="K3" s="107" t="s">
        <v>563</v>
      </c>
      <c r="L3" s="108" t="s">
        <v>564</v>
      </c>
      <c r="M3" s="150" t="s">
        <v>565</v>
      </c>
      <c r="N3" s="108" t="s">
        <v>566</v>
      </c>
      <c r="O3" s="108" t="s">
        <v>567</v>
      </c>
      <c r="P3" s="97" t="s">
        <v>568</v>
      </c>
      <c r="Q3" s="108" t="s">
        <v>569</v>
      </c>
      <c r="R3" s="151" t="s">
        <v>239</v>
      </c>
    </row>
    <row r="4" spans="1:18" ht="45" customHeight="1" x14ac:dyDescent="0.25">
      <c r="A4" s="40">
        <v>1</v>
      </c>
      <c r="B4" s="98" t="str">
        <f>'M-Cliente'!L4</f>
        <v>+57-3234528921</v>
      </c>
      <c r="C4" s="152" t="str">
        <f>'M-Agenda'!D4</f>
        <v>+57-3245627890-Lunes-09:00-19:00-12/11/2023-1/01/1000-10:00-16:00-31/08/2026</v>
      </c>
      <c r="D4" s="152">
        <f>'M-Regla'!A4</f>
        <v>1</v>
      </c>
      <c r="E4" s="152" t="str">
        <f>'M-Estado'!D4</f>
        <v>Agendada</v>
      </c>
      <c r="F4" s="153">
        <v>0.41666666666666702</v>
      </c>
      <c r="G4" s="153">
        <f t="shared" ref="G4:G13" si="0">F4+TIME(L4,M4,0)</f>
        <v>0.4583333333333337</v>
      </c>
      <c r="H4" s="153">
        <v>0</v>
      </c>
      <c r="I4" s="153">
        <v>0</v>
      </c>
      <c r="J4" s="153">
        <v>0</v>
      </c>
      <c r="K4" s="153">
        <v>0</v>
      </c>
      <c r="L4" s="154">
        <f>INT((SUMIF('M-CitaServicio'!$B$4:$B$14,R4,'M-CitaServicio'!$F$4:$F$14)+SUMIF('M-CitaServicio'!$B$4:$B$14,R4,'M-CitaServicio'!$G$4:$G$14))/60)</f>
        <v>1</v>
      </c>
      <c r="M4" s="98">
        <f>MOD((SUMIF('M-CitaServicio'!$B$4:$B$14,R4,'M-CitaServicio'!$F$4:$F$14)+SUMIF('M-CitaServicio'!$B$4:$B$14,R4,'M-CitaServicio'!$G$4:$G$14)),60)</f>
        <v>0</v>
      </c>
      <c r="N4" s="155">
        <f t="shared" ref="N4:N13" si="1">IF(H4=TIME(0,0,0),0,ROUND(MAX(0,(H4-F4)*1440),0))</f>
        <v>0</v>
      </c>
      <c r="O4" s="156">
        <f t="shared" ref="O4:O13" si="2">IF(J4=TIME(0,0,0),0,ROUND(MAX(0,(J4-MAX(H4,F4))*1440),0))</f>
        <v>0</v>
      </c>
      <c r="P4" s="156">
        <v>0</v>
      </c>
      <c r="Q4" s="157">
        <f>SUMIF('M-CitaServicio'!$B$4:$B$14,R4,'M-CitaServicio'!$D$4:$D$14)*(1-P4/100)</f>
        <v>22000</v>
      </c>
      <c r="R4" s="50" t="str">
        <f t="shared" ref="R4:R13" si="3">_xlfn.CONCAT(C4,"-",TEXT(F4,"hh:mm"))</f>
        <v>+57-3245627890-Lunes-09:00-19:00-12/11/2023-1/01/1000-10:00-16:00-31/08/2026-10:00</v>
      </c>
    </row>
    <row r="5" spans="1:18" ht="41.25" customHeight="1" x14ac:dyDescent="0.25">
      <c r="A5" s="40">
        <v>2</v>
      </c>
      <c r="B5" s="98" t="str">
        <f>'M-Cliente'!L5</f>
        <v>+57-3161657782</v>
      </c>
      <c r="C5" s="152" t="str">
        <f>'M-Agenda'!D5</f>
        <v>+57-3124518923-Martes-09:00-19:00-12/11/2023-1/01/1000-09:00-15:00-10/03/2026</v>
      </c>
      <c r="D5" s="152">
        <f>'M-Regla'!A4</f>
        <v>1</v>
      </c>
      <c r="E5" s="152" t="str">
        <f>'M-Estado'!D5</f>
        <v>Finalizada</v>
      </c>
      <c r="F5" s="153">
        <v>0.39583333333333298</v>
      </c>
      <c r="G5" s="153">
        <f t="shared" si="0"/>
        <v>0.40624999999999967</v>
      </c>
      <c r="H5" s="153">
        <v>0.39444444444444399</v>
      </c>
      <c r="I5" s="153">
        <v>0.39236111111111099</v>
      </c>
      <c r="J5" s="153">
        <v>0.39583333333333298</v>
      </c>
      <c r="K5" s="153">
        <v>0.40625</v>
      </c>
      <c r="L5" s="154">
        <f>INT((SUMIF('M-CitaServicio'!$B$4:$B$14,R5,'M-CitaServicio'!$F$4:$F$14)+SUMIF('M-CitaServicio'!$B$4:$B$14,R5,'M-CitaServicio'!$G$4:$G$14))/60)</f>
        <v>0</v>
      </c>
      <c r="M5" s="98">
        <f>MOD((SUMIF('M-CitaServicio'!$B$4:$B$14,R5,'M-CitaServicio'!$F$4:$F$14)+SUMIF('M-CitaServicio'!$B$4:$B$14,R5,'M-CitaServicio'!$G$4:$G$14)),60)</f>
        <v>15</v>
      </c>
      <c r="N5" s="155">
        <f t="shared" si="1"/>
        <v>0</v>
      </c>
      <c r="O5" s="156">
        <f t="shared" si="2"/>
        <v>0</v>
      </c>
      <c r="P5" s="156">
        <v>0</v>
      </c>
      <c r="Q5" s="157">
        <f>SUMIF('M-CitaServicio'!$B$4:$B$14,R5,'M-CitaServicio'!$D$4:$D$14)*(1-P5/100)</f>
        <v>12000</v>
      </c>
      <c r="R5" s="50" t="str">
        <f t="shared" si="3"/>
        <v>+57-3124518923-Martes-09:00-19:00-12/11/2023-1/01/1000-09:00-15:00-10/03/2026-09:30</v>
      </c>
    </row>
    <row r="6" spans="1:18" ht="41.25" customHeight="1" x14ac:dyDescent="0.25">
      <c r="A6" s="40">
        <v>3</v>
      </c>
      <c r="B6" s="98" t="str">
        <f>'M-Cliente'!L6</f>
        <v>+57-3119884321</v>
      </c>
      <c r="C6" s="152" t="str">
        <f>'M-Agenda'!D6</f>
        <v>+57-3214533321-Jueves-09:00-19:00-12/11/2023-1/01/1000-13:00-19:00-14/05/2026</v>
      </c>
      <c r="D6" s="152">
        <f>'M-Regla'!A4</f>
        <v>1</v>
      </c>
      <c r="E6" s="152" t="str">
        <f>'M-Estado'!D8</f>
        <v>El cliente se demoro</v>
      </c>
      <c r="F6" s="153">
        <v>0.54166666666666696</v>
      </c>
      <c r="G6" s="153">
        <f t="shared" si="0"/>
        <v>0.5555555555555558</v>
      </c>
      <c r="H6" s="153">
        <v>0.55208333333333304</v>
      </c>
      <c r="I6" s="153">
        <v>0.54305555555555596</v>
      </c>
      <c r="J6" s="153">
        <v>0.55208333333333304</v>
      </c>
      <c r="K6" s="153">
        <v>0.56597222222222199</v>
      </c>
      <c r="L6" s="154">
        <f>INT((SUMIF('M-CitaServicio'!$B$4:$B$14,R6,'M-CitaServicio'!$F$4:$F$14)+SUMIF('M-CitaServicio'!$B$4:$B$14,R6,'M-CitaServicio'!$G$4:$G$14))/60)</f>
        <v>0</v>
      </c>
      <c r="M6" s="98">
        <f>MOD((SUMIF('M-CitaServicio'!$B$4:$B$14,R6,'M-CitaServicio'!$F$4:$F$14)+SUMIF('M-CitaServicio'!$B$4:$B$14,R6,'M-CitaServicio'!$G$4:$G$14)),60)</f>
        <v>20</v>
      </c>
      <c r="N6" s="155">
        <f t="shared" si="1"/>
        <v>15</v>
      </c>
      <c r="O6" s="156">
        <f t="shared" si="2"/>
        <v>0</v>
      </c>
      <c r="P6" s="156">
        <v>0</v>
      </c>
      <c r="Q6" s="157">
        <f>SUMIF('M-CitaServicio'!$B$4:$B$14,R6,'M-CitaServicio'!$D$4:$D$14)*(1-P6/100)</f>
        <v>15000</v>
      </c>
      <c r="R6" s="50" t="str">
        <f t="shared" si="3"/>
        <v>+57-3214533321-Jueves-09:00-19:00-12/11/2023-1/01/1000-13:00-19:00-14/05/2026-13:00</v>
      </c>
    </row>
    <row r="7" spans="1:18" ht="41.25" customHeight="1" x14ac:dyDescent="0.25">
      <c r="A7" s="40">
        <v>4</v>
      </c>
      <c r="B7" s="98" t="str">
        <f>'M-Cliente'!L7</f>
        <v>+58-4127359182</v>
      </c>
      <c r="C7" s="152" t="str">
        <f>'M-Agenda'!D8</f>
        <v>+91-9876543210-Sábado-08:00-21:00-12/12/2024-1/01/1000-08:00-14:00-22/11/2025</v>
      </c>
      <c r="D7" s="152">
        <f>'M-Regla'!A4</f>
        <v>1</v>
      </c>
      <c r="E7" s="152" t="str">
        <f>'M-Estado'!D10</f>
        <v>Inasistencia del cliente</v>
      </c>
      <c r="F7" s="153">
        <v>0.54166666666666696</v>
      </c>
      <c r="G7" s="153">
        <f t="shared" si="0"/>
        <v>0.57638888888888917</v>
      </c>
      <c r="H7" s="153">
        <v>0</v>
      </c>
      <c r="I7" s="153">
        <v>0.52777777777777801</v>
      </c>
      <c r="J7" s="153">
        <v>0</v>
      </c>
      <c r="K7" s="153">
        <v>0</v>
      </c>
      <c r="L7" s="154">
        <f>INT((SUMIF('M-CitaServicio'!$B$4:$B$14,R7,'M-CitaServicio'!$F$4:$F$14)+SUMIF('M-CitaServicio'!$B$4:$B$14,R7,'M-CitaServicio'!$G$4:$G$14))/60)</f>
        <v>0</v>
      </c>
      <c r="M7" s="98">
        <f>MOD((SUMIF('M-CitaServicio'!$B$4:$B$14,R7,'M-CitaServicio'!$F$4:$F$14)+SUMIF('M-CitaServicio'!$B$4:$B$14,R7,'M-CitaServicio'!$G$4:$G$14)),60)</f>
        <v>50</v>
      </c>
      <c r="N7" s="155">
        <f t="shared" si="1"/>
        <v>0</v>
      </c>
      <c r="O7" s="156">
        <f t="shared" si="2"/>
        <v>0</v>
      </c>
      <c r="P7" s="156">
        <v>0</v>
      </c>
      <c r="Q7" s="157">
        <f>SUMIF('M-CitaServicio'!$B$4:$B$14,R7,'M-CitaServicio'!$D$4:$D$14)*(1-P7/100)</f>
        <v>35000</v>
      </c>
      <c r="R7" s="50" t="str">
        <f t="shared" si="3"/>
        <v>+91-9876543210-Sábado-08:00-21:00-12/12/2024-1/01/1000-08:00-14:00-22/11/2025-13:00</v>
      </c>
    </row>
    <row r="8" spans="1:18" ht="41.25" customHeight="1" x14ac:dyDescent="0.25">
      <c r="A8" s="40">
        <v>5</v>
      </c>
      <c r="B8" s="98" t="str">
        <f>'M-Cliente'!L7</f>
        <v>+58-4127359182</v>
      </c>
      <c r="C8" s="152" t="str">
        <f>'M-Agenda'!D9</f>
        <v>+57-3214533321-Jueves-09:00-19:00-12/11/2023-1/01/1000-13:00-19:00-06/08/2026</v>
      </c>
      <c r="D8" s="152">
        <f>'M-Regla'!A4</f>
        <v>1</v>
      </c>
      <c r="E8" s="152" t="str">
        <f>'M-Estado'!D9</f>
        <v>El barbero se demoro</v>
      </c>
      <c r="F8" s="153">
        <v>0.75</v>
      </c>
      <c r="G8" s="153">
        <f t="shared" si="0"/>
        <v>0.76388888888888884</v>
      </c>
      <c r="H8" s="153">
        <v>0.74861111111111101</v>
      </c>
      <c r="I8" s="153">
        <v>0.76388888888888895</v>
      </c>
      <c r="J8" s="153">
        <v>0.76388888888888895</v>
      </c>
      <c r="K8" s="153">
        <v>0.77777777777777801</v>
      </c>
      <c r="L8" s="154">
        <f>INT((SUMIF('M-CitaServicio'!$B$4:$B$14,R8,'M-CitaServicio'!$F$4:$F$14)+SUMIF('M-CitaServicio'!$B$4:$B$14,R8,'M-CitaServicio'!$G$4:$G$14))/60)</f>
        <v>0</v>
      </c>
      <c r="M8" s="98">
        <f>MOD((SUMIF('M-CitaServicio'!$B$4:$B$14,R8,'M-CitaServicio'!$F$4:$F$14)+SUMIF('M-CitaServicio'!$B$4:$B$14,R8,'M-CitaServicio'!$G$4:$G$14)),60)</f>
        <v>20</v>
      </c>
      <c r="N8" s="155">
        <f t="shared" si="1"/>
        <v>0</v>
      </c>
      <c r="O8" s="156">
        <f t="shared" si="2"/>
        <v>20</v>
      </c>
      <c r="P8" s="156">
        <v>10</v>
      </c>
      <c r="Q8" s="157">
        <f>SUMIF('M-CitaServicio'!$B$4:$B$14,R8,'M-CitaServicio'!$D$4:$D$14)*(1-P8/100)</f>
        <v>10800</v>
      </c>
      <c r="R8" s="50" t="str">
        <f t="shared" si="3"/>
        <v>+57-3214533321-Jueves-09:00-19:00-12/11/2023-1/01/1000-13:00-19:00-06/08/2026-18:00</v>
      </c>
    </row>
    <row r="9" spans="1:18" ht="41.25" customHeight="1" x14ac:dyDescent="0.25">
      <c r="A9" s="40">
        <v>6</v>
      </c>
      <c r="B9" s="98" t="str">
        <f>'M-Cliente'!L4</f>
        <v>+57-3234528921</v>
      </c>
      <c r="C9" s="152" t="str">
        <f>'M-Agenda'!D7</f>
        <v>+91-9876543210-Festivo-10:00-15:00-12/12/2024-1/01/1000-12:00-15:00-20/02/2026</v>
      </c>
      <c r="D9" s="152">
        <f>'M-Regla'!A4</f>
        <v>1</v>
      </c>
      <c r="E9" s="152" t="str">
        <f>'M-Estado'!D5</f>
        <v>Finalizada</v>
      </c>
      <c r="F9" s="153">
        <v>0.58333333333333304</v>
      </c>
      <c r="G9" s="153">
        <f t="shared" si="0"/>
        <v>0.61805555555555525</v>
      </c>
      <c r="H9" s="153">
        <v>0.58194444444444504</v>
      </c>
      <c r="I9" s="153">
        <v>0.58333333333333304</v>
      </c>
      <c r="J9" s="153">
        <v>0.58333333333333304</v>
      </c>
      <c r="K9" s="153">
        <v>0.61805555555555602</v>
      </c>
      <c r="L9" s="154">
        <f>INT((SUMIF('M-CitaServicio'!$B$4:$B$14,R9,'M-CitaServicio'!$F$4:$F$14)+SUMIF('M-CitaServicio'!$B$4:$B$14,R9,'M-CitaServicio'!$G$4:$G$14))/60)</f>
        <v>0</v>
      </c>
      <c r="M9" s="98">
        <f>MOD((SUMIF('M-CitaServicio'!$B$4:$B$14,R9,'M-CitaServicio'!$F$4:$F$14)+SUMIF('M-CitaServicio'!$B$4:$B$14,R9,'M-CitaServicio'!$G$4:$G$14)),60)</f>
        <v>50</v>
      </c>
      <c r="N9" s="155">
        <f t="shared" si="1"/>
        <v>0</v>
      </c>
      <c r="O9" s="156">
        <f t="shared" si="2"/>
        <v>0</v>
      </c>
      <c r="P9" s="156">
        <v>0</v>
      </c>
      <c r="Q9" s="157">
        <f>SUMIF('M-CitaServicio'!$B$4:$B$14,R9,'M-CitaServicio'!$D$4:$D$14)*(1-P9/100)</f>
        <v>35000</v>
      </c>
      <c r="R9" s="50" t="str">
        <f t="shared" si="3"/>
        <v>+91-9876543210-Festivo-10:00-15:00-12/12/2024-1/01/1000-12:00-15:00-20/02/2026-14:00</v>
      </c>
    </row>
    <row r="10" spans="1:18" ht="41.25" customHeight="1" x14ac:dyDescent="0.25">
      <c r="A10" s="40">
        <v>7</v>
      </c>
      <c r="B10" s="98" t="str">
        <f>'M-Cliente'!L8</f>
        <v>+57-3005544332</v>
      </c>
      <c r="C10" s="152" t="str">
        <f>'M-Agenda'!D10</f>
        <v>+57-3245627890-Lunes-09:00-19:00-12/11/2023-1/01/1000-10:00-16:00-01/06/2026</v>
      </c>
      <c r="D10" s="152">
        <f>'M-Regla'!A4</f>
        <v>1</v>
      </c>
      <c r="E10" s="152" t="str">
        <f>'M-Estado'!D10</f>
        <v>Inasistencia del cliente</v>
      </c>
      <c r="F10" s="153">
        <v>0.41666666666666702</v>
      </c>
      <c r="G10" s="153">
        <f t="shared" si="0"/>
        <v>0.4583333333333337</v>
      </c>
      <c r="H10" s="153">
        <v>0</v>
      </c>
      <c r="I10" s="153">
        <v>0</v>
      </c>
      <c r="J10" s="153">
        <v>0</v>
      </c>
      <c r="K10" s="153">
        <v>0</v>
      </c>
      <c r="L10" s="154">
        <f>INT((SUMIF('M-CitaServicio'!$B$4:$B$14,R10,'M-CitaServicio'!$F$4:$F$14)+SUMIF('M-CitaServicio'!$B$4:$B$14,R10,'M-CitaServicio'!$G$4:$G$14))/60)</f>
        <v>1</v>
      </c>
      <c r="M10" s="98">
        <f>MOD((SUMIF('M-CitaServicio'!$B$4:$B$14,R10,'M-CitaServicio'!$F$4:$F$14)+SUMIF('M-CitaServicio'!$B$4:$B$14,R10,'M-CitaServicio'!$G$4:$G$14)),60)</f>
        <v>0</v>
      </c>
      <c r="N10" s="155">
        <f t="shared" si="1"/>
        <v>0</v>
      </c>
      <c r="O10" s="156">
        <f t="shared" si="2"/>
        <v>0</v>
      </c>
      <c r="P10" s="156">
        <v>0</v>
      </c>
      <c r="Q10" s="157">
        <f>SUMIF('M-CitaServicio'!$B$4:$B$14,R10,'M-CitaServicio'!$D$4:$D$14)*(1-P10/100)</f>
        <v>22000</v>
      </c>
      <c r="R10" s="50" t="str">
        <f t="shared" si="3"/>
        <v>+57-3245627890-Lunes-09:00-19:00-12/11/2023-1/01/1000-10:00-16:00-01/06/2026-10:00</v>
      </c>
    </row>
    <row r="11" spans="1:18" ht="41.25" customHeight="1" x14ac:dyDescent="0.25">
      <c r="A11" s="40">
        <v>8</v>
      </c>
      <c r="B11" s="98" t="str">
        <f>'M-Cliente'!L8</f>
        <v>+57-3005544332</v>
      </c>
      <c r="C11" s="152" t="str">
        <f>'M-Agenda'!D11</f>
        <v>+57-3124518923-Martes-09:00-19:00-12/11/2023-1/01/1000-09:00-15:00-16/06/2026</v>
      </c>
      <c r="D11" s="152">
        <f>'M-Regla'!A4</f>
        <v>1</v>
      </c>
      <c r="E11" s="152" t="str">
        <f>'M-Estado'!D10</f>
        <v>Inasistencia del cliente</v>
      </c>
      <c r="F11" s="153">
        <v>0.375</v>
      </c>
      <c r="G11" s="153">
        <f t="shared" si="0"/>
        <v>0.38541666666666669</v>
      </c>
      <c r="H11" s="153">
        <v>0</v>
      </c>
      <c r="I11" s="153">
        <v>0</v>
      </c>
      <c r="J11" s="153">
        <v>0</v>
      </c>
      <c r="K11" s="153">
        <v>0</v>
      </c>
      <c r="L11" s="154">
        <f>INT((SUMIF('M-CitaServicio'!$B$4:$B$14,R11,'M-CitaServicio'!$F$4:$F$14)+SUMIF('M-CitaServicio'!$B$4:$B$14,R11,'M-CitaServicio'!$G$4:$G$14))/60)</f>
        <v>0</v>
      </c>
      <c r="M11" s="98">
        <f>MOD((SUMIF('M-CitaServicio'!$B$4:$B$14,R11,'M-CitaServicio'!$F$4:$F$14)+SUMIF('M-CitaServicio'!$B$4:$B$14,R11,'M-CitaServicio'!$G$4:$G$14)),60)</f>
        <v>15</v>
      </c>
      <c r="N11" s="155">
        <f t="shared" si="1"/>
        <v>0</v>
      </c>
      <c r="O11" s="156">
        <f t="shared" si="2"/>
        <v>0</v>
      </c>
      <c r="P11" s="156">
        <v>0</v>
      </c>
      <c r="Q11" s="157">
        <f>SUMIF('M-CitaServicio'!$B$4:$B$14,R11,'M-CitaServicio'!$D$4:$D$14)*(1-P11/100)</f>
        <v>12000</v>
      </c>
      <c r="R11" s="50" t="str">
        <f t="shared" si="3"/>
        <v>+57-3124518923-Martes-09:00-19:00-12/11/2023-1/01/1000-09:00-15:00-16/06/2026-09:00</v>
      </c>
    </row>
    <row r="12" spans="1:18" ht="41.25" customHeight="1" x14ac:dyDescent="0.25">
      <c r="A12" s="40">
        <v>9</v>
      </c>
      <c r="B12" s="98" t="str">
        <f>'M-Cliente'!L8</f>
        <v>+57-3005544332</v>
      </c>
      <c r="C12" s="152" t="str">
        <f>'M-Agenda'!D12</f>
        <v>+57-3214533321-Jueves-09:00-19:00-12/11/2023-1/01/1000-13:00-19:00-02/07/2026</v>
      </c>
      <c r="D12" s="152">
        <f>'M-Regla'!A4</f>
        <v>1</v>
      </c>
      <c r="E12" s="152" t="str">
        <f>'M-Estado'!D10</f>
        <v>Inasistencia del cliente</v>
      </c>
      <c r="F12" s="153">
        <v>0.625</v>
      </c>
      <c r="G12" s="153">
        <f t="shared" si="0"/>
        <v>0.63888888888888884</v>
      </c>
      <c r="H12" s="153">
        <v>0</v>
      </c>
      <c r="I12" s="153">
        <v>0</v>
      </c>
      <c r="J12" s="153">
        <v>0</v>
      </c>
      <c r="K12" s="153">
        <v>0</v>
      </c>
      <c r="L12" s="154">
        <f>INT((SUMIF('M-CitaServicio'!$B$4:$B$14,R12,'M-CitaServicio'!$F$4:$F$14)+SUMIF('M-CitaServicio'!$B$4:$B$14,R12,'M-CitaServicio'!$G$4:$G$14))/60)</f>
        <v>0</v>
      </c>
      <c r="M12" s="98">
        <f>MOD((SUMIF('M-CitaServicio'!$B$4:$B$14,R12,'M-CitaServicio'!$F$4:$F$14)+SUMIF('M-CitaServicio'!$B$4:$B$14,R12,'M-CitaServicio'!$G$4:$G$14)),60)</f>
        <v>20</v>
      </c>
      <c r="N12" s="155">
        <f t="shared" si="1"/>
        <v>0</v>
      </c>
      <c r="O12" s="156">
        <f t="shared" si="2"/>
        <v>0</v>
      </c>
      <c r="P12" s="156">
        <v>0</v>
      </c>
      <c r="Q12" s="157">
        <f>SUMIF('M-CitaServicio'!$B$4:$B$14,R12,'M-CitaServicio'!$D$4:$D$14)*(1-P12/100)</f>
        <v>15000</v>
      </c>
      <c r="R12" s="50" t="str">
        <f t="shared" si="3"/>
        <v>+57-3214533321-Jueves-09:00-19:00-12/11/2023-1/01/1000-13:00-19:00-02/07/2026-15:00</v>
      </c>
    </row>
    <row r="13" spans="1:18" ht="45" customHeight="1" x14ac:dyDescent="0.25">
      <c r="A13" s="40">
        <v>10</v>
      </c>
      <c r="B13" s="98" t="str">
        <f>'M-Cliente'!L5</f>
        <v>+57-3161657782</v>
      </c>
      <c r="C13" s="152" t="str">
        <f>'M-Agenda'!D6</f>
        <v>+57-3214533321-Jueves-09:00-19:00-12/11/2023-1/01/1000-13:00-19:00-14/05/2026</v>
      </c>
      <c r="D13" s="98">
        <f>'M-Regla'!A4</f>
        <v>1</v>
      </c>
      <c r="E13" s="98" t="str">
        <f>'M-Estado'!D5</f>
        <v>Finalizada</v>
      </c>
      <c r="F13" s="153">
        <v>0.5625</v>
      </c>
      <c r="G13" s="153">
        <f t="shared" si="0"/>
        <v>0.59027777777777779</v>
      </c>
      <c r="H13" s="153">
        <v>0.56111111111111101</v>
      </c>
      <c r="I13" s="153">
        <v>0.55902777777777801</v>
      </c>
      <c r="J13" s="153">
        <v>0.5625</v>
      </c>
      <c r="K13" s="153">
        <v>0.59027777777777801</v>
      </c>
      <c r="L13" s="154">
        <f>INT((SUMIF('M-CitaServicio'!$B$4:$B$14,R13,'M-CitaServicio'!$F$4:$F$14)+SUMIF('M-CitaServicio'!$B$4:$B$14,R13,'M-CitaServicio'!$G$4:$G$14))/60)</f>
        <v>0</v>
      </c>
      <c r="M13" s="98">
        <f>MOD((SUMIF('M-CitaServicio'!$B$4:$B$14,R13,'M-CitaServicio'!$F$4:$F$14)+SUMIF('M-CitaServicio'!$B$4:$B$14,R13,'M-CitaServicio'!$G$4:$G$14)),60)</f>
        <v>40</v>
      </c>
      <c r="N13" s="155">
        <f t="shared" si="1"/>
        <v>0</v>
      </c>
      <c r="O13" s="156">
        <f t="shared" si="2"/>
        <v>0</v>
      </c>
      <c r="P13" s="156">
        <v>0</v>
      </c>
      <c r="Q13" s="157">
        <f>SUMIF('M-CitaServicio'!$B$4:$B$14,R13,'M-CitaServicio'!$D$4:$D$14)*(1-P13/100)</f>
        <v>27000</v>
      </c>
      <c r="R13" s="50" t="str">
        <f t="shared" si="3"/>
        <v>+57-3214533321-Jueves-09:00-19:00-12/11/2023-1/01/1000-13:00-19:00-14/05/2026-13:30</v>
      </c>
    </row>
    <row r="14" spans="1:18" ht="14.25" customHeight="1" x14ac:dyDescent="0.25">
      <c r="B14" s="44"/>
    </row>
    <row r="15" spans="1:18" ht="27.75" customHeight="1" x14ac:dyDescent="0.25"/>
    <row r="16" spans="1:18" ht="27.75" customHeight="1" x14ac:dyDescent="0.25"/>
    <row r="17" spans="1:2" ht="27.75" customHeight="1" x14ac:dyDescent="0.25"/>
    <row r="18" spans="1:2" ht="27.75" customHeight="1" x14ac:dyDescent="0.25"/>
    <row r="19" spans="1:2" ht="28.5" customHeight="1" x14ac:dyDescent="0.25">
      <c r="A19" s="43"/>
      <c r="B19" s="44" t="s">
        <v>124</v>
      </c>
    </row>
    <row r="20" spans="1:2" ht="28.5" customHeight="1" x14ac:dyDescent="0.25">
      <c r="A20" s="45"/>
      <c r="B20" s="44" t="s">
        <v>125</v>
      </c>
    </row>
    <row r="21" spans="1:2" ht="28.5" customHeight="1" x14ac:dyDescent="0.25">
      <c r="A21" s="69"/>
      <c r="B21" s="44" t="s">
        <v>300</v>
      </c>
    </row>
    <row r="22" spans="1:2" ht="28.5" customHeight="1" x14ac:dyDescent="0.25">
      <c r="A22" s="70"/>
      <c r="B22" s="44" t="s">
        <v>126</v>
      </c>
    </row>
    <row r="23" spans="1:2" ht="28.5" customHeight="1" x14ac:dyDescent="0.25">
      <c r="A23" s="114"/>
      <c r="B23" s="44" t="s">
        <v>375</v>
      </c>
    </row>
    <row r="24" spans="1:2" ht="28.5" customHeight="1" x14ac:dyDescent="0.25">
      <c r="A24" s="115"/>
      <c r="B24" s="44" t="s">
        <v>344</v>
      </c>
    </row>
    <row r="25" spans="1:2" ht="28.5" customHeight="1" x14ac:dyDescent="0.25">
      <c r="A25" s="47"/>
      <c r="B25" s="44" t="s">
        <v>127</v>
      </c>
    </row>
  </sheetData>
  <hyperlinks>
    <hyperlink ref="A1" location="'Modelo de Dominio'!A1" display="&lt;&lt;&lt;&lt; Ir al modulo de dominio" xr:uid="{00000000-0004-0000-3900-000000000000}"/>
    <hyperlink ref="B1" location="'Objetos de Dominio'!A1" display="&lt;&lt;&lt;&lt; Ir a objetos de dominio" xr:uid="{00000000-0004-0000-3900-000001000000}"/>
    <hyperlink ref="B3" location="'M-Cliente'!A1" display="cliente" xr:uid="{00000000-0004-0000-3900-000002000000}"/>
    <hyperlink ref="C3" location="'M-Agenda'!A1" display="agenda" xr:uid="{00000000-0004-0000-3900-000003000000}"/>
    <hyperlink ref="D3" location="'M-Regla'!A1" display="regla" xr:uid="{00000000-0004-0000-3900-000004000000}"/>
    <hyperlink ref="E3" location="'M-Estado'!A1" display="estado" xr:uid="{00000000-0004-0000-3900-000005000000}"/>
    <hyperlink ref="B4" location="'M-Cliente'!A4" display="#'M-Cliente'.A4" xr:uid="{00000000-0004-0000-3900-000006000000}"/>
    <hyperlink ref="C4" location="'M-Agenda'!A4" display="#'M-Agenda'.A4" xr:uid="{00000000-0004-0000-3900-000007000000}"/>
    <hyperlink ref="D4" location="'M-Regla'!A4" display="#'M-Regla'.A4" xr:uid="{00000000-0004-0000-3900-000008000000}"/>
    <hyperlink ref="E4" location="'M-Estado'!A4" display="#'M-Estado'.A4" xr:uid="{00000000-0004-0000-3900-000009000000}"/>
    <hyperlink ref="L4" location="'M-CitaServicio'!A4" display="#'M-CitaServicio'.A4" xr:uid="{00000000-0004-0000-3900-00000A000000}"/>
    <hyperlink ref="M4" location="'M-CitaServicio'!A4" display="#'M-CitaServicio'.A4" xr:uid="{00000000-0004-0000-3900-00000B000000}"/>
    <hyperlink ref="Q4" location="'M-CitaServicio'!A4" display="#'M-CitaServicio'.A4" xr:uid="{00000000-0004-0000-3900-00000C000000}"/>
    <hyperlink ref="B5" location="'M-Cliente'!A5" display="#'M-Cliente'.A5" xr:uid="{00000000-0004-0000-3900-00000D000000}"/>
    <hyperlink ref="C5" location="'M-Agenda'!A5" display="#'M-Agenda'.A5" xr:uid="{00000000-0004-0000-3900-00000E000000}"/>
    <hyperlink ref="D5" location="'M-Regla'!A4" display="#'M-Regla'.A4" xr:uid="{00000000-0004-0000-3900-00000F000000}"/>
    <hyperlink ref="E5" location="'M-Estado'!A5" display="#'M-Estado'.A5" xr:uid="{00000000-0004-0000-3900-000010000000}"/>
    <hyperlink ref="L5" location="'M-CitaServicio'!A4" display="#'M-CitaServicio'.A4" xr:uid="{00000000-0004-0000-3900-000011000000}"/>
    <hyperlink ref="M5" location="'M-CitaServicio'!A4" display="#'M-CitaServicio'.A4" xr:uid="{00000000-0004-0000-3900-000012000000}"/>
    <hyperlink ref="Q5" location="'M-CitaServicio'!A4" display="#'M-CitaServicio'.A4" xr:uid="{00000000-0004-0000-3900-000013000000}"/>
    <hyperlink ref="B6" location="'M-Cliente'!A6" display="#'M-Cliente'.A6" xr:uid="{00000000-0004-0000-3900-000014000000}"/>
    <hyperlink ref="C6" location="'M-Agenda'!A6" display="#'M-Agenda'.A6" xr:uid="{00000000-0004-0000-3900-000015000000}"/>
    <hyperlink ref="D6" location="'M-Regla'!A4" display="#'M-Regla'.A4" xr:uid="{00000000-0004-0000-3900-000016000000}"/>
    <hyperlink ref="E6" location="'M-Estado'!A8" display="#'M-Estado'.A8" xr:uid="{00000000-0004-0000-3900-000017000000}"/>
    <hyperlink ref="L6" location="'M-CitaServicio'!A4" display="#'M-CitaServicio'.A4" xr:uid="{00000000-0004-0000-3900-000018000000}"/>
    <hyperlink ref="M6" location="'M-CitaServicio'!A4" display="#'M-CitaServicio'.A4" xr:uid="{00000000-0004-0000-3900-000019000000}"/>
    <hyperlink ref="Q6" location="'M-CitaServicio'!A4" display="#'M-CitaServicio'.A4" xr:uid="{00000000-0004-0000-3900-00001A000000}"/>
    <hyperlink ref="B7" location="'M-Cliente'!A7" display="#'M-Cliente'.A7" xr:uid="{00000000-0004-0000-3900-00001B000000}"/>
    <hyperlink ref="C7" location="'M-Agenda'!A8" display="#'M-Agenda'.A8" xr:uid="{00000000-0004-0000-3900-00001C000000}"/>
    <hyperlink ref="D7" location="'M-Regla'!A4" display="#'M-Regla'.A4" xr:uid="{00000000-0004-0000-3900-00001D000000}"/>
    <hyperlink ref="E7" location="'M-Estado'!A10" display="#'M-Estado'.A10" xr:uid="{00000000-0004-0000-3900-00001E000000}"/>
    <hyperlink ref="L7" location="'M-CitaServicio'!A4" display="#'M-CitaServicio'.A4" xr:uid="{00000000-0004-0000-3900-00001F000000}"/>
    <hyperlink ref="M7" location="'M-CitaServicio'!A4" display="#'M-CitaServicio'.A4" xr:uid="{00000000-0004-0000-3900-000020000000}"/>
    <hyperlink ref="Q7" location="'M-CitaServicio'!A4" display="#'M-CitaServicio'.A4" xr:uid="{00000000-0004-0000-3900-000021000000}"/>
    <hyperlink ref="B8" location="'M-Cliente'!A7" display="#'M-Cliente'.A7" xr:uid="{00000000-0004-0000-3900-000022000000}"/>
    <hyperlink ref="C8" location="'M-Agenda'!A9" display="#'M-Agenda'.A9" xr:uid="{00000000-0004-0000-3900-000023000000}"/>
    <hyperlink ref="D8" location="'M-Regla'!A4" display="#'M-Regla'.A4" xr:uid="{00000000-0004-0000-3900-000024000000}"/>
    <hyperlink ref="E8" location="'M-Estado'!A9" display="#'M-Estado'.A9" xr:uid="{00000000-0004-0000-3900-000025000000}"/>
    <hyperlink ref="L8" location="'M-CitaServicio'!A4" display="#'M-CitaServicio'.A4" xr:uid="{00000000-0004-0000-3900-000026000000}"/>
    <hyperlink ref="M8" location="'M-CitaServicio'!A4" display="#'M-CitaServicio'.A4" xr:uid="{00000000-0004-0000-3900-000027000000}"/>
    <hyperlink ref="Q8" location="'M-CitaServicio'!A4" display="#'M-CitaServicio'.A4" xr:uid="{00000000-0004-0000-3900-000028000000}"/>
    <hyperlink ref="B9" location="'M-Cliente'!A4" display="#'M-Cliente'.A4" xr:uid="{00000000-0004-0000-3900-000029000000}"/>
    <hyperlink ref="C9" location="'M-Agenda'!A7" display="#'M-Agenda'.A7" xr:uid="{00000000-0004-0000-3900-00002A000000}"/>
    <hyperlink ref="D9" location="'M-Regla'!A4" display="#'M-Regla'.A4" xr:uid="{00000000-0004-0000-3900-00002B000000}"/>
    <hyperlink ref="E9" location="'M-Estado'!A5" display="#'M-Estado'.A5" xr:uid="{00000000-0004-0000-3900-00002C000000}"/>
    <hyperlink ref="L9" location="'M-CitaServicio'!A4" display="#'M-CitaServicio'.A4" xr:uid="{00000000-0004-0000-3900-00002D000000}"/>
    <hyperlink ref="M9" location="'M-CitaServicio'!A4" display="#'M-CitaServicio'.A4" xr:uid="{00000000-0004-0000-3900-00002E000000}"/>
    <hyperlink ref="Q9" location="'M-CitaServicio'!A4" display="#'M-CitaServicio'.A4" xr:uid="{00000000-0004-0000-3900-00002F000000}"/>
    <hyperlink ref="B10" location="'M-Cliente'!A8" display="#'M-Cliente'.A8" xr:uid="{00000000-0004-0000-3900-000030000000}"/>
    <hyperlink ref="C10" location="'M-Agenda'!A10" display="#'M-Agenda'.A10" xr:uid="{00000000-0004-0000-3900-000031000000}"/>
    <hyperlink ref="D10" location="'M-Regla'!A4" display="#'M-Regla'.A4" xr:uid="{00000000-0004-0000-3900-000032000000}"/>
    <hyperlink ref="E10" location="'M-Estado'!A10" display="#'M-Estado'.A10" xr:uid="{00000000-0004-0000-3900-000033000000}"/>
    <hyperlink ref="L10" location="'M-CitaServicio'!A4" display="#'M-CitaServicio'.A4" xr:uid="{00000000-0004-0000-3900-000034000000}"/>
    <hyperlink ref="M10" location="'M-CitaServicio'!A4" display="#'M-CitaServicio'.A4" xr:uid="{00000000-0004-0000-3900-000035000000}"/>
    <hyperlink ref="Q10" location="'M-CitaServicio'!A4" display="#'M-CitaServicio'.A4" xr:uid="{00000000-0004-0000-3900-000036000000}"/>
    <hyperlink ref="B11" location="'M-Cliente'!A8" display="#'M-Cliente'.A8" xr:uid="{00000000-0004-0000-3900-000037000000}"/>
    <hyperlink ref="C11" location="'M-Agenda'!A11" display="#'M-Agenda'.A11" xr:uid="{00000000-0004-0000-3900-000038000000}"/>
    <hyperlink ref="D11" location="'M-Regla'!A4" display="#'M-Regla'.A4" xr:uid="{00000000-0004-0000-3900-000039000000}"/>
    <hyperlink ref="E11" location="'M-Estado'!A10" display="#'M-Estado'.A10" xr:uid="{00000000-0004-0000-3900-00003A000000}"/>
    <hyperlink ref="L11" location="'M-CitaServicio'!A4" display="#'M-CitaServicio'.A4" xr:uid="{00000000-0004-0000-3900-00003B000000}"/>
    <hyperlink ref="M11" location="'M-CitaServicio'!A4" display="#'M-CitaServicio'.A4" xr:uid="{00000000-0004-0000-3900-00003C000000}"/>
    <hyperlink ref="Q11" location="'M-CitaServicio'!A4" display="#'M-CitaServicio'.A4" xr:uid="{00000000-0004-0000-3900-00003D000000}"/>
    <hyperlink ref="B12" location="'M-Cliente'!A8" display="#'M-Cliente'.A8" xr:uid="{00000000-0004-0000-3900-00003E000000}"/>
    <hyperlink ref="C12" location="'M-Agenda'!A12" display="#'M-Agenda'.A12" xr:uid="{00000000-0004-0000-3900-00003F000000}"/>
    <hyperlink ref="D12" location="'M-Regla'!A4" display="#'M-Regla'.A4" xr:uid="{00000000-0004-0000-3900-000040000000}"/>
    <hyperlink ref="E12" location="'M-Estado'!A10" display="#'M-Estado'.A10" xr:uid="{00000000-0004-0000-3900-000041000000}"/>
    <hyperlink ref="L12" location="'M-CitaServicio'!A4" display="#'M-CitaServicio'.A4" xr:uid="{00000000-0004-0000-3900-000042000000}"/>
    <hyperlink ref="M12" location="'M-CitaServicio'!A4" display="#'M-CitaServicio'.A4" xr:uid="{00000000-0004-0000-3900-000043000000}"/>
    <hyperlink ref="Q12" location="'M-CitaServicio'!A4" display="#'M-CitaServicio'.A4" xr:uid="{00000000-0004-0000-3900-000044000000}"/>
    <hyperlink ref="B13" location="'M-Cliente'!A5" display="#'M-Cliente'.A5" xr:uid="{00000000-0004-0000-3900-000045000000}"/>
    <hyperlink ref="C13" location="'M-Agenda'!A6" display="#'M-Agenda'.A6" xr:uid="{00000000-0004-0000-3900-000046000000}"/>
    <hyperlink ref="D13" location="'M-Regla'!A4" display="#'M-Regla'.A4" xr:uid="{00000000-0004-0000-3900-000047000000}"/>
    <hyperlink ref="E13" location="'M-Estado'!A5" display="#'M-Estado'.A5" xr:uid="{00000000-0004-0000-3900-000048000000}"/>
    <hyperlink ref="L13" location="'M-CitaServicio'!A4" display="#'M-CitaServicio'.A4" xr:uid="{00000000-0004-0000-3900-000049000000}"/>
    <hyperlink ref="M13" location="'M-CitaServicio'!A4" display="#'M-CitaServicio'.A4" xr:uid="{00000000-0004-0000-3900-00004A000000}"/>
    <hyperlink ref="Q13" location="'M-CitaServicio'!A4" display="#'M-CitaServicio'.A4" xr:uid="{00000000-0004-0000-3900-00004B000000}"/>
  </hyperlinks>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13"/>
  <sheetViews>
    <sheetView zoomScaleNormal="100" workbookViewId="0"/>
  </sheetViews>
  <sheetFormatPr baseColWidth="10" defaultColWidth="8.7109375" defaultRowHeight="15" x14ac:dyDescent="0.25"/>
  <cols>
    <col min="1" max="1" width="26.7109375" customWidth="1"/>
    <col min="2" max="2" width="45" customWidth="1"/>
    <col min="3" max="3" width="21.5703125" customWidth="1"/>
    <col min="4" max="4" width="26.7109375" customWidth="1"/>
    <col min="5" max="5" width="18" customWidth="1"/>
    <col min="13" max="13" width="40" customWidth="1"/>
    <col min="14" max="14" width="18" customWidth="1"/>
  </cols>
  <sheetData>
    <row r="1" spans="1:21" ht="15" customHeight="1" x14ac:dyDescent="0.25">
      <c r="A1" s="4" t="s">
        <v>1</v>
      </c>
      <c r="B1" s="4" t="s">
        <v>45</v>
      </c>
    </row>
    <row r="2" spans="1:21" ht="45" customHeight="1" x14ac:dyDescent="0.25">
      <c r="A2" s="117" t="s">
        <v>46</v>
      </c>
      <c r="B2" s="117" t="s">
        <v>47</v>
      </c>
      <c r="C2" s="117" t="s">
        <v>48</v>
      </c>
      <c r="D2" s="117" t="s">
        <v>49</v>
      </c>
      <c r="E2" s="117" t="s">
        <v>50</v>
      </c>
      <c r="F2" s="117" t="s">
        <v>51</v>
      </c>
      <c r="G2" s="117" t="s">
        <v>52</v>
      </c>
      <c r="H2" s="117" t="s">
        <v>53</v>
      </c>
      <c r="I2" s="117" t="s">
        <v>54</v>
      </c>
      <c r="J2" s="117" t="s">
        <v>55</v>
      </c>
      <c r="K2" s="117" t="s">
        <v>56</v>
      </c>
      <c r="L2" s="117" t="s">
        <v>57</v>
      </c>
      <c r="M2" s="117" t="s">
        <v>58</v>
      </c>
      <c r="N2" s="117" t="s">
        <v>59</v>
      </c>
      <c r="O2" s="117" t="s">
        <v>60</v>
      </c>
      <c r="P2" s="117" t="s">
        <v>61</v>
      </c>
      <c r="Q2" s="117" t="s">
        <v>62</v>
      </c>
      <c r="R2" s="117" t="s">
        <v>63</v>
      </c>
      <c r="S2" s="117" t="s">
        <v>64</v>
      </c>
      <c r="T2" s="117" t="s">
        <v>65</v>
      </c>
      <c r="U2" s="117" t="s">
        <v>66</v>
      </c>
    </row>
    <row r="3" spans="1:21" ht="45" customHeight="1" x14ac:dyDescent="0.25">
      <c r="A3" s="118" t="str">
        <f>'M-CitaServicio'!A3</f>
        <v>id</v>
      </c>
      <c r="B3" s="119" t="str">
        <f>'M-CitaServicio'!A2</f>
        <v>Representa un identificador que hará unico cada objeto de dominio de este tipo, no se puede repetir</v>
      </c>
      <c r="C3" s="118" t="s">
        <v>67</v>
      </c>
      <c r="D3" s="118" t="s">
        <v>68</v>
      </c>
      <c r="E3" s="118" t="s">
        <v>67</v>
      </c>
      <c r="F3" s="118" t="s">
        <v>69</v>
      </c>
      <c r="G3" s="118" t="s">
        <v>69</v>
      </c>
      <c r="H3" s="118" t="s">
        <v>69</v>
      </c>
      <c r="I3" s="118" t="s">
        <v>69</v>
      </c>
      <c r="J3" s="118" t="s">
        <v>69</v>
      </c>
      <c r="K3" s="118" t="s">
        <v>69</v>
      </c>
      <c r="L3" s="118" t="s">
        <v>69</v>
      </c>
      <c r="M3" s="118" t="s">
        <v>69</v>
      </c>
      <c r="N3" s="118" t="s">
        <v>70</v>
      </c>
      <c r="O3" s="118" t="s">
        <v>70</v>
      </c>
      <c r="P3" s="118" t="s">
        <v>69</v>
      </c>
      <c r="Q3" s="118" t="s">
        <v>70</v>
      </c>
      <c r="R3" s="118" t="s">
        <v>70</v>
      </c>
      <c r="S3" s="118" t="s">
        <v>70</v>
      </c>
      <c r="T3" s="118" t="s">
        <v>71</v>
      </c>
      <c r="U3" s="118" t="s">
        <v>67</v>
      </c>
    </row>
    <row r="4" spans="1:21" ht="30" customHeight="1" x14ac:dyDescent="0.25">
      <c r="A4" s="135" t="str">
        <f>'M-CitaServicio'!B3</f>
        <v>cita</v>
      </c>
      <c r="B4" s="135" t="str">
        <f>'M-CitaServicio'!B2</f>
        <v>Hace referencia a la cita a la que pertenece este servicio pedido</v>
      </c>
      <c r="C4" s="135" t="s">
        <v>70</v>
      </c>
      <c r="D4" s="145" t="s">
        <v>39</v>
      </c>
      <c r="E4" s="135" t="s">
        <v>67</v>
      </c>
      <c r="F4" s="135" t="s">
        <v>69</v>
      </c>
      <c r="G4" s="135" t="s">
        <v>69</v>
      </c>
      <c r="H4" s="135" t="s">
        <v>69</v>
      </c>
      <c r="I4" s="135" t="s">
        <v>69</v>
      </c>
      <c r="J4" s="135" t="s">
        <v>69</v>
      </c>
      <c r="K4" s="135" t="s">
        <v>69</v>
      </c>
      <c r="L4" s="135" t="s">
        <v>69</v>
      </c>
      <c r="M4" s="144" t="s">
        <v>304</v>
      </c>
      <c r="N4" s="135" t="s">
        <v>70</v>
      </c>
      <c r="O4" s="135" t="s">
        <v>69</v>
      </c>
      <c r="P4" s="135" t="s">
        <v>69</v>
      </c>
      <c r="Q4" s="135" t="s">
        <v>69</v>
      </c>
      <c r="R4" s="135" t="s">
        <v>69</v>
      </c>
      <c r="S4" s="135" t="s">
        <v>70</v>
      </c>
      <c r="T4" s="135" t="s">
        <v>71</v>
      </c>
      <c r="U4" s="135" t="s">
        <v>70</v>
      </c>
    </row>
    <row r="5" spans="1:21" ht="60" customHeight="1" x14ac:dyDescent="0.25">
      <c r="A5" s="118" t="str">
        <f>'M-CitaServicio'!C3</f>
        <v>barberoServicio</v>
      </c>
      <c r="B5" s="119" t="str">
        <f>'M-CitaServicio'!C2</f>
        <v>Hace referencia a qué servicio, de qué barbero específico, se pidió en esta cita. No se referencia el Servicio directamente porque un barbero podría no ofrecerlo</v>
      </c>
      <c r="C5" s="118" t="s">
        <v>70</v>
      </c>
      <c r="D5" s="120" t="s">
        <v>31</v>
      </c>
      <c r="E5" s="118" t="s">
        <v>67</v>
      </c>
      <c r="F5" s="118" t="s">
        <v>69</v>
      </c>
      <c r="G5" s="118" t="s">
        <v>69</v>
      </c>
      <c r="H5" s="118" t="s">
        <v>69</v>
      </c>
      <c r="I5" s="118" t="s">
        <v>69</v>
      </c>
      <c r="J5" s="118" t="s">
        <v>69</v>
      </c>
      <c r="K5" s="118" t="s">
        <v>69</v>
      </c>
      <c r="L5" s="118" t="s">
        <v>69</v>
      </c>
      <c r="M5" s="144" t="s">
        <v>304</v>
      </c>
      <c r="N5" s="118" t="s">
        <v>70</v>
      </c>
      <c r="O5" s="118" t="s">
        <v>69</v>
      </c>
      <c r="P5" s="118" t="s">
        <v>69</v>
      </c>
      <c r="Q5" s="118" t="s">
        <v>69</v>
      </c>
      <c r="R5" s="118" t="s">
        <v>69</v>
      </c>
      <c r="S5" s="118" t="s">
        <v>70</v>
      </c>
      <c r="T5" s="118" t="s">
        <v>71</v>
      </c>
      <c r="U5" s="118" t="s">
        <v>70</v>
      </c>
    </row>
    <row r="6" spans="1:21" ht="75" customHeight="1" x14ac:dyDescent="0.25">
      <c r="A6" s="135" t="str">
        <f>'M-CitaServicio'!D3</f>
        <v>precioServicio</v>
      </c>
      <c r="B6" s="135" t="str">
        <f>'M-CitaServicio'!D2</f>
        <v>Representa el precio que tenía el servicio en el momento en que se agendó esta cita. Es un dato auto generado: copia de Servicio.precio, para que cambios futuros en el precio del catálogo no alteren una cita ya registrada</v>
      </c>
      <c r="C6" s="135" t="s">
        <v>70</v>
      </c>
      <c r="D6" s="135" t="s">
        <v>157</v>
      </c>
      <c r="E6" s="135" t="s">
        <v>67</v>
      </c>
      <c r="F6" s="135" t="s">
        <v>69</v>
      </c>
      <c r="G6" s="135" t="s">
        <v>69</v>
      </c>
      <c r="H6" s="135" t="s">
        <v>69</v>
      </c>
      <c r="I6" s="135" t="s">
        <v>69</v>
      </c>
      <c r="J6" s="135">
        <v>0</v>
      </c>
      <c r="K6" s="135">
        <v>2000000</v>
      </c>
      <c r="L6" s="118" t="s">
        <v>69</v>
      </c>
      <c r="M6" s="135" t="s">
        <v>570</v>
      </c>
      <c r="N6" s="135" t="s">
        <v>70</v>
      </c>
      <c r="O6" s="135" t="s">
        <v>69</v>
      </c>
      <c r="P6" s="135" t="s">
        <v>69</v>
      </c>
      <c r="Q6" s="135" t="s">
        <v>69</v>
      </c>
      <c r="R6" s="135" t="s">
        <v>69</v>
      </c>
      <c r="S6" s="135" t="s">
        <v>70</v>
      </c>
      <c r="T6" s="135" t="s">
        <v>249</v>
      </c>
      <c r="U6" s="135" t="s">
        <v>67</v>
      </c>
    </row>
    <row r="7" spans="1:21" ht="75" customHeight="1" x14ac:dyDescent="0.25">
      <c r="A7" s="135" t="str">
        <f>'M-CitaServicio'!E3</f>
        <v>duracionEnHorasElServicio</v>
      </c>
      <c r="B7" s="135" t="str">
        <f>'M-CitaServicio'!E2</f>
        <v>Representa la duración en horas que tenía el servicio para ese barbero en el momento en que se agendó esta cita. Es un dato auto generado: copia de BarberoServicio.duracionServicio</v>
      </c>
      <c r="C7" s="135" t="s">
        <v>70</v>
      </c>
      <c r="D7" s="135" t="s">
        <v>157</v>
      </c>
      <c r="E7" s="135" t="s">
        <v>67</v>
      </c>
      <c r="F7" s="135" t="s">
        <v>69</v>
      </c>
      <c r="G7" s="135" t="s">
        <v>69</v>
      </c>
      <c r="H7" s="135" t="s">
        <v>69</v>
      </c>
      <c r="I7" s="135" t="s">
        <v>69</v>
      </c>
      <c r="J7" s="135">
        <v>0</v>
      </c>
      <c r="K7" s="135">
        <v>3</v>
      </c>
      <c r="L7" s="118" t="s">
        <v>69</v>
      </c>
      <c r="M7" s="135" t="s">
        <v>571</v>
      </c>
      <c r="N7" s="135" t="s">
        <v>70</v>
      </c>
      <c r="O7" s="135" t="s">
        <v>69</v>
      </c>
      <c r="P7" s="135" t="s">
        <v>69</v>
      </c>
      <c r="Q7" s="135" t="s">
        <v>69</v>
      </c>
      <c r="R7" s="135" t="s">
        <v>69</v>
      </c>
      <c r="S7" s="135" t="s">
        <v>70</v>
      </c>
      <c r="T7" s="158">
        <v>0</v>
      </c>
      <c r="U7" s="135" t="s">
        <v>67</v>
      </c>
    </row>
    <row r="8" spans="1:21" ht="60" customHeight="1" x14ac:dyDescent="0.25">
      <c r="A8" s="118" t="str">
        <f>'M-CitaServicio'!F3</f>
        <v>duracionEnMinutosElServicio</v>
      </c>
      <c r="B8" s="119" t="str">
        <f>'M-CitaServicio'!F2</f>
        <v>Representa la duración en minutos que tenía el servicio para ese barbero en el momento en que se agendó esta cita. Es un dato auto generado: copia de BarberoServicio.duracionServicio</v>
      </c>
      <c r="C8" s="118" t="s">
        <v>70</v>
      </c>
      <c r="D8" s="118" t="s">
        <v>157</v>
      </c>
      <c r="E8" s="118" t="s">
        <v>67</v>
      </c>
      <c r="F8" s="118" t="s">
        <v>69</v>
      </c>
      <c r="G8" s="118" t="s">
        <v>69</v>
      </c>
      <c r="H8" s="118" t="s">
        <v>69</v>
      </c>
      <c r="I8" s="118" t="s">
        <v>69</v>
      </c>
      <c r="J8" s="118">
        <v>0</v>
      </c>
      <c r="K8" s="118">
        <v>59</v>
      </c>
      <c r="L8" s="118" t="s">
        <v>69</v>
      </c>
      <c r="M8" s="119" t="s">
        <v>572</v>
      </c>
      <c r="N8" s="118" t="s">
        <v>70</v>
      </c>
      <c r="O8" s="118" t="s">
        <v>69</v>
      </c>
      <c r="P8" s="118" t="s">
        <v>69</v>
      </c>
      <c r="Q8" s="118" t="s">
        <v>69</v>
      </c>
      <c r="R8" s="118" t="s">
        <v>69</v>
      </c>
      <c r="S8" s="118" t="s">
        <v>70</v>
      </c>
      <c r="T8" s="118" t="s">
        <v>249</v>
      </c>
      <c r="U8" s="118" t="s">
        <v>67</v>
      </c>
    </row>
    <row r="9" spans="1:21" ht="105" customHeight="1" x14ac:dyDescent="0.25">
      <c r="A9" s="135" t="str">
        <f>'M-CitaServicio'!G3</f>
        <v>tiempoExtra</v>
      </c>
      <c r="B9" s="135" t="str">
        <f>'M-CitaServicio'!G2</f>
        <v>Representa el tiempo extra en minutos que ese barbero tenía configurado para este servicio en el momento en que se agendó la cita. Es un dato auto generado: copia de BarberoServicio.tiempoExtra, para que cambios futuros en el tiempo extra no alteren una cita ya registrada</v>
      </c>
      <c r="C9" s="135" t="s">
        <v>70</v>
      </c>
      <c r="D9" s="135" t="s">
        <v>157</v>
      </c>
      <c r="E9" s="135" t="s">
        <v>67</v>
      </c>
      <c r="F9" s="135" t="s">
        <v>69</v>
      </c>
      <c r="G9" s="135" t="s">
        <v>69</v>
      </c>
      <c r="H9" s="135" t="s">
        <v>69</v>
      </c>
      <c r="I9" s="135" t="s">
        <v>69</v>
      </c>
      <c r="J9" s="135">
        <v>0</v>
      </c>
      <c r="K9" s="135">
        <v>59</v>
      </c>
      <c r="L9" s="118" t="s">
        <v>69</v>
      </c>
      <c r="M9" s="135" t="s">
        <v>573</v>
      </c>
      <c r="N9" s="135" t="s">
        <v>70</v>
      </c>
      <c r="O9" s="135" t="s">
        <v>69</v>
      </c>
      <c r="P9" s="135" t="s">
        <v>69</v>
      </c>
      <c r="Q9" s="135" t="s">
        <v>69</v>
      </c>
      <c r="R9" s="135" t="s">
        <v>69</v>
      </c>
      <c r="S9" s="135" t="s">
        <v>70</v>
      </c>
      <c r="T9" s="135" t="s">
        <v>249</v>
      </c>
      <c r="U9" s="135" t="s">
        <v>67</v>
      </c>
    </row>
    <row r="11" spans="1:21" ht="15" customHeight="1" x14ac:dyDescent="0.25">
      <c r="A11" s="18" t="s">
        <v>75</v>
      </c>
      <c r="B11" s="18" t="s">
        <v>76</v>
      </c>
      <c r="C11" s="18" t="s">
        <v>77</v>
      </c>
    </row>
    <row r="12" spans="1:21" ht="57" customHeight="1" x14ac:dyDescent="0.25">
      <c r="A12" s="191" t="str">
        <f>'M-CitaServicio'!H3</f>
        <v xml:space="preserve">Combinación única </v>
      </c>
      <c r="B12" s="210" t="str">
        <f>'M-CitaServicio'!H2</f>
        <v>Combinación única que indica que un mismo servicio no se puede pedir dos veces en la misma cita, es decir que CitaServicio no puede tener la misma cita y el barberoServicio</v>
      </c>
      <c r="C12" s="19" t="str">
        <f>A4</f>
        <v>cita</v>
      </c>
    </row>
    <row r="13" spans="1:21" ht="15" customHeight="1" x14ac:dyDescent="0.25">
      <c r="A13" s="191"/>
      <c r="B13" s="191"/>
      <c r="C13" s="19" t="str">
        <f>A5</f>
        <v>barberoServicio</v>
      </c>
    </row>
  </sheetData>
  <mergeCells count="2">
    <mergeCell ref="A12:A13"/>
    <mergeCell ref="B12:B13"/>
  </mergeCells>
  <hyperlinks>
    <hyperlink ref="A1" location="'Modelo de Dominio'!A1" display="&lt;&lt;&lt;&lt; Ir al modulo de dominio" xr:uid="{00000000-0004-0000-3A00-000000000000}"/>
    <hyperlink ref="B1" location="'Objetos de Dominio'!A1" display="&lt;&lt;&lt;&lt; Ir a objetos de dominio" xr:uid="{00000000-0004-0000-3A00-000001000000}"/>
    <hyperlink ref="A3" location="'M-CitaServicio'!A3" display="#'M-CitaServicio'.A3" xr:uid="{00000000-0004-0000-3A00-000002000000}"/>
    <hyperlink ref="B3" location="'M-CitaServicio'!A2" display="#'M-CitaServicio'.A2" xr:uid="{00000000-0004-0000-3A00-000003000000}"/>
    <hyperlink ref="A4" location="'M-CitaServicio'!A3" display="#'M-CitaServicio'.A3" xr:uid="{00000000-0004-0000-3A00-000004000000}"/>
    <hyperlink ref="B4" location="'M-CitaServicio'!A2" display="#'M-CitaServicio'.A2" xr:uid="{00000000-0004-0000-3A00-000005000000}"/>
    <hyperlink ref="D4" location="'C-Cita'!A1" display="Cita" xr:uid="{00000000-0004-0000-3A00-000006000000}"/>
    <hyperlink ref="A5" location="'M-CitaServicio'!A3" display="#'M-CitaServicio'.A3" xr:uid="{00000000-0004-0000-3A00-000007000000}"/>
    <hyperlink ref="B5" location="'M-CitaServicio'!A2" display="#'M-CitaServicio'.A2" xr:uid="{00000000-0004-0000-3A00-000008000000}"/>
    <hyperlink ref="D5" location="'C-BarberoServicio'!A1" display="BarberoServicio" xr:uid="{00000000-0004-0000-3A00-000009000000}"/>
    <hyperlink ref="A6" location="'M-CitaServicio'!A3" display="#'M-CitaServicio'.A3" xr:uid="{00000000-0004-0000-3A00-00000A000000}"/>
    <hyperlink ref="B6" location="'M-CitaServicio'!A2" display="#'M-CitaServicio'.A2" xr:uid="{00000000-0004-0000-3A00-00000B000000}"/>
    <hyperlink ref="A8" location="'M-CitaServicio'!A3" display="#'M-CitaServicio'.A3" xr:uid="{00000000-0004-0000-3A00-00000C000000}"/>
    <hyperlink ref="B8" location="'M-CitaServicio'!A2" display="#'M-CitaServicio'.A2" xr:uid="{00000000-0004-0000-3A00-00000D000000}"/>
    <hyperlink ref="A9" location="'M-CitaServicio'!A3" display="#'M-CitaServicio'.A3" xr:uid="{00000000-0004-0000-3A00-00000E000000}"/>
    <hyperlink ref="B9" location="'M-CitaServicio'!A2" display="#'M-CitaServicio'.A2" xr:uid="{00000000-0004-0000-3A00-00000F000000}"/>
    <hyperlink ref="A12" location="'M-CitaServicio'!A3" display="#'M-CitaServicio'.A3" xr:uid="{00000000-0004-0000-3A00-000010000000}"/>
    <hyperlink ref="B12" location="'M-CitaServicio'!A2" display="#'M-CitaServicio'.A2" xr:uid="{00000000-0004-0000-3A00-000011000000}"/>
  </hyperlinks>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6"/>
  <sheetViews>
    <sheetView showGridLines="0" zoomScaleNormal="100" workbookViewId="0">
      <selection activeCell="A2" sqref="A2"/>
    </sheetView>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Dominio'!A17</f>
        <v>CitaServicio</v>
      </c>
      <c r="C2" s="185"/>
      <c r="D2" s="185"/>
      <c r="E2" s="185"/>
    </row>
    <row r="3" spans="1:5" ht="30" customHeight="1" x14ac:dyDescent="0.25">
      <c r="A3" s="23" t="s">
        <v>84</v>
      </c>
      <c r="B3" s="186" t="str">
        <f>'Objetos de Dominio'!B17</f>
        <v>Representa cada servicio incluido dentro de una cita puntual, guardando el precio y la duración que tenía ese servicio para ese barbero en el momento exacto en que se agendó, para que cambios futuros en el catálogo no alteren citas ya registradas</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30" customHeight="1" x14ac:dyDescent="0.25">
      <c r="A6" s="8"/>
      <c r="B6" s="184" t="s">
        <v>89</v>
      </c>
      <c r="C6" s="184"/>
      <c r="D6" s="24"/>
      <c r="E6" s="24"/>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3B00-000000000000}"/>
    <hyperlink ref="B1" location="'Objetos de Dominio'!A1" display="&lt;&lt; Ir al listado de objetos de dominio" xr:uid="{00000000-0004-0000-3B00-000001000000}"/>
    <hyperlink ref="C1" location="'C-CitaServicio'!A1" display="&lt;&lt; Ir a la caracterización del objeto de dominio" xr:uid="{00000000-0004-0000-3B00-000002000000}"/>
    <hyperlink ref="D1" location="'M-CitaServicio'!A1" display="Ir al muestreo de datos del objeto de dominio &gt;&gt;" xr:uid="{00000000-0004-0000-3B00-000003000000}"/>
    <hyperlink ref="E1" location="'E-CitaServicio'!A1" display="Ir al event storming del objeto de dominio &gt;&gt;" xr:uid="{0441D988-DBD0-4C22-B036-E5C2CF688C0B}"/>
  </hyperlink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10"/>
  <sheetViews>
    <sheetView showGridLines="0" topLeftCell="D1" zoomScaleNormal="100" workbookViewId="0">
      <selection activeCell="A2" sqref="A2"/>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Dominio'!A17</f>
        <v>CitaServicio</v>
      </c>
      <c r="C2" s="194"/>
      <c r="D2" s="194"/>
      <c r="E2" s="194"/>
      <c r="F2" s="194"/>
      <c r="G2" s="194"/>
      <c r="H2" s="194"/>
      <c r="I2" s="194"/>
      <c r="J2" s="194"/>
      <c r="K2" s="194"/>
    </row>
    <row r="3" spans="1:11" ht="30" customHeight="1" x14ac:dyDescent="0.25">
      <c r="A3" s="23" t="s">
        <v>84</v>
      </c>
      <c r="B3" s="195" t="str">
        <f>'Objetos de Dominio'!B17</f>
        <v>Representa cada servicio incluido dentro de una cita puntual, guardando el precio y la duración que tenía ese servicio para ese barbero en el momento exacto en que se agendó, para que cambios futuros en el catálogo no alteren citas ya registradas</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30" customHeight="1" x14ac:dyDescent="0.25">
      <c r="A7" s="3" t="s">
        <v>25</v>
      </c>
      <c r="B7" s="33" t="s">
        <v>574</v>
      </c>
      <c r="C7" s="33" t="s">
        <v>575</v>
      </c>
      <c r="D7" s="3" t="str">
        <f>$B$2</f>
        <v>CitaServicio</v>
      </c>
      <c r="E7" s="33"/>
      <c r="F7" s="33"/>
      <c r="G7" s="3"/>
      <c r="H7" s="34"/>
      <c r="I7" s="3"/>
      <c r="J7" s="33" t="s">
        <v>576</v>
      </c>
      <c r="K7" s="33"/>
    </row>
    <row r="8" spans="1:11" ht="30" customHeight="1" x14ac:dyDescent="0.25">
      <c r="A8" s="3" t="s">
        <v>27</v>
      </c>
      <c r="B8" s="33" t="s">
        <v>574</v>
      </c>
      <c r="C8" s="33" t="s">
        <v>575</v>
      </c>
      <c r="D8" s="3" t="str">
        <f>$B$2</f>
        <v>CitaServicio</v>
      </c>
      <c r="E8" s="33"/>
      <c r="F8" s="33"/>
      <c r="G8" s="3"/>
      <c r="H8" s="34"/>
      <c r="I8" s="3"/>
      <c r="J8" s="33" t="s">
        <v>576</v>
      </c>
      <c r="K8" s="33"/>
    </row>
    <row r="9" spans="1:11" ht="30" customHeight="1" x14ac:dyDescent="0.25">
      <c r="A9" s="3" t="s">
        <v>25</v>
      </c>
      <c r="B9" s="33" t="s">
        <v>577</v>
      </c>
      <c r="C9" s="33" t="s">
        <v>578</v>
      </c>
      <c r="D9" s="3" t="str">
        <f>$B$2</f>
        <v>CitaServicio</v>
      </c>
      <c r="E9" s="33"/>
      <c r="F9" s="33"/>
      <c r="G9" s="3"/>
      <c r="H9" s="34"/>
      <c r="I9" s="3"/>
      <c r="J9" s="33" t="s">
        <v>579</v>
      </c>
      <c r="K9" s="33"/>
    </row>
    <row r="10" spans="1:11" ht="30" customHeight="1" x14ac:dyDescent="0.25">
      <c r="A10" s="3" t="s">
        <v>27</v>
      </c>
      <c r="B10" s="33" t="s">
        <v>577</v>
      </c>
      <c r="C10" s="33" t="s">
        <v>578</v>
      </c>
      <c r="D10" s="3" t="str">
        <f>$B$2</f>
        <v>CitaServicio</v>
      </c>
      <c r="E10" s="33"/>
      <c r="F10" s="33"/>
      <c r="G10" s="3"/>
      <c r="H10" s="34"/>
      <c r="I10" s="3"/>
      <c r="J10" s="33" t="s">
        <v>579</v>
      </c>
      <c r="K10" s="33"/>
    </row>
  </sheetData>
  <mergeCells count="1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3C00-000000000000}"/>
    <hyperlink ref="C1" location="'Objetos de Dominio'!A1" display="&lt;&lt; Ir al listado de objetos de dominio" xr:uid="{00000000-0004-0000-3C00-000001000000}"/>
    <hyperlink ref="F1" location="'C-CitaServicio'!A1" display="&lt;&lt; Ir a la caracterización del objeto de dominio" xr:uid="{00000000-0004-0000-3C00-000002000000}"/>
    <hyperlink ref="J1" location="'M-CitaServicio'!A1" display="Ir al muestreo de datos del objeto de dominio &gt;&gt;" xr:uid="{00000000-0004-0000-3C00-000003000000}"/>
  </hyperlink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24"/>
  <sheetViews>
    <sheetView zoomScaleNormal="100" workbookViewId="0"/>
  </sheetViews>
  <sheetFormatPr baseColWidth="10" defaultColWidth="8.7109375" defaultRowHeight="15" x14ac:dyDescent="0.25"/>
  <cols>
    <col min="1" max="1" width="27" customWidth="1"/>
    <col min="2" max="2" width="33.7109375" customWidth="1"/>
    <col min="3" max="3" width="26.140625" customWidth="1"/>
    <col min="4" max="4" width="36.140625" customWidth="1"/>
    <col min="6" max="6" width="27.28515625" customWidth="1"/>
    <col min="7" max="7" width="45.42578125" customWidth="1"/>
    <col min="8" max="8" width="29.28515625" customWidth="1"/>
  </cols>
  <sheetData>
    <row r="1" spans="1:8" ht="14.25" customHeight="1" x14ac:dyDescent="0.25">
      <c r="A1" s="4" t="s">
        <v>1</v>
      </c>
      <c r="B1" s="4" t="s">
        <v>45</v>
      </c>
      <c r="C1" s="48"/>
      <c r="D1" s="48"/>
      <c r="E1" s="48"/>
      <c r="F1" s="48"/>
    </row>
    <row r="2" spans="1:8" ht="49.5" customHeight="1" x14ac:dyDescent="0.25">
      <c r="A2" s="35" t="s">
        <v>111</v>
      </c>
      <c r="B2" s="35" t="s">
        <v>580</v>
      </c>
      <c r="C2" s="35" t="s">
        <v>581</v>
      </c>
      <c r="D2" s="35" t="s">
        <v>582</v>
      </c>
      <c r="E2" s="35" t="s">
        <v>583</v>
      </c>
      <c r="F2" s="35" t="s">
        <v>584</v>
      </c>
      <c r="G2" s="159" t="s">
        <v>585</v>
      </c>
      <c r="H2" s="36" t="s">
        <v>586</v>
      </c>
    </row>
    <row r="3" spans="1:8" ht="14.25" customHeight="1" x14ac:dyDescent="0.25">
      <c r="A3" s="37" t="s">
        <v>114</v>
      </c>
      <c r="B3" s="124" t="s">
        <v>587</v>
      </c>
      <c r="C3" s="124" t="s">
        <v>588</v>
      </c>
      <c r="D3" s="97" t="s">
        <v>589</v>
      </c>
      <c r="E3" s="97" t="s">
        <v>590</v>
      </c>
      <c r="F3" s="97" t="s">
        <v>591</v>
      </c>
      <c r="G3" s="97" t="s">
        <v>405</v>
      </c>
      <c r="H3" s="39" t="s">
        <v>115</v>
      </c>
    </row>
    <row r="4" spans="1:8" ht="45" customHeight="1" x14ac:dyDescent="0.25">
      <c r="A4" s="40">
        <v>1</v>
      </c>
      <c r="B4" s="160" t="str">
        <f>'M-Cita'!R4</f>
        <v>+57-3245627890-Lunes-09:00-19:00-12/11/2023-1/01/1000-10:00-16:00-31/08/2026-10:00</v>
      </c>
      <c r="C4" s="160" t="str">
        <f>'M-BarberoServicio'!H4</f>
        <v>Juan García-Motilada</v>
      </c>
      <c r="D4" s="157">
        <f>'M-Servicio'!D4</f>
        <v>22000</v>
      </c>
      <c r="E4" s="157">
        <f>'M-BarberoServicio'!D4</f>
        <v>0</v>
      </c>
      <c r="F4" s="161">
        <f>'M-BarberoServicio'!E4</f>
        <v>45</v>
      </c>
      <c r="G4" s="161">
        <f>'M-BarberoServicio'!F4</f>
        <v>15</v>
      </c>
      <c r="H4" s="49" t="str">
        <f t="shared" ref="H4:H14" si="0">_xlfn.CONCAT(B4,"-",C4)</f>
        <v>+57-3245627890-Lunes-09:00-19:00-12/11/2023-1/01/1000-10:00-16:00-31/08/2026-10:00-Juan García-Motilada</v>
      </c>
    </row>
    <row r="5" spans="1:8" ht="45" customHeight="1" x14ac:dyDescent="0.25">
      <c r="A5" s="40">
        <v>2</v>
      </c>
      <c r="B5" s="152" t="str">
        <f>'M-Cita'!R5</f>
        <v>+57-3124518923-Martes-09:00-19:00-12/11/2023-1/01/1000-09:00-15:00-10/03/2026-09:30</v>
      </c>
      <c r="C5" s="152" t="str">
        <f>'M-BarberoServicio'!H5</f>
        <v>Juan Ortiz-Corte de barba</v>
      </c>
      <c r="D5" s="157">
        <f>'M-Servicio'!D5</f>
        <v>12000</v>
      </c>
      <c r="E5" s="157">
        <f>'M-BarberoServicio'!D5</f>
        <v>0</v>
      </c>
      <c r="F5" s="161">
        <f>'M-BarberoServicio'!E5</f>
        <v>10</v>
      </c>
      <c r="G5" s="161">
        <f>'M-BarberoServicio'!F5</f>
        <v>5</v>
      </c>
      <c r="H5" s="49" t="str">
        <f t="shared" si="0"/>
        <v>+57-3124518923-Martes-09:00-19:00-12/11/2023-1/01/1000-09:00-15:00-10/03/2026-09:30-Juan Ortiz-Corte de barba</v>
      </c>
    </row>
    <row r="6" spans="1:8" ht="60" customHeight="1" x14ac:dyDescent="0.25">
      <c r="A6" s="40">
        <v>3</v>
      </c>
      <c r="B6" s="152" t="str">
        <f>'M-Cita'!R6</f>
        <v>+57-3214533321-Jueves-09:00-19:00-12/11/2023-1/01/1000-13:00-19:00-14/05/2026-13:00</v>
      </c>
      <c r="C6" s="152" t="str">
        <f>'M-BarberoServicio'!H6</f>
        <v>Carlos Arbeladez-Perfilada de barba</v>
      </c>
      <c r="D6" s="157">
        <f>'M-Servicio'!D6</f>
        <v>15000</v>
      </c>
      <c r="E6" s="157">
        <f>'M-BarberoServicio'!D6</f>
        <v>0</v>
      </c>
      <c r="F6" s="161">
        <f>'M-BarberoServicio'!E6</f>
        <v>15</v>
      </c>
      <c r="G6" s="161">
        <f>'M-BarberoServicio'!F6</f>
        <v>5</v>
      </c>
      <c r="H6" s="49" t="str">
        <f t="shared" si="0"/>
        <v>+57-3214533321-Jueves-09:00-19:00-12/11/2023-1/01/1000-13:00-19:00-14/05/2026-13:00-Carlos Arbeladez-Perfilada de barba</v>
      </c>
    </row>
    <row r="7" spans="1:8" ht="75" customHeight="1" x14ac:dyDescent="0.25">
      <c r="A7" s="40">
        <v>4</v>
      </c>
      <c r="B7" s="152" t="str">
        <f>'M-Cita'!R7</f>
        <v>+91-9876543210-Sábado-08:00-21:00-12/12/2024-1/01/1000-08:00-14:00-22/11/2025-13:00</v>
      </c>
      <c r="C7" s="152" t="str">
        <f>'M-BarberoServicio'!H7</f>
        <v>Andres Ramirez-Arreglo completo de barba con toalla caliente</v>
      </c>
      <c r="D7" s="157">
        <f>'M-Servicio'!D7</f>
        <v>35000</v>
      </c>
      <c r="E7" s="157">
        <f>'M-BarberoServicio'!D7</f>
        <v>0</v>
      </c>
      <c r="F7" s="161">
        <f>'M-BarberoServicio'!E7</f>
        <v>40</v>
      </c>
      <c r="G7" s="161">
        <f>'M-BarberoServicio'!F7</f>
        <v>10</v>
      </c>
      <c r="H7" s="49" t="str">
        <f t="shared" si="0"/>
        <v>+91-9876543210-Sábado-08:00-21:00-12/12/2024-1/01/1000-08:00-14:00-22/11/2025-13:00-Andres Ramirez-Arreglo completo de barba con toalla caliente</v>
      </c>
    </row>
    <row r="8" spans="1:8" ht="60" customHeight="1" x14ac:dyDescent="0.25">
      <c r="A8" s="40">
        <v>5</v>
      </c>
      <c r="B8" s="152" t="str">
        <f>'M-Cita'!R8</f>
        <v>+57-3214533321-Jueves-09:00-19:00-12/11/2023-1/01/1000-13:00-19:00-06/08/2026-18:00</v>
      </c>
      <c r="C8" s="152" t="str">
        <f>'M-BarberoServicio'!H9</f>
        <v>Carlos Arbeladez-Corte de barba</v>
      </c>
      <c r="D8" s="157">
        <f>'M-Servicio'!D5</f>
        <v>12000</v>
      </c>
      <c r="E8" s="157">
        <f>'M-BarberoServicio'!D9</f>
        <v>0</v>
      </c>
      <c r="F8" s="161">
        <f>'M-BarberoServicio'!E9</f>
        <v>15</v>
      </c>
      <c r="G8" s="161">
        <f>'M-BarberoServicio'!F9</f>
        <v>5</v>
      </c>
      <c r="H8" s="49" t="str">
        <f t="shared" si="0"/>
        <v>+57-3214533321-Jueves-09:00-19:00-12/11/2023-1/01/1000-13:00-19:00-06/08/2026-18:00-Carlos Arbeladez-Corte de barba</v>
      </c>
    </row>
    <row r="9" spans="1:8" ht="75" customHeight="1" x14ac:dyDescent="0.25">
      <c r="A9" s="40">
        <v>6</v>
      </c>
      <c r="B9" s="152" t="str">
        <f>'M-Cita'!R9</f>
        <v>+91-9876543210-Festivo-10:00-15:00-12/12/2024-1/01/1000-12:00-15:00-20/02/2026-14:00</v>
      </c>
      <c r="C9" s="152" t="str">
        <f>'M-BarberoServicio'!H7</f>
        <v>Andres Ramirez-Arreglo completo de barba con toalla caliente</v>
      </c>
      <c r="D9" s="157">
        <f>'M-Servicio'!D7</f>
        <v>35000</v>
      </c>
      <c r="E9" s="157">
        <f>'M-BarberoServicio'!D7</f>
        <v>0</v>
      </c>
      <c r="F9" s="161">
        <f>'M-BarberoServicio'!E7</f>
        <v>40</v>
      </c>
      <c r="G9" s="161">
        <f>'M-BarberoServicio'!F7</f>
        <v>10</v>
      </c>
      <c r="H9" s="49" t="str">
        <f t="shared" si="0"/>
        <v>+91-9876543210-Festivo-10:00-15:00-12/12/2024-1/01/1000-12:00-15:00-20/02/2026-14:00-Andres Ramirez-Arreglo completo de barba con toalla caliente</v>
      </c>
    </row>
    <row r="10" spans="1:8" ht="45" customHeight="1" x14ac:dyDescent="0.25">
      <c r="A10" s="40">
        <v>7</v>
      </c>
      <c r="B10" s="152" t="str">
        <f>'M-Cita'!R10</f>
        <v>+57-3245627890-Lunes-09:00-19:00-12/11/2023-1/01/1000-10:00-16:00-01/06/2026-10:00</v>
      </c>
      <c r="C10" s="152" t="str">
        <f>'M-BarberoServicio'!H4</f>
        <v>Juan García-Motilada</v>
      </c>
      <c r="D10" s="157">
        <f>'M-Servicio'!D4</f>
        <v>22000</v>
      </c>
      <c r="E10" s="157">
        <f>'M-BarberoServicio'!D4</f>
        <v>0</v>
      </c>
      <c r="F10" s="161">
        <f>'M-BarberoServicio'!E4</f>
        <v>45</v>
      </c>
      <c r="G10" s="161">
        <f>'M-BarberoServicio'!F4</f>
        <v>15</v>
      </c>
      <c r="H10" s="50" t="str">
        <f t="shared" si="0"/>
        <v>+57-3245627890-Lunes-09:00-19:00-12/11/2023-1/01/1000-10:00-16:00-01/06/2026-10:00-Juan García-Motilada</v>
      </c>
    </row>
    <row r="11" spans="1:8" ht="45" customHeight="1" x14ac:dyDescent="0.25">
      <c r="A11" s="40">
        <v>8</v>
      </c>
      <c r="B11" s="152" t="str">
        <f>'M-Cita'!R11</f>
        <v>+57-3124518923-Martes-09:00-19:00-12/11/2023-1/01/1000-09:00-15:00-16/06/2026-09:00</v>
      </c>
      <c r="C11" s="152" t="str">
        <f>'M-BarberoServicio'!H5</f>
        <v>Juan Ortiz-Corte de barba</v>
      </c>
      <c r="D11" s="157">
        <f>'M-Servicio'!D5</f>
        <v>12000</v>
      </c>
      <c r="E11" s="157">
        <f>'M-BarberoServicio'!D5</f>
        <v>0</v>
      </c>
      <c r="F11" s="161">
        <f>'M-BarberoServicio'!E5</f>
        <v>10</v>
      </c>
      <c r="G11" s="161">
        <f>'M-BarberoServicio'!F5</f>
        <v>5</v>
      </c>
      <c r="H11" s="50" t="str">
        <f t="shared" si="0"/>
        <v>+57-3124518923-Martes-09:00-19:00-12/11/2023-1/01/1000-09:00-15:00-16/06/2026-09:00-Juan Ortiz-Corte de barba</v>
      </c>
    </row>
    <row r="12" spans="1:8" ht="60" customHeight="1" x14ac:dyDescent="0.25">
      <c r="A12" s="40">
        <v>9</v>
      </c>
      <c r="B12" s="152" t="str">
        <f>'M-Cita'!R12</f>
        <v>+57-3214533321-Jueves-09:00-19:00-12/11/2023-1/01/1000-13:00-19:00-02/07/2026-15:00</v>
      </c>
      <c r="C12" s="152" t="str">
        <f>'M-BarberoServicio'!H6</f>
        <v>Carlos Arbeladez-Perfilada de barba</v>
      </c>
      <c r="D12" s="157">
        <f>'M-Servicio'!D6</f>
        <v>15000</v>
      </c>
      <c r="E12" s="157">
        <f>'M-BarberoServicio'!D6</f>
        <v>0</v>
      </c>
      <c r="F12" s="161">
        <f>'M-BarberoServicio'!E6</f>
        <v>15</v>
      </c>
      <c r="G12" s="161">
        <f>'M-BarberoServicio'!F6</f>
        <v>5</v>
      </c>
      <c r="H12" s="50" t="str">
        <f t="shared" si="0"/>
        <v>+57-3214533321-Jueves-09:00-19:00-12/11/2023-1/01/1000-13:00-19:00-02/07/2026-15:00-Carlos Arbeladez-Perfilada de barba</v>
      </c>
    </row>
    <row r="13" spans="1:8" ht="60" customHeight="1" x14ac:dyDescent="0.25">
      <c r="A13" s="40">
        <v>10</v>
      </c>
      <c r="B13" s="152" t="str">
        <f>'M-Cita'!R13</f>
        <v>+57-3214533321-Jueves-09:00-19:00-12/11/2023-1/01/1000-13:00-19:00-14/05/2026-13:30</v>
      </c>
      <c r="C13" s="152" t="str">
        <f>'M-BarberoServicio'!H6</f>
        <v>Carlos Arbeladez-Perfilada de barba</v>
      </c>
      <c r="D13" s="157">
        <f>'M-Servicio'!D6</f>
        <v>15000</v>
      </c>
      <c r="E13" s="157">
        <f>'M-BarberoServicio'!D6</f>
        <v>0</v>
      </c>
      <c r="F13" s="161">
        <f>'M-BarberoServicio'!E6</f>
        <v>15</v>
      </c>
      <c r="G13" s="161">
        <f>'M-BarberoServicio'!F6</f>
        <v>5</v>
      </c>
      <c r="H13" s="50" t="str">
        <f t="shared" si="0"/>
        <v>+57-3214533321-Jueves-09:00-19:00-12/11/2023-1/01/1000-13:00-19:00-14/05/2026-13:30-Carlos Arbeladez-Perfilada de barba</v>
      </c>
    </row>
    <row r="14" spans="1:8" ht="60" customHeight="1" x14ac:dyDescent="0.25">
      <c r="A14" s="40">
        <v>11</v>
      </c>
      <c r="B14" s="152" t="str">
        <f>'M-Cita'!R13</f>
        <v>+57-3214533321-Jueves-09:00-19:00-12/11/2023-1/01/1000-13:00-19:00-14/05/2026-13:30</v>
      </c>
      <c r="C14" s="152" t="str">
        <f>'M-BarberoServicio'!H9</f>
        <v>Carlos Arbeladez-Corte de barba</v>
      </c>
      <c r="D14" s="157">
        <f>'M-Servicio'!D5</f>
        <v>12000</v>
      </c>
      <c r="E14" s="157">
        <f>'M-BarberoServicio'!D9</f>
        <v>0</v>
      </c>
      <c r="F14" s="161">
        <f>'M-BarberoServicio'!E9</f>
        <v>15</v>
      </c>
      <c r="G14" s="161">
        <f>'M-BarberoServicio'!F9</f>
        <v>5</v>
      </c>
      <c r="H14" s="50" t="str">
        <f t="shared" si="0"/>
        <v>+57-3214533321-Jueves-09:00-19:00-12/11/2023-1/01/1000-13:00-19:00-14/05/2026-13:30-Carlos Arbeladez-Corte de barba</v>
      </c>
    </row>
    <row r="15" spans="1:8" ht="28.5" customHeight="1" x14ac:dyDescent="0.25">
      <c r="B15" s="44"/>
    </row>
    <row r="16" spans="1:8" ht="28.5" customHeight="1" x14ac:dyDescent="0.25">
      <c r="B16" s="44"/>
    </row>
    <row r="17" spans="1:2" ht="28.5" customHeight="1" x14ac:dyDescent="0.25">
      <c r="B17" s="44"/>
    </row>
    <row r="18" spans="1:2" ht="28.5" customHeight="1" x14ac:dyDescent="0.25">
      <c r="B18" s="44"/>
    </row>
    <row r="19" spans="1:2" ht="28.5" customHeight="1" x14ac:dyDescent="0.25">
      <c r="B19" s="44"/>
    </row>
    <row r="20" spans="1:2" ht="28.5" customHeight="1" x14ac:dyDescent="0.25">
      <c r="A20" s="43"/>
      <c r="B20" s="44" t="s">
        <v>124</v>
      </c>
    </row>
    <row r="21" spans="1:2" ht="28.5" customHeight="1" x14ac:dyDescent="0.25">
      <c r="A21" s="45"/>
      <c r="B21" s="44" t="s">
        <v>125</v>
      </c>
    </row>
    <row r="22" spans="1:2" ht="28.5" customHeight="1" x14ac:dyDescent="0.25">
      <c r="A22" s="69"/>
      <c r="B22" s="44" t="s">
        <v>300</v>
      </c>
    </row>
    <row r="23" spans="1:2" ht="14.25" customHeight="1" x14ac:dyDescent="0.25">
      <c r="A23" s="71"/>
      <c r="B23" t="s">
        <v>191</v>
      </c>
    </row>
    <row r="24" spans="1:2" ht="14.25" customHeight="1" x14ac:dyDescent="0.25">
      <c r="A24" s="47"/>
      <c r="B24" t="s">
        <v>127</v>
      </c>
    </row>
  </sheetData>
  <hyperlinks>
    <hyperlink ref="A1" location="'Modelo de Dominio'!A1" display="&lt;&lt;&lt;&lt; Ir al modulo de dominio" xr:uid="{00000000-0004-0000-3D00-000000000000}"/>
    <hyperlink ref="B1" location="'Objetos de Dominio'!A1" display="&lt;&lt;&lt;&lt; Ir a objetos de dominio" xr:uid="{00000000-0004-0000-3D00-000001000000}"/>
    <hyperlink ref="B3" location="'M-Cita'!A1" display="cita" xr:uid="{00000000-0004-0000-3D00-000002000000}"/>
    <hyperlink ref="C3" location="'M-BarberoServicio'!A1" display="barberoServicio" xr:uid="{00000000-0004-0000-3D00-000003000000}"/>
    <hyperlink ref="B4" location="'M-Cita'!A4" display="#'M-Cita'.A4" xr:uid="{00000000-0004-0000-3D00-000004000000}"/>
    <hyperlink ref="C4" location="'M-BarberoServicio'!A4" display="#'M-BarberoServicio'.A4" xr:uid="{00000000-0004-0000-3D00-000005000000}"/>
    <hyperlink ref="D4" location="'M-Servicio'!A4" display="#'M-Servicio'.A4" xr:uid="{00000000-0004-0000-3D00-000006000000}"/>
    <hyperlink ref="F4" location="'M-BarberoServicio'!A4" display="#'M-BarberoServicio'.A4" xr:uid="{00000000-0004-0000-3D00-000007000000}"/>
    <hyperlink ref="G4" location="'M-BarberoServicio'!A4" display="#'M-BarberoServicio'.A4" xr:uid="{00000000-0004-0000-3D00-000008000000}"/>
    <hyperlink ref="B5" location="'M-Cita'!A5" display="#'M-Cita'.A5" xr:uid="{00000000-0004-0000-3D00-000009000000}"/>
    <hyperlink ref="C5" location="'M-BarberoServicio'!A5" display="#'M-BarberoServicio'.A5" xr:uid="{00000000-0004-0000-3D00-00000A000000}"/>
    <hyperlink ref="D5" location="'M-Servicio'!A5" display="#'M-Servicio'.A5" xr:uid="{00000000-0004-0000-3D00-00000B000000}"/>
    <hyperlink ref="F5" location="'M-BarberoServicio'!A5" display="#'M-BarberoServicio'.A5" xr:uid="{00000000-0004-0000-3D00-00000C000000}"/>
    <hyperlink ref="G5" location="'M-BarberoServicio'!A5" display="#'M-BarberoServicio'.A5" xr:uid="{00000000-0004-0000-3D00-00000D000000}"/>
    <hyperlink ref="B6" location="'M-Cita'!A6" display="#'M-Cita'.A6" xr:uid="{00000000-0004-0000-3D00-00000E000000}"/>
    <hyperlink ref="C6" location="'M-BarberoServicio'!A6" display="#'M-BarberoServicio'.A6" xr:uid="{00000000-0004-0000-3D00-00000F000000}"/>
    <hyperlink ref="D6" location="'M-Servicio'!A6" display="#'M-Servicio'.A6" xr:uid="{00000000-0004-0000-3D00-000010000000}"/>
    <hyperlink ref="F6" location="'M-BarberoServicio'!A6" display="#'M-BarberoServicio'.A6" xr:uid="{00000000-0004-0000-3D00-000011000000}"/>
    <hyperlink ref="G6" location="'M-BarberoServicio'!A6" display="#'M-BarberoServicio'.A6" xr:uid="{00000000-0004-0000-3D00-000012000000}"/>
    <hyperlink ref="B7" location="'M-Cita'!A7" display="#'M-Cita'.A7" xr:uid="{00000000-0004-0000-3D00-000013000000}"/>
    <hyperlink ref="C7" location="'M-BarberoServicio'!A7" display="#'M-BarberoServicio'.A7" xr:uid="{00000000-0004-0000-3D00-000014000000}"/>
    <hyperlink ref="D7" location="'M-Servicio'!A7" display="#'M-Servicio'.A7" xr:uid="{00000000-0004-0000-3D00-000015000000}"/>
    <hyperlink ref="F7" location="'M-BarberoServicio'!A7" display="#'M-BarberoServicio'.A7" xr:uid="{00000000-0004-0000-3D00-000016000000}"/>
    <hyperlink ref="G7" location="'M-BarberoServicio'!A7" display="#'M-BarberoServicio'.A7" xr:uid="{00000000-0004-0000-3D00-000017000000}"/>
    <hyperlink ref="B8" location="'M-Cita'!A8" display="#'M-Cita'.A8" xr:uid="{00000000-0004-0000-3D00-000018000000}"/>
    <hyperlink ref="C8" location="'M-BarberoServicio'!A9" display="#'M-BarberoServicio'.A9" xr:uid="{00000000-0004-0000-3D00-000019000000}"/>
    <hyperlink ref="D8" location="'M-Servicio'!A5" display="#'M-Servicio'.A5" xr:uid="{00000000-0004-0000-3D00-00001A000000}"/>
    <hyperlink ref="F8" location="'M-BarberoServicio'!A9" display="#'M-BarberoServicio'.A9" xr:uid="{00000000-0004-0000-3D00-00001B000000}"/>
    <hyperlink ref="G8" location="'M-BarberoServicio'!A9" display="#'M-BarberoServicio'.A9" xr:uid="{00000000-0004-0000-3D00-00001C000000}"/>
    <hyperlink ref="B9" location="'M-Cita'!A9" display="#'M-Cita'.A9" xr:uid="{00000000-0004-0000-3D00-00001D000000}"/>
    <hyperlink ref="C9" location="'M-BarberoServicio'!A7" display="#'M-BarberoServicio'.A7" xr:uid="{00000000-0004-0000-3D00-00001E000000}"/>
    <hyperlink ref="D9" location="'M-Servicio'!A7" display="#'M-Servicio'.A7" xr:uid="{00000000-0004-0000-3D00-00001F000000}"/>
    <hyperlink ref="F9" location="'M-BarberoServicio'!A7" display="#'M-BarberoServicio'.A7" xr:uid="{00000000-0004-0000-3D00-000020000000}"/>
    <hyperlink ref="G9" location="'M-BarberoServicio'!A7" display="#'M-BarberoServicio'.A7" xr:uid="{00000000-0004-0000-3D00-000021000000}"/>
    <hyperlink ref="B10" location="'M-Cita'!A10" display="#'M-Cita'.A10" xr:uid="{00000000-0004-0000-3D00-000022000000}"/>
    <hyperlink ref="C10" location="'M-BarberoServicio'!A4" display="#'M-BarberoServicio'.A4" xr:uid="{00000000-0004-0000-3D00-000023000000}"/>
    <hyperlink ref="D10" location="'M-Servicio'!A4" display="#'M-Servicio'.A4" xr:uid="{00000000-0004-0000-3D00-000024000000}"/>
    <hyperlink ref="F10" location="'M-BarberoServicio'!A4" display="#'M-BarberoServicio'.A4" xr:uid="{00000000-0004-0000-3D00-000025000000}"/>
    <hyperlink ref="G10" location="'M-BarberoServicio'!A4" display="#'M-BarberoServicio'.A4" xr:uid="{00000000-0004-0000-3D00-000026000000}"/>
    <hyperlink ref="B11" location="'M-Cita'!A11" display="#'M-Cita'.A11" xr:uid="{00000000-0004-0000-3D00-000027000000}"/>
    <hyperlink ref="C11" location="'M-BarberoServicio'!A5" display="#'M-BarberoServicio'.A5" xr:uid="{00000000-0004-0000-3D00-000028000000}"/>
    <hyperlink ref="D11" location="'M-Servicio'!A5" display="#'M-Servicio'.A5" xr:uid="{00000000-0004-0000-3D00-000029000000}"/>
    <hyperlink ref="F11" location="'M-BarberoServicio'!A5" display="#'M-BarberoServicio'.A5" xr:uid="{00000000-0004-0000-3D00-00002A000000}"/>
    <hyperlink ref="G11" location="'M-BarberoServicio'!A5" display="#'M-BarberoServicio'.A5" xr:uid="{00000000-0004-0000-3D00-00002B000000}"/>
    <hyperlink ref="B12" location="'M-Cita'!A12" display="#'M-Cita'.A12" xr:uid="{00000000-0004-0000-3D00-00002C000000}"/>
    <hyperlink ref="C12" location="'M-BarberoServicio'!A6" display="#'M-BarberoServicio'.A6" xr:uid="{00000000-0004-0000-3D00-00002D000000}"/>
    <hyperlink ref="D12" location="'M-Servicio'!A6" display="#'M-Servicio'.A6" xr:uid="{00000000-0004-0000-3D00-00002E000000}"/>
    <hyperlink ref="F12" location="'M-BarberoServicio'!A6" display="#'M-BarberoServicio'.A6" xr:uid="{00000000-0004-0000-3D00-00002F000000}"/>
    <hyperlink ref="G12" location="'M-BarberoServicio'!A6" display="#'M-BarberoServicio'.A6" xr:uid="{00000000-0004-0000-3D00-000030000000}"/>
    <hyperlink ref="B13" location="'M-Cita'!A13" display="#'M-Cita'.A13" xr:uid="{00000000-0004-0000-3D00-000031000000}"/>
    <hyperlink ref="C13" location="'M-BarberoServicio'!A6" display="#'M-BarberoServicio'.A6" xr:uid="{00000000-0004-0000-3D00-000032000000}"/>
    <hyperlink ref="D13" location="'M-Servicio'!A6" display="#'M-Servicio'.A6" xr:uid="{00000000-0004-0000-3D00-000033000000}"/>
    <hyperlink ref="F13" location="'M-BarberoServicio'!A6" display="#'M-BarberoServicio'.A6" xr:uid="{00000000-0004-0000-3D00-000034000000}"/>
    <hyperlink ref="G13" location="'M-BarberoServicio'!A6" display="#'M-BarberoServicio'.A6" xr:uid="{00000000-0004-0000-3D00-000035000000}"/>
    <hyperlink ref="B14" location="'M-Cita'!A13" display="#'M-Cita'.A13" xr:uid="{00000000-0004-0000-3D00-000036000000}"/>
    <hyperlink ref="C14" location="'M-BarberoServicio'!A9" display="#'M-BarberoServicio'.A9" xr:uid="{00000000-0004-0000-3D00-000037000000}"/>
    <hyperlink ref="D14" location="'M-Servicio'!A5" display="#'M-Servicio'.A5" xr:uid="{00000000-0004-0000-3D00-000038000000}"/>
    <hyperlink ref="F14" location="'M-BarberoServicio'!A9" display="#'M-BarberoServicio'.A9" xr:uid="{00000000-0004-0000-3D00-000039000000}"/>
    <hyperlink ref="G14" location="'M-BarberoServicio'!A9" display="#'M-BarberoServicio'.A9" xr:uid="{00000000-0004-0000-3D00-00003A000000}"/>
  </hyperlinks>
  <pageMargins left="0.75" right="0.75" top="1" bottom="1"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12"/>
  <sheetViews>
    <sheetView zoomScaleNormal="100" workbookViewId="0"/>
  </sheetViews>
  <sheetFormatPr baseColWidth="10" defaultColWidth="8.7109375" defaultRowHeight="15" x14ac:dyDescent="0.25"/>
  <cols>
    <col min="1" max="1" width="26.7109375" customWidth="1"/>
    <col min="2" max="2" width="45" customWidth="1"/>
    <col min="3" max="3" width="21.5703125" customWidth="1"/>
    <col min="4" max="4" width="24.28515625" customWidth="1"/>
    <col min="5" max="5" width="18" customWidth="1"/>
    <col min="13" max="13" width="40" customWidth="1"/>
    <col min="14" max="14" width="18" customWidth="1"/>
  </cols>
  <sheetData>
    <row r="1" spans="1:21" ht="15" customHeight="1" x14ac:dyDescent="0.25">
      <c r="A1" s="4" t="s">
        <v>1</v>
      </c>
      <c r="B1" s="4" t="s">
        <v>45</v>
      </c>
    </row>
    <row r="2" spans="1:21" ht="45" customHeight="1" x14ac:dyDescent="0.25">
      <c r="A2" s="117" t="s">
        <v>46</v>
      </c>
      <c r="B2" s="117" t="s">
        <v>47</v>
      </c>
      <c r="C2" s="117" t="s">
        <v>48</v>
      </c>
      <c r="D2" s="117" t="s">
        <v>49</v>
      </c>
      <c r="E2" s="117" t="s">
        <v>50</v>
      </c>
      <c r="F2" s="117" t="s">
        <v>51</v>
      </c>
      <c r="G2" s="117" t="s">
        <v>52</v>
      </c>
      <c r="H2" s="117" t="s">
        <v>53</v>
      </c>
      <c r="I2" s="117" t="s">
        <v>54</v>
      </c>
      <c r="J2" s="117" t="s">
        <v>55</v>
      </c>
      <c r="K2" s="117" t="s">
        <v>56</v>
      </c>
      <c r="L2" s="117" t="s">
        <v>57</v>
      </c>
      <c r="M2" s="117" t="s">
        <v>58</v>
      </c>
      <c r="N2" s="117" t="s">
        <v>59</v>
      </c>
      <c r="O2" s="117" t="s">
        <v>60</v>
      </c>
      <c r="P2" s="117" t="s">
        <v>61</v>
      </c>
      <c r="Q2" s="117" t="s">
        <v>62</v>
      </c>
      <c r="R2" s="117" t="s">
        <v>63</v>
      </c>
      <c r="S2" s="117" t="s">
        <v>64</v>
      </c>
      <c r="T2" s="117" t="s">
        <v>65</v>
      </c>
      <c r="U2" s="117" t="s">
        <v>66</v>
      </c>
    </row>
    <row r="3" spans="1:21" ht="45" customHeight="1" x14ac:dyDescent="0.25">
      <c r="A3" s="118" t="str">
        <f>'M-Multa'!A3</f>
        <v>id</v>
      </c>
      <c r="B3" s="119" t="str">
        <f>'M-Multa'!A2</f>
        <v>Representa un identificador que hará unico cada objeto de dominio de este tipo, no se puede repetir</v>
      </c>
      <c r="C3" s="118" t="s">
        <v>67</v>
      </c>
      <c r="D3" s="118" t="s">
        <v>68</v>
      </c>
      <c r="E3" s="118" t="s">
        <v>67</v>
      </c>
      <c r="F3" s="118" t="s">
        <v>69</v>
      </c>
      <c r="G3" s="118" t="s">
        <v>69</v>
      </c>
      <c r="H3" s="118" t="s">
        <v>69</v>
      </c>
      <c r="I3" s="118" t="s">
        <v>69</v>
      </c>
      <c r="J3" s="118" t="s">
        <v>69</v>
      </c>
      <c r="K3" s="118" t="s">
        <v>69</v>
      </c>
      <c r="L3" s="118" t="s">
        <v>69</v>
      </c>
      <c r="M3" s="119" t="s">
        <v>69</v>
      </c>
      <c r="N3" s="118" t="s">
        <v>70</v>
      </c>
      <c r="O3" s="135" t="s">
        <v>69</v>
      </c>
      <c r="P3" s="118" t="s">
        <v>69</v>
      </c>
      <c r="Q3" s="135" t="s">
        <v>69</v>
      </c>
      <c r="R3" s="135" t="s">
        <v>69</v>
      </c>
      <c r="S3" s="135" t="s">
        <v>70</v>
      </c>
      <c r="T3" s="118" t="s">
        <v>71</v>
      </c>
      <c r="U3" s="118" t="s">
        <v>67</v>
      </c>
    </row>
    <row r="4" spans="1:21" ht="75" customHeight="1" x14ac:dyDescent="0.25">
      <c r="A4" s="135" t="str">
        <f>'M-Multa'!B3</f>
        <v>cita</v>
      </c>
      <c r="B4" s="135" t="str">
        <f>'M-Multa'!B2</f>
        <v>Hace referencia a la cita puntual que el cliente incumplió (llegando tarde fuera de la tolerancia o no presentándose), de esa cita es de donde sale el valor de monto si fue el caso de no presentase</v>
      </c>
      <c r="C4" s="135" t="s">
        <v>70</v>
      </c>
      <c r="D4" s="145" t="s">
        <v>39</v>
      </c>
      <c r="E4" s="135" t="s">
        <v>67</v>
      </c>
      <c r="F4" s="135" t="s">
        <v>69</v>
      </c>
      <c r="G4" s="135" t="s">
        <v>69</v>
      </c>
      <c r="H4" s="135" t="s">
        <v>69</v>
      </c>
      <c r="I4" s="135" t="s">
        <v>69</v>
      </c>
      <c r="J4" s="135" t="s">
        <v>69</v>
      </c>
      <c r="K4" s="135" t="s">
        <v>69</v>
      </c>
      <c r="L4" s="135" t="s">
        <v>69</v>
      </c>
      <c r="M4" s="135" t="s">
        <v>304</v>
      </c>
      <c r="N4" s="135" t="s">
        <v>70</v>
      </c>
      <c r="O4" s="135" t="s">
        <v>69</v>
      </c>
      <c r="P4" s="135" t="s">
        <v>69</v>
      </c>
      <c r="Q4" s="135" t="s">
        <v>69</v>
      </c>
      <c r="R4" s="135" t="s">
        <v>69</v>
      </c>
      <c r="S4" s="135" t="s">
        <v>70</v>
      </c>
      <c r="T4" s="135" t="s">
        <v>71</v>
      </c>
      <c r="U4" s="135" t="s">
        <v>70</v>
      </c>
    </row>
    <row r="5" spans="1:21" ht="45" customHeight="1" x14ac:dyDescent="0.25">
      <c r="A5" s="118" t="str">
        <f>'M-Multa'!C3</f>
        <v>tipo</v>
      </c>
      <c r="B5" s="119" t="str">
        <f>'M-Multa'!C2</f>
        <v>Hace referencia al tipo de multa -tardanza o inasistencia- según lo que haya ocurrido con la cita</v>
      </c>
      <c r="C5" s="118" t="s">
        <v>70</v>
      </c>
      <c r="D5" s="120" t="s">
        <v>23</v>
      </c>
      <c r="E5" s="118" t="s">
        <v>67</v>
      </c>
      <c r="F5" s="118" t="s">
        <v>69</v>
      </c>
      <c r="G5" s="118" t="s">
        <v>69</v>
      </c>
      <c r="H5" s="118" t="s">
        <v>69</v>
      </c>
      <c r="I5" s="118" t="s">
        <v>69</v>
      </c>
      <c r="J5" s="118" t="s">
        <v>69</v>
      </c>
      <c r="K5" s="118" t="s">
        <v>69</v>
      </c>
      <c r="L5" s="118" t="s">
        <v>69</v>
      </c>
      <c r="M5" s="119" t="s">
        <v>304</v>
      </c>
      <c r="N5" s="118" t="s">
        <v>70</v>
      </c>
      <c r="O5" s="118" t="s">
        <v>69</v>
      </c>
      <c r="P5" s="118" t="s">
        <v>69</v>
      </c>
      <c r="Q5" s="118" t="s">
        <v>69</v>
      </c>
      <c r="R5" s="118" t="s">
        <v>69</v>
      </c>
      <c r="S5" s="118" t="s">
        <v>70</v>
      </c>
      <c r="T5" s="118" t="s">
        <v>71</v>
      </c>
      <c r="U5" s="118" t="s">
        <v>70</v>
      </c>
    </row>
    <row r="6" spans="1:21" ht="105" customHeight="1" x14ac:dyDescent="0.25">
      <c r="A6" s="135" t="str">
        <f>'M-Multa'!D3</f>
        <v>monto</v>
      </c>
      <c r="B6" s="135" t="str">
        <f>'M-Multa'!D2</f>
        <v>Representa cuánto dinero en pesos colombianos debe pagar el cliente por esta multa. Es un dato auto generado: si el tipo es Tardanza copia el monto fijo de Regla.montoMultaTardanzaCliente; si el tipo es Inasistencia copia el precioFinal de la Cita incumplida</v>
      </c>
      <c r="C6" s="135" t="s">
        <v>70</v>
      </c>
      <c r="D6" s="135" t="s">
        <v>157</v>
      </c>
      <c r="E6" s="135" t="s">
        <v>67</v>
      </c>
      <c r="F6" s="135" t="s">
        <v>69</v>
      </c>
      <c r="G6" s="135" t="s">
        <v>69</v>
      </c>
      <c r="H6" s="135" t="s">
        <v>69</v>
      </c>
      <c r="I6" s="135" t="s">
        <v>69</v>
      </c>
      <c r="J6" s="135">
        <v>0</v>
      </c>
      <c r="K6" s="162">
        <v>1000000</v>
      </c>
      <c r="L6" s="118" t="s">
        <v>69</v>
      </c>
      <c r="M6" s="135" t="s">
        <v>592</v>
      </c>
      <c r="N6" s="135" t="s">
        <v>70</v>
      </c>
      <c r="O6" s="135" t="s">
        <v>69</v>
      </c>
      <c r="P6" s="135" t="s">
        <v>69</v>
      </c>
      <c r="Q6" s="135" t="s">
        <v>69</v>
      </c>
      <c r="R6" s="135" t="s">
        <v>69</v>
      </c>
      <c r="S6" s="135" t="s">
        <v>70</v>
      </c>
      <c r="T6" s="135" t="s">
        <v>249</v>
      </c>
      <c r="U6" s="135" t="s">
        <v>67</v>
      </c>
    </row>
    <row r="7" spans="1:21" ht="105" customHeight="1" x14ac:dyDescent="0.25">
      <c r="A7" s="118" t="str">
        <f>'M-Multa'!E3</f>
        <v>horaGeneracion</v>
      </c>
      <c r="B7" s="119" t="str">
        <f>'M-Multa'!E2</f>
        <v>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v>
      </c>
      <c r="C7" s="118" t="s">
        <v>70</v>
      </c>
      <c r="D7" s="118" t="s">
        <v>345</v>
      </c>
      <c r="E7" s="118" t="s">
        <v>67</v>
      </c>
      <c r="F7" s="118" t="s">
        <v>69</v>
      </c>
      <c r="G7" s="118" t="s">
        <v>69</v>
      </c>
      <c r="H7" s="118" t="s">
        <v>69</v>
      </c>
      <c r="I7" s="118" t="s">
        <v>69</v>
      </c>
      <c r="J7" s="118" t="s">
        <v>69</v>
      </c>
      <c r="K7" s="118" t="s">
        <v>69</v>
      </c>
      <c r="L7" s="118" t="s">
        <v>69</v>
      </c>
      <c r="M7" s="119" t="s">
        <v>593</v>
      </c>
      <c r="N7" s="118" t="s">
        <v>70</v>
      </c>
      <c r="O7" s="118" t="s">
        <v>69</v>
      </c>
      <c r="P7" s="118" t="s">
        <v>69</v>
      </c>
      <c r="Q7" s="118" t="s">
        <v>69</v>
      </c>
      <c r="R7" s="118" t="s">
        <v>69</v>
      </c>
      <c r="S7" s="118" t="s">
        <v>70</v>
      </c>
      <c r="T7" s="118" t="s">
        <v>346</v>
      </c>
      <c r="U7" s="118" t="s">
        <v>67</v>
      </c>
    </row>
    <row r="8" spans="1:21" ht="60" customHeight="1" x14ac:dyDescent="0.25">
      <c r="A8" s="135" t="str">
        <f>'M-Multa'!F3</f>
        <v>fechaHoraPago</v>
      </c>
      <c r="B8" s="135" t="str">
        <f>'M-Multa'!F2</f>
        <v>Representa la fecha y hora en la que el cliente pagó esta multa. Su valor por defecto es 01/01/1000 00:00 y es permitido: significa que la multa sigue sin pagar</v>
      </c>
      <c r="C8" s="135" t="s">
        <v>70</v>
      </c>
      <c r="D8" s="135" t="s">
        <v>594</v>
      </c>
      <c r="E8" s="135" t="s">
        <v>70</v>
      </c>
      <c r="F8" s="135" t="s">
        <v>69</v>
      </c>
      <c r="G8" s="135" t="s">
        <v>69</v>
      </c>
      <c r="H8" s="135" t="s">
        <v>69</v>
      </c>
      <c r="I8" s="135" t="s">
        <v>69</v>
      </c>
      <c r="J8" s="135" t="s">
        <v>69</v>
      </c>
      <c r="K8" s="135" t="s">
        <v>69</v>
      </c>
      <c r="L8" s="118" t="s">
        <v>69</v>
      </c>
      <c r="M8" s="135" t="s">
        <v>69</v>
      </c>
      <c r="N8" s="135" t="s">
        <v>70</v>
      </c>
      <c r="O8" s="135" t="s">
        <v>69</v>
      </c>
      <c r="P8" s="135" t="s">
        <v>69</v>
      </c>
      <c r="Q8" s="135" t="s">
        <v>69</v>
      </c>
      <c r="R8" s="135" t="s">
        <v>69</v>
      </c>
      <c r="S8" s="135" t="s">
        <v>70</v>
      </c>
      <c r="T8" s="135" t="s">
        <v>407</v>
      </c>
      <c r="U8" s="135" t="s">
        <v>70</v>
      </c>
    </row>
    <row r="9" spans="1:21" ht="60" customHeight="1" x14ac:dyDescent="0.25">
      <c r="A9" s="118" t="str">
        <f>'M-Multa'!G3</f>
        <v>pagada</v>
      </c>
      <c r="B9" s="119" t="str">
        <f>'M-Multa'!G2</f>
        <v>Representa si el cliente ya pagó o no esta multa, es el dato que se revisa para decidir si un cliente llega al número de multas sin pagar que activa el veto</v>
      </c>
      <c r="C9" s="118" t="s">
        <v>70</v>
      </c>
      <c r="D9" s="118" t="s">
        <v>158</v>
      </c>
      <c r="E9" s="118" t="s">
        <v>67</v>
      </c>
      <c r="F9" s="118" t="s">
        <v>69</v>
      </c>
      <c r="G9" s="118" t="s">
        <v>69</v>
      </c>
      <c r="H9" s="118" t="s">
        <v>69</v>
      </c>
      <c r="I9" s="118" t="s">
        <v>69</v>
      </c>
      <c r="J9" s="118" t="s">
        <v>69</v>
      </c>
      <c r="K9" s="118" t="s">
        <v>69</v>
      </c>
      <c r="L9" s="118" t="s">
        <v>69</v>
      </c>
      <c r="M9" s="119" t="s">
        <v>69</v>
      </c>
      <c r="N9" s="118" t="s">
        <v>70</v>
      </c>
      <c r="O9" s="118" t="s">
        <v>69</v>
      </c>
      <c r="P9" s="118" t="s">
        <v>69</v>
      </c>
      <c r="Q9" s="118" t="s">
        <v>69</v>
      </c>
      <c r="R9" s="118" t="s">
        <v>69</v>
      </c>
      <c r="S9" s="118" t="s">
        <v>70</v>
      </c>
      <c r="T9" s="118" t="s">
        <v>70</v>
      </c>
      <c r="U9" s="118" t="s">
        <v>70</v>
      </c>
    </row>
    <row r="11" spans="1:21" ht="15" customHeight="1" x14ac:dyDescent="0.25">
      <c r="A11" s="18" t="s">
        <v>75</v>
      </c>
      <c r="B11" s="18" t="s">
        <v>76</v>
      </c>
      <c r="C11" s="18" t="s">
        <v>77</v>
      </c>
    </row>
    <row r="12" spans="1:21" ht="30" customHeight="1" x14ac:dyDescent="0.25">
      <c r="A12" s="93" t="str">
        <f>'M-Multa'!H3</f>
        <v>Combinación única</v>
      </c>
      <c r="B12" s="94" t="str">
        <f>'M-Multa'!H2</f>
        <v>Combinación única que indica que una misma cita no puede generar más de una multa</v>
      </c>
      <c r="C12" s="19" t="str">
        <f>A4</f>
        <v>cita</v>
      </c>
    </row>
  </sheetData>
  <hyperlinks>
    <hyperlink ref="A1" location="'Modelo de Dominio'!A1" display="&lt;&lt;&lt;&lt; Ir al modulo de dominio" xr:uid="{00000000-0004-0000-3E00-000000000000}"/>
    <hyperlink ref="B1" location="'Objetos de Dominio'!A1" display="&lt;&lt;&lt;&lt; Ir a objetos de dominio" xr:uid="{00000000-0004-0000-3E00-000001000000}"/>
    <hyperlink ref="A3" location="'M-Multa'!A3" display="#'M-Multa'.A3" xr:uid="{00000000-0004-0000-3E00-000002000000}"/>
    <hyperlink ref="B3" location="'M-Multa'!A2" display="#'M-Multa'.A2" xr:uid="{00000000-0004-0000-3E00-000003000000}"/>
    <hyperlink ref="A4" location="'M-Multa'!A3" display="#'M-Multa'.A3" xr:uid="{00000000-0004-0000-3E00-000004000000}"/>
    <hyperlink ref="B4" location="'M-Multa'!A2" display="#'M-Multa'.A2" xr:uid="{00000000-0004-0000-3E00-000005000000}"/>
    <hyperlink ref="D4" location="'C-Cita'!A1" display="Cita" xr:uid="{00000000-0004-0000-3E00-000006000000}"/>
    <hyperlink ref="A5" location="'M-Multa'!A3" display="#'M-Multa'.A3" xr:uid="{00000000-0004-0000-3E00-000007000000}"/>
    <hyperlink ref="B5" location="'M-Multa'!A2" display="#'M-Multa'.A2" xr:uid="{00000000-0004-0000-3E00-000008000000}"/>
    <hyperlink ref="D5" location="'C-TipoMulta'!A1" display="TipoMulta" xr:uid="{00000000-0004-0000-3E00-000009000000}"/>
    <hyperlink ref="A6" location="'M-Multa'!A3" display="#'M-Multa'.A3" xr:uid="{00000000-0004-0000-3E00-00000A000000}"/>
    <hyperlink ref="B6" location="'M-Multa'!A2" display="#'M-Multa'.A2" xr:uid="{00000000-0004-0000-3E00-00000B000000}"/>
    <hyperlink ref="A7" location="'M-Multa'!A3" display="#'M-Multa'.A3" xr:uid="{00000000-0004-0000-3E00-00000C000000}"/>
    <hyperlink ref="B7" location="'M-Multa'!A2" display="#'M-Multa'.A2" xr:uid="{00000000-0004-0000-3E00-00000D000000}"/>
    <hyperlink ref="A8" location="'M-Multa'!A3" display="#'M-Multa'.A3" xr:uid="{00000000-0004-0000-3E00-00000E000000}"/>
    <hyperlink ref="B8" location="'M-Multa'!A2" display="#'M-Multa'.A2" xr:uid="{00000000-0004-0000-3E00-00000F000000}"/>
    <hyperlink ref="A9" location="'M-Multa'!A3" display="#'M-Multa'.A3" xr:uid="{00000000-0004-0000-3E00-000010000000}"/>
    <hyperlink ref="B9" location="'M-Multa'!A2" display="#'M-Multa'.A2" xr:uid="{00000000-0004-0000-3E00-000011000000}"/>
    <hyperlink ref="A12" location="'M-Multa'!A3" display="#'M-Multa'.A3" xr:uid="{00000000-0004-0000-3E00-000012000000}"/>
    <hyperlink ref="B12" location="'M-Multa'!A2" display="#'M-Multa'.A2" xr:uid="{00000000-0004-0000-3E00-000013000000}"/>
  </hyperlinks>
  <pageMargins left="0.75" right="0.75" top="1" bottom="1"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7"/>
  <sheetViews>
    <sheetView showGridLines="0" zoomScaleNormal="100" workbookViewId="0">
      <selection activeCell="D10" sqref="D10"/>
    </sheetView>
  </sheetViews>
  <sheetFormatPr baseColWidth="10" defaultColWidth="8.7109375" defaultRowHeight="15" x14ac:dyDescent="0.25"/>
  <cols>
    <col min="1" max="1" width="16" customWidth="1"/>
    <col min="2" max="2" width="60" customWidth="1"/>
    <col min="3" max="3" width="4" customWidth="1"/>
    <col min="4" max="5" width="20" customWidth="1"/>
  </cols>
  <sheetData>
    <row r="1" spans="1:5" ht="15" customHeight="1" x14ac:dyDescent="0.25">
      <c r="A1" s="1" t="s">
        <v>79</v>
      </c>
      <c r="B1" s="1" t="s">
        <v>80</v>
      </c>
      <c r="C1" s="1" t="s">
        <v>81</v>
      </c>
      <c r="D1" s="1" t="s">
        <v>82</v>
      </c>
      <c r="E1" s="175" t="s">
        <v>628</v>
      </c>
    </row>
    <row r="2" spans="1:5" ht="15" customHeight="1" x14ac:dyDescent="0.25">
      <c r="A2" s="22" t="s">
        <v>83</v>
      </c>
      <c r="B2" s="185" t="str">
        <f>'Objetos de Dominio'!A18</f>
        <v>Multa</v>
      </c>
      <c r="C2" s="185"/>
      <c r="D2" s="185"/>
      <c r="E2" s="185"/>
    </row>
    <row r="3" spans="1:5" ht="30" customHeight="1" x14ac:dyDescent="0.25">
      <c r="A3" s="23" t="s">
        <v>84</v>
      </c>
      <c r="B3" s="186" t="str">
        <f>'Objetos de Dominio'!B18</f>
        <v>Representa la sanción económica que se le impone a un cliente por incumplir una cita, ya sea por llegar tarde fuera de tolerancia o por no presentarse, calculada a partir de la cita específica que la originó</v>
      </c>
      <c r="C3" s="186"/>
      <c r="D3" s="186"/>
      <c r="E3" s="186"/>
    </row>
    <row r="4" spans="1:5" ht="15" customHeight="1" x14ac:dyDescent="0.25">
      <c r="A4" s="187" t="s">
        <v>85</v>
      </c>
      <c r="B4" s="188" t="s">
        <v>86</v>
      </c>
      <c r="C4" s="188"/>
      <c r="D4" s="188" t="s">
        <v>87</v>
      </c>
      <c r="E4" s="187" t="s">
        <v>88</v>
      </c>
    </row>
    <row r="5" spans="1:5" ht="15" customHeight="1" x14ac:dyDescent="0.25">
      <c r="A5" s="187"/>
      <c r="B5" s="188"/>
      <c r="C5" s="188"/>
      <c r="D5" s="188"/>
      <c r="E5" s="187"/>
    </row>
    <row r="6" spans="1:5" ht="30" customHeight="1" x14ac:dyDescent="0.25">
      <c r="A6" s="8" t="s">
        <v>595</v>
      </c>
      <c r="B6" s="184" t="s">
        <v>596</v>
      </c>
      <c r="C6" s="184"/>
      <c r="D6" s="24" t="s">
        <v>39</v>
      </c>
      <c r="E6" s="24"/>
    </row>
    <row r="7" spans="1:5" ht="30" customHeight="1" x14ac:dyDescent="0.25">
      <c r="A7" s="8" t="s">
        <v>597</v>
      </c>
      <c r="B7" s="184" t="s">
        <v>598</v>
      </c>
      <c r="C7" s="184"/>
      <c r="D7" s="24" t="s">
        <v>43</v>
      </c>
      <c r="E7" s="24"/>
    </row>
  </sheetData>
  <mergeCells count="8">
    <mergeCell ref="B6:C6"/>
    <mergeCell ref="B7:C7"/>
    <mergeCell ref="B2:E2"/>
    <mergeCell ref="B3:E3"/>
    <mergeCell ref="A4:A5"/>
    <mergeCell ref="B4:C5"/>
    <mergeCell ref="D4:D5"/>
    <mergeCell ref="E4:E5"/>
  </mergeCells>
  <hyperlinks>
    <hyperlink ref="A1" location="'Modelo de Dominio'!A1" display="&lt;&lt; Ir al modelo de dominio" xr:uid="{00000000-0004-0000-3F00-000000000000}"/>
    <hyperlink ref="B1" location="'Objetos de Dominio'!A1" display="&lt;&lt; Ir al listado de objetos de dominio" xr:uid="{00000000-0004-0000-3F00-000001000000}"/>
    <hyperlink ref="C1" location="'C-Multa'!A1" display="&lt;&lt; Ir a la caracterización del objeto de dominio" xr:uid="{00000000-0004-0000-3F00-000002000000}"/>
    <hyperlink ref="D1" location="'M-Multa'!A1" display="Ir al muestreo de datos del objeto de dominio &gt;&gt;" xr:uid="{00000000-0004-0000-3F00-000003000000}"/>
    <hyperlink ref="E1" location="'E-Multa'!A1" display="Ir al event storming del objeto de dominio &gt;&gt;" xr:uid="{24288E1D-BCF2-499F-9039-CEB6C50DD9D0}"/>
  </hyperlinks>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K9"/>
  <sheetViews>
    <sheetView showGridLines="0" zoomScaleNormal="100" workbookViewId="0">
      <selection activeCell="H7" sqref="H7"/>
    </sheetView>
  </sheetViews>
  <sheetFormatPr baseColWidth="10" defaultColWidth="8.7109375" defaultRowHeight="15" x14ac:dyDescent="0.25"/>
  <cols>
    <col min="1" max="1" width="20" customWidth="1"/>
    <col min="2" max="2" width="30" customWidth="1"/>
    <col min="3" max="3" width="42" customWidth="1"/>
    <col min="4" max="4" width="16" customWidth="1"/>
    <col min="5" max="5" width="22" customWidth="1"/>
    <col min="6" max="6" width="40" customWidth="1"/>
    <col min="7" max="7" width="10" customWidth="1"/>
    <col min="8" max="8" width="10.42578125" customWidth="1"/>
    <col min="9" max="9" width="16" customWidth="1"/>
    <col min="10" max="11" width="34" customWidth="1"/>
  </cols>
  <sheetData>
    <row r="1" spans="1:11" ht="12" customHeight="1" x14ac:dyDescent="0.25">
      <c r="A1" s="193" t="s">
        <v>79</v>
      </c>
      <c r="B1" s="193"/>
      <c r="C1" s="193" t="s">
        <v>80</v>
      </c>
      <c r="D1" s="193"/>
      <c r="E1" s="193"/>
      <c r="F1" s="193" t="s">
        <v>81</v>
      </c>
      <c r="G1" s="193"/>
      <c r="H1" s="193"/>
      <c r="I1" s="193"/>
      <c r="J1" s="193" t="s">
        <v>82</v>
      </c>
      <c r="K1" s="193"/>
    </row>
    <row r="2" spans="1:11" ht="15" customHeight="1" x14ac:dyDescent="0.25">
      <c r="A2" s="22" t="s">
        <v>83</v>
      </c>
      <c r="B2" s="194" t="str">
        <f>'Objetos de Dominio'!A18</f>
        <v>Multa</v>
      </c>
      <c r="C2" s="194"/>
      <c r="D2" s="194"/>
      <c r="E2" s="194"/>
      <c r="F2" s="194"/>
      <c r="G2" s="194"/>
      <c r="H2" s="194"/>
      <c r="I2" s="194"/>
      <c r="J2" s="194"/>
      <c r="K2" s="194"/>
    </row>
    <row r="3" spans="1:11" ht="30" customHeight="1" x14ac:dyDescent="0.25">
      <c r="A3" s="23" t="s">
        <v>84</v>
      </c>
      <c r="B3" s="195" t="str">
        <f>'Objetos de Dominio'!B18</f>
        <v>Representa la sanción económica que se le impone a un cliente por incumplir una cita, ya sea por llegar tarde fuera de tolerancia o por no presentarse, calculada a partir de la cita específica que la originó</v>
      </c>
      <c r="C3" s="195"/>
      <c r="D3" s="195"/>
      <c r="E3" s="195"/>
      <c r="F3" s="195"/>
      <c r="G3" s="195"/>
      <c r="H3" s="195"/>
      <c r="I3" s="195"/>
      <c r="J3" s="195"/>
      <c r="K3" s="195"/>
    </row>
    <row r="4" spans="1:11" ht="34.5" customHeight="1" x14ac:dyDescent="0.25">
      <c r="A4" s="26" t="s">
        <v>90</v>
      </c>
      <c r="B4" s="196" t="s">
        <v>91</v>
      </c>
      <c r="C4" s="196"/>
      <c r="D4" s="27" t="s">
        <v>92</v>
      </c>
      <c r="E4" s="197" t="s">
        <v>93</v>
      </c>
      <c r="F4" s="197"/>
      <c r="G4" s="198" t="s">
        <v>94</v>
      </c>
      <c r="H4" s="198"/>
      <c r="I4" s="29" t="s">
        <v>95</v>
      </c>
      <c r="J4" s="30" t="s">
        <v>96</v>
      </c>
      <c r="K4" s="31" t="s">
        <v>97</v>
      </c>
    </row>
    <row r="5" spans="1:11" ht="15" customHeight="1" x14ac:dyDescent="0.25">
      <c r="A5" s="199" t="s">
        <v>90</v>
      </c>
      <c r="B5" s="196" t="s">
        <v>98</v>
      </c>
      <c r="C5" s="196" t="s">
        <v>76</v>
      </c>
      <c r="D5" s="200" t="s">
        <v>99</v>
      </c>
      <c r="E5" s="197" t="s">
        <v>100</v>
      </c>
      <c r="F5" s="197"/>
      <c r="G5" s="198" t="s">
        <v>101</v>
      </c>
      <c r="H5" s="198"/>
      <c r="I5" s="201" t="s">
        <v>102</v>
      </c>
      <c r="J5" s="202" t="s">
        <v>103</v>
      </c>
      <c r="K5" s="203" t="s">
        <v>104</v>
      </c>
    </row>
    <row r="6" spans="1:11" ht="15" customHeight="1" x14ac:dyDescent="0.25">
      <c r="A6" s="199"/>
      <c r="B6" s="199"/>
      <c r="C6" s="199"/>
      <c r="D6" s="199"/>
      <c r="E6" s="28" t="s">
        <v>105</v>
      </c>
      <c r="F6" s="28" t="s">
        <v>76</v>
      </c>
      <c r="G6" s="32" t="s">
        <v>106</v>
      </c>
      <c r="H6" s="32" t="s">
        <v>76</v>
      </c>
      <c r="I6" s="201"/>
      <c r="J6" s="201"/>
      <c r="K6" s="201"/>
    </row>
    <row r="7" spans="1:11" ht="41.25" customHeight="1" x14ac:dyDescent="0.25">
      <c r="A7" s="3" t="s">
        <v>463</v>
      </c>
      <c r="B7" s="33" t="s">
        <v>599</v>
      </c>
      <c r="C7" s="33" t="s">
        <v>600</v>
      </c>
      <c r="D7" s="3" t="str">
        <f>$B$2</f>
        <v>Multa</v>
      </c>
      <c r="E7" s="33"/>
      <c r="F7" s="33"/>
      <c r="G7" s="179" t="str">
        <f>'P-Multa'!A6</f>
        <v>P-MUL-0001</v>
      </c>
      <c r="H7" s="180" t="s">
        <v>629</v>
      </c>
      <c r="I7" s="3"/>
      <c r="J7" s="33" t="s">
        <v>601</v>
      </c>
      <c r="K7" s="33"/>
    </row>
    <row r="8" spans="1:11" ht="30" customHeight="1" x14ac:dyDescent="0.25">
      <c r="A8" s="3" t="s">
        <v>27</v>
      </c>
      <c r="B8" s="33" t="s">
        <v>602</v>
      </c>
      <c r="C8" s="33" t="s">
        <v>603</v>
      </c>
      <c r="D8" s="3" t="str">
        <f>$B$2</f>
        <v>Multa</v>
      </c>
      <c r="E8" s="33"/>
      <c r="F8" s="33"/>
      <c r="G8" s="3"/>
      <c r="H8" s="34"/>
      <c r="I8" s="3"/>
      <c r="J8" s="33" t="s">
        <v>604</v>
      </c>
      <c r="K8" s="33"/>
    </row>
    <row r="9" spans="1:11" ht="30" customHeight="1" x14ac:dyDescent="0.25">
      <c r="A9" s="3" t="s">
        <v>25</v>
      </c>
      <c r="B9" s="33" t="s">
        <v>605</v>
      </c>
      <c r="C9" s="33" t="s">
        <v>606</v>
      </c>
      <c r="D9" s="3" t="str">
        <f>$B$2</f>
        <v>Multa</v>
      </c>
      <c r="E9" s="33"/>
      <c r="F9" s="33"/>
      <c r="G9" s="179" t="str">
        <f>'P-Multa'!A7</f>
        <v>P-MUL-0002</v>
      </c>
      <c r="H9" s="180" t="s">
        <v>629</v>
      </c>
      <c r="I9" s="3"/>
      <c r="J9" s="33" t="s">
        <v>607</v>
      </c>
      <c r="K9" s="33"/>
    </row>
  </sheetData>
  <mergeCells count="1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4000-000000000000}"/>
    <hyperlink ref="C1" location="'Objetos de Dominio'!A1" display="&lt;&lt; Ir al listado de objetos de dominio" xr:uid="{00000000-0004-0000-4000-000001000000}"/>
    <hyperlink ref="F1" location="'C-Multa'!A1" display="&lt;&lt; Ir a la caracterización del objeto de dominio" xr:uid="{00000000-0004-0000-4000-000002000000}"/>
    <hyperlink ref="J1" location="'M-Multa'!A1" display="Ir al muestreo de datos del objeto de dominio &gt;&gt;" xr:uid="{00000000-0004-0000-4000-000003000000}"/>
    <hyperlink ref="G7" location="'P-Multa'!A6" display="P-MUL-0001" xr:uid="{61C5B1B4-CCA8-4651-AC80-6E895E9EE295}"/>
    <hyperlink ref="H7" location="'P-Multa'!B6" display="aquí" xr:uid="{691B0F00-98A3-4E76-A4D9-FCF8EBA993C8}"/>
    <hyperlink ref="G9" location="'P-Multa'!A7" display="P-MUL-0002" xr:uid="{51A3F7FF-71A9-4DC4-8BDE-C9B2224C979A}"/>
    <hyperlink ref="H9" location="'P-Multa'!B7" display="aquí" xr:uid="{4E34AAA6-2523-4D26-A77F-DEA9764F30C5}"/>
  </hyperlinks>
  <pageMargins left="0.75" right="0.75" top="1" bottom="1"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21"/>
  <sheetViews>
    <sheetView zoomScaleNormal="100" workbookViewId="0">
      <selection activeCell="B1" sqref="B1"/>
    </sheetView>
  </sheetViews>
  <sheetFormatPr baseColWidth="10" defaultColWidth="8.7109375" defaultRowHeight="15" x14ac:dyDescent="0.25"/>
  <cols>
    <col min="1" max="1" width="25" customWidth="1"/>
    <col min="2" max="2" width="33.7109375" customWidth="1"/>
    <col min="3" max="3" width="24.7109375" customWidth="1"/>
    <col min="4" max="4" width="35.5703125" customWidth="1"/>
    <col min="5" max="5" width="40.85546875" customWidth="1"/>
    <col min="6" max="6" width="35.5703125" customWidth="1"/>
    <col min="7" max="7" width="27.140625" customWidth="1"/>
    <col min="8" max="8" width="30.42578125" customWidth="1"/>
  </cols>
  <sheetData>
    <row r="1" spans="1:8" ht="14.25" customHeight="1" x14ac:dyDescent="0.25">
      <c r="A1" s="4" t="s">
        <v>1</v>
      </c>
      <c r="B1" s="4" t="s">
        <v>45</v>
      </c>
    </row>
    <row r="2" spans="1:8" ht="54" customHeight="1" x14ac:dyDescent="0.25">
      <c r="A2" s="148" t="s">
        <v>111</v>
      </c>
      <c r="B2" s="148" t="s">
        <v>608</v>
      </c>
      <c r="C2" s="148" t="s">
        <v>609</v>
      </c>
      <c r="D2" s="148" t="s">
        <v>610</v>
      </c>
      <c r="E2" s="148" t="s">
        <v>611</v>
      </c>
      <c r="F2" s="148" t="s">
        <v>612</v>
      </c>
      <c r="G2" s="148" t="s">
        <v>613</v>
      </c>
      <c r="H2" s="148" t="s">
        <v>614</v>
      </c>
    </row>
    <row r="3" spans="1:8" ht="14.25" customHeight="1" x14ac:dyDescent="0.25">
      <c r="A3" s="149" t="s">
        <v>114</v>
      </c>
      <c r="B3" s="124" t="s">
        <v>587</v>
      </c>
      <c r="C3" s="101" t="s">
        <v>615</v>
      </c>
      <c r="D3" s="97" t="s">
        <v>616</v>
      </c>
      <c r="E3" s="107" t="s">
        <v>617</v>
      </c>
      <c r="F3" s="163" t="s">
        <v>618</v>
      </c>
      <c r="G3" s="96" t="s">
        <v>619</v>
      </c>
      <c r="H3" s="39" t="s">
        <v>239</v>
      </c>
    </row>
    <row r="4" spans="1:8" ht="42.75" customHeight="1" x14ac:dyDescent="0.25">
      <c r="A4" s="40">
        <v>1</v>
      </c>
      <c r="B4" s="152" t="str">
        <f>'M-Cita'!R6</f>
        <v>+57-3214533321-Jueves-09:00-19:00-12/11/2023-1/01/1000-13:00-19:00-14/05/2026-13:00</v>
      </c>
      <c r="C4" s="98" t="str">
        <f>'M-TipoMulta'!D4</f>
        <v>Tardanza</v>
      </c>
      <c r="D4" s="157">
        <f>'M-Regla'!C4</f>
        <v>10000</v>
      </c>
      <c r="E4" s="164">
        <f>'M-Cita'!H6</f>
        <v>0.55208333333333304</v>
      </c>
      <c r="F4" s="165">
        <v>46233.416666666701</v>
      </c>
      <c r="G4" s="40" t="s">
        <v>183</v>
      </c>
      <c r="H4" s="50" t="str">
        <f>B4</f>
        <v>+57-3214533321-Jueves-09:00-19:00-12/11/2023-1/01/1000-13:00-19:00-14/05/2026-13:00</v>
      </c>
    </row>
    <row r="5" spans="1:8" ht="42.75" customHeight="1" x14ac:dyDescent="0.25">
      <c r="A5" s="40">
        <v>2</v>
      </c>
      <c r="B5" s="152" t="str">
        <f>'M-Cita'!R7</f>
        <v>+91-9876543210-Sábado-08:00-21:00-12/12/2024-1/01/1000-08:00-14:00-22/11/2025-13:00</v>
      </c>
      <c r="C5" s="98" t="str">
        <f>'M-TipoMulta'!D5</f>
        <v>Inasistencia</v>
      </c>
      <c r="D5" s="157">
        <f>'M-Cita'!Q7</f>
        <v>35000</v>
      </c>
      <c r="E5" s="164">
        <f>'M-Cita'!G7</f>
        <v>0.57638888888888917</v>
      </c>
      <c r="F5" s="40" t="s">
        <v>620</v>
      </c>
      <c r="G5" s="40" t="s">
        <v>297</v>
      </c>
      <c r="H5" s="50" t="str">
        <f>B5</f>
        <v>+91-9876543210-Sábado-08:00-21:00-12/12/2024-1/01/1000-08:00-14:00-22/11/2025-13:00</v>
      </c>
    </row>
    <row r="6" spans="1:8" ht="57" customHeight="1" x14ac:dyDescent="0.25">
      <c r="A6" s="40">
        <v>3</v>
      </c>
      <c r="B6" s="152" t="str">
        <f>'M-Cita'!R10</f>
        <v>+57-3245627890-Lunes-09:00-19:00-12/11/2023-1/01/1000-10:00-16:00-01/06/2026-10:00</v>
      </c>
      <c r="C6" s="98" t="str">
        <f>'M-TipoMulta'!D5</f>
        <v>Inasistencia</v>
      </c>
      <c r="D6" s="157">
        <f>'M-Cita'!Q10</f>
        <v>22000</v>
      </c>
      <c r="E6" s="164">
        <f>'M-Cita'!G10</f>
        <v>0.4583333333333337</v>
      </c>
      <c r="F6" s="40" t="s">
        <v>620</v>
      </c>
      <c r="G6" s="40" t="s">
        <v>297</v>
      </c>
      <c r="H6" s="50" t="str">
        <f>B6</f>
        <v>+57-3245627890-Lunes-09:00-19:00-12/11/2023-1/01/1000-10:00-16:00-01/06/2026-10:00</v>
      </c>
    </row>
    <row r="7" spans="1:8" ht="57" customHeight="1" x14ac:dyDescent="0.25">
      <c r="A7" s="40">
        <v>4</v>
      </c>
      <c r="B7" s="152" t="str">
        <f>'M-Cita'!R11</f>
        <v>+57-3124518923-Martes-09:00-19:00-12/11/2023-1/01/1000-09:00-15:00-16/06/2026-09:00</v>
      </c>
      <c r="C7" s="98" t="str">
        <f>'M-TipoMulta'!D5</f>
        <v>Inasistencia</v>
      </c>
      <c r="D7" s="157">
        <f>'M-Cita'!Q11</f>
        <v>12000</v>
      </c>
      <c r="E7" s="164">
        <f>'M-Cita'!G11</f>
        <v>0.38541666666666669</v>
      </c>
      <c r="F7" s="40" t="s">
        <v>620</v>
      </c>
      <c r="G7" s="40" t="s">
        <v>297</v>
      </c>
      <c r="H7" s="50" t="str">
        <f>B7</f>
        <v>+57-3124518923-Martes-09:00-19:00-12/11/2023-1/01/1000-09:00-15:00-16/06/2026-09:00</v>
      </c>
    </row>
    <row r="8" spans="1:8" ht="57" customHeight="1" x14ac:dyDescent="0.25">
      <c r="A8" s="40">
        <v>5</v>
      </c>
      <c r="B8" s="152" t="str">
        <f>'M-Cita'!R12</f>
        <v>+57-3214533321-Jueves-09:00-19:00-12/11/2023-1/01/1000-13:00-19:00-02/07/2026-15:00</v>
      </c>
      <c r="C8" s="98" t="str">
        <f>'M-TipoMulta'!D5</f>
        <v>Inasistencia</v>
      </c>
      <c r="D8" s="157">
        <f>'M-Cita'!Q12</f>
        <v>15000</v>
      </c>
      <c r="E8" s="164">
        <f>'M-Cita'!G12</f>
        <v>0.63888888888888884</v>
      </c>
      <c r="F8" s="40" t="s">
        <v>620</v>
      </c>
      <c r="G8" s="40" t="s">
        <v>297</v>
      </c>
      <c r="H8" s="50" t="str">
        <f>B8</f>
        <v>+57-3214533321-Jueves-09:00-19:00-12/11/2023-1/01/1000-13:00-19:00-02/07/2026-15:00</v>
      </c>
    </row>
    <row r="14" spans="1:8" ht="28.5" customHeight="1" x14ac:dyDescent="0.25">
      <c r="A14" s="166"/>
      <c r="B14" s="44" t="s">
        <v>124</v>
      </c>
    </row>
    <row r="15" spans="1:8" ht="28.5" customHeight="1" x14ac:dyDescent="0.25">
      <c r="A15" s="167"/>
      <c r="B15" s="44" t="s">
        <v>125</v>
      </c>
    </row>
    <row r="16" spans="1:8" ht="28.5" customHeight="1" x14ac:dyDescent="0.25">
      <c r="A16" s="168"/>
      <c r="B16" s="44" t="s">
        <v>190</v>
      </c>
    </row>
    <row r="17" spans="1:2" ht="14.25" customHeight="1" x14ac:dyDescent="0.25">
      <c r="A17" s="169"/>
      <c r="B17" s="44" t="s">
        <v>621</v>
      </c>
    </row>
    <row r="18" spans="1:2" ht="14.25" customHeight="1" x14ac:dyDescent="0.25">
      <c r="A18" s="170"/>
      <c r="B18" s="44" t="s">
        <v>622</v>
      </c>
    </row>
    <row r="19" spans="1:2" ht="28.5" customHeight="1" x14ac:dyDescent="0.25">
      <c r="A19" s="171"/>
      <c r="B19" s="44" t="s">
        <v>623</v>
      </c>
    </row>
    <row r="20" spans="1:2" ht="14.25" customHeight="1" x14ac:dyDescent="0.25">
      <c r="A20" s="172"/>
      <c r="B20" t="s">
        <v>192</v>
      </c>
    </row>
    <row r="21" spans="1:2" ht="14.25" customHeight="1" x14ac:dyDescent="0.25">
      <c r="A21" s="173"/>
      <c r="B21" t="s">
        <v>127</v>
      </c>
    </row>
  </sheetData>
  <hyperlinks>
    <hyperlink ref="A1" location="'Modelo de Dominio'!A1" display="&lt;&lt;&lt;&lt; Ir al modulo de dominio" xr:uid="{00000000-0004-0000-4100-000000000000}"/>
    <hyperlink ref="B1" location="'Objetos de Dominio'!A1" display="&lt;&lt;&lt;&lt; Ir a objetos de dominio" xr:uid="{00000000-0004-0000-4100-000001000000}"/>
    <hyperlink ref="B3" location="'M-Cita'!A1" display="cita" xr:uid="{00000000-0004-0000-4100-000002000000}"/>
    <hyperlink ref="C3" location="'M-TipoMulta'!A1" display="tipo" xr:uid="{00000000-0004-0000-4100-000003000000}"/>
    <hyperlink ref="B4" location="'M-Cita'!A6" display="#'M-Cita'.A6" xr:uid="{00000000-0004-0000-4100-000004000000}"/>
    <hyperlink ref="C4" location="'M-TipoMulta'!A4" display="#'M-TipoMulta'.A4" xr:uid="{00000000-0004-0000-4100-000005000000}"/>
    <hyperlink ref="D4" location="'M-Regla'!A4" display="#'M-Regla'.A4" xr:uid="{00000000-0004-0000-4100-000006000000}"/>
    <hyperlink ref="E4" location="'M-Cita'!A6" display="#'M-Cita'.A6" xr:uid="{00000000-0004-0000-4100-000007000000}"/>
    <hyperlink ref="B5" location="'M-Cita'!A7" display="#'M-Cita'.A7" xr:uid="{00000000-0004-0000-4100-000008000000}"/>
    <hyperlink ref="C5" location="'M-TipoMulta'!A5" display="#'M-TipoMulta'.A5" xr:uid="{00000000-0004-0000-4100-000009000000}"/>
    <hyperlink ref="D5" location="'M-Cita'!A7" display="#'M-Cita'.A7" xr:uid="{00000000-0004-0000-4100-00000A000000}"/>
    <hyperlink ref="E5" location="'M-Cita'!A7" display="#'M-Cita'.A7" xr:uid="{00000000-0004-0000-4100-00000B000000}"/>
    <hyperlink ref="B6" location="'M-Cita'!A10" display="#'M-Cita'.A10" xr:uid="{00000000-0004-0000-4100-00000C000000}"/>
    <hyperlink ref="C6" location="'M-TipoMulta'!A5" display="#'M-TipoMulta'.A5" xr:uid="{00000000-0004-0000-4100-00000D000000}"/>
    <hyperlink ref="D6" location="'M-Cita'!A10" display="#'M-Cita'.A10" xr:uid="{00000000-0004-0000-4100-00000E000000}"/>
    <hyperlink ref="E6" location="'M-Cita'!A10" display="#'M-Cita'.A10" xr:uid="{00000000-0004-0000-4100-00000F000000}"/>
    <hyperlink ref="B7" location="'M-Cita'!A11" display="#'M-Cita'.A11" xr:uid="{00000000-0004-0000-4100-000010000000}"/>
    <hyperlink ref="C7" location="'M-TipoMulta'!A5" display="#'M-TipoMulta'.A5" xr:uid="{00000000-0004-0000-4100-000011000000}"/>
    <hyperlink ref="D7" location="'M-Cita'!A11" display="#'M-Cita'.A11" xr:uid="{00000000-0004-0000-4100-000012000000}"/>
    <hyperlink ref="E7" location="'M-Cita'!A11" display="#'M-Cita'.A11" xr:uid="{00000000-0004-0000-4100-000013000000}"/>
    <hyperlink ref="B8" location="'M-Cita'!A12" display="#'M-Cita'.A12" xr:uid="{00000000-0004-0000-4100-000014000000}"/>
    <hyperlink ref="C8" location="'M-TipoMulta'!A5" display="#'M-TipoMulta'.A5" xr:uid="{00000000-0004-0000-4100-000015000000}"/>
    <hyperlink ref="D8" location="'M-Cita'!A12" display="#'M-Cita'.A12" xr:uid="{00000000-0004-0000-4100-000016000000}"/>
    <hyperlink ref="E8" location="'M-Cita'!A12" display="#'M-Cita'.A12" xr:uid="{00000000-0004-0000-4100-000017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66</vt:i4>
      </vt:variant>
    </vt:vector>
  </HeadingPairs>
  <TitlesOfParts>
    <vt:vector size="66" baseType="lpstr">
      <vt:lpstr>Modelo de Dominio</vt:lpstr>
      <vt:lpstr>Objetos de Dominio</vt:lpstr>
      <vt:lpstr>C-Bloqueo</vt:lpstr>
      <vt:lpstr>P-Bloqueo</vt:lpstr>
      <vt:lpstr>E-Bloqueo</vt:lpstr>
      <vt:lpstr>M-Bloqueo</vt:lpstr>
      <vt:lpstr>C-DiaSemana</vt:lpstr>
      <vt:lpstr>P-DiaSemana</vt:lpstr>
      <vt:lpstr>E-DiaSemana</vt:lpstr>
      <vt:lpstr>M-DiaSemana</vt:lpstr>
      <vt:lpstr>C-Estado</vt:lpstr>
      <vt:lpstr>P-Estado</vt:lpstr>
      <vt:lpstr>E-Estado</vt:lpstr>
      <vt:lpstr>M-Estado</vt:lpstr>
      <vt:lpstr>C-Servicio</vt:lpstr>
      <vt:lpstr>P-Servicio</vt:lpstr>
      <vt:lpstr>E-Servicio</vt:lpstr>
      <vt:lpstr>M-Servicio</vt:lpstr>
      <vt:lpstr>C-Regla</vt:lpstr>
      <vt:lpstr>P-Regla</vt:lpstr>
      <vt:lpstr>E-Regla</vt:lpstr>
      <vt:lpstr>M-Regla</vt:lpstr>
      <vt:lpstr>C-PrefijoCelular</vt:lpstr>
      <vt:lpstr>P-PrefijoCelular</vt:lpstr>
      <vt:lpstr>E-PrefijoCelular</vt:lpstr>
      <vt:lpstr>M-PrefijoCelular</vt:lpstr>
      <vt:lpstr>C-TipoMulta</vt:lpstr>
      <vt:lpstr>P-TipoMulta</vt:lpstr>
      <vt:lpstr>E-TipoMulta</vt:lpstr>
      <vt:lpstr>M-TipoMulta</vt:lpstr>
      <vt:lpstr>C-Barbero</vt:lpstr>
      <vt:lpstr>P-Barbero</vt:lpstr>
      <vt:lpstr>E-Barbero</vt:lpstr>
      <vt:lpstr>M-Barbero</vt:lpstr>
      <vt:lpstr>C-Cliente</vt:lpstr>
      <vt:lpstr>P-Cliente</vt:lpstr>
      <vt:lpstr>E-Cliente</vt:lpstr>
      <vt:lpstr>M-Cliente</vt:lpstr>
      <vt:lpstr>C-HorarioBarberia</vt:lpstr>
      <vt:lpstr>P-HorarioBarberia</vt:lpstr>
      <vt:lpstr>E-HorarioBarberia</vt:lpstr>
      <vt:lpstr>M-HorarioBarberia</vt:lpstr>
      <vt:lpstr>C-BarberoServicio</vt:lpstr>
      <vt:lpstr>P-BarberoServicio</vt:lpstr>
      <vt:lpstr>E-BarberoServicio</vt:lpstr>
      <vt:lpstr>M-BarberoServicio</vt:lpstr>
      <vt:lpstr>C-HorarioBarbero</vt:lpstr>
      <vt:lpstr>P-HorarioBarbero</vt:lpstr>
      <vt:lpstr>E-HorarioBarbero</vt:lpstr>
      <vt:lpstr>M-HorarioBarbero</vt:lpstr>
      <vt:lpstr>C-Agenda</vt:lpstr>
      <vt:lpstr>P-Agenda</vt:lpstr>
      <vt:lpstr>E-Agenda</vt:lpstr>
      <vt:lpstr>M-Agenda</vt:lpstr>
      <vt:lpstr>C-Cita</vt:lpstr>
      <vt:lpstr>P-Cita</vt:lpstr>
      <vt:lpstr>E-Cita</vt:lpstr>
      <vt:lpstr>M-Cita</vt:lpstr>
      <vt:lpstr>C-CitaServicio</vt:lpstr>
      <vt:lpstr>P-CitaServicio</vt:lpstr>
      <vt:lpstr>E-CitaServicio</vt:lpstr>
      <vt:lpstr>M-CitaServicio</vt:lpstr>
      <vt:lpstr>C-Multa</vt:lpstr>
      <vt:lpstr>P-Multa</vt:lpstr>
      <vt:lpstr>E-Multa</vt:lpstr>
      <vt:lpstr>M-Multa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Gomez</dc:creator>
  <dc:description/>
  <cp:lastModifiedBy>Edilio Gomez</cp:lastModifiedBy>
  <cp:revision>0</cp:revision>
  <dcterms:created xsi:type="dcterms:W3CDTF">2015-06-05T18:19:34Z</dcterms:created>
  <dcterms:modified xsi:type="dcterms:W3CDTF">2026-09-13T20:12:26Z</dcterms:modified>
  <dc:language>en-US</dc:language>
</cp:coreProperties>
</file>