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leand\Desktop\DOO\DOO\Extra clase\"/>
    </mc:Choice>
  </mc:AlternateContent>
  <xr:revisionPtr revIDLastSave="0" documentId="13_ncr:1_{2CCD1F91-2196-458D-9B07-860EEE4AAA01}" xr6:coauthVersionLast="47" xr6:coauthVersionMax="47" xr10:uidLastSave="{00000000-0000-0000-0000-000000000000}"/>
  <bookViews>
    <workbookView xWindow="-108" yWindow="-108" windowWidth="23256" windowHeight="12456" activeTab="5" xr2:uid="{09A6C7D7-663F-4C06-9D71-8A4E97495CF9}"/>
  </bookViews>
  <sheets>
    <sheet name="Modelo de Dominio" sheetId="1" r:id="rId1"/>
    <sheet name="Objetos de Dominio" sheetId="4" r:id="rId2"/>
    <sheet name="Barberia_D" sheetId="5" r:id="rId3"/>
    <sheet name="Cliente_D" sheetId="6" r:id="rId4"/>
    <sheet name="Regla_D" sheetId="7" r:id="rId5"/>
    <sheet name="Servicio_D" sheetId="8" r:id="rId6"/>
    <sheet name="Barbero_D" sheetId="9" r:id="rId7"/>
    <sheet name="Veto_D" sheetId="10" r:id="rId8"/>
    <sheet name="BarberoServicio_D" sheetId="11" r:id="rId9"/>
    <sheet name="Agenda_D" sheetId="12" r:id="rId10"/>
    <sheet name="HorarioSemanal_D" sheetId="15" r:id="rId11"/>
    <sheet name="Cita_D" sheetId="13" r:id="rId12"/>
    <sheet name="Multa_D" sheetId="16" r:id="rId13"/>
    <sheet name="CitaServicio_D" sheetId="17"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5" i="6" l="1"/>
  <c r="D6" i="6"/>
  <c r="D7" i="6"/>
  <c r="D4" i="6"/>
</calcChain>
</file>

<file path=xl/sharedStrings.xml><?xml version="1.0" encoding="utf-8"?>
<sst xmlns="http://schemas.openxmlformats.org/spreadsheetml/2006/main" count="137" uniqueCount="74">
  <si>
    <t>Nombre</t>
  </si>
  <si>
    <t>Descripcion</t>
  </si>
  <si>
    <t>Linea de vida</t>
  </si>
  <si>
    <t>Datos</t>
  </si>
  <si>
    <t>Barberia</t>
  </si>
  <si>
    <t>Regla</t>
  </si>
  <si>
    <t>Servicio</t>
  </si>
  <si>
    <t>Barbero</t>
  </si>
  <si>
    <t>BarberoServicio</t>
  </si>
  <si>
    <t>Agenda</t>
  </si>
  <si>
    <t>Cita</t>
  </si>
  <si>
    <t>Cliente</t>
  </si>
  <si>
    <t>Multa</t>
  </si>
  <si>
    <t>Veto</t>
  </si>
  <si>
    <t>CitaServicio</t>
  </si>
  <si>
    <t>Representa el negocio donde trabajan los barberos, agrupa el catalogo de servicios que ofrece y las reglas de tolerancia, multas y veto que aplican para todos sus clientes</t>
  </si>
  <si>
    <t>Representa a la persona que solicita citas en la barbería, el se las pide a un barbero por WhatsApp. Esta entidad solo es para que en el sistema tenga un historial de las citas que ha pedido, de multas y de vetos</t>
  </si>
  <si>
    <t>Representa un tipo de servicio que ofrece la barbería, por ejemplo, motilada, afeitada de barba, perfilar barba, con su duración y su precio. Este precio es el que se usa para calcular la multa cuando un cliente no se presenta a una cita</t>
  </si>
  <si>
    <t>Representa a un trabajador de la barbería que atiende clientes segun los servicios que sabe realizar y que organiza su tiempo a través de su propia agenda</t>
  </si>
  <si>
    <t>Representa que servicios realiza cada barbero, ya que no todos los barberos de la barbería ofrecen los mismos servicios</t>
  </si>
  <si>
    <t>Representa el historial de estado de bloqueo de un cliente, cuando esta activo, ningun barbero de la barbería puede agendarle nuevas citas. Se activa cuando el cliente llega al número de multas sin pagar definido en Regla</t>
  </si>
  <si>
    <t>Representa el calendario de un barbero, incluye su horario de trabajo, sus bloqueos temporales (permisos, capacitaciones, compromisos que no le permiten trabajar) y las citas que se le van agendando, validando que ninguna se cruce con otra</t>
  </si>
  <si>
    <t>Representa las politicas configurables del negocio, cuantos minutos de tolerancia se permiten antes de aplicar una multa por tardanza, cuanto vale esa multa, y cuantas multas sin pagar se necesitan para que un cliente quede vetado</t>
  </si>
  <si>
    <t>Representa una cita agendada por un cliente con un barbero, incluye la fecha y hora, el o los servicios solicitados, y su estado agendada(indica que se ha creado la cita y esta esperando el cambio de estado depues de la hora prevista de finalizacion), atendida(indica que el barbero atendió correctamente al cliente), incumplida(indica que el cliente violó una de las reglas establecidas) o cancelada(indica que el cliente le pidio al barbero que ya no quiere la cita, por lo que esta cita no va a aparecer en su agenda)</t>
  </si>
  <si>
    <t>Representa la sanción económica que se le impone a un cliente por incumplir una cita (llegar tarde fuera de tolerancia o no presentarse), calculada a partir de la cita específica que la originó</t>
  </si>
  <si>
    <t>Representa cada servicio incluido dentro de una cita puntual, guardando el precio y la duración que tenía ese servicio en el momento exacto en que se agendó, para que cambios futuros en el catálogo no alteren citas ya registradas</t>
  </si>
  <si>
    <t>horarioApertura</t>
  </si>
  <si>
    <t>horarioCierre</t>
  </si>
  <si>
    <t>Representa un identificador que hará unico cada objeto de dominio de este tipo, no se puede repetir</t>
  </si>
  <si>
    <t>HorarioSemanal</t>
  </si>
  <si>
    <t>nombre</t>
  </si>
  <si>
    <t>celular</t>
  </si>
  <si>
    <t>montoMultaTardanza</t>
  </si>
  <si>
    <t>numeroMultasVeto</t>
  </si>
  <si>
    <t>precio</t>
  </si>
  <si>
    <t>fecha</t>
  </si>
  <si>
    <t>activo</t>
  </si>
  <si>
    <t>Representa los dias y horas en que algo está disponible para operar, un rango de hora de inicio y hora de fin, asociado a un día de la semana. Se usa en dos contextos distintos dentro del sistema en Barberia, representa cuando abre y cierra el negocio en general, en Agenda representa en que dias y horas trabaja un barbero específico, siempre dentro de los limites que ya definió la Barbería.</t>
  </si>
  <si>
    <t>barberoId</t>
  </si>
  <si>
    <t>servicioId</t>
  </si>
  <si>
    <t>idAgenda</t>
  </si>
  <si>
    <t>clienteId</t>
  </si>
  <si>
    <t>agendaId</t>
  </si>
  <si>
    <t>hora_inicio</t>
  </si>
  <si>
    <t>estado</t>
  </si>
  <si>
    <t>citaId</t>
  </si>
  <si>
    <t>monto</t>
  </si>
  <si>
    <t>pagada</t>
  </si>
  <si>
    <t>precioAlMomento</t>
  </si>
  <si>
    <t>duracionAlMomento</t>
  </si>
  <si>
    <t>id</t>
  </si>
  <si>
    <t>&lt;&lt;&lt;&lt; Ir al modulo de dominio</t>
  </si>
  <si>
    <t>&lt;&lt;&lt;&lt; Ir a objetos de dominio</t>
  </si>
  <si>
    <t>aquí</t>
  </si>
  <si>
    <t>Reprsenta el numero de celular de la persona que le va aescribir al barbero por WhatsApp para pedirle una cita</t>
  </si>
  <si>
    <t>Combinación única 1</t>
  </si>
  <si>
    <t>Juan Gómez</t>
  </si>
  <si>
    <t>Simon Ramirez Perez</t>
  </si>
  <si>
    <t>Representa el nombre completo (pude ser un apellido o dos pedendiendo lo que el barbero necesite) de la persona, que va a estar llendo a la barberia para las citas</t>
  </si>
  <si>
    <t>Simon Ochoa Ramirez</t>
  </si>
  <si>
    <t>Alexis Gallego</t>
  </si>
  <si>
    <t>Combinacion única que indica que no puede existir más de un departamento dentro del mismo pais</t>
  </si>
  <si>
    <t>toleranciaTardanza</t>
  </si>
  <si>
    <t>Representa la cantidad de minutos que el cliente puede llegarle tarde un cliente a la cita establecida con el barbero, despues de eso el barbero lo podrá multar</t>
  </si>
  <si>
    <t>Representa la maxima de multas que pueda tener un cliente sin pagar, a partir de esta cantidad se le hace un veto al cliente</t>
  </si>
  <si>
    <t>barberia</t>
  </si>
  <si>
    <t>Representa el nombre del servicio que va estar en la barberia, que el barbero ofrece y en las citas que esta</t>
  </si>
  <si>
    <t>duracion</t>
  </si>
  <si>
    <t>Representa lo que va durar en minutos el servicio</t>
  </si>
  <si>
    <t>Representa cuanto va a valer el servicio en pesos colombianos</t>
  </si>
  <si>
    <t>Representa la cantidad de dinero que el cliente debe de pagar en pesos colombianos, por superar la toleranciaTardanza</t>
  </si>
  <si>
    <t>Revisar la logica de Regla, Multa y Barberia</t>
  </si>
  <si>
    <t>Se tenia planeado que fuera el precio de los servicios</t>
  </si>
  <si>
    <t>Motilada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</si>
</sst>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6" formatCode="&quot;$&quot;\ #,##0"/>
  </numFmts>
  <fonts count="6" x14ac:knownFonts="1">
    <font>
      <sz val="11"/>
      <color theme="1"/>
      <name val="Aptos Narrow"/>
      <family val="2"/>
      <scheme val="minor"/>
    </font>
    <font>
      <b/>
      <sz val="11"/>
      <color theme="1"/>
      <name val="Aptos Narrow"/>
      <family val="2"/>
      <scheme val="minor"/>
    </font>
    <font>
      <sz val="7"/>
      <color theme="1"/>
      <name val="Aptos Narrow"/>
      <family val="2"/>
      <scheme val="minor"/>
    </font>
    <font>
      <u/>
      <sz val="11"/>
      <color theme="10"/>
      <name val="Aptos Narrow"/>
      <family val="2"/>
      <scheme val="minor"/>
    </font>
    <font>
      <sz val="7"/>
      <name val="Aptos Narrow"/>
      <family val="2"/>
      <scheme val="minor"/>
    </font>
    <font>
      <b/>
      <sz val="11"/>
      <name val="Aptos Narrow"/>
      <family val="2"/>
      <scheme val="minor"/>
    </font>
  </fonts>
  <fills count="6">
    <fill>
      <patternFill patternType="none"/>
    </fill>
    <fill>
      <patternFill patternType="gray125"/>
    </fill>
    <fill>
      <patternFill patternType="solid">
        <fgColor theme="0"/>
        <bgColor indexed="64"/>
      </patternFill>
    </fill>
    <fill>
      <patternFill patternType="solid">
        <fgColor theme="2" tint="-0.249977111117893"/>
        <bgColor indexed="64"/>
      </patternFill>
    </fill>
    <fill>
      <patternFill patternType="solid">
        <fgColor theme="9"/>
        <bgColor indexed="64"/>
      </patternFill>
    </fill>
    <fill>
      <patternFill patternType="solid">
        <fgColor theme="7"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28">
    <xf numFmtId="0" fontId="0" fillId="0" borderId="0" xfId="0"/>
    <xf numFmtId="0" fontId="0" fillId="2" borderId="0" xfId="0" applyFill="1"/>
    <xf numFmtId="0" fontId="0" fillId="0" borderId="0" xfId="0" applyAlignment="1">
      <alignment wrapText="1"/>
    </xf>
    <xf numFmtId="0" fontId="1" fillId="0" borderId="0" xfId="0" applyFont="1"/>
    <xf numFmtId="18" fontId="0" fillId="0" borderId="0" xfId="0" applyNumberFormat="1"/>
    <xf numFmtId="0" fontId="2" fillId="0" borderId="0" xfId="0" applyFont="1" applyAlignment="1">
      <alignment wrapText="1"/>
    </xf>
    <xf numFmtId="0" fontId="3" fillId="0" borderId="0" xfId="1"/>
    <xf numFmtId="0" fontId="4" fillId="0" borderId="0" xfId="1" applyFont="1" applyAlignment="1">
      <alignment wrapText="1"/>
    </xf>
    <xf numFmtId="0" fontId="1" fillId="0" borderId="1" xfId="0" applyFont="1" applyBorder="1"/>
    <xf numFmtId="0" fontId="0" fillId="0" borderId="1" xfId="0" applyBorder="1"/>
    <xf numFmtId="0" fontId="0" fillId="0" borderId="1" xfId="0" applyBorder="1" applyAlignment="1">
      <alignment wrapText="1"/>
    </xf>
    <xf numFmtId="0" fontId="3" fillId="0" borderId="1" xfId="1" applyBorder="1"/>
    <xf numFmtId="0" fontId="0" fillId="0" borderId="0" xfId="0" applyAlignment="1">
      <alignment horizontal="center"/>
    </xf>
    <xf numFmtId="0" fontId="3" fillId="0" borderId="1" xfId="1" applyBorder="1" applyAlignment="1">
      <alignment horizontal="center"/>
    </xf>
    <xf numFmtId="0" fontId="0" fillId="0" borderId="1" xfId="0" applyBorder="1" applyAlignment="1">
      <alignment horizontal="center"/>
    </xf>
    <xf numFmtId="0" fontId="1" fillId="0" borderId="1" xfId="0" applyFont="1" applyBorder="1" applyAlignment="1">
      <alignment horizontal="center"/>
    </xf>
    <xf numFmtId="0" fontId="4" fillId="3" borderId="1" xfId="1" applyFont="1" applyFill="1" applyBorder="1" applyAlignment="1">
      <alignment horizontal="center" wrapText="1"/>
    </xf>
    <xf numFmtId="0" fontId="2" fillId="3" borderId="1" xfId="0" applyFont="1" applyFill="1" applyBorder="1" applyAlignment="1">
      <alignment horizontal="center" wrapText="1"/>
    </xf>
    <xf numFmtId="0" fontId="2" fillId="3" borderId="1" xfId="0" applyFont="1" applyFill="1" applyBorder="1" applyAlignment="1">
      <alignment wrapText="1"/>
    </xf>
    <xf numFmtId="0" fontId="1" fillId="4" borderId="1" xfId="0" applyFont="1" applyFill="1" applyBorder="1" applyAlignment="1">
      <alignment horizontal="center"/>
    </xf>
    <xf numFmtId="0" fontId="1" fillId="5" borderId="1" xfId="0" applyFont="1" applyFill="1" applyBorder="1" applyAlignment="1">
      <alignment horizontal="center"/>
    </xf>
    <xf numFmtId="166" fontId="0" fillId="0" borderId="0" xfId="0" applyNumberFormat="1"/>
    <xf numFmtId="0" fontId="3" fillId="0" borderId="0" xfId="1" applyAlignment="1">
      <alignment horizontal="center" vertical="top"/>
    </xf>
    <xf numFmtId="0" fontId="0" fillId="0" borderId="0" xfId="0" applyAlignment="1">
      <alignment horizontal="center" vertical="top"/>
    </xf>
    <xf numFmtId="0" fontId="4" fillId="0" borderId="0" xfId="1" applyFont="1" applyAlignment="1">
      <alignment horizontal="center" vertical="top" wrapText="1"/>
    </xf>
    <xf numFmtId="0" fontId="4" fillId="0" borderId="0" xfId="0" applyFont="1" applyAlignment="1">
      <alignment horizontal="center" vertical="top" wrapText="1"/>
    </xf>
    <xf numFmtId="0" fontId="5" fillId="0" borderId="0" xfId="0" applyFont="1" applyAlignment="1">
      <alignment horizontal="center" vertical="top"/>
    </xf>
    <xf numFmtId="166" fontId="0" fillId="0" borderId="0" xfId="0" applyNumberFormat="1" applyAlignment="1">
      <alignment horizontal="center" vertical="top"/>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57149</xdr:rowOff>
    </xdr:from>
    <xdr:to>
      <xdr:col>17</xdr:col>
      <xdr:colOff>475710</xdr:colOff>
      <xdr:row>27</xdr:row>
      <xdr:rowOff>85724</xdr:rowOff>
    </xdr:to>
    <xdr:pic>
      <xdr:nvPicPr>
        <xdr:cNvPr id="4" name="Imagen 3">
          <a:extLst>
            <a:ext uri="{FF2B5EF4-FFF2-40B4-BE49-F238E27FC236}">
              <a16:creationId xmlns:a16="http://schemas.microsoft.com/office/drawing/2014/main" id="{CE24C749-19DF-5C13-B186-1AD4A1B1B53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247649"/>
          <a:ext cx="13429710" cy="4981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95362-94CF-4E08-8433-6F4780C6375E}">
  <dimension ref="A1:AD50"/>
  <sheetViews>
    <sheetView zoomScale="99" workbookViewId="0"/>
  </sheetViews>
  <sheetFormatPr baseColWidth="10" defaultRowHeight="14.4" x14ac:dyDescent="0.3"/>
  <sheetData>
    <row r="1" spans="1:30" x14ac:dyDescent="0.3">
      <c r="B1" s="1"/>
      <c r="C1" s="1"/>
      <c r="D1" s="1"/>
      <c r="E1" s="1"/>
      <c r="F1" s="1"/>
      <c r="G1" s="1"/>
      <c r="H1" s="1"/>
      <c r="I1" s="1"/>
      <c r="J1" s="1"/>
      <c r="K1" s="1"/>
      <c r="L1" s="1"/>
      <c r="M1" s="1"/>
      <c r="N1" s="1"/>
      <c r="O1" s="1"/>
      <c r="P1" s="1"/>
      <c r="Q1" s="1"/>
      <c r="R1" s="1"/>
      <c r="S1" s="1"/>
      <c r="T1" s="1"/>
      <c r="U1" s="1"/>
      <c r="V1" s="1"/>
      <c r="W1" s="1"/>
      <c r="X1" s="1"/>
      <c r="Y1" s="1"/>
      <c r="Z1" s="1"/>
      <c r="AA1" s="1"/>
      <c r="AB1" s="1"/>
      <c r="AC1" s="1"/>
      <c r="AD1" s="1"/>
    </row>
    <row r="2" spans="1:30" x14ac:dyDescent="0.3">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x14ac:dyDescent="0.3">
      <c r="A3" s="1"/>
      <c r="B3" s="1"/>
      <c r="C3" s="1"/>
      <c r="D3" s="1"/>
      <c r="E3" s="1"/>
      <c r="F3" s="1"/>
      <c r="G3" s="1"/>
      <c r="H3" s="1"/>
      <c r="I3" s="1"/>
      <c r="J3" s="1"/>
      <c r="K3" s="1"/>
      <c r="L3" s="1"/>
      <c r="M3" s="1"/>
      <c r="N3" s="1"/>
      <c r="O3" s="1"/>
      <c r="P3" s="1"/>
      <c r="Q3" s="1"/>
      <c r="R3" s="1"/>
      <c r="S3" s="1"/>
      <c r="T3" s="1"/>
      <c r="U3" s="1"/>
      <c r="V3" s="1"/>
      <c r="W3" s="1"/>
      <c r="X3" s="1"/>
      <c r="Y3" s="1"/>
      <c r="Z3" s="1"/>
      <c r="AA3" s="1"/>
      <c r="AB3" s="1"/>
      <c r="AC3" s="1"/>
      <c r="AD3" s="1"/>
    </row>
    <row r="4" spans="1:30" x14ac:dyDescent="0.3">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x14ac:dyDescent="0.3">
      <c r="A5" s="1"/>
      <c r="B5" s="1"/>
      <c r="C5" s="1"/>
      <c r="D5" s="1"/>
      <c r="E5" s="1"/>
      <c r="F5" s="1"/>
      <c r="G5" s="1"/>
      <c r="H5" s="1"/>
      <c r="I5" s="1"/>
      <c r="J5" s="1"/>
      <c r="K5" s="1"/>
      <c r="L5" s="1"/>
      <c r="M5" s="1"/>
      <c r="N5" s="1"/>
      <c r="O5" s="1"/>
      <c r="P5" s="1"/>
      <c r="Q5" s="1"/>
      <c r="R5" s="1"/>
      <c r="S5" s="1"/>
      <c r="T5" s="1"/>
      <c r="U5" s="1"/>
      <c r="V5" s="1"/>
      <c r="W5" s="1"/>
      <c r="X5" s="1"/>
      <c r="Y5" s="1"/>
      <c r="Z5" s="1"/>
      <c r="AA5" s="1"/>
      <c r="AB5" s="1"/>
      <c r="AC5" s="1"/>
      <c r="AD5" s="1"/>
    </row>
    <row r="6" spans="1:30" x14ac:dyDescent="0.3">
      <c r="A6" s="1"/>
      <c r="B6" s="1"/>
      <c r="D6" s="1"/>
      <c r="E6" s="1"/>
      <c r="F6" s="1"/>
      <c r="G6" s="1"/>
      <c r="H6" s="1"/>
      <c r="I6" s="1"/>
      <c r="J6" s="1"/>
      <c r="K6" s="1"/>
      <c r="L6" s="1"/>
      <c r="M6" s="1"/>
      <c r="N6" s="1"/>
      <c r="O6" s="1"/>
      <c r="P6" s="1"/>
      <c r="Q6" s="1"/>
      <c r="R6" s="1"/>
      <c r="S6" s="1"/>
      <c r="T6" s="1"/>
      <c r="U6" s="1"/>
      <c r="V6" s="1"/>
      <c r="W6" s="1"/>
      <c r="X6" s="1"/>
      <c r="Y6" s="1"/>
      <c r="Z6" s="1"/>
      <c r="AA6" s="1"/>
      <c r="AB6" s="1"/>
      <c r="AC6" s="1"/>
      <c r="AD6" s="1"/>
    </row>
    <row r="7" spans="1:30" x14ac:dyDescent="0.3">
      <c r="A7" s="1"/>
      <c r="B7" s="1"/>
      <c r="C7" s="1"/>
      <c r="D7" s="1"/>
      <c r="E7" s="1"/>
      <c r="F7" s="1"/>
      <c r="G7" s="1"/>
      <c r="H7" s="1"/>
      <c r="I7" s="1"/>
      <c r="J7" s="1"/>
      <c r="K7" s="1"/>
      <c r="L7" s="1"/>
      <c r="M7" s="1"/>
      <c r="N7" s="1"/>
      <c r="O7" s="1"/>
      <c r="P7" s="1"/>
      <c r="Q7" s="1"/>
      <c r="R7" s="1"/>
      <c r="S7" s="1"/>
      <c r="T7" s="1"/>
      <c r="U7" s="1"/>
      <c r="V7" s="1"/>
      <c r="W7" s="1"/>
      <c r="X7" s="1"/>
      <c r="Y7" s="1"/>
      <c r="Z7" s="1"/>
      <c r="AA7" s="1"/>
      <c r="AB7" s="1"/>
      <c r="AC7" s="1"/>
      <c r="AD7" s="1"/>
    </row>
    <row r="8" spans="1:30" x14ac:dyDescent="0.3">
      <c r="A8" s="1"/>
      <c r="B8" s="1"/>
      <c r="C8" s="1"/>
      <c r="D8" s="1"/>
      <c r="E8" s="1"/>
      <c r="F8" s="1"/>
      <c r="G8" s="1"/>
      <c r="H8" s="1"/>
      <c r="I8" s="1"/>
      <c r="J8" s="1"/>
      <c r="K8" s="1"/>
      <c r="L8" s="1"/>
      <c r="M8" s="1"/>
      <c r="N8" s="1"/>
      <c r="O8" s="1"/>
      <c r="P8" s="1"/>
      <c r="Q8" s="1"/>
      <c r="R8" s="1"/>
      <c r="S8" s="1"/>
      <c r="T8" s="1"/>
      <c r="U8" s="1"/>
      <c r="V8" s="1"/>
      <c r="W8" s="1"/>
      <c r="X8" s="1"/>
      <c r="Y8" s="1"/>
      <c r="Z8" s="1"/>
      <c r="AA8" s="1"/>
      <c r="AB8" s="1"/>
      <c r="AC8" s="1"/>
      <c r="AD8" s="1"/>
    </row>
    <row r="9" spans="1:30" x14ac:dyDescent="0.3">
      <c r="A9" s="1"/>
      <c r="B9" s="1"/>
      <c r="C9" s="1"/>
      <c r="D9" s="1"/>
      <c r="E9" s="1"/>
      <c r="F9" s="1"/>
      <c r="G9" s="1"/>
      <c r="H9" s="1"/>
      <c r="I9" s="1"/>
      <c r="J9" s="1"/>
      <c r="K9" s="1"/>
      <c r="L9" s="1"/>
      <c r="M9" s="1"/>
      <c r="N9" s="1"/>
      <c r="O9" s="1"/>
      <c r="P9" s="1"/>
      <c r="Q9" s="1"/>
      <c r="R9" s="1"/>
      <c r="S9" s="1"/>
      <c r="T9" s="1"/>
      <c r="U9" s="1"/>
      <c r="V9" s="1"/>
      <c r="W9" s="1"/>
      <c r="X9" s="1"/>
      <c r="Y9" s="1"/>
      <c r="Z9" s="1"/>
      <c r="AA9" s="1"/>
      <c r="AB9" s="1"/>
      <c r="AC9" s="1"/>
      <c r="AD9" s="1"/>
    </row>
    <row r="10" spans="1:30" x14ac:dyDescent="0.3">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row>
    <row r="11" spans="1:30" x14ac:dyDescent="0.3">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row>
    <row r="12" spans="1:30" x14ac:dyDescent="0.3">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row>
    <row r="13" spans="1:30" x14ac:dyDescent="0.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row>
    <row r="14" spans="1:30" x14ac:dyDescent="0.3">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row>
    <row r="15" spans="1:30" x14ac:dyDescent="0.3">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row>
    <row r="16" spans="1:30" x14ac:dyDescent="0.3">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row>
    <row r="17" spans="1:30" x14ac:dyDescent="0.3">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row>
    <row r="18" spans="1:30" x14ac:dyDescent="0.3">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row>
    <row r="19" spans="1:30" x14ac:dyDescent="0.3">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row>
    <row r="20" spans="1:30" x14ac:dyDescent="0.3">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row>
    <row r="21" spans="1:30" x14ac:dyDescent="0.3">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row>
    <row r="22" spans="1:30" x14ac:dyDescent="0.3">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spans="1:30" x14ac:dyDescent="0.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spans="1:30" x14ac:dyDescent="0.3">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x14ac:dyDescent="0.3">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row>
    <row r="26" spans="1:30" x14ac:dyDescent="0.3">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spans="1:30" x14ac:dyDescent="0.3">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row>
    <row r="28" spans="1:30" x14ac:dyDescent="0.3">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spans="1:30" x14ac:dyDescent="0.3">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spans="1:30" x14ac:dyDescent="0.3">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spans="1:30" x14ac:dyDescent="0.3">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spans="1:30" x14ac:dyDescent="0.3">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spans="1:30" x14ac:dyDescent="0.3">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spans="1:30" x14ac:dyDescent="0.3">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spans="1:30" x14ac:dyDescent="0.3">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spans="1:30" x14ac:dyDescent="0.3">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spans="1:30" x14ac:dyDescent="0.3">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spans="1:30" x14ac:dyDescent="0.3">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spans="1:30" x14ac:dyDescent="0.3">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spans="1:30" x14ac:dyDescent="0.3">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spans="1:30" x14ac:dyDescent="0.3">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3">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3">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3">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3">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3">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x14ac:dyDescent="0.3">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x14ac:dyDescent="0.3">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AA025-A9A3-4E3E-A766-44885AA770B6}">
  <dimension ref="A1:D13"/>
  <sheetViews>
    <sheetView workbookViewId="0">
      <selection sqref="A1:D13"/>
    </sheetView>
  </sheetViews>
  <sheetFormatPr baseColWidth="10" defaultRowHeight="14.4" x14ac:dyDescent="0.3"/>
  <cols>
    <col min="1" max="1" width="16.33203125" customWidth="1"/>
    <col min="2" max="2" width="54.5546875" customWidth="1"/>
    <col min="3" max="3" width="12.44140625" bestFit="1" customWidth="1"/>
    <col min="4" max="4" width="7.6640625" customWidth="1"/>
  </cols>
  <sheetData>
    <row r="1" spans="1:4" x14ac:dyDescent="0.3">
      <c r="A1" s="8" t="s">
        <v>0</v>
      </c>
      <c r="B1" s="8" t="s">
        <v>1</v>
      </c>
      <c r="C1" s="8" t="s">
        <v>2</v>
      </c>
      <c r="D1" s="8" t="s">
        <v>3</v>
      </c>
    </row>
    <row r="2" spans="1:4" ht="43.2" x14ac:dyDescent="0.3">
      <c r="A2" s="9" t="s">
        <v>4</v>
      </c>
      <c r="B2" s="10" t="s">
        <v>15</v>
      </c>
      <c r="C2" s="9">
        <v>1</v>
      </c>
      <c r="D2" s="11" t="s">
        <v>53</v>
      </c>
    </row>
    <row r="3" spans="1:4" ht="57.6" x14ac:dyDescent="0.3">
      <c r="A3" s="9" t="s">
        <v>11</v>
      </c>
      <c r="B3" s="10" t="s">
        <v>16</v>
      </c>
      <c r="C3" s="9">
        <v>1</v>
      </c>
      <c r="D3" s="11" t="s">
        <v>53</v>
      </c>
    </row>
    <row r="4" spans="1:4" ht="57.6" x14ac:dyDescent="0.3">
      <c r="A4" s="9" t="s">
        <v>5</v>
      </c>
      <c r="B4" s="10" t="s">
        <v>22</v>
      </c>
      <c r="C4" s="9">
        <v>2</v>
      </c>
      <c r="D4" s="11" t="s">
        <v>53</v>
      </c>
    </row>
    <row r="5" spans="1:4" ht="57.6" x14ac:dyDescent="0.3">
      <c r="A5" s="9" t="s">
        <v>6</v>
      </c>
      <c r="B5" s="10" t="s">
        <v>17</v>
      </c>
      <c r="C5" s="9">
        <v>2</v>
      </c>
      <c r="D5" s="11" t="s">
        <v>53</v>
      </c>
    </row>
    <row r="6" spans="1:4" ht="43.2" x14ac:dyDescent="0.3">
      <c r="A6" s="9" t="s">
        <v>7</v>
      </c>
      <c r="B6" s="10" t="s">
        <v>18</v>
      </c>
      <c r="C6" s="9">
        <v>2</v>
      </c>
      <c r="D6" s="11" t="s">
        <v>53</v>
      </c>
    </row>
    <row r="7" spans="1:4" ht="57.6" x14ac:dyDescent="0.3">
      <c r="A7" s="9" t="s">
        <v>13</v>
      </c>
      <c r="B7" s="10" t="s">
        <v>20</v>
      </c>
      <c r="C7" s="9">
        <v>2</v>
      </c>
      <c r="D7" s="11" t="s">
        <v>53</v>
      </c>
    </row>
    <row r="8" spans="1:4" ht="28.8" x14ac:dyDescent="0.3">
      <c r="A8" s="9" t="s">
        <v>8</v>
      </c>
      <c r="B8" s="10" t="s">
        <v>19</v>
      </c>
      <c r="C8" s="9">
        <v>3</v>
      </c>
      <c r="D8" s="11" t="s">
        <v>53</v>
      </c>
    </row>
    <row r="9" spans="1:4" ht="57.6" x14ac:dyDescent="0.3">
      <c r="A9" s="9" t="s">
        <v>9</v>
      </c>
      <c r="B9" s="10" t="s">
        <v>21</v>
      </c>
      <c r="C9" s="9">
        <v>3</v>
      </c>
      <c r="D9" s="11" t="s">
        <v>53</v>
      </c>
    </row>
    <row r="10" spans="1:4" ht="100.8" x14ac:dyDescent="0.3">
      <c r="A10" s="9" t="s">
        <v>29</v>
      </c>
      <c r="B10" s="10" t="s">
        <v>37</v>
      </c>
      <c r="C10" s="9">
        <v>4</v>
      </c>
      <c r="D10" s="11" t="s">
        <v>53</v>
      </c>
    </row>
    <row r="11" spans="1:4" ht="129.6" x14ac:dyDescent="0.3">
      <c r="A11" s="9" t="s">
        <v>10</v>
      </c>
      <c r="B11" s="10" t="s">
        <v>23</v>
      </c>
      <c r="C11" s="9">
        <v>4</v>
      </c>
      <c r="D11" s="11" t="s">
        <v>53</v>
      </c>
    </row>
    <row r="12" spans="1:4" ht="43.2" x14ac:dyDescent="0.3">
      <c r="A12" s="9" t="s">
        <v>12</v>
      </c>
      <c r="B12" s="10" t="s">
        <v>24</v>
      </c>
      <c r="C12" s="9">
        <v>5</v>
      </c>
      <c r="D12" s="11" t="s">
        <v>53</v>
      </c>
    </row>
    <row r="13" spans="1:4" ht="57.6" x14ac:dyDescent="0.3">
      <c r="A13" s="9" t="s">
        <v>14</v>
      </c>
      <c r="B13" s="10" t="s">
        <v>25</v>
      </c>
      <c r="C13" s="9">
        <v>5</v>
      </c>
      <c r="D13" s="11" t="s">
        <v>53</v>
      </c>
    </row>
  </sheetData>
  <hyperlinks>
    <hyperlink ref="D2" location="Barberia_D!A1" display="aquí" xr:uid="{4DD4FFDC-FEC3-4024-8B2A-15ECCC25F1B4}"/>
    <hyperlink ref="D3" location="Cliente_D!A1" display="aquí" xr:uid="{36147D48-0B43-4DA0-AD5A-85C9F3A80142}"/>
    <hyperlink ref="D4" location="Regla_D!A1" display="aquí" xr:uid="{CE75E08E-3AEF-4772-B979-C6C2C9E47B76}"/>
    <hyperlink ref="D5" location="Servicio_D!A1" display="aquí" xr:uid="{FA9DCCF5-D4AD-44C7-B850-A147A771879F}"/>
    <hyperlink ref="D6" location="Barbero_D!A1" display="aquí" xr:uid="{D986BDF3-3679-4C1D-B75C-941AB0C17E00}"/>
    <hyperlink ref="D7" location="Veto_D!A1" display="aquí" xr:uid="{50EEB4A4-A05B-458F-A616-2C079D7BA2A1}"/>
    <hyperlink ref="D8" location="BarberoServicio_D!A1" display="aquí" xr:uid="{AC14820F-CB56-4CB4-B9D5-B9DDBC302113}"/>
    <hyperlink ref="D9" location="Agenda_D!A1" display="aquí" xr:uid="{F2DC45FC-06BF-43EC-8765-3A2CBBBD79CD}"/>
    <hyperlink ref="D10" location="HorarioSemanal_D!A1" display="aquí" xr:uid="{2BEC7AC9-1950-45BF-A932-EE8AB8B8E00C}"/>
    <hyperlink ref="D11" location="Cita_D!A1" display="aquí" xr:uid="{3BDFED20-FFB7-4345-9356-B30AC1240BDC}"/>
    <hyperlink ref="D12" location="Multa_D!A1" display="aquí" xr:uid="{5D100657-ADBE-4AA9-A971-9C9D942C9DAD}"/>
    <hyperlink ref="D13" location="CitaServicio_D!A1" display="aquí" xr:uid="{F49154C9-A497-4677-B686-F9CF5B536DEC}"/>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22F8C-1648-4644-8301-765EB2B8C50B}">
  <dimension ref="A1:C4"/>
  <sheetViews>
    <sheetView workbookViewId="0">
      <selection activeCell="C4" sqref="C4"/>
    </sheetView>
  </sheetViews>
  <sheetFormatPr baseColWidth="10" defaultRowHeight="14.4" x14ac:dyDescent="0.3"/>
  <cols>
    <col min="1" max="1" width="33.88671875" customWidth="1"/>
    <col min="2" max="2" width="23.33203125" bestFit="1" customWidth="1"/>
    <col min="3" max="3" width="13.109375" bestFit="1" customWidth="1"/>
  </cols>
  <sheetData>
    <row r="1" spans="1:3" x14ac:dyDescent="0.3">
      <c r="A1" s="6" t="s">
        <v>51</v>
      </c>
      <c r="B1" s="6" t="s">
        <v>52</v>
      </c>
    </row>
    <row r="2" spans="1:3" ht="20.399999999999999" x14ac:dyDescent="0.3">
      <c r="A2" s="5" t="s">
        <v>28</v>
      </c>
    </row>
    <row r="3" spans="1:3" x14ac:dyDescent="0.3">
      <c r="A3" s="3" t="s">
        <v>50</v>
      </c>
      <c r="B3" s="3" t="s">
        <v>26</v>
      </c>
      <c r="C3" s="3" t="s">
        <v>27</v>
      </c>
    </row>
    <row r="4" spans="1:3" x14ac:dyDescent="0.3">
      <c r="A4">
        <v>1</v>
      </c>
      <c r="B4" s="4">
        <v>0.375</v>
      </c>
      <c r="C4" s="4">
        <v>0.79166666666666663</v>
      </c>
    </row>
  </sheetData>
  <hyperlinks>
    <hyperlink ref="A1" location="'Modelo de Dominio'!A1" display="&lt;&lt;&lt;&lt; Ir al modulo de dominio" xr:uid="{0FEEEACD-5263-424F-9691-DED385216B9A}"/>
    <hyperlink ref="B1" location="'Objetos de Dominio'!A1" display="&lt;&lt;&lt;&lt; Ir a objetos de dominio" xr:uid="{65BA578D-64B7-4416-81D4-7BC58A8F0B9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59140-2713-4A98-8730-76D57DC1D653}">
  <dimension ref="A1:D7"/>
  <sheetViews>
    <sheetView workbookViewId="0">
      <selection activeCell="E2" sqref="E2"/>
    </sheetView>
  </sheetViews>
  <sheetFormatPr baseColWidth="10" defaultRowHeight="14.4" x14ac:dyDescent="0.3"/>
  <cols>
    <col min="1" max="1" width="23.88671875" style="12" bestFit="1" customWidth="1"/>
    <col min="2" max="2" width="23.33203125" style="12" bestFit="1" customWidth="1"/>
    <col min="3" max="3" width="19.33203125" style="12" customWidth="1"/>
    <col min="4" max="4" width="18.44140625" style="12" bestFit="1" customWidth="1"/>
  </cols>
  <sheetData>
    <row r="1" spans="1:4" x14ac:dyDescent="0.3">
      <c r="A1" s="13" t="s">
        <v>51</v>
      </c>
      <c r="B1" s="13" t="s">
        <v>52</v>
      </c>
      <c r="C1" s="14"/>
      <c r="D1" s="14"/>
    </row>
    <row r="2" spans="1:4" ht="39.6" x14ac:dyDescent="0.3">
      <c r="A2" s="16" t="s">
        <v>28</v>
      </c>
      <c r="B2" s="16" t="s">
        <v>58</v>
      </c>
      <c r="C2" s="17" t="s">
        <v>54</v>
      </c>
      <c r="D2" s="18" t="s">
        <v>61</v>
      </c>
    </row>
    <row r="3" spans="1:4" x14ac:dyDescent="0.3">
      <c r="A3" s="19" t="s">
        <v>50</v>
      </c>
      <c r="B3" s="15" t="s">
        <v>30</v>
      </c>
      <c r="C3" s="15" t="s">
        <v>31</v>
      </c>
      <c r="D3" s="20" t="s">
        <v>55</v>
      </c>
    </row>
    <row r="4" spans="1:4" x14ac:dyDescent="0.3">
      <c r="A4" s="14">
        <v>1</v>
      </c>
      <c r="B4" s="14" t="s">
        <v>56</v>
      </c>
      <c r="C4" s="14">
        <v>3234528921</v>
      </c>
      <c r="D4" s="14">
        <f>C4</f>
        <v>3234528921</v>
      </c>
    </row>
    <row r="5" spans="1:4" x14ac:dyDescent="0.3">
      <c r="A5" s="14">
        <v>2</v>
      </c>
      <c r="B5" s="14" t="s">
        <v>57</v>
      </c>
      <c r="C5" s="14">
        <v>3161657782</v>
      </c>
      <c r="D5" s="14">
        <f t="shared" ref="D5:D7" si="0">C5</f>
        <v>3161657782</v>
      </c>
    </row>
    <row r="6" spans="1:4" x14ac:dyDescent="0.3">
      <c r="A6" s="14">
        <v>3</v>
      </c>
      <c r="B6" s="14" t="s">
        <v>59</v>
      </c>
      <c r="C6" s="14">
        <v>3119884321</v>
      </c>
      <c r="D6" s="14">
        <f t="shared" si="0"/>
        <v>3119884321</v>
      </c>
    </row>
    <row r="7" spans="1:4" x14ac:dyDescent="0.3">
      <c r="A7" s="14">
        <v>4</v>
      </c>
      <c r="B7" s="14" t="s">
        <v>60</v>
      </c>
      <c r="C7" s="14">
        <v>3245267189</v>
      </c>
      <c r="D7" s="14">
        <f t="shared" si="0"/>
        <v>3245267189</v>
      </c>
    </row>
  </sheetData>
  <hyperlinks>
    <hyperlink ref="A1" location="'Modelo de Dominio'!A1" display="&lt;&lt;&lt;&lt; Ir al modulo de dominio" xr:uid="{45ECCE20-A7F3-41A8-ACF9-49963DA55DAB}"/>
    <hyperlink ref="B1" location="'Objetos de Dominio'!A1" display="&lt;&lt;&lt;&lt; Ir a objetos de dominio" xr:uid="{882DBE5D-51B0-4530-88DA-6C3B67C6032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77388-6266-4A55-B7A3-4FCD2B643D29}">
  <dimension ref="A1:F5"/>
  <sheetViews>
    <sheetView workbookViewId="0">
      <selection activeCell="C4" sqref="C4"/>
    </sheetView>
  </sheetViews>
  <sheetFormatPr baseColWidth="10" defaultRowHeight="14.4" x14ac:dyDescent="0.3"/>
  <cols>
    <col min="1" max="1" width="23.88671875" bestFit="1" customWidth="1"/>
    <col min="2" max="2" width="23.33203125" bestFit="1" customWidth="1"/>
    <col min="3" max="3" width="19.88671875" bestFit="1" customWidth="1"/>
    <col min="4" max="4" width="18.33203125" bestFit="1" customWidth="1"/>
  </cols>
  <sheetData>
    <row r="1" spans="1:6" x14ac:dyDescent="0.3">
      <c r="A1" s="6" t="s">
        <v>51</v>
      </c>
      <c r="B1" s="6" t="s">
        <v>52</v>
      </c>
    </row>
    <row r="2" spans="1:6" ht="39.6" x14ac:dyDescent="0.3">
      <c r="A2" s="7" t="s">
        <v>28</v>
      </c>
      <c r="B2" s="5" t="s">
        <v>63</v>
      </c>
      <c r="C2" s="5" t="s">
        <v>70</v>
      </c>
      <c r="D2" s="5" t="s">
        <v>64</v>
      </c>
    </row>
    <row r="3" spans="1:6" x14ac:dyDescent="0.3">
      <c r="A3" s="3" t="s">
        <v>50</v>
      </c>
      <c r="B3" s="3" t="s">
        <v>62</v>
      </c>
      <c r="C3" s="3" t="s">
        <v>32</v>
      </c>
      <c r="D3" s="3" t="s">
        <v>33</v>
      </c>
      <c r="E3" s="3" t="s">
        <v>65</v>
      </c>
    </row>
    <row r="4" spans="1:6" x14ac:dyDescent="0.3">
      <c r="A4">
        <v>1</v>
      </c>
      <c r="B4">
        <v>10</v>
      </c>
      <c r="C4" s="21">
        <v>10000</v>
      </c>
      <c r="D4" s="21">
        <v>20000</v>
      </c>
    </row>
    <row r="5" spans="1:6" ht="43.2" x14ac:dyDescent="0.3">
      <c r="D5" s="2" t="s">
        <v>72</v>
      </c>
      <c r="F5" t="s">
        <v>71</v>
      </c>
    </row>
  </sheetData>
  <hyperlinks>
    <hyperlink ref="A1" location="'Modelo de Dominio'!A1" display="&lt;&lt;&lt;&lt; Ir al modulo de dominio" xr:uid="{7C596F35-55B8-4CE7-B78D-972818210697}"/>
    <hyperlink ref="B1" location="'Objetos de Dominio'!A1" display="&lt;&lt;&lt;&lt; Ir a objetos de dominio" xr:uid="{633A0FBE-51A8-439E-B16B-3262AEDC61C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B567D-D27E-4BE3-B1E4-8CA267790151}">
  <dimension ref="A1:D12"/>
  <sheetViews>
    <sheetView tabSelected="1" workbookViewId="0">
      <selection activeCell="B13" sqref="B13"/>
    </sheetView>
  </sheetViews>
  <sheetFormatPr baseColWidth="10" defaultRowHeight="14.4" x14ac:dyDescent="0.3"/>
  <cols>
    <col min="1" max="1" width="23.88671875" bestFit="1" customWidth="1"/>
    <col min="2" max="2" width="23.33203125" bestFit="1" customWidth="1"/>
    <col min="3" max="3" width="16.33203125" bestFit="1" customWidth="1"/>
    <col min="4" max="4" width="17.33203125" customWidth="1"/>
  </cols>
  <sheetData>
    <row r="1" spans="1:4" x14ac:dyDescent="0.3">
      <c r="A1" s="22" t="s">
        <v>51</v>
      </c>
      <c r="B1" s="22" t="s">
        <v>52</v>
      </c>
      <c r="C1" s="23"/>
      <c r="D1" s="23"/>
    </row>
    <row r="2" spans="1:4" ht="28.8" x14ac:dyDescent="0.3">
      <c r="A2" s="24" t="s">
        <v>28</v>
      </c>
      <c r="B2" s="24" t="s">
        <v>66</v>
      </c>
      <c r="C2" s="25" t="s">
        <v>68</v>
      </c>
      <c r="D2" s="25" t="s">
        <v>69</v>
      </c>
    </row>
    <row r="3" spans="1:4" x14ac:dyDescent="0.3">
      <c r="A3" s="26" t="s">
        <v>50</v>
      </c>
      <c r="B3" s="26" t="s">
        <v>30</v>
      </c>
      <c r="C3" s="26" t="s">
        <v>67</v>
      </c>
      <c r="D3" s="26" t="s">
        <v>34</v>
      </c>
    </row>
    <row r="4" spans="1:4" x14ac:dyDescent="0.3">
      <c r="A4" s="23">
        <v>1</v>
      </c>
      <c r="B4" s="23" t="s">
        <v>73</v>
      </c>
      <c r="C4" s="23">
        <v>45</v>
      </c>
      <c r="D4" s="27">
        <v>22000</v>
      </c>
    </row>
    <row r="5" spans="1:4" x14ac:dyDescent="0.3">
      <c r="A5" s="23">
        <v>2</v>
      </c>
      <c r="B5" s="23"/>
      <c r="C5" s="23"/>
      <c r="D5" s="23"/>
    </row>
    <row r="6" spans="1:4" x14ac:dyDescent="0.3">
      <c r="A6" s="23">
        <v>3</v>
      </c>
      <c r="B6" s="23"/>
      <c r="C6" s="23"/>
      <c r="D6" s="23"/>
    </row>
    <row r="7" spans="1:4" x14ac:dyDescent="0.3">
      <c r="A7" s="23">
        <v>4</v>
      </c>
      <c r="B7" s="23"/>
      <c r="C7" s="23"/>
      <c r="D7" s="23"/>
    </row>
    <row r="8" spans="1:4" x14ac:dyDescent="0.3">
      <c r="A8" s="23"/>
      <c r="B8" s="23"/>
      <c r="C8" s="23"/>
      <c r="D8" s="23"/>
    </row>
    <row r="9" spans="1:4" x14ac:dyDescent="0.3">
      <c r="A9" s="23"/>
      <c r="B9" s="23"/>
      <c r="C9" s="23"/>
      <c r="D9" s="23"/>
    </row>
    <row r="10" spans="1:4" x14ac:dyDescent="0.3">
      <c r="A10" s="23"/>
      <c r="B10" s="23"/>
      <c r="C10" s="23"/>
      <c r="D10" s="23"/>
    </row>
    <row r="11" spans="1:4" x14ac:dyDescent="0.3">
      <c r="A11" s="23"/>
      <c r="B11" s="23"/>
      <c r="C11" s="23"/>
      <c r="D11" s="23"/>
    </row>
    <row r="12" spans="1:4" x14ac:dyDescent="0.3">
      <c r="A12" s="23"/>
      <c r="B12" s="23"/>
      <c r="C12" s="23"/>
      <c r="D12" s="23"/>
    </row>
  </sheetData>
  <hyperlinks>
    <hyperlink ref="A1" location="'Modelo de Dominio'!A1" display="&lt;&lt;&lt;&lt; Ir al modulo de dominio" xr:uid="{1232B379-2C8F-4361-B8CE-5CC492F8D207}"/>
    <hyperlink ref="B1" location="'Objetos de Dominio'!A1" display="&lt;&lt;&lt;&lt; Ir a objetos de dominio" xr:uid="{C4612CEA-B79F-4496-B57E-5F6E72A804C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E59AB-4103-4731-9C3C-4C276F8A29F8}">
  <dimension ref="A1:C3"/>
  <sheetViews>
    <sheetView workbookViewId="0">
      <selection activeCell="A2" sqref="A2"/>
    </sheetView>
  </sheetViews>
  <sheetFormatPr baseColWidth="10" defaultRowHeight="14.4" x14ac:dyDescent="0.3"/>
  <cols>
    <col min="1" max="1" width="23.88671875" bestFit="1" customWidth="1"/>
    <col min="2" max="2" width="23.33203125" bestFit="1" customWidth="1"/>
  </cols>
  <sheetData>
    <row r="1" spans="1:3" x14ac:dyDescent="0.3">
      <c r="A1" s="6" t="s">
        <v>51</v>
      </c>
      <c r="B1" s="6" t="s">
        <v>52</v>
      </c>
    </row>
    <row r="2" spans="1:3" ht="30" x14ac:dyDescent="0.3">
      <c r="A2" s="7" t="s">
        <v>28</v>
      </c>
      <c r="B2" s="6"/>
    </row>
    <row r="3" spans="1:3" x14ac:dyDescent="0.3">
      <c r="A3" s="3" t="s">
        <v>50</v>
      </c>
      <c r="B3" s="3" t="s">
        <v>30</v>
      </c>
      <c r="C3" s="3" t="s">
        <v>31</v>
      </c>
    </row>
  </sheetData>
  <hyperlinks>
    <hyperlink ref="A1" location="'Modelo de Dominio'!A1" display="&lt;&lt;&lt;&lt; Ir al modulo de dominio" xr:uid="{E687A9B1-2F94-41F4-9C64-B065CF803569}"/>
    <hyperlink ref="B1" location="'Objetos de Dominio'!A1" display="&lt;&lt;&lt;&lt; Ir a objetos de dominio" xr:uid="{B11349A8-A5E5-4188-AE93-A5D086816413}"/>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8B98D-AAA9-4184-8373-FE2E421AAE23}">
  <dimension ref="A1:D3"/>
  <sheetViews>
    <sheetView workbookViewId="0">
      <selection activeCell="A2" sqref="A2"/>
    </sheetView>
  </sheetViews>
  <sheetFormatPr baseColWidth="10" defaultRowHeight="14.4" x14ac:dyDescent="0.3"/>
  <cols>
    <col min="1" max="1" width="23.88671875" bestFit="1" customWidth="1"/>
    <col min="2" max="2" width="23.33203125" bestFit="1" customWidth="1"/>
  </cols>
  <sheetData>
    <row r="1" spans="1:4" x14ac:dyDescent="0.3">
      <c r="A1" s="6" t="s">
        <v>51</v>
      </c>
      <c r="B1" s="6" t="s">
        <v>52</v>
      </c>
    </row>
    <row r="2" spans="1:4" ht="30" x14ac:dyDescent="0.3">
      <c r="A2" s="7" t="s">
        <v>28</v>
      </c>
      <c r="B2" s="6"/>
    </row>
    <row r="3" spans="1:4" x14ac:dyDescent="0.3">
      <c r="A3" s="3" t="s">
        <v>50</v>
      </c>
      <c r="B3" s="3" t="s">
        <v>41</v>
      </c>
      <c r="C3" s="3" t="s">
        <v>35</v>
      </c>
      <c r="D3" s="3" t="s">
        <v>36</v>
      </c>
    </row>
  </sheetData>
  <hyperlinks>
    <hyperlink ref="A1" location="'Modelo de Dominio'!A1" display="&lt;&lt;&lt;&lt; Ir al modulo de dominio" xr:uid="{F755F618-0A40-4479-913F-8F6060E94F5B}"/>
    <hyperlink ref="B1" location="'Objetos de Dominio'!A1" display="&lt;&lt;&lt;&lt; Ir a objetos de dominio" xr:uid="{C5748D80-5E29-4CD8-BA51-198180E61202}"/>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A074A-5C83-448D-978C-7C1005CE378E}">
  <dimension ref="A1:C3"/>
  <sheetViews>
    <sheetView workbookViewId="0">
      <selection activeCell="A2" sqref="A2"/>
    </sheetView>
  </sheetViews>
  <sheetFormatPr baseColWidth="10" defaultRowHeight="14.4" x14ac:dyDescent="0.3"/>
  <cols>
    <col min="1" max="1" width="23.88671875" bestFit="1" customWidth="1"/>
    <col min="2" max="2" width="23.33203125" bestFit="1" customWidth="1"/>
  </cols>
  <sheetData>
    <row r="1" spans="1:3" x14ac:dyDescent="0.3">
      <c r="A1" s="6" t="s">
        <v>51</v>
      </c>
      <c r="B1" s="6" t="s">
        <v>52</v>
      </c>
    </row>
    <row r="2" spans="1:3" ht="30" x14ac:dyDescent="0.3">
      <c r="A2" s="7" t="s">
        <v>28</v>
      </c>
      <c r="B2" s="6"/>
    </row>
    <row r="3" spans="1:3" x14ac:dyDescent="0.3">
      <c r="A3" s="3" t="s">
        <v>50</v>
      </c>
      <c r="B3" s="3" t="s">
        <v>38</v>
      </c>
      <c r="C3" s="3" t="s">
        <v>39</v>
      </c>
    </row>
  </sheetData>
  <hyperlinks>
    <hyperlink ref="A1" location="'Modelo de Dominio'!A1" display="&lt;&lt;&lt;&lt; Ir al modulo de dominio" xr:uid="{FFA03467-D9E8-4922-8DD1-EB697146AC1B}"/>
    <hyperlink ref="B1" location="'Objetos de Dominio'!A1" display="&lt;&lt;&lt;&lt; Ir a objetos de dominio" xr:uid="{971E0EFC-60C0-48A1-B837-6AAF98E7514B}"/>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1A3C4-B96A-49A7-8353-9FD37D2F2B74}">
  <dimension ref="A1:C3"/>
  <sheetViews>
    <sheetView workbookViewId="0">
      <selection activeCell="A2" sqref="A2"/>
    </sheetView>
  </sheetViews>
  <sheetFormatPr baseColWidth="10" defaultRowHeight="14.4" x14ac:dyDescent="0.3"/>
  <cols>
    <col min="1" max="1" width="23.88671875" bestFit="1" customWidth="1"/>
    <col min="2" max="2" width="23.33203125" bestFit="1" customWidth="1"/>
  </cols>
  <sheetData>
    <row r="1" spans="1:3" x14ac:dyDescent="0.3">
      <c r="A1" s="6" t="s">
        <v>51</v>
      </c>
      <c r="B1" s="6" t="s">
        <v>52</v>
      </c>
    </row>
    <row r="2" spans="1:3" ht="30" x14ac:dyDescent="0.3">
      <c r="A2" s="7" t="s">
        <v>28</v>
      </c>
      <c r="B2" s="6"/>
    </row>
    <row r="3" spans="1:3" x14ac:dyDescent="0.3">
      <c r="B3" s="3" t="s">
        <v>40</v>
      </c>
      <c r="C3" s="3" t="s">
        <v>38</v>
      </c>
    </row>
  </sheetData>
  <hyperlinks>
    <hyperlink ref="A1" location="'Modelo de Dominio'!A1" display="&lt;&lt;&lt;&lt; Ir al modulo de dominio" xr:uid="{191A55C7-DA59-4C30-B63B-B024057DDC68}"/>
    <hyperlink ref="B1" location="'Objetos de Dominio'!A1" display="&lt;&lt;&lt;&lt; Ir a objetos de dominio" xr:uid="{E53BAB0A-E3EB-4977-AC9C-BE8955CDE77C}"/>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FEC6B-639A-456B-87BA-BB123C224403}">
  <dimension ref="A1:B3"/>
  <sheetViews>
    <sheetView workbookViewId="0">
      <selection activeCell="A2" sqref="A2"/>
    </sheetView>
  </sheetViews>
  <sheetFormatPr baseColWidth="10" defaultRowHeight="14.4" x14ac:dyDescent="0.3"/>
  <cols>
    <col min="1" max="1" width="23.88671875" bestFit="1" customWidth="1"/>
    <col min="2" max="2" width="23.33203125" bestFit="1" customWidth="1"/>
  </cols>
  <sheetData>
    <row r="1" spans="1:2" x14ac:dyDescent="0.3">
      <c r="A1" s="6" t="s">
        <v>51</v>
      </c>
      <c r="B1" s="6" t="s">
        <v>52</v>
      </c>
    </row>
    <row r="2" spans="1:2" ht="30" x14ac:dyDescent="0.3">
      <c r="A2" s="7" t="s">
        <v>28</v>
      </c>
    </row>
    <row r="3" spans="1:2" x14ac:dyDescent="0.3">
      <c r="A3" s="3" t="s">
        <v>50</v>
      </c>
    </row>
  </sheetData>
  <hyperlinks>
    <hyperlink ref="A1" location="'Modelo de Dominio'!A1" display="&lt;&lt;&lt;&lt; Ir al modulo de dominio" xr:uid="{F874FBF9-ADBF-4432-A887-3E2F20C26347}"/>
    <hyperlink ref="B1" location="'Objetos de Dominio'!A1" display="&lt;&lt;&lt;&lt; Ir a objetos de dominio" xr:uid="{77CB29A5-4A2F-4570-859B-63ABC144D95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9879F-6697-4F1F-AF5D-52C4860B7B3E}">
  <dimension ref="A1:F3"/>
  <sheetViews>
    <sheetView workbookViewId="0">
      <selection activeCell="A2" sqref="A2"/>
    </sheetView>
  </sheetViews>
  <sheetFormatPr baseColWidth="10" defaultRowHeight="14.4" x14ac:dyDescent="0.3"/>
  <cols>
    <col min="1" max="1" width="23.88671875" bestFit="1" customWidth="1"/>
    <col min="2" max="2" width="23.33203125" bestFit="1" customWidth="1"/>
  </cols>
  <sheetData>
    <row r="1" spans="1:6" x14ac:dyDescent="0.3">
      <c r="A1" s="6" t="s">
        <v>51</v>
      </c>
      <c r="B1" s="6" t="s">
        <v>52</v>
      </c>
    </row>
    <row r="2" spans="1:6" ht="30" x14ac:dyDescent="0.3">
      <c r="A2" s="7" t="s">
        <v>28</v>
      </c>
      <c r="B2" s="6"/>
    </row>
    <row r="3" spans="1:6" x14ac:dyDescent="0.3">
      <c r="A3" s="3" t="s">
        <v>50</v>
      </c>
      <c r="B3" s="3" t="s">
        <v>41</v>
      </c>
      <c r="C3" s="3" t="s">
        <v>42</v>
      </c>
      <c r="D3" s="3" t="s">
        <v>35</v>
      </c>
      <c r="E3" s="3" t="s">
        <v>43</v>
      </c>
      <c r="F3" s="3" t="s">
        <v>44</v>
      </c>
    </row>
  </sheetData>
  <hyperlinks>
    <hyperlink ref="A1" location="'Modelo de Dominio'!A1" display="&lt;&lt;&lt;&lt; Ir al modulo de dominio" xr:uid="{B207C97C-275D-464D-907D-12CA92F31351}"/>
    <hyperlink ref="B1" location="'Objetos de Dominio'!A1" display="&lt;&lt;&lt;&lt; Ir a objetos de dominio" xr:uid="{A9A9D2FC-8663-43BF-ACCB-9C70C189E293}"/>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573FB-AAA2-4254-B83C-7C7505540365}">
  <dimension ref="A1:E3"/>
  <sheetViews>
    <sheetView workbookViewId="0">
      <selection activeCell="A2" sqref="A2"/>
    </sheetView>
  </sheetViews>
  <sheetFormatPr baseColWidth="10" defaultRowHeight="14.4" x14ac:dyDescent="0.3"/>
  <cols>
    <col min="1" max="1" width="23.88671875" bestFit="1" customWidth="1"/>
    <col min="2" max="2" width="23.33203125" bestFit="1" customWidth="1"/>
  </cols>
  <sheetData>
    <row r="1" spans="1:5" x14ac:dyDescent="0.3">
      <c r="A1" s="6" t="s">
        <v>51</v>
      </c>
      <c r="B1" s="6" t="s">
        <v>52</v>
      </c>
    </row>
    <row r="2" spans="1:5" ht="30" x14ac:dyDescent="0.3">
      <c r="A2" s="7" t="s">
        <v>28</v>
      </c>
      <c r="B2" s="6"/>
    </row>
    <row r="3" spans="1:5" x14ac:dyDescent="0.3">
      <c r="A3" s="3" t="s">
        <v>50</v>
      </c>
      <c r="B3" s="3" t="s">
        <v>41</v>
      </c>
      <c r="C3" s="3" t="s">
        <v>45</v>
      </c>
      <c r="D3" s="3" t="s">
        <v>46</v>
      </c>
      <c r="E3" s="3" t="s">
        <v>47</v>
      </c>
    </row>
  </sheetData>
  <hyperlinks>
    <hyperlink ref="A1" location="'Modelo de Dominio'!A1" display="&lt;&lt;&lt;&lt; Ir al modulo de dominio" xr:uid="{9F0C7EDD-9274-48A2-A738-083239FDA7C6}"/>
    <hyperlink ref="B1" location="'Objetos de Dominio'!A1" display="&lt;&lt;&lt;&lt; Ir a objetos de dominio" xr:uid="{0C771B16-6597-49B8-8E4B-7C7FF5DA8BF5}"/>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0C5A4-8D15-43DA-95FC-91C9614E5EEA}">
  <dimension ref="A1:E3"/>
  <sheetViews>
    <sheetView workbookViewId="0">
      <selection activeCell="B1" sqref="B1"/>
    </sheetView>
  </sheetViews>
  <sheetFormatPr baseColWidth="10" defaultRowHeight="14.4" x14ac:dyDescent="0.3"/>
  <cols>
    <col min="1" max="1" width="23.88671875" bestFit="1" customWidth="1"/>
    <col min="2" max="2" width="23.33203125" bestFit="1" customWidth="1"/>
    <col min="4" max="4" width="17.109375" bestFit="1" customWidth="1"/>
    <col min="5" max="5" width="19.33203125" bestFit="1" customWidth="1"/>
  </cols>
  <sheetData>
    <row r="1" spans="1:5" x14ac:dyDescent="0.3">
      <c r="A1" s="6" t="s">
        <v>51</v>
      </c>
      <c r="B1" s="6" t="s">
        <v>52</v>
      </c>
    </row>
    <row r="2" spans="1:5" ht="30" x14ac:dyDescent="0.3">
      <c r="A2" s="7" t="s">
        <v>28</v>
      </c>
      <c r="B2" s="6"/>
    </row>
    <row r="3" spans="1:5" x14ac:dyDescent="0.3">
      <c r="A3" s="3" t="s">
        <v>50</v>
      </c>
      <c r="B3" s="3" t="s">
        <v>45</v>
      </c>
      <c r="C3" s="3" t="s">
        <v>39</v>
      </c>
      <c r="D3" s="3" t="s">
        <v>48</v>
      </c>
      <c r="E3" s="3" t="s">
        <v>49</v>
      </c>
    </row>
  </sheetData>
  <hyperlinks>
    <hyperlink ref="A1" location="'Modelo de Dominio'!A1" display="&lt;&lt;&lt;&lt; Ir al modulo de dominio" xr:uid="{0CE4CBFB-2016-4FF6-924A-B49B8392B10B}"/>
    <hyperlink ref="B1" location="'Objetos de Dominio'!A1" display="&lt;&lt;&lt;&lt; Ir a objetos de dominio" xr:uid="{57379F34-219A-4662-8198-09F584C326D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vt:i4>
      </vt:variant>
    </vt:vector>
  </HeadingPairs>
  <TitlesOfParts>
    <vt:vector size="14" baseType="lpstr">
      <vt:lpstr>Modelo de Dominio</vt:lpstr>
      <vt:lpstr>Objetos de Dominio</vt:lpstr>
      <vt:lpstr>Barberia_D</vt:lpstr>
      <vt:lpstr>Cliente_D</vt:lpstr>
      <vt:lpstr>Regla_D</vt:lpstr>
      <vt:lpstr>Servicio_D</vt:lpstr>
      <vt:lpstr>Barbero_D</vt:lpstr>
      <vt:lpstr>Veto_D</vt:lpstr>
      <vt:lpstr>BarberoServicio_D</vt:lpstr>
      <vt:lpstr>Agenda_D</vt:lpstr>
      <vt:lpstr>HorarioSemanal_D</vt:lpstr>
      <vt:lpstr>Cita_D</vt:lpstr>
      <vt:lpstr>Multa_D</vt:lpstr>
      <vt:lpstr>CitaServicio_D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 1000</dc:creator>
  <cp:lastModifiedBy>Leo 1000</cp:lastModifiedBy>
  <dcterms:created xsi:type="dcterms:W3CDTF">2026-08-03T17:50:17Z</dcterms:created>
  <dcterms:modified xsi:type="dcterms:W3CDTF">2026-08-05T15:42:10Z</dcterms:modified>
</cp:coreProperties>
</file>