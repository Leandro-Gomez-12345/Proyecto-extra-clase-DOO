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d.docs.live.net/120f6d501c463b80/Escritorio/leo/Doo/Barberia proyecto/"/>
    </mc:Choice>
  </mc:AlternateContent>
  <xr:revisionPtr revIDLastSave="126" documentId="13_ncr:1_{2E66909D-5601-4FD5-B019-CA621521DC3F}" xr6:coauthVersionLast="47" xr6:coauthVersionMax="47" xr10:uidLastSave="{FE4CB7E7-522D-4B04-A5F9-A71D0E45BE7F}"/>
  <bookViews>
    <workbookView xWindow="-120" yWindow="-120" windowWidth="29040" windowHeight="15840" firstSheet="8" activeTab="15" xr2:uid="{09A6C7D7-663F-4C06-9D71-8A4E97495CF9}"/>
  </bookViews>
  <sheets>
    <sheet name="Modelo de Dominio" sheetId="1" r:id="rId1"/>
    <sheet name="Objetos de Dominio" sheetId="4" r:id="rId2"/>
    <sheet name="Tipo de datos" sheetId="21" r:id="rId3"/>
    <sheet name="Barberia_D" sheetId="5" r:id="rId4"/>
    <sheet name="Cliente_D" sheetId="6" r:id="rId5"/>
    <sheet name="Regla_D" sheetId="7" r:id="rId6"/>
    <sheet name="Barbero_D" sheetId="9" r:id="rId7"/>
    <sheet name="HorarioBarberia_D" sheetId="18" r:id="rId8"/>
    <sheet name="Servicio_D" sheetId="8" r:id="rId9"/>
    <sheet name="Veto_D" sheetId="10" r:id="rId10"/>
    <sheet name="BarberoServicio_D" sheetId="11" r:id="rId11"/>
    <sheet name="Agenda_D" sheetId="12" r:id="rId12"/>
    <sheet name="Bloqueo_D" sheetId="22" r:id="rId13"/>
    <sheet name="Descanso_D" sheetId="23" r:id="rId14"/>
    <sheet name="Cita_D" sheetId="13" r:id="rId15"/>
    <sheet name="Multa_D" sheetId="16" r:id="rId16"/>
    <sheet name="CitaServicio_D" sheetId="17" r:id="rId1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7" i="23" l="1"/>
  <c r="B6" i="23"/>
  <c r="B5" i="23"/>
  <c r="B4" i="23"/>
  <c r="E5" i="12"/>
  <c r="D5" i="12"/>
  <c r="E4" i="12"/>
  <c r="D4" i="12"/>
  <c r="H7" i="12"/>
  <c r="H8" i="12"/>
  <c r="B8" i="12"/>
  <c r="B7" i="12"/>
  <c r="C9" i="17"/>
  <c r="C5" i="17"/>
  <c r="F10" i="18"/>
  <c r="B10" i="18"/>
  <c r="B5" i="10" l="1"/>
  <c r="B6" i="10"/>
  <c r="B7" i="10"/>
  <c r="B4" i="10"/>
  <c r="D5" i="10"/>
  <c r="D6" i="10"/>
  <c r="D7" i="10"/>
  <c r="D4" i="10"/>
  <c r="L8" i="9"/>
  <c r="K8" i="9"/>
  <c r="K7" i="9"/>
  <c r="K6" i="9"/>
  <c r="K5" i="9"/>
  <c r="K4" i="9"/>
  <c r="B5" i="8"/>
  <c r="B6" i="8"/>
  <c r="B7" i="8"/>
  <c r="B4" i="8"/>
  <c r="H5" i="6"/>
  <c r="H6" i="6"/>
  <c r="H7" i="6"/>
  <c r="B5" i="16" s="1"/>
  <c r="H4" i="6"/>
  <c r="B5" i="13"/>
  <c r="B6" i="13"/>
  <c r="B7" i="13"/>
  <c r="B8" i="13"/>
  <c r="B5" i="12"/>
  <c r="H5" i="12" s="1"/>
  <c r="B6" i="12"/>
  <c r="B7" i="22"/>
  <c r="G7" i="22" s="1"/>
  <c r="C5" i="11"/>
  <c r="C6" i="11"/>
  <c r="C7" i="11"/>
  <c r="B6" i="11"/>
  <c r="D6" i="11" s="1"/>
  <c r="B5" i="11"/>
  <c r="D5" i="11" s="1"/>
  <c r="B7" i="11"/>
  <c r="D7" i="11" s="1"/>
  <c r="B4" i="11"/>
  <c r="D4" i="11" s="1"/>
  <c r="D5" i="16"/>
  <c r="D4" i="16"/>
  <c r="B4" i="16"/>
  <c r="B4" i="13"/>
  <c r="B7" i="18"/>
  <c r="B8" i="18"/>
  <c r="B9" i="18"/>
  <c r="B5" i="18"/>
  <c r="B6" i="18"/>
  <c r="L5" i="9"/>
  <c r="L6" i="9"/>
  <c r="L7" i="9"/>
  <c r="L4" i="9"/>
  <c r="C7" i="17"/>
  <c r="B4" i="12"/>
  <c r="F5" i="18"/>
  <c r="F6" i="18"/>
  <c r="F7" i="18"/>
  <c r="F8" i="18"/>
  <c r="F9" i="18"/>
  <c r="F4" i="18"/>
  <c r="B4" i="18"/>
  <c r="F4" i="7"/>
  <c r="E4" i="7"/>
  <c r="C4" i="11"/>
  <c r="C7" i="10"/>
  <c r="G7" i="10" s="1"/>
  <c r="C6" i="10"/>
  <c r="G6" i="10" s="1"/>
  <c r="C5" i="10"/>
  <c r="G5" i="10" s="1"/>
  <c r="C4" i="10"/>
  <c r="G4" i="10" s="1"/>
  <c r="F5" i="8"/>
  <c r="F6" i="8"/>
  <c r="F7" i="8"/>
  <c r="C8" i="17" s="1"/>
  <c r="F4" i="8"/>
  <c r="C6" i="17" s="1"/>
  <c r="H6" i="12" l="1"/>
  <c r="B6" i="22" s="1"/>
  <c r="G6" i="22" s="1"/>
  <c r="G4" i="23"/>
  <c r="H4" i="12"/>
  <c r="C4" i="13" s="1"/>
  <c r="G4" i="13" s="1"/>
  <c r="C7" i="13"/>
  <c r="G6" i="23"/>
  <c r="C4" i="17"/>
  <c r="G7" i="23"/>
  <c r="G7" i="13"/>
  <c r="B5" i="22"/>
  <c r="G5" i="22" s="1"/>
  <c r="C8" i="13" l="1"/>
  <c r="G8" i="13" s="1"/>
  <c r="B9" i="17" s="1"/>
  <c r="F9" i="17" s="1"/>
  <c r="C6" i="13"/>
  <c r="G6" i="13" s="1"/>
  <c r="C4" i="16" s="1"/>
  <c r="G4" i="16" s="1"/>
  <c r="B4" i="22"/>
  <c r="G4" i="22" s="1"/>
  <c r="C5" i="16"/>
  <c r="G5" i="16" s="1"/>
  <c r="B8" i="17"/>
  <c r="F8" i="17" s="1"/>
  <c r="C5" i="13"/>
  <c r="B4" i="17"/>
  <c r="F4" i="17" s="1"/>
  <c r="G5" i="23"/>
  <c r="G5" i="13"/>
  <c r="B7" i="17" l="1"/>
  <c r="F7" i="17" s="1"/>
  <c r="B6" i="17"/>
  <c r="F6" i="17" s="1"/>
  <c r="B5" i="17"/>
  <c r="F5" i="17" s="1"/>
</calcChain>
</file>

<file path=xl/sharedStrings.xml><?xml version="1.0" encoding="utf-8"?>
<sst xmlns="http://schemas.openxmlformats.org/spreadsheetml/2006/main" count="377" uniqueCount="251">
  <si>
    <t>Nombre</t>
  </si>
  <si>
    <t>Descripcion</t>
  </si>
  <si>
    <t>Linea de vida</t>
  </si>
  <si>
    <t>Datos</t>
  </si>
  <si>
    <t>Barberia</t>
  </si>
  <si>
    <t>Regla</t>
  </si>
  <si>
    <t>Servicio</t>
  </si>
  <si>
    <t>Barbero</t>
  </si>
  <si>
    <t>BarberoServicio</t>
  </si>
  <si>
    <t>Agenda</t>
  </si>
  <si>
    <t>Cita</t>
  </si>
  <si>
    <t>Cliente</t>
  </si>
  <si>
    <t>Multa</t>
  </si>
  <si>
    <t>Veto</t>
  </si>
  <si>
    <t>CitaServicio</t>
  </si>
  <si>
    <t>Representa el negocio donde trabajan los barberos, agrupa el catalogo de servicios que ofrece y las reglas de tolerancia, multas y veto que aplican para todos sus clientes</t>
  </si>
  <si>
    <t>Representa a un trabajador de la barbería que atiende clientes segun los servicios que sabe realizar y que organiza su tiempo a través de su propia agenda</t>
  </si>
  <si>
    <t>Representa que servicios realiza cada barbero, ya que no todos los barberos de la barbería ofrecen los mismos servicios</t>
  </si>
  <si>
    <t>Representa la sanción económica que se le impone a un cliente por incumplir una cita (llegar tarde fuera de tolerancia o no presentarse), calculada a partir de la cita específica que la originó</t>
  </si>
  <si>
    <t>Representa cada servicio incluido dentro de una cita puntual, guardando el precio y la duración que tenía ese servicio en el momento exacto en que se agendó, para que cambios futuros en el catálogo no alteren citas ya registradas</t>
  </si>
  <si>
    <t>Representa un identificador que hará unico cada objeto de dominio de este tipo, no se puede repetir</t>
  </si>
  <si>
    <t>nombre</t>
  </si>
  <si>
    <t>celular</t>
  </si>
  <si>
    <t>montoMultaTardanza</t>
  </si>
  <si>
    <t>precio</t>
  </si>
  <si>
    <t>fecha</t>
  </si>
  <si>
    <t>estado</t>
  </si>
  <si>
    <t>monto</t>
  </si>
  <si>
    <t>pagada</t>
  </si>
  <si>
    <t>precioAlMomento</t>
  </si>
  <si>
    <t>duracionAlMomento</t>
  </si>
  <si>
    <t>id</t>
  </si>
  <si>
    <t>&lt;&lt;&lt;&lt; Ir al modulo de dominio</t>
  </si>
  <si>
    <t>&lt;&lt;&lt;&lt; Ir a objetos de dominio</t>
  </si>
  <si>
    <t>aquí</t>
  </si>
  <si>
    <t>toleranciaTardanza</t>
  </si>
  <si>
    <t>barberia</t>
  </si>
  <si>
    <t>duracion</t>
  </si>
  <si>
    <t>Motilada</t>
  </si>
  <si>
    <t>Ir a objetos de dominio &gt;&gt;&gt;&gt;</t>
  </si>
  <si>
    <t>barbero</t>
  </si>
  <si>
    <t>servicio</t>
  </si>
  <si>
    <t>correo</t>
  </si>
  <si>
    <t>vigente</t>
  </si>
  <si>
    <t>cliente</t>
  </si>
  <si>
    <t>Combinacion única que indica que no puede existir más de un servicio con el mismo nombre</t>
  </si>
  <si>
    <t>Corte de barba</t>
  </si>
  <si>
    <t>Perfilada de barba</t>
  </si>
  <si>
    <t>Arreglo completo de barba con toalla caliente</t>
  </si>
  <si>
    <t>si</t>
  </si>
  <si>
    <t>no</t>
  </si>
  <si>
    <t>Carlos</t>
  </si>
  <si>
    <t>Andres</t>
  </si>
  <si>
    <t>juanfer234535@gmail.com</t>
  </si>
  <si>
    <t>juandaviddd2525@gmail.com</t>
  </si>
  <si>
    <t>carlosbeladez@gmail.com</t>
  </si>
  <si>
    <t>andresramirezpatino123@gmail.com</t>
  </si>
  <si>
    <t>activo</t>
  </si>
  <si>
    <t>Combinacion única que indica que no puede existir más de un veto con el mismo cliente y la misma fecha</t>
  </si>
  <si>
    <t>numeroCelularCliente</t>
  </si>
  <si>
    <t>agenda</t>
  </si>
  <si>
    <t>Representa el nombre y apellidos del barbero</t>
  </si>
  <si>
    <t xml:space="preserve">Representa el nombre del servicio de la barberia </t>
  </si>
  <si>
    <t>horaInicio</t>
  </si>
  <si>
    <t>Representa el nombre completo del cliente que va a estar en la cita, para que luego el barbero se acuerde a quien tiene que atender</t>
  </si>
  <si>
    <t>agendada</t>
  </si>
  <si>
    <t>Barbería Oriental</t>
  </si>
  <si>
    <t>numeroMultasMaxima</t>
  </si>
  <si>
    <t>Representa el nombre de la barberia que va a estar asociado la regla</t>
  </si>
  <si>
    <t>Combinación única</t>
  </si>
  <si>
    <t xml:space="preserve">Combinación única </t>
  </si>
  <si>
    <t>Combinacion única</t>
  </si>
  <si>
    <t>HorarioBarberia</t>
  </si>
  <si>
    <t>Representa el nombre de la barberia que va pertencer los horarios de la barberia</t>
  </si>
  <si>
    <t>dia</t>
  </si>
  <si>
    <t>horaApertura</t>
  </si>
  <si>
    <t>horaCierre</t>
  </si>
  <si>
    <t>Lunes</t>
  </si>
  <si>
    <t>Martes</t>
  </si>
  <si>
    <t>Miércoles</t>
  </si>
  <si>
    <t>Jueves</t>
  </si>
  <si>
    <t>Viernes</t>
  </si>
  <si>
    <t>Sábado</t>
  </si>
  <si>
    <t>Combinación única que indica que un barbero no puede tener más de una agenda, cada barbero organiza todo su tiempo en un único lugar</t>
  </si>
  <si>
    <t>atendida</t>
  </si>
  <si>
    <t>incumplida</t>
  </si>
  <si>
    <t>cancelada</t>
  </si>
  <si>
    <t>cita</t>
  </si>
  <si>
    <t>Hace referencia a que cliente se le esta cobrando la multa, es el dato que se usa para sumar cuántas multas sin pagar tiene una persona y decidir si debe ser vetada, dependiendo de como se definio en regla</t>
  </si>
  <si>
    <t>Hace referencia a la cita puntual que el cliente incumplió (llegando tarde fuera de la tolerancia o no presentándose), de esa cita es de donde sale el valor de monto si fue el caso de no presentase</t>
  </si>
  <si>
    <t>Representa si el cliente ya pagó o no esta multa, es el dato que se revisa para decidir si un cliente llega al número de multas sin pagar que activa el veto</t>
  </si>
  <si>
    <t>Combinación única que indica que una misma cita no puede generar más de una multa</t>
  </si>
  <si>
    <t>Hace referencia a la cita puntual en la que se pidió este servicio</t>
  </si>
  <si>
    <t>Hace referencia a cual servicio del catalogo fue el que se pidió en esa cita</t>
  </si>
  <si>
    <t>Representa cuanto duraba el servicio en el momento en que se agendó, junto con la hora de inicio de la cita permite calcular hasta que hora queda ocupado el barbero</t>
  </si>
  <si>
    <t>Combinación única que indica que un mismo servicio no puede repetirse dos veces dentro de la misma cita</t>
  </si>
  <si>
    <t>Combinación única que indica que un mismo barbero no puede aparecer dos veces ofreciendo el mismo servicio</t>
  </si>
  <si>
    <t>primerNombre</t>
  </si>
  <si>
    <t>primerApellido</t>
  </si>
  <si>
    <t>segundoNombre</t>
  </si>
  <si>
    <t>segundoApellido</t>
  </si>
  <si>
    <t>Fernando</t>
  </si>
  <si>
    <t>David</t>
  </si>
  <si>
    <t>Lopez</t>
  </si>
  <si>
    <t>Sanchez</t>
  </si>
  <si>
    <t>Patiño</t>
  </si>
  <si>
    <t>Arbeladez</t>
  </si>
  <si>
    <t>Gómez</t>
  </si>
  <si>
    <t>Perez</t>
  </si>
  <si>
    <t>Ramirez</t>
  </si>
  <si>
    <t>Gallego</t>
  </si>
  <si>
    <t>Ochoa</t>
  </si>
  <si>
    <t>Jose</t>
  </si>
  <si>
    <t>Miguel</t>
  </si>
  <si>
    <t>Juan</t>
  </si>
  <si>
    <t>Simon</t>
  </si>
  <si>
    <t>Alexis</t>
  </si>
  <si>
    <t>Combinacion única que indica que no puede existir más de un horario con la misma barberia, dia de la semana, hora de apertura y cierre</t>
  </si>
  <si>
    <t>Referencia a que barbero va a ser dueño de esta agenda, es el dato que conecta el calendario con la persona que lo usa para organizar su tiempo y sus citas</t>
  </si>
  <si>
    <t>Representa si el veto está vigente o no. Es el dato que indica si el cliente se le quito la sancion del veto o no. Este dato se calcula, cada que un cliente acomule 3 multas sin pagar se pone si o si el paga una de las multas el sistema lo pone en no</t>
  </si>
  <si>
    <t>contraseña</t>
  </si>
  <si>
    <t>prefijo</t>
  </si>
  <si>
    <t>+57</t>
  </si>
  <si>
    <t>+58</t>
  </si>
  <si>
    <t>+91</t>
  </si>
  <si>
    <t>fechaHora</t>
  </si>
  <si>
    <t xml:space="preserve">
Combinación única que indica que una cita no puede existir dentro de una agenda con la misma fecha y hora de inicio para la cita</t>
  </si>
  <si>
    <t>retraso</t>
  </si>
  <si>
    <t>Combinacion única que indica que no puede existir más de un cliente con un mismo nombre, apellidos, prefijo de celular y número de celular</t>
  </si>
  <si>
    <t>Representa el nombre de la barbería que pertenece el servicio</t>
  </si>
  <si>
    <t>Representa la barbería en la que trabaja el barbero</t>
  </si>
  <si>
    <t>Hace referencia a en la agenda de que barbero quedó registrada esta cita, es lo que permite validar que no se cruce con otra cita del mismo barbero</t>
  </si>
  <si>
    <t>tipo</t>
  </si>
  <si>
    <t>Representa el tipo de multa con el que se va sancionar, si es retraso o incumplida. Este es un dato obtenido del estado de cita</t>
  </si>
  <si>
    <t>Ortiz</t>
  </si>
  <si>
    <t>García</t>
  </si>
  <si>
    <t>Zambrano</t>
  </si>
  <si>
    <t>+593</t>
  </si>
  <si>
    <t>juancarloszambrano4394@gmail.com</t>
  </si>
  <si>
    <t>Combinacion única que indica que no puede existir más de un barbero con el mismo nombre, apellidos y número de celular</t>
  </si>
  <si>
    <t>Representa las políticas de la barbería frente al incumplimiento de los clientes: cuantos minutos de tolerancia se dan antes de considerar tardanza, cuanto vale la multa fija por llegar tarde, y cuantas multas sin pagar activan un veto</t>
  </si>
  <si>
    <t>Representa, día por día, a que hora abre y cierra el negocio. Es el límite dentro del cual tiene que caber el horario de cualquier barbero, nadie puede trabajar antes de que abra ni después de que cierre</t>
  </si>
  <si>
    <t>Representa cada tipo de corte o arreglo que ofrece la barbería, con su duración y su precio. Es el catalogo del que sale tanto lo que un barbero puede ofrecer como lo que termina costando y durando cada cita</t>
  </si>
  <si>
    <t>Representa el historial de bloqueos de un cliente. Cuando esta activo, ningún barbero de la barbería puede agendarle citas nuevas a esa persona. Su valor es proteger a todos los barberos de un mismo cliente problemático, sin que cada uno tenga que enterarse por su cuenta</t>
  </si>
  <si>
    <t>Representa el calendario propio de un barbero. Es donde se organiza su horario de trabajo y las citas que se le van agendando, validando que ninguna se le cruce con otra</t>
  </si>
  <si>
    <t>Representa la reserva de un cliente con un barbero para una fecha y hora puntual. De ella sale tanto el cálculo de cuanto queda ocupado el barbero como la funcionalidad de si hay o no una multa (se genera cuando un barbero pone el estado de la cita en retraso o inclumplida), según cómo haya terminado (atendida, con retraso, incumplida o cancelada)</t>
  </si>
  <si>
    <t>prefijoCelular</t>
  </si>
  <si>
    <t>Representa el primer nombre del barbero que trabaja en barbería. Su tipo de dato es texto, su valor por defecto es el vacio y no es permitido</t>
  </si>
  <si>
    <t>Representa el segundo nombre del barbero que trabaja en barbería. Su tipo de dato es texto, su valor por defecto es el vacio y es permitido</t>
  </si>
  <si>
    <t>Representa el primer apellido del barbero que trabaja en la barbería. Su tipo de dato es texto, su valor por defecto es el vacio y no es permitido</t>
  </si>
  <si>
    <t>Representa el segundo apellido del barbero que trabaja en la barbería. Su tipo de dato es texto, su valor por defecto es el vacio y es permitido</t>
  </si>
  <si>
    <t>Representa de que pais es el numero de celular del barbero. Su tipo de dato es alfanumérico, su valor por defecto es +0 y no es permitido</t>
  </si>
  <si>
    <t>Tipo de dato</t>
  </si>
  <si>
    <t>Texto</t>
  </si>
  <si>
    <t>Alfanumerico</t>
  </si>
  <si>
    <t>Entero</t>
  </si>
  <si>
    <t>FechaHora</t>
  </si>
  <si>
    <t>Hora</t>
  </si>
  <si>
    <t>Identificador unico</t>
  </si>
  <si>
    <t>Referencia de otros objetos de dominio</t>
  </si>
  <si>
    <t>Dato calculado</t>
  </si>
  <si>
    <t xml:space="preserve">Tipo de dato que solo admite letras de la A a la Z. </t>
  </si>
  <si>
    <t>Tipo de dato que admite cualquier tipo de carácter, combinando letras, números y símbolos.</t>
  </si>
  <si>
    <t xml:space="preserve">Tipo de dato numérico que solo admite números enteros, sin parte decimal. </t>
  </si>
  <si>
    <t>Tipo de dato que solo representa la hora del día (horas y minutos), sin incluir la fecha.</t>
  </si>
  <si>
    <t>Atributo que identifica de forma única a cada instancia de un objeto de dominio, no se puede repetir entre objetos del mismo tipo.</t>
  </si>
  <si>
    <t>Regla de unicidad construida combinando varios atributos de un mismo objeto de dominio, para garantizar que no existan dos instancias con exactamente los mismos valores en esos campos.</t>
  </si>
  <si>
    <t>Tipo de dato que combina fecha y hora en un mismo valor.</t>
  </si>
  <si>
    <t>Atributo que apunta al identificador o a la combinación única de otro objeto de dominio, materializando la relación de asociación entre ambos.</t>
  </si>
  <si>
    <t>Atributo cuyo valor no lo ingresa el usuario, sino que es un dato calculado sobre otros atributos del mismo objeto o de objetos relacionados. Por ejemplo, la hora de finalización de una cita se calcula sumando la hora de inicio y la duración del servicio agendado.</t>
  </si>
  <si>
    <t>Representa el primer nombre de la persona, que va a estar llendo a la barberia para las citas. Su valor por defecto es el vacío y no es permitido</t>
  </si>
  <si>
    <t>Representa el segundo nombre de la persona, que va a estar llendo a la barberia para las citas. Su valor por defecto es el vacío y es permitido</t>
  </si>
  <si>
    <t>Representa el primer apellido de la persona, que va a estar llendo a la barberia para las citas. Su valor por defecto es el vacío y no es permitido</t>
  </si>
  <si>
    <t>Representa el primer apellido de la persona, que va a estar llendo a la barberia para las citas. Su valor por defecto es el vacío y es permitido</t>
  </si>
  <si>
    <t>Representa el numero de celular de la persona que le va a escribir al barbero por WhatsApp para pedirle una cita. Su valor por defecto es el 0 y no es permitido</t>
  </si>
  <si>
    <t>Representa la cantidad de dinero que el cliente debe de pagar en pesos colombianos, por superar la toleranciaTardanza. Debe de ser mayor a cero, su valor por defecto es 0 y no es permitido</t>
  </si>
  <si>
    <t>Representa el nombre del servicio que va estar en la barberia, que el barbero ofrece y en las citas que esta. Su valor por defecto es el vacio y no es permitido</t>
  </si>
  <si>
    <t xml:space="preserve">Combinacion única </t>
  </si>
  <si>
    <t>Representa lo que va durar en minutos el servicio. Debe de ser mayor a cero, su valor por defecto es 0 y no es permitido</t>
  </si>
  <si>
    <t>Representa cuanto va a valer el servicio en pesos colombianos. Debe de ser mayor a cero, su valor por defecto es 0 y no esta permitido</t>
  </si>
  <si>
    <t>Representa el número de celular del barbero. Su valor por defecto es 0 y no es permitido</t>
  </si>
  <si>
    <t>Representa el correo electronico del barbero, con el que se va a registrar o iniciar seción. Su valor por defecto es el vacio y no es permitido</t>
  </si>
  <si>
    <t>Representa la fecha y la hora en el que se va a realizar la cita al cliente. Su valor por defecto es 01/01/1000 00:00 y no es permitido</t>
  </si>
  <si>
    <t>Bloqueo</t>
  </si>
  <si>
    <t>Descanso</t>
  </si>
  <si>
    <t>Representa los momentos dentro del horario semanal de un barbero en los que no está disponible para atender, aunque ese día sí trabaje (por ejemplo, la hora del almuerzo). Se repite cada semana junto con el HorarioBarbero al que pertenece</t>
  </si>
  <si>
    <t xml:space="preserve">
Hace referencia a la agenda (y por lo tanto al barbero) a la que pertenece este bloqueo, permite saber en cual agenda se va agregar el bloqueo</t>
  </si>
  <si>
    <t>horaFinal</t>
  </si>
  <si>
    <t>Combinación única que indica que una misma agenda no puede tener dos bloqueos en una misma fecha, horaInicio y horaFinal</t>
  </si>
  <si>
    <t>Hace referencia al dia y las horas que trabaja el barbero</t>
  </si>
  <si>
    <t>Hora de almuerzo</t>
  </si>
  <si>
    <t>Hora en la que almuezo</t>
  </si>
  <si>
    <t>Descansito</t>
  </si>
  <si>
    <t>Hora de descanso</t>
  </si>
  <si>
    <t>Cita medica</t>
  </si>
  <si>
    <t>Vueltas que voy a hacer</t>
  </si>
  <si>
    <t>Incoveniente</t>
  </si>
  <si>
    <t>Compromiso</t>
  </si>
  <si>
    <t>Combinación única que indica que un mismo horario no puede tener dos mismas horas en la que empieze y termine</t>
  </si>
  <si>
    <t>Representa el nombre de como se llama la barberia en donde trabajan los barberos. El tipo de dato es alfanumérico, su valor por defecto es el vacio y es no es permitido</t>
  </si>
  <si>
    <t>Representa el día de la semana en que aplica este horario, es necesario para saber que días abrirá la barberia. Su valor por defecto es el vacio y no es permitido, el barbero solo podra seleccionar los días de la semana</t>
  </si>
  <si>
    <t>Representa la cantidad de minutos que el cliente puede llegarle tarde un cliente a la cita establecida con el barbero, despues de eso el barbero lo podrá multar. Debe de ser mayor o igual a 0, su valor por defecto es el 0 y no es permitido</t>
  </si>
  <si>
    <t>Representa la maxima de multas que pueda tener un cliente sin pagar, a partir de esta cantidad se le hace un veto al cliente. Debe de ser mayor o igual a cero, su valor por defecto es 0 y es no es permitido</t>
  </si>
  <si>
    <t>Representa si el barbero sigue o no trabajando en la barberia. Es un dato calculado, si el barbero tiene en su agenda un horario de trabajo si es vigente y si no tiene horario de trabajo dice no es vigente</t>
  </si>
  <si>
    <t>Representa la fecha en el que se veto al cliente, por acomular y no pagar las multas, el numero para que se de el veto lo define la regla de la barbería. Es un dato calculado, el sistema lo genra cuando detecta que un cliente acaba de tener el numero de multas maximas sin pagar</t>
  </si>
  <si>
    <t>Representa como el barbero va a llamar este bloqueo para su agenda. Su valor por defecto es el vacio y no es permitido</t>
  </si>
  <si>
    <t>Representa cuanto valía el servicio en el momento exacto en que se agendó la cita, se guarda aparte del precio del catalogo por si el precio de ese servicio cambia después, las citas ya registradas no se vean afectadas</t>
  </si>
  <si>
    <t>Representa de que pais es el numero de celular del cliente. Su valor por defecto es +0 (este prefijo no representa a ningún país) y no es permitido</t>
  </si>
  <si>
    <t>nombreCliente</t>
  </si>
  <si>
    <t>Representa el nombre completo del cliente con lo que lo registró el barbero</t>
  </si>
  <si>
    <t>prefijoCelularCliente</t>
  </si>
  <si>
    <t>Representa el nombre del descanso que el barbero considere para su horario de trabajo. Su valor por defecto es vacio y no es permitido</t>
  </si>
  <si>
    <t>Representa la cantidad de minutos dura el descanso de la agenda. Es un dato calculado a partir de la horaInicio y horaFinal, usando horaFinal - horaInicio</t>
  </si>
  <si>
    <t>Representa en que momento del proceso está la cita: agendada (se creó y espera a que el cliente llegue), atendida (la cita se cumplió sin ningún inconveniente), retraso (el cliente llegó, pero pasada la tolerancia de tiempo) ,incumplida (el cliente nunca llegó) o cancelada (el cliente avisó con anticipación que ya no la quiere). Su valor por defecto es agenda y es permitido</t>
  </si>
  <si>
    <t>Representa cuanto dinero en pesos colombianos debe pagar el cliente la multa. Es un dato calculado si es por retraso el monto es el que dice en regla y si es por incumplida el monto es del o los servicios que pidió</t>
  </si>
  <si>
    <t>fechaHoraInicio</t>
  </si>
  <si>
    <t>fechaHoraFinal</t>
  </si>
  <si>
    <t>Representa la fecha y la hora en el que va a empezar el bloqueo para la agenda del barbero. Su valor por defecto es 01/01/1000 00:00 y no es permitido. No se puden seleccionar fechas antes del momento de hoy, solo fechas futuras</t>
  </si>
  <si>
    <t>Representa la fecha y la hora en el que va a terminar el bloqueo para la agenda del barbero. Su valor por defecto es 01/01/1000 00:00 y no es permitido, la fecha debe de ser mayor a la fecha de inicio</t>
  </si>
  <si>
    <t>Representa la cantidad de minutos dura el bloqueo de la agenda. Es un dato calculado a partir de la fechaHoraInicio y fechaHoraFinal</t>
  </si>
  <si>
    <t>Representa la hora a la que abre la barbería. Su valor por defecto es 00:00 y es permitido</t>
  </si>
  <si>
    <t>Representa el prefijo del celular del cliente, para que los barberos sepan el prefijo del cliente</t>
  </si>
  <si>
    <t>Representa el numero de celular del cliente al que se veto, es decir al que no se le podrá agendar más citas. De modo que sepan los barberos el número del cliente que no van a agendar</t>
  </si>
  <si>
    <t>Representa el día de la semana en que aplica este horario que para la agenda del barbero, es necesario porque un barbero puede trabajar unos días sí y otros no. Su valor por defecto es el vacío y no es permitido, el barbero solo podra seleccionar los días de la semana que la barberia tiene en su horario</t>
  </si>
  <si>
    <t>Representa la hora en la que el barbero empieza a estar disponible ese dia. Su valor por defecto es 00:00 y es permitido. La hora debe de estar dentro del horario barberia</t>
  </si>
  <si>
    <t>Representa la hora a la que cierra la barbería. Su valor por defecto es 00:00 y no es permitido</t>
  </si>
  <si>
    <t>Representa la hora en la que el barbero deja de estar disponible ese día, junto con horaInicio, es lo que la aplicación usa para saber si hay campo para agendar una cita nueva. Su valor por defecto es 00:00 y no es permitido. Esta hora debe de ser mayor a horaInicio y también debe de estar dentro de horario barberia</t>
  </si>
  <si>
    <t>Representa la hora en que el barbero termina su descanso de trabajo. Su valor por defecto es 00:00 no es permitido. La hora debe de ser mayor a la horaInicio y debe estar dentro del horario barbero</t>
  </si>
  <si>
    <t>Representa la hora en que el barbero empieza su descanso de trabajo. Su valor por defecto es 00:00 y es permitido. La hora debe de estar dentro del horario del barbero, es decir que no se puede salir del horario</t>
  </si>
  <si>
    <t>Logico</t>
  </si>
  <si>
    <t>Tipo de dato que tiene dos posibles valores (Si/No).</t>
  </si>
  <si>
    <t>Festivo</t>
  </si>
  <si>
    <t>fechaHoraFin</t>
  </si>
  <si>
    <t>Representa la fecha y hora prevista a la que finaliza una cita, es un dato calculado a partir de la fecha y hora en que empieza la cita y la duración del servicio, sumándole la duración del servicio a fechaHora</t>
  </si>
  <si>
    <t>Analizar combinaciones unicas</t>
  </si>
  <si>
    <t>Se necesita el historial</t>
  </si>
  <si>
    <t>Interesa solo para el futuro</t>
  </si>
  <si>
    <t>Que pasa si el barbero se demora mas de lo previsto</t>
  </si>
  <si>
    <t>Realmente necesitop este objeto de dominio</t>
  </si>
  <si>
    <t>$2b$12$Ce2ZsSJaOpx4iq5W.LNrCuvonh1fxNgpYYqBddeR50IjtYsh9n97C</t>
  </si>
  <si>
    <t>$2b$12$4dn1n10vtv3SpDX5ryR2FOluaaros/pqDXz8liKcEp/7JG7TBvqAK</t>
  </si>
  <si>
    <t>$2b$12$htWWNCh.2QPjVycBmNb5ROHBO21L9p7hlWyFtctUtP4SbV3yBNqei</t>
  </si>
  <si>
    <t>$2b$12$IzNJVnlQl1UX5Py84yi5jOE1yuEdUrA.0Okt.BidVKs8biBdotH7W</t>
  </si>
  <si>
    <t>$2b$12$mlxS0WUooP1stXSQdVR8EeBoYrgBrP5czZRqSvIgvelxUIGcwFgh.</t>
  </si>
  <si>
    <t>Representa la contraseña encriptada del barbero. Su tipo de dato es alfanumérico, su valor por defecto es el vacio y no esta permitido</t>
  </si>
  <si>
    <t>Sera que necesitamos un objeto de dominio barberia</t>
  </si>
  <si>
    <t>horaAperturaBarberia</t>
  </si>
  <si>
    <t>horaCierreBarberia</t>
  </si>
  <si>
    <t xml:space="preserve">El barbero neceta conocer el presente y el futuro o tambien el pasado </t>
  </si>
  <si>
    <t>Representa a la persona que solicita citas en la barbería, el se las pide a un barbero por WhatsApp. Su valor esta en darle al sistema un historial por persona: que citas ha pedido, que multas tiene y si esta o no vetado, para que cualquier barbero sepa con quien esta tratando antes de agendarle</t>
  </si>
  <si>
    <t>Representa un momento puntual en una fecha y hora específica, en el que un barbero no puede trabajar por un compromiso personal, aunque ese día normalmente sí trabaje según su horario. A diferencia de Descanso, no se repite semana a semana: aplica solo para esa fecha y hora, y es lo que le permite a la agenda del barbero reflejar cambios temporales sin alterar su horario habitual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</si>
</sst>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0"/>
    <numFmt numFmtId="165" formatCode="[$-F800]dddd\,\ mmmm\ dd\,\ yyyy"/>
  </numFmts>
  <fonts count="9" x14ac:knownFonts="1">
    <font>
      <sz val="11"/>
      <color theme="1"/>
      <name val="Aptos Narrow"/>
      <family val="2"/>
      <scheme val="minor"/>
    </font>
    <font>
      <b/>
      <sz val="11"/>
      <color theme="1"/>
      <name val="Aptos Narrow"/>
      <family val="2"/>
      <scheme val="minor"/>
    </font>
    <font>
      <sz val="7"/>
      <color theme="1"/>
      <name val="Aptos Narrow"/>
      <family val="2"/>
      <scheme val="minor"/>
    </font>
    <font>
      <u/>
      <sz val="11"/>
      <color theme="10"/>
      <name val="Aptos Narrow"/>
      <family val="2"/>
      <scheme val="minor"/>
    </font>
    <font>
      <sz val="7"/>
      <name val="Aptos Narrow"/>
      <family val="2"/>
      <scheme val="minor"/>
    </font>
    <font>
      <b/>
      <sz val="11"/>
      <name val="Aptos Narrow"/>
      <family val="2"/>
      <scheme val="minor"/>
    </font>
    <font>
      <b/>
      <u/>
      <sz val="11"/>
      <color theme="10"/>
      <name val="Aptos Narrow"/>
      <family val="2"/>
      <scheme val="minor"/>
    </font>
    <font>
      <sz val="8"/>
      <name val="Aptos Narrow"/>
      <family val="2"/>
      <scheme val="minor"/>
    </font>
    <font>
      <sz val="11"/>
      <name val="Aptos Narrow"/>
      <family val="2"/>
      <scheme val="minor"/>
    </font>
  </fonts>
  <fills count="16">
    <fill>
      <patternFill patternType="none"/>
    </fill>
    <fill>
      <patternFill patternType="gray125"/>
    </fill>
    <fill>
      <patternFill patternType="solid">
        <fgColor theme="0"/>
        <bgColor indexed="64"/>
      </patternFill>
    </fill>
    <fill>
      <patternFill patternType="solid">
        <fgColor theme="9"/>
        <bgColor indexed="64"/>
      </patternFill>
    </fill>
    <fill>
      <patternFill patternType="solid">
        <fgColor theme="7" tint="0.39997558519241921"/>
        <bgColor indexed="64"/>
      </patternFill>
    </fill>
    <fill>
      <patternFill patternType="solid">
        <fgColor theme="2" tint="-9.9978637043366805E-2"/>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3" tint="0.249977111117893"/>
        <bgColor indexed="64"/>
      </patternFill>
    </fill>
    <fill>
      <patternFill patternType="solid">
        <fgColor rgb="FFFF3F3F"/>
        <bgColor indexed="64"/>
      </patternFill>
    </fill>
    <fill>
      <patternFill patternType="solid">
        <fgColor rgb="FF7030A0"/>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rgb="FFFFFF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3" fillId="0" borderId="0" applyNumberFormat="0" applyFill="0" applyBorder="0" applyAlignment="0" applyProtection="0"/>
  </cellStyleXfs>
  <cellXfs count="99">
    <xf numFmtId="0" fontId="0" fillId="0" borderId="0" xfId="0"/>
    <xf numFmtId="0" fontId="0" fillId="2" borderId="0" xfId="0" applyFill="1"/>
    <xf numFmtId="0" fontId="0" fillId="0" borderId="0" xfId="0" applyAlignment="1">
      <alignment wrapText="1"/>
    </xf>
    <xf numFmtId="0" fontId="1" fillId="0" borderId="0" xfId="0" applyFont="1"/>
    <xf numFmtId="18" fontId="0" fillId="0" borderId="0" xfId="0" applyNumberFormat="1"/>
    <xf numFmtId="0" fontId="3" fillId="0" borderId="0" xfId="1"/>
    <xf numFmtId="0" fontId="1" fillId="0" borderId="1" xfId="0" applyFont="1" applyBorder="1"/>
    <xf numFmtId="0" fontId="0" fillId="0" borderId="1" xfId="0" applyBorder="1"/>
    <xf numFmtId="0" fontId="0" fillId="0" borderId="1" xfId="0" applyBorder="1" applyAlignment="1">
      <alignment wrapText="1"/>
    </xf>
    <xf numFmtId="0" fontId="3" fillId="0" borderId="1" xfId="1" applyBorder="1"/>
    <xf numFmtId="0" fontId="0" fillId="0" borderId="0" xfId="0" applyAlignment="1">
      <alignment horizontal="center"/>
    </xf>
    <xf numFmtId="0" fontId="3" fillId="0" borderId="1" xfId="1" applyBorder="1" applyAlignment="1">
      <alignment horizontal="center"/>
    </xf>
    <xf numFmtId="0" fontId="0" fillId="0" borderId="1" xfId="0" applyBorder="1" applyAlignment="1">
      <alignment horizontal="center"/>
    </xf>
    <xf numFmtId="0" fontId="1" fillId="3" borderId="1" xfId="0" applyFont="1" applyFill="1" applyBorder="1" applyAlignment="1">
      <alignment horizontal="center"/>
    </xf>
    <xf numFmtId="0" fontId="1" fillId="4" borderId="1" xfId="0" applyFont="1" applyFill="1" applyBorder="1" applyAlignment="1">
      <alignment horizontal="center"/>
    </xf>
    <xf numFmtId="0" fontId="3" fillId="0" borderId="0" xfId="1" applyAlignment="1">
      <alignment horizontal="center" vertical="top"/>
    </xf>
    <xf numFmtId="0" fontId="0" fillId="0" borderId="0" xfId="0" applyAlignment="1">
      <alignment horizontal="center" vertical="top"/>
    </xf>
    <xf numFmtId="0" fontId="4" fillId="5" borderId="1" xfId="1" applyFont="1" applyFill="1" applyBorder="1" applyAlignment="1">
      <alignment horizontal="center" wrapText="1"/>
    </xf>
    <xf numFmtId="0" fontId="2" fillId="5" borderId="1" xfId="0" applyFont="1" applyFill="1" applyBorder="1" applyAlignment="1">
      <alignment horizontal="center" wrapText="1"/>
    </xf>
    <xf numFmtId="0" fontId="2" fillId="5" borderId="1" xfId="0" applyFont="1" applyFill="1" applyBorder="1" applyAlignment="1">
      <alignment wrapText="1"/>
    </xf>
    <xf numFmtId="0" fontId="5" fillId="3" borderId="1" xfId="0" applyFont="1" applyFill="1" applyBorder="1" applyAlignment="1">
      <alignment horizontal="center" vertical="top"/>
    </xf>
    <xf numFmtId="0" fontId="0" fillId="0" borderId="1" xfId="0" applyBorder="1" applyAlignment="1">
      <alignment horizontal="center" vertical="top"/>
    </xf>
    <xf numFmtId="164" fontId="0" fillId="0" borderId="1" xfId="0" applyNumberFormat="1" applyBorder="1" applyAlignment="1">
      <alignment horizontal="center" vertical="top"/>
    </xf>
    <xf numFmtId="0" fontId="0" fillId="0" borderId="1" xfId="0" applyBorder="1" applyAlignment="1">
      <alignment horizontal="center" vertical="top" wrapText="1"/>
    </xf>
    <xf numFmtId="0" fontId="0" fillId="0" borderId="1" xfId="0" applyBorder="1" applyAlignment="1">
      <alignment horizontal="center" wrapText="1"/>
    </xf>
    <xf numFmtId="0" fontId="4" fillId="7" borderId="1" xfId="1" applyFont="1" applyFill="1" applyBorder="1" applyAlignment="1">
      <alignment horizontal="center" wrapText="1"/>
    </xf>
    <xf numFmtId="0" fontId="4" fillId="7" borderId="1" xfId="0" applyFont="1" applyFill="1" applyBorder="1" applyAlignment="1">
      <alignment horizontal="center" wrapText="1"/>
    </xf>
    <xf numFmtId="0" fontId="2" fillId="7" borderId="1" xfId="0" applyFont="1" applyFill="1" applyBorder="1" applyAlignment="1">
      <alignment horizontal="center" wrapText="1"/>
    </xf>
    <xf numFmtId="0" fontId="1" fillId="8" borderId="1" xfId="0" applyFont="1" applyFill="1" applyBorder="1" applyAlignment="1">
      <alignment horizontal="center"/>
    </xf>
    <xf numFmtId="14" fontId="0" fillId="0" borderId="0" xfId="0" applyNumberFormat="1"/>
    <xf numFmtId="0" fontId="4" fillId="5" borderId="1" xfId="0" applyFont="1" applyFill="1" applyBorder="1" applyAlignment="1">
      <alignment horizontal="center" wrapText="1"/>
    </xf>
    <xf numFmtId="0" fontId="6" fillId="6" borderId="1" xfId="1" applyFont="1" applyFill="1" applyBorder="1" applyAlignment="1">
      <alignment horizontal="center"/>
    </xf>
    <xf numFmtId="14" fontId="0" fillId="0" borderId="1" xfId="0" applyNumberFormat="1" applyBorder="1" applyAlignment="1">
      <alignment horizontal="center"/>
    </xf>
    <xf numFmtId="0" fontId="4" fillId="5" borderId="1" xfId="1" applyFont="1" applyFill="1" applyBorder="1" applyAlignment="1">
      <alignment horizontal="center"/>
    </xf>
    <xf numFmtId="0" fontId="5" fillId="8" borderId="1" xfId="0" applyFont="1" applyFill="1" applyBorder="1" applyAlignment="1">
      <alignment horizontal="center"/>
    </xf>
    <xf numFmtId="0" fontId="5" fillId="0" borderId="0" xfId="0" applyFont="1"/>
    <xf numFmtId="18" fontId="0" fillId="0" borderId="1" xfId="0" applyNumberFormat="1" applyBorder="1" applyAlignment="1">
      <alignment horizontal="center"/>
    </xf>
    <xf numFmtId="0" fontId="5" fillId="3" borderId="1" xfId="0" applyFont="1" applyFill="1" applyBorder="1" applyAlignment="1">
      <alignment horizontal="center"/>
    </xf>
    <xf numFmtId="164" fontId="0" fillId="0" borderId="1" xfId="0" applyNumberFormat="1" applyBorder="1" applyAlignment="1">
      <alignment horizontal="center"/>
    </xf>
    <xf numFmtId="0" fontId="2" fillId="5" borderId="1" xfId="0" applyFont="1" applyFill="1" applyBorder="1" applyAlignment="1">
      <alignment horizontal="center"/>
    </xf>
    <xf numFmtId="0" fontId="1" fillId="9" borderId="1" xfId="0" applyFont="1" applyFill="1" applyBorder="1" applyAlignment="1">
      <alignment horizontal="center"/>
    </xf>
    <xf numFmtId="0" fontId="2" fillId="0" borderId="0" xfId="0" applyFont="1" applyAlignment="1">
      <alignment wrapText="1"/>
    </xf>
    <xf numFmtId="0" fontId="8" fillId="0" borderId="1" xfId="1" applyFont="1" applyBorder="1" applyAlignment="1">
      <alignment horizontal="center"/>
    </xf>
    <xf numFmtId="0" fontId="8" fillId="0" borderId="0" xfId="0" applyFont="1" applyAlignment="1">
      <alignment horizontal="center"/>
    </xf>
    <xf numFmtId="49" fontId="0" fillId="0" borderId="1" xfId="0" applyNumberFormat="1" applyBorder="1" applyAlignment="1">
      <alignment horizontal="center"/>
    </xf>
    <xf numFmtId="165" fontId="0" fillId="0" borderId="0" xfId="0" applyNumberFormat="1"/>
    <xf numFmtId="18" fontId="3" fillId="0" borderId="1" xfId="1" applyNumberFormat="1" applyBorder="1" applyAlignment="1">
      <alignment horizontal="center"/>
    </xf>
    <xf numFmtId="22" fontId="0" fillId="0" borderId="0" xfId="0" applyNumberFormat="1"/>
    <xf numFmtId="22" fontId="0" fillId="0" borderId="1" xfId="0" applyNumberFormat="1" applyBorder="1" applyAlignment="1">
      <alignment horizontal="center"/>
    </xf>
    <xf numFmtId="14" fontId="0" fillId="0" borderId="0" xfId="0" applyNumberFormat="1" applyAlignment="1">
      <alignment horizontal="center"/>
    </xf>
    <xf numFmtId="0" fontId="3" fillId="0" borderId="1" xfId="1" applyBorder="1" applyAlignment="1">
      <alignment horizontal="center" wrapText="1"/>
    </xf>
    <xf numFmtId="0" fontId="6" fillId="6" borderId="1" xfId="1" applyFont="1" applyFill="1" applyBorder="1" applyAlignment="1">
      <alignment horizontal="center" vertical="top"/>
    </xf>
    <xf numFmtId="18" fontId="3" fillId="0" borderId="1" xfId="1" applyNumberFormat="1" applyBorder="1" applyAlignment="1">
      <alignment horizontal="center" vertical="top"/>
    </xf>
    <xf numFmtId="0" fontId="5" fillId="6" borderId="1" xfId="0" applyFont="1" applyFill="1" applyBorder="1" applyAlignment="1">
      <alignment horizontal="center"/>
    </xf>
    <xf numFmtId="0" fontId="1" fillId="13" borderId="1" xfId="0" applyFont="1" applyFill="1" applyBorder="1" applyAlignment="1">
      <alignment horizontal="center"/>
    </xf>
    <xf numFmtId="0" fontId="0" fillId="13" borderId="1" xfId="0" applyFill="1" applyBorder="1"/>
    <xf numFmtId="0" fontId="0" fillId="10" borderId="1" xfId="0" applyFill="1" applyBorder="1"/>
    <xf numFmtId="0" fontId="8" fillId="11" borderId="1" xfId="0" applyFont="1" applyFill="1" applyBorder="1"/>
    <xf numFmtId="0" fontId="0" fillId="12" borderId="1" xfId="0" applyFill="1" applyBorder="1"/>
    <xf numFmtId="0" fontId="0" fillId="14" borderId="1" xfId="0" applyFill="1" applyBorder="1"/>
    <xf numFmtId="0" fontId="0" fillId="15" borderId="1" xfId="0" applyFill="1" applyBorder="1"/>
    <xf numFmtId="0" fontId="0" fillId="3" borderId="1" xfId="0" applyFill="1" applyBorder="1"/>
    <xf numFmtId="0" fontId="0" fillId="4" borderId="1" xfId="0" applyFill="1" applyBorder="1"/>
    <xf numFmtId="0" fontId="0" fillId="6" borderId="1" xfId="0" applyFill="1" applyBorder="1" applyAlignment="1">
      <alignment wrapText="1"/>
    </xf>
    <xf numFmtId="0" fontId="0" fillId="9" borderId="1" xfId="0" applyFill="1" applyBorder="1"/>
    <xf numFmtId="0" fontId="0" fillId="10" borderId="1" xfId="0" applyFill="1" applyBorder="1" applyAlignment="1">
      <alignment wrapText="1"/>
    </xf>
    <xf numFmtId="0" fontId="0" fillId="11" borderId="1" xfId="0" applyFill="1" applyBorder="1" applyAlignment="1">
      <alignment wrapText="1"/>
    </xf>
    <xf numFmtId="0" fontId="0" fillId="15" borderId="1" xfId="0" applyFill="1" applyBorder="1" applyAlignment="1">
      <alignment wrapText="1"/>
    </xf>
    <xf numFmtId="0" fontId="0" fillId="3" borderId="1" xfId="0" applyFill="1" applyBorder="1" applyAlignment="1">
      <alignment wrapText="1"/>
    </xf>
    <xf numFmtId="0" fontId="0" fillId="4" borderId="1" xfId="0" applyFill="1" applyBorder="1" applyAlignment="1">
      <alignment wrapText="1"/>
    </xf>
    <xf numFmtId="0" fontId="0" fillId="9" borderId="1" xfId="0" applyFill="1" applyBorder="1" applyAlignment="1">
      <alignment wrapText="1"/>
    </xf>
    <xf numFmtId="0" fontId="1" fillId="10" borderId="1" xfId="0" applyFont="1" applyFill="1" applyBorder="1" applyAlignment="1">
      <alignment horizontal="center"/>
    </xf>
    <xf numFmtId="0" fontId="1" fillId="12" borderId="1" xfId="0" applyFont="1" applyFill="1" applyBorder="1" applyAlignment="1">
      <alignment horizontal="center"/>
    </xf>
    <xf numFmtId="0" fontId="1" fillId="15" borderId="1" xfId="0" applyFont="1" applyFill="1" applyBorder="1" applyAlignment="1">
      <alignment horizontal="center" wrapText="1"/>
    </xf>
    <xf numFmtId="0" fontId="1" fillId="15" borderId="1" xfId="0" applyFont="1" applyFill="1" applyBorder="1" applyAlignment="1">
      <alignment horizontal="center"/>
    </xf>
    <xf numFmtId="0" fontId="5" fillId="10" borderId="1" xfId="0" applyFont="1" applyFill="1" applyBorder="1" applyAlignment="1">
      <alignment horizontal="center" vertical="top"/>
    </xf>
    <xf numFmtId="0" fontId="5" fillId="12" borderId="1" xfId="0" applyFont="1" applyFill="1" applyBorder="1" applyAlignment="1">
      <alignment horizontal="center" vertical="top"/>
    </xf>
    <xf numFmtId="0" fontId="1" fillId="14" borderId="1" xfId="0" applyFont="1" applyFill="1" applyBorder="1" applyAlignment="1">
      <alignment horizontal="center"/>
    </xf>
    <xf numFmtId="0" fontId="3" fillId="0" borderId="1" xfId="1" applyFill="1" applyBorder="1" applyAlignment="1">
      <alignment horizontal="center"/>
    </xf>
    <xf numFmtId="18" fontId="8" fillId="0" borderId="1" xfId="1" applyNumberFormat="1" applyFont="1" applyBorder="1" applyAlignment="1">
      <alignment horizontal="center"/>
    </xf>
    <xf numFmtId="18" fontId="8" fillId="0" borderId="1" xfId="0" applyNumberFormat="1" applyFont="1" applyBorder="1" applyAlignment="1">
      <alignment horizontal="center"/>
    </xf>
    <xf numFmtId="0" fontId="5" fillId="9" borderId="1" xfId="1" applyFont="1" applyFill="1" applyBorder="1" applyAlignment="1">
      <alignment horizontal="center"/>
    </xf>
    <xf numFmtId="0" fontId="8" fillId="0" borderId="1" xfId="1" applyNumberFormat="1" applyFont="1" applyBorder="1" applyAlignment="1">
      <alignment horizontal="center"/>
    </xf>
    <xf numFmtId="0" fontId="5" fillId="10" borderId="1" xfId="0" applyFont="1" applyFill="1" applyBorder="1" applyAlignment="1">
      <alignment horizontal="center"/>
    </xf>
    <xf numFmtId="0" fontId="5" fillId="10" borderId="1" xfId="1" applyFont="1" applyFill="1" applyBorder="1" applyAlignment="1">
      <alignment horizontal="center"/>
    </xf>
    <xf numFmtId="0" fontId="5" fillId="14" borderId="1" xfId="1" applyFont="1" applyFill="1" applyBorder="1" applyAlignment="1">
      <alignment horizontal="center"/>
    </xf>
    <xf numFmtId="22" fontId="8" fillId="0" borderId="1" xfId="1" applyNumberFormat="1" applyFont="1" applyBorder="1" applyAlignment="1">
      <alignment horizontal="center"/>
    </xf>
    <xf numFmtId="22" fontId="8" fillId="0" borderId="1" xfId="1" applyNumberFormat="1" applyFont="1" applyFill="1" applyBorder="1" applyAlignment="1">
      <alignment horizontal="center"/>
    </xf>
    <xf numFmtId="20" fontId="0" fillId="0" borderId="1" xfId="0" applyNumberFormat="1" applyBorder="1" applyAlignment="1">
      <alignment horizontal="center"/>
    </xf>
    <xf numFmtId="20" fontId="0" fillId="0" borderId="1" xfId="0" applyNumberFormat="1" applyBorder="1" applyAlignment="1">
      <alignment horizontal="center" vertical="top"/>
    </xf>
    <xf numFmtId="49" fontId="3" fillId="0" borderId="1" xfId="1" applyNumberFormat="1" applyBorder="1" applyAlignment="1">
      <alignment horizontal="center"/>
    </xf>
    <xf numFmtId="49" fontId="0" fillId="0" borderId="0" xfId="0" applyNumberFormat="1" applyAlignment="1">
      <alignment horizontal="center"/>
    </xf>
    <xf numFmtId="20" fontId="0" fillId="0" borderId="0" xfId="0" applyNumberFormat="1" applyAlignment="1">
      <alignment horizontal="center"/>
    </xf>
    <xf numFmtId="0" fontId="8" fillId="0" borderId="0" xfId="1" applyFont="1" applyFill="1" applyBorder="1" applyAlignment="1">
      <alignment horizontal="center"/>
    </xf>
    <xf numFmtId="18" fontId="0" fillId="0" borderId="0" xfId="0" applyNumberFormat="1" applyAlignment="1">
      <alignment horizontal="center"/>
    </xf>
    <xf numFmtId="0" fontId="5" fillId="15" borderId="1" xfId="1" applyFont="1" applyFill="1" applyBorder="1" applyAlignment="1">
      <alignment horizontal="center"/>
    </xf>
    <xf numFmtId="20" fontId="3" fillId="0" borderId="1" xfId="1" applyNumberFormat="1" applyBorder="1" applyAlignment="1">
      <alignment horizontal="center"/>
    </xf>
    <xf numFmtId="20" fontId="0" fillId="0" borderId="1" xfId="0" applyNumberFormat="1" applyBorder="1" applyAlignment="1">
      <alignment horizontal="center" wrapText="1"/>
    </xf>
    <xf numFmtId="18" fontId="0" fillId="0" borderId="0" xfId="0" applyNumberFormat="1" applyAlignment="1">
      <alignment horizontal="center" wrapText="1"/>
    </xf>
  </cellXfs>
  <cellStyles count="2">
    <cellStyle name="Hipervínculo" xfId="1" builtinId="8"/>
    <cellStyle name="Normal" xfId="0" builtinId="0"/>
  </cellStyles>
  <dxfs count="0"/>
  <tableStyles count="0" defaultTableStyle="TableStyleMedium2" defaultPivotStyle="PivotStyleLight16"/>
  <colors>
    <mruColors>
      <color rgb="FFFF3F3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17</xdr:col>
      <xdr:colOff>132522</xdr:colOff>
      <xdr:row>31</xdr:row>
      <xdr:rowOff>68036</xdr:rowOff>
    </xdr:to>
    <xdr:pic>
      <xdr:nvPicPr>
        <xdr:cNvPr id="2" name="Imagen 1">
          <a:extLst>
            <a:ext uri="{FF2B5EF4-FFF2-40B4-BE49-F238E27FC236}">
              <a16:creationId xmlns:a16="http://schemas.microsoft.com/office/drawing/2014/main" id="{966B680E-EB45-290E-275E-F713F60D6F8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190500"/>
          <a:ext cx="14080435" cy="57830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E2216492-8388-41E0-BF9F-A7DC14E86A70}">
  <we:reference id="wa200010725" version="1.0.0.1" store="es-ES" storeType="OMEX"/>
  <we:alternateReferences>
    <we:reference id="WA200010725" version="1.0.0.1" store="" storeType="OMEX"/>
  </we:alternateReferences>
  <we:properties>
    <we:property name="claude.fileId" value="&quot;a357427e-8d6b-4b8d-a56c-647f29a36447&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hyperlink" Target="mailto:carlosbeladez@gmail.com" TargetMode="External"/><Relationship Id="rId2" Type="http://schemas.openxmlformats.org/officeDocument/2006/relationships/hyperlink" Target="mailto:juandaviddd2525@gmail.com" TargetMode="External"/><Relationship Id="rId1" Type="http://schemas.openxmlformats.org/officeDocument/2006/relationships/hyperlink" Target="mailto:juanfer234535@gmail.com" TargetMode="External"/><Relationship Id="rId5" Type="http://schemas.openxmlformats.org/officeDocument/2006/relationships/hyperlink" Target="mailto:juancarloszambrano4394@gmail.com" TargetMode="External"/><Relationship Id="rId4" Type="http://schemas.openxmlformats.org/officeDocument/2006/relationships/hyperlink" Target="mailto:andresramirezpatino123@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95362-94CF-4E08-8433-6F4780C6375E}">
  <dimension ref="A1:AD50"/>
  <sheetViews>
    <sheetView zoomScale="115" zoomScaleNormal="115" workbookViewId="0"/>
  </sheetViews>
  <sheetFormatPr baseColWidth="10" defaultRowHeight="15" x14ac:dyDescent="0.25"/>
  <cols>
    <col min="1" max="1" width="26.28515625" bestFit="1" customWidth="1"/>
  </cols>
  <sheetData>
    <row r="1" spans="1:30" x14ac:dyDescent="0.25">
      <c r="A1" s="5" t="s">
        <v>39</v>
      </c>
      <c r="B1" s="1"/>
      <c r="C1" s="1"/>
      <c r="D1" s="1"/>
      <c r="E1" s="1"/>
      <c r="F1" s="1"/>
      <c r="G1" s="1"/>
      <c r="H1" s="1"/>
      <c r="I1" s="1"/>
      <c r="J1" s="1"/>
      <c r="K1" s="1"/>
      <c r="L1" s="1"/>
      <c r="M1" s="1"/>
      <c r="N1" s="1"/>
      <c r="O1" s="1"/>
      <c r="P1" s="1"/>
      <c r="Q1" s="1"/>
      <c r="R1" s="1"/>
      <c r="S1" s="1"/>
      <c r="T1" s="1"/>
      <c r="U1" s="1"/>
      <c r="V1" s="1"/>
      <c r="W1" s="1"/>
      <c r="X1" s="1"/>
      <c r="Y1" s="1"/>
      <c r="Z1" s="1"/>
      <c r="AA1" s="1"/>
      <c r="AB1" s="1"/>
      <c r="AC1" s="1"/>
      <c r="AD1" s="1"/>
    </row>
    <row r="2" spans="1:30" x14ac:dyDescent="0.25">
      <c r="B2" s="1"/>
      <c r="C2" s="1"/>
      <c r="D2" s="1"/>
      <c r="E2" s="1"/>
      <c r="F2" s="1"/>
      <c r="G2" s="1"/>
      <c r="H2" s="1"/>
      <c r="I2" s="1"/>
      <c r="J2" s="1"/>
      <c r="K2" s="1"/>
      <c r="L2" s="1"/>
      <c r="M2" s="1"/>
      <c r="N2" s="1"/>
      <c r="O2" s="1"/>
      <c r="P2" s="1"/>
      <c r="Q2" s="1"/>
      <c r="R2" s="1"/>
      <c r="S2" s="1"/>
      <c r="T2" s="1"/>
      <c r="U2" s="1"/>
      <c r="V2" s="1"/>
      <c r="W2" s="1"/>
      <c r="X2" s="1"/>
      <c r="Y2" s="1"/>
      <c r="Z2" s="1"/>
      <c r="AA2" s="1"/>
      <c r="AB2" s="1"/>
      <c r="AC2" s="1"/>
      <c r="AD2" s="1"/>
    </row>
    <row r="3" spans="1:30" x14ac:dyDescent="0.25">
      <c r="A3" s="1"/>
      <c r="B3" s="1"/>
      <c r="C3" s="1"/>
      <c r="D3" s="1"/>
      <c r="E3" s="1"/>
      <c r="F3" s="1"/>
      <c r="G3" s="1"/>
      <c r="H3" s="1"/>
      <c r="I3" s="1"/>
      <c r="J3" s="1"/>
      <c r="K3" s="1"/>
      <c r="L3" s="1"/>
      <c r="M3" s="1"/>
      <c r="N3" s="1"/>
      <c r="O3" s="1"/>
      <c r="P3" s="1"/>
      <c r="Q3" s="1"/>
      <c r="R3" s="1"/>
      <c r="S3" s="1"/>
      <c r="T3" s="1"/>
      <c r="U3" s="1"/>
      <c r="V3" s="1"/>
      <c r="W3" s="1"/>
      <c r="X3" s="1"/>
      <c r="Y3" s="1"/>
      <c r="Z3" s="1"/>
      <c r="AA3" s="1"/>
      <c r="AB3" s="1"/>
      <c r="AC3" s="1"/>
      <c r="AD3" s="1"/>
    </row>
    <row r="4" spans="1:30" x14ac:dyDescent="0.25">
      <c r="B4" s="1"/>
      <c r="C4" s="1"/>
      <c r="D4" s="1"/>
      <c r="E4" s="1"/>
      <c r="F4" s="1"/>
      <c r="G4" s="1"/>
      <c r="H4" s="1"/>
      <c r="I4" s="1"/>
      <c r="J4" s="1"/>
      <c r="K4" s="1"/>
      <c r="L4" s="1"/>
      <c r="M4" s="1"/>
      <c r="N4" s="1"/>
      <c r="O4" s="1"/>
      <c r="P4" s="1"/>
      <c r="Q4" s="1"/>
      <c r="R4" s="1"/>
      <c r="S4" s="1"/>
      <c r="T4" s="1"/>
      <c r="U4" s="1"/>
      <c r="V4" s="1"/>
      <c r="W4" s="1"/>
      <c r="X4" s="1"/>
      <c r="Y4" s="1"/>
      <c r="Z4" s="1"/>
      <c r="AA4" s="1"/>
      <c r="AB4" s="1"/>
      <c r="AC4" s="1"/>
      <c r="AD4" s="1"/>
    </row>
    <row r="5" spans="1:30" x14ac:dyDescent="0.25">
      <c r="A5" s="1"/>
      <c r="B5" s="1"/>
      <c r="C5" s="1"/>
      <c r="D5" s="1"/>
      <c r="E5" s="1"/>
      <c r="F5" s="1"/>
      <c r="G5" s="1"/>
      <c r="H5" s="1"/>
      <c r="I5" s="1"/>
      <c r="J5" s="1"/>
      <c r="K5" s="1"/>
      <c r="L5" s="1"/>
      <c r="M5" s="1"/>
      <c r="N5" s="1"/>
      <c r="O5" s="1"/>
      <c r="P5" s="1"/>
      <c r="Q5" s="1"/>
      <c r="R5" s="1"/>
      <c r="S5" s="1"/>
      <c r="T5" s="1"/>
      <c r="U5" s="1"/>
      <c r="V5" s="1"/>
      <c r="W5" s="1"/>
      <c r="X5" s="1"/>
      <c r="Y5" s="1"/>
      <c r="Z5" s="1"/>
      <c r="AA5" s="1"/>
      <c r="AB5" s="1"/>
      <c r="AC5" s="1"/>
      <c r="AD5" s="1"/>
    </row>
    <row r="6" spans="1:30" x14ac:dyDescent="0.25">
      <c r="A6" s="1"/>
      <c r="B6" s="1"/>
      <c r="D6" s="1"/>
      <c r="E6" s="1"/>
      <c r="F6" s="1"/>
      <c r="G6" s="1"/>
      <c r="H6" s="1"/>
      <c r="I6" s="1"/>
      <c r="J6" s="1"/>
      <c r="K6" s="1"/>
      <c r="L6" s="1"/>
      <c r="M6" s="1"/>
      <c r="N6" s="1"/>
      <c r="O6" s="1"/>
      <c r="P6" s="1"/>
      <c r="Q6" s="1"/>
      <c r="R6" s="1"/>
      <c r="S6" s="1"/>
      <c r="T6" s="1"/>
      <c r="U6" s="1"/>
      <c r="V6" s="1"/>
      <c r="W6" s="1"/>
      <c r="X6" s="1"/>
      <c r="Y6" s="1"/>
      <c r="Z6" s="1"/>
      <c r="AA6" s="1"/>
      <c r="AB6" s="1"/>
      <c r="AC6" s="1"/>
      <c r="AD6" s="1"/>
    </row>
    <row r="7" spans="1:30" x14ac:dyDescent="0.25">
      <c r="A7" s="1"/>
      <c r="C7" s="1"/>
      <c r="D7" s="1"/>
      <c r="E7" s="1"/>
      <c r="F7" s="1"/>
      <c r="G7" s="1"/>
      <c r="H7" s="1"/>
      <c r="I7" s="1"/>
      <c r="J7" s="1"/>
      <c r="K7" s="1"/>
      <c r="L7" s="1"/>
      <c r="M7" s="1"/>
      <c r="N7" s="1"/>
      <c r="O7" s="1"/>
      <c r="P7" s="1"/>
      <c r="Q7" s="1"/>
      <c r="R7" s="1"/>
      <c r="S7" s="1"/>
      <c r="T7" s="1"/>
      <c r="U7" s="1"/>
      <c r="V7" s="1"/>
      <c r="W7" s="1"/>
      <c r="X7" s="1"/>
      <c r="Y7" s="1"/>
      <c r="Z7" s="1"/>
      <c r="AA7" s="1"/>
      <c r="AB7" s="1"/>
      <c r="AC7" s="1"/>
      <c r="AD7" s="1"/>
    </row>
    <row r="8" spans="1:30" x14ac:dyDescent="0.25">
      <c r="A8" s="1"/>
      <c r="B8" s="1"/>
      <c r="C8" s="1"/>
      <c r="D8" s="1"/>
      <c r="E8" s="1"/>
      <c r="F8" s="1"/>
      <c r="G8" s="1"/>
      <c r="H8" s="1"/>
      <c r="I8" s="1"/>
      <c r="J8" s="1"/>
      <c r="K8" s="1"/>
      <c r="L8" s="1"/>
      <c r="M8" s="1"/>
      <c r="N8" s="1"/>
      <c r="O8" s="1"/>
      <c r="P8" s="1"/>
      <c r="Q8" s="1"/>
      <c r="R8" s="1"/>
      <c r="S8" s="1"/>
      <c r="T8" s="1"/>
      <c r="U8" s="1"/>
      <c r="V8" s="1"/>
      <c r="W8" s="1"/>
      <c r="X8" s="1"/>
      <c r="Y8" s="1"/>
      <c r="Z8" s="1"/>
      <c r="AA8" s="1"/>
      <c r="AB8" s="1"/>
      <c r="AC8" s="1"/>
      <c r="AD8" s="1"/>
    </row>
    <row r="9" spans="1:30" x14ac:dyDescent="0.25">
      <c r="A9" s="1"/>
      <c r="B9" s="1"/>
      <c r="C9" s="1"/>
      <c r="D9" s="1"/>
      <c r="E9" s="1"/>
      <c r="F9" s="1"/>
      <c r="G9" s="1"/>
      <c r="H9" s="1"/>
      <c r="I9" s="1"/>
      <c r="J9" s="1"/>
      <c r="K9" s="1"/>
      <c r="L9" s="1"/>
      <c r="M9" s="1"/>
      <c r="N9" s="1"/>
      <c r="O9" s="1"/>
      <c r="P9" s="1"/>
      <c r="Q9" s="1"/>
      <c r="R9" s="1"/>
      <c r="S9" s="1"/>
      <c r="T9" s="1"/>
      <c r="U9" s="1"/>
      <c r="V9" s="1"/>
      <c r="W9" s="1"/>
      <c r="X9" s="1"/>
      <c r="Y9" s="1"/>
      <c r="Z9" s="1"/>
      <c r="AA9" s="1"/>
      <c r="AB9" s="1"/>
      <c r="AC9" s="1"/>
      <c r="AD9" s="1"/>
    </row>
    <row r="10" spans="1:30" x14ac:dyDescent="0.25">
      <c r="A10" s="1"/>
      <c r="B10" s="1"/>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row>
    <row r="11" spans="1:30" x14ac:dyDescent="0.25">
      <c r="A11" s="1"/>
      <c r="B11" s="1"/>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row>
    <row r="12" spans="1:30" x14ac:dyDescent="0.25">
      <c r="A12" s="1"/>
      <c r="B12" s="1"/>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row>
    <row r="13" spans="1:30" x14ac:dyDescent="0.25">
      <c r="A13" s="1"/>
      <c r="B13" s="1"/>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row>
    <row r="14" spans="1:30" x14ac:dyDescent="0.25">
      <c r="A14" s="1"/>
      <c r="B14" s="1"/>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row>
    <row r="15" spans="1:30" x14ac:dyDescent="0.25">
      <c r="A15" s="1"/>
      <c r="B15" s="1"/>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row>
    <row r="16" spans="1:30" x14ac:dyDescent="0.25">
      <c r="A16" s="1"/>
      <c r="B16" s="1"/>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row>
    <row r="17" spans="1:30" x14ac:dyDescent="0.25">
      <c r="A17" s="1"/>
      <c r="B17" s="1"/>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row>
    <row r="18" spans="1:30" x14ac:dyDescent="0.25">
      <c r="A18" s="1"/>
      <c r="B18" s="1"/>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row>
    <row r="19" spans="1:30" x14ac:dyDescent="0.25">
      <c r="A19" s="1"/>
      <c r="B19" s="1"/>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row>
    <row r="20" spans="1:30" x14ac:dyDescent="0.25">
      <c r="A20" s="1"/>
      <c r="B20" s="1"/>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row>
    <row r="21" spans="1:30" x14ac:dyDescent="0.25">
      <c r="A21" s="1"/>
      <c r="B21" s="1"/>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row>
    <row r="22" spans="1:30" x14ac:dyDescent="0.25">
      <c r="A22" s="1"/>
      <c r="B22" s="1"/>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row>
    <row r="23" spans="1:30" x14ac:dyDescent="0.25">
      <c r="A23" s="1"/>
      <c r="B23" s="1"/>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row>
    <row r="24" spans="1:30" x14ac:dyDescent="0.25">
      <c r="A24" s="1"/>
      <c r="B24" s="1"/>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row>
    <row r="25" spans="1:30" x14ac:dyDescent="0.25">
      <c r="A25" s="1"/>
      <c r="B25" s="1"/>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row>
    <row r="26" spans="1:30" x14ac:dyDescent="0.25">
      <c r="A26" s="1"/>
      <c r="B26" s="1"/>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row>
    <row r="27" spans="1:30" x14ac:dyDescent="0.25">
      <c r="A27" s="1"/>
      <c r="B27" s="1"/>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row>
    <row r="28" spans="1:30" x14ac:dyDescent="0.25">
      <c r="A28" s="1"/>
      <c r="B28" s="1"/>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row>
    <row r="29" spans="1:30" x14ac:dyDescent="0.25">
      <c r="A29" s="1"/>
      <c r="B29" s="1"/>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row>
    <row r="30" spans="1:30" x14ac:dyDescent="0.25">
      <c r="A30" s="1"/>
      <c r="B30" s="1"/>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row>
    <row r="31" spans="1:30" x14ac:dyDescent="0.25">
      <c r="A31" s="1"/>
      <c r="B31" s="1"/>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row>
    <row r="32" spans="1:30" x14ac:dyDescent="0.25">
      <c r="A32" s="1"/>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x14ac:dyDescent="0.25">
      <c r="A33" s="1"/>
      <c r="B33" s="1"/>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row>
    <row r="34" spans="1:30" x14ac:dyDescent="0.25">
      <c r="A34" s="1"/>
      <c r="B34" s="1"/>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row>
    <row r="35" spans="1:30" x14ac:dyDescent="0.25">
      <c r="A35" s="1"/>
      <c r="B35" s="1"/>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row>
    <row r="36" spans="1:30" x14ac:dyDescent="0.25">
      <c r="A36" s="1"/>
      <c r="B36" s="1"/>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row>
    <row r="37" spans="1:30" x14ac:dyDescent="0.25">
      <c r="A37" s="1"/>
      <c r="B37" s="1"/>
      <c r="C37" s="1"/>
      <c r="D37" s="1"/>
      <c r="E37" s="1"/>
      <c r="F37" s="1"/>
      <c r="G37" s="1"/>
      <c r="H37" s="1"/>
      <c r="I37" s="1"/>
      <c r="J37" s="1"/>
      <c r="K37" s="1"/>
      <c r="L37" s="1"/>
      <c r="M37" s="1"/>
      <c r="N37" s="1"/>
      <c r="O37" s="1"/>
      <c r="P37" s="1"/>
      <c r="Q37" s="1"/>
      <c r="R37" s="1"/>
      <c r="S37" s="1"/>
      <c r="T37" s="1"/>
      <c r="U37" s="1"/>
      <c r="V37" s="1"/>
      <c r="W37" s="1"/>
      <c r="X37" s="1"/>
      <c r="Y37" s="1"/>
      <c r="Z37" s="1"/>
      <c r="AA37" s="1"/>
      <c r="AB37" s="1"/>
      <c r="AC37" s="1"/>
      <c r="AD37" s="1"/>
    </row>
    <row r="38" spans="1:30" x14ac:dyDescent="0.25">
      <c r="A38" s="1"/>
      <c r="B38" s="1"/>
      <c r="C38" s="1"/>
      <c r="D38" s="1"/>
      <c r="E38" s="1"/>
      <c r="F38" s="1"/>
      <c r="G38" s="1"/>
      <c r="H38" s="1"/>
      <c r="I38" s="1"/>
      <c r="J38" s="1"/>
      <c r="K38" s="1"/>
      <c r="L38" s="1"/>
      <c r="M38" s="1"/>
      <c r="N38" s="1"/>
      <c r="O38" s="1"/>
      <c r="P38" s="1"/>
      <c r="Q38" s="1"/>
      <c r="R38" s="1"/>
      <c r="S38" s="1"/>
      <c r="T38" s="1"/>
      <c r="U38" s="1"/>
      <c r="V38" s="1"/>
      <c r="W38" s="1"/>
      <c r="X38" s="1"/>
      <c r="Y38" s="1"/>
      <c r="Z38" s="1"/>
      <c r="AA38" s="1"/>
      <c r="AB38" s="1"/>
      <c r="AC38" s="1"/>
      <c r="AD38" s="1"/>
    </row>
    <row r="39" spans="1:30" x14ac:dyDescent="0.25">
      <c r="A39" s="1"/>
      <c r="B39" s="1"/>
      <c r="C39" s="1"/>
      <c r="D39" s="1"/>
      <c r="E39" s="1"/>
      <c r="F39" s="1"/>
      <c r="G39" s="1"/>
      <c r="H39" s="1"/>
      <c r="I39" s="1"/>
      <c r="J39" s="1"/>
      <c r="K39" s="1"/>
      <c r="L39" s="1"/>
      <c r="M39" s="1"/>
      <c r="N39" s="1"/>
      <c r="O39" s="1"/>
      <c r="P39" s="1"/>
      <c r="Q39" s="1"/>
      <c r="R39" s="1"/>
      <c r="S39" s="1"/>
      <c r="T39" s="1"/>
      <c r="U39" s="1"/>
      <c r="V39" s="1"/>
      <c r="W39" s="1"/>
      <c r="X39" s="1"/>
      <c r="Y39" s="1"/>
      <c r="Z39" s="1"/>
      <c r="AA39" s="1"/>
      <c r="AB39" s="1"/>
      <c r="AC39" s="1"/>
      <c r="AD39" s="1"/>
    </row>
    <row r="40" spans="1:30"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c r="AB40" s="1"/>
      <c r="AC40" s="1"/>
      <c r="AD40" s="1"/>
    </row>
    <row r="41" spans="1:30"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c r="AB41" s="1"/>
      <c r="AC41" s="1"/>
      <c r="AD41" s="1"/>
    </row>
    <row r="42" spans="1:30"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c r="AB42" s="1"/>
      <c r="AC42" s="1"/>
      <c r="AD42" s="1"/>
    </row>
    <row r="43" spans="1:30"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c r="AB43" s="1"/>
      <c r="AC43" s="1"/>
      <c r="AD43" s="1"/>
    </row>
    <row r="44" spans="1:30"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c r="AB44" s="1"/>
      <c r="AC44" s="1"/>
      <c r="AD44" s="1"/>
    </row>
    <row r="45" spans="1:30"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c r="AB45" s="1"/>
      <c r="AC45" s="1"/>
      <c r="AD45" s="1"/>
    </row>
    <row r="46" spans="1:30"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spans="1:30"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spans="1:30"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spans="1:30"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row>
    <row r="50" spans="1:30"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row>
  </sheetData>
  <hyperlinks>
    <hyperlink ref="A1" location="'Objetos de Dominio'!A1" display="&lt;&lt;&lt;&lt; Ir a objetos de dominio" xr:uid="{1E6C5FA1-E9A9-4758-8F5D-35278D15B010}"/>
  </hyperlink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5AA025-A9A3-4E3E-A766-44885AA770B6}">
  <dimension ref="A1:D17"/>
  <sheetViews>
    <sheetView topLeftCell="A6" workbookViewId="0">
      <selection activeCell="D10" sqref="D10"/>
    </sheetView>
  </sheetViews>
  <sheetFormatPr baseColWidth="10" defaultRowHeight="15" x14ac:dyDescent="0.25"/>
  <cols>
    <col min="1" max="1" width="27" bestFit="1" customWidth="1"/>
    <col min="2" max="2" width="63.7109375" customWidth="1"/>
    <col min="3" max="3" width="14.42578125" customWidth="1"/>
    <col min="4" max="4" width="7.7109375" customWidth="1"/>
  </cols>
  <sheetData>
    <row r="1" spans="1:4" x14ac:dyDescent="0.25">
      <c r="A1" s="5" t="s">
        <v>32</v>
      </c>
    </row>
    <row r="2" spans="1:4" x14ac:dyDescent="0.25">
      <c r="A2" s="6" t="s">
        <v>0</v>
      </c>
      <c r="B2" s="6" t="s">
        <v>1</v>
      </c>
      <c r="C2" s="6" t="s">
        <v>2</v>
      </c>
      <c r="D2" s="6" t="s">
        <v>3</v>
      </c>
    </row>
    <row r="3" spans="1:4" ht="45" x14ac:dyDescent="0.25">
      <c r="A3" s="7" t="s">
        <v>4</v>
      </c>
      <c r="B3" s="8" t="s">
        <v>15</v>
      </c>
      <c r="C3" s="7">
        <v>1</v>
      </c>
      <c r="D3" s="9" t="s">
        <v>34</v>
      </c>
    </row>
    <row r="4" spans="1:4" ht="75" x14ac:dyDescent="0.25">
      <c r="A4" s="7" t="s">
        <v>11</v>
      </c>
      <c r="B4" s="8" t="s">
        <v>249</v>
      </c>
      <c r="C4" s="7">
        <v>1</v>
      </c>
      <c r="D4" s="9" t="s">
        <v>34</v>
      </c>
    </row>
    <row r="5" spans="1:4" ht="60" x14ac:dyDescent="0.25">
      <c r="A5" s="7" t="s">
        <v>5</v>
      </c>
      <c r="B5" s="8" t="s">
        <v>140</v>
      </c>
      <c r="C5" s="7">
        <v>2</v>
      </c>
      <c r="D5" s="9" t="s">
        <v>34</v>
      </c>
    </row>
    <row r="6" spans="1:4" ht="45" x14ac:dyDescent="0.25">
      <c r="A6" s="7" t="s">
        <v>72</v>
      </c>
      <c r="B6" s="8" t="s">
        <v>141</v>
      </c>
      <c r="C6" s="7">
        <v>2</v>
      </c>
      <c r="D6" s="9" t="s">
        <v>34</v>
      </c>
    </row>
    <row r="7" spans="1:4" ht="60" x14ac:dyDescent="0.25">
      <c r="A7" s="7" t="s">
        <v>6</v>
      </c>
      <c r="B7" s="8" t="s">
        <v>142</v>
      </c>
      <c r="C7" s="7">
        <v>2</v>
      </c>
      <c r="D7" s="9" t="s">
        <v>34</v>
      </c>
    </row>
    <row r="8" spans="1:4" ht="45" x14ac:dyDescent="0.25">
      <c r="A8" s="7" t="s">
        <v>7</v>
      </c>
      <c r="B8" s="8" t="s">
        <v>16</v>
      </c>
      <c r="C8" s="7">
        <v>2</v>
      </c>
      <c r="D8" s="9" t="s">
        <v>34</v>
      </c>
    </row>
    <row r="9" spans="1:4" ht="75" x14ac:dyDescent="0.25">
      <c r="A9" s="7" t="s">
        <v>13</v>
      </c>
      <c r="B9" s="8" t="s">
        <v>143</v>
      </c>
      <c r="C9" s="7">
        <v>2</v>
      </c>
      <c r="D9" s="9" t="s">
        <v>34</v>
      </c>
    </row>
    <row r="10" spans="1:4" ht="30" x14ac:dyDescent="0.25">
      <c r="A10" s="7" t="s">
        <v>8</v>
      </c>
      <c r="B10" s="8" t="s">
        <v>17</v>
      </c>
      <c r="C10" s="7">
        <v>3</v>
      </c>
      <c r="D10" s="9" t="s">
        <v>34</v>
      </c>
    </row>
    <row r="11" spans="1:4" ht="45" x14ac:dyDescent="0.25">
      <c r="A11" s="7" t="s">
        <v>9</v>
      </c>
      <c r="B11" s="8" t="s">
        <v>144</v>
      </c>
      <c r="C11" s="7">
        <v>3</v>
      </c>
      <c r="D11" s="9" t="s">
        <v>34</v>
      </c>
    </row>
    <row r="12" spans="1:4" ht="90" x14ac:dyDescent="0.25">
      <c r="A12" s="7" t="s">
        <v>183</v>
      </c>
      <c r="B12" s="8" t="s">
        <v>250</v>
      </c>
      <c r="C12" s="7">
        <v>4</v>
      </c>
      <c r="D12" s="9" t="s">
        <v>34</v>
      </c>
    </row>
    <row r="13" spans="1:4" x14ac:dyDescent="0.25">
      <c r="A13" s="7"/>
      <c r="B13" s="8"/>
      <c r="C13" s="7"/>
      <c r="D13" s="9"/>
    </row>
    <row r="14" spans="1:4" ht="90" x14ac:dyDescent="0.25">
      <c r="A14" s="7" t="s">
        <v>10</v>
      </c>
      <c r="B14" s="8" t="s">
        <v>145</v>
      </c>
      <c r="C14" s="7">
        <v>4</v>
      </c>
      <c r="D14" s="9" t="s">
        <v>34</v>
      </c>
    </row>
    <row r="15" spans="1:4" ht="60" x14ac:dyDescent="0.25">
      <c r="A15" s="7" t="s">
        <v>184</v>
      </c>
      <c r="B15" s="8" t="s">
        <v>185</v>
      </c>
      <c r="C15" s="7">
        <v>4</v>
      </c>
      <c r="D15" s="9" t="s">
        <v>34</v>
      </c>
    </row>
    <row r="16" spans="1:4" ht="45" x14ac:dyDescent="0.25">
      <c r="A16" s="7" t="s">
        <v>12</v>
      </c>
      <c r="B16" s="8" t="s">
        <v>18</v>
      </c>
      <c r="C16" s="7">
        <v>5</v>
      </c>
      <c r="D16" s="9" t="s">
        <v>34</v>
      </c>
    </row>
    <row r="17" spans="1:4" ht="60" x14ac:dyDescent="0.25">
      <c r="A17" s="7" t="s">
        <v>14</v>
      </c>
      <c r="B17" s="8" t="s">
        <v>19</v>
      </c>
      <c r="C17" s="7">
        <v>5</v>
      </c>
      <c r="D17" s="9" t="s">
        <v>34</v>
      </c>
    </row>
  </sheetData>
  <hyperlinks>
    <hyperlink ref="D3" location="Barberia_D!A1" display="aquí" xr:uid="{4DD4FFDC-FEC3-4024-8B2A-15ECCC25F1B4}"/>
    <hyperlink ref="D4" location="Cliente_D!A1" display="aquí" xr:uid="{36147D48-0B43-4DA0-AD5A-85C9F3A80142}"/>
    <hyperlink ref="D5" location="Regla_D!A1" display="aquí" xr:uid="{CE75E08E-3AEF-4772-B979-C6C2C9E47B76}"/>
    <hyperlink ref="D7" location="Servicio_D!A1" display="aquí" xr:uid="{FA9DCCF5-D4AD-44C7-B850-A147A771879F}"/>
    <hyperlink ref="D8" location="Barbero_D!A1" display="aquí" xr:uid="{D986BDF3-3679-4C1D-B75C-941AB0C17E00}"/>
    <hyperlink ref="D9" location="Veto_D!A1" display="aquí" xr:uid="{50EEB4A4-A05B-458F-A616-2C079D7BA2A1}"/>
    <hyperlink ref="D10" location="BarberoServicio_D!A1" display="aquí" xr:uid="{AC14820F-CB56-4CB4-B9D5-B9DDBC302113}"/>
    <hyperlink ref="D11" location="Agenda_D!A1" display="aquí" xr:uid="{F2DC45FC-06BF-43EC-8765-3A2CBBBD79CD}"/>
    <hyperlink ref="D14" location="Cita_D!A1" display="aquí" xr:uid="{3BDFED20-FFB7-4345-9356-B30AC1240BDC}"/>
    <hyperlink ref="D16" location="Multa_D!A1" display="aquí" xr:uid="{5D100657-ADBE-4AA9-A971-9C9D942C9DAD}"/>
    <hyperlink ref="D17" location="CitaServicio_D!A1" display="aquí" xr:uid="{F49154C9-A497-4677-B686-F9CF5B536DEC}"/>
    <hyperlink ref="A1" location="'Modelo de Dominio'!A1" display="&lt;&lt;&lt;&lt; Ir al modulo de dominio" xr:uid="{A3D1E053-3C90-4C85-85FB-01CE6B92A5EE}"/>
    <hyperlink ref="D6" location="HorarioBarberia_D!A1" display="aquí" xr:uid="{CE45E0DE-1B75-4BE0-8664-81F7834039D9}"/>
    <hyperlink ref="D12" location="Bloqueo_D!A1" display="aquí" xr:uid="{C19EA470-C149-4E7D-B95C-B02B73C07975}"/>
    <hyperlink ref="D15" location="Descanso_D!A1" display="aquí" xr:uid="{BA11B464-44BB-488E-84C7-707437A187F8}"/>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DE6AC-7D92-461D-9DD1-84082B531231}">
  <dimension ref="A1:B11"/>
  <sheetViews>
    <sheetView zoomScale="140" zoomScaleNormal="140" workbookViewId="0">
      <selection activeCell="A3" sqref="A3"/>
    </sheetView>
  </sheetViews>
  <sheetFormatPr baseColWidth="10" defaultRowHeight="15" x14ac:dyDescent="0.25"/>
  <cols>
    <col min="1" max="1" width="18.42578125" customWidth="1"/>
    <col min="2" max="2" width="69.42578125" bestFit="1" customWidth="1"/>
  </cols>
  <sheetData>
    <row r="1" spans="1:2" x14ac:dyDescent="0.25">
      <c r="A1" s="7" t="s">
        <v>152</v>
      </c>
      <c r="B1" s="7" t="s">
        <v>1</v>
      </c>
    </row>
    <row r="2" spans="1:2" x14ac:dyDescent="0.25">
      <c r="A2" s="55" t="s">
        <v>153</v>
      </c>
      <c r="B2" s="55" t="s">
        <v>161</v>
      </c>
    </row>
    <row r="3" spans="1:2" ht="30" x14ac:dyDescent="0.25">
      <c r="A3" s="56" t="s">
        <v>154</v>
      </c>
      <c r="B3" s="65" t="s">
        <v>162</v>
      </c>
    </row>
    <row r="4" spans="1:2" x14ac:dyDescent="0.25">
      <c r="A4" s="58" t="s">
        <v>155</v>
      </c>
      <c r="B4" s="58" t="s">
        <v>163</v>
      </c>
    </row>
    <row r="5" spans="1:2" x14ac:dyDescent="0.25">
      <c r="A5" s="57" t="s">
        <v>229</v>
      </c>
      <c r="B5" s="66" t="s">
        <v>230</v>
      </c>
    </row>
    <row r="6" spans="1:2" x14ac:dyDescent="0.25">
      <c r="A6" s="59" t="s">
        <v>156</v>
      </c>
      <c r="B6" s="59" t="s">
        <v>167</v>
      </c>
    </row>
    <row r="7" spans="1:2" ht="30" x14ac:dyDescent="0.25">
      <c r="A7" s="60" t="s">
        <v>157</v>
      </c>
      <c r="B7" s="67" t="s">
        <v>164</v>
      </c>
    </row>
    <row r="8" spans="1:2" ht="30" x14ac:dyDescent="0.25">
      <c r="A8" s="61" t="s">
        <v>158</v>
      </c>
      <c r="B8" s="68" t="s">
        <v>165</v>
      </c>
    </row>
    <row r="9" spans="1:2" ht="45" x14ac:dyDescent="0.25">
      <c r="A9" s="62" t="s">
        <v>69</v>
      </c>
      <c r="B9" s="69" t="s">
        <v>166</v>
      </c>
    </row>
    <row r="10" spans="1:2" ht="30" x14ac:dyDescent="0.25">
      <c r="A10" s="63" t="s">
        <v>159</v>
      </c>
      <c r="B10" s="63" t="s">
        <v>168</v>
      </c>
    </row>
    <row r="11" spans="1:2" ht="60" x14ac:dyDescent="0.25">
      <c r="A11" s="64" t="s">
        <v>160</v>
      </c>
      <c r="B11" s="70" t="s">
        <v>169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A22F8C-1648-4644-8301-765EB2B8C50B}">
  <dimension ref="A1:C6"/>
  <sheetViews>
    <sheetView zoomScale="166" zoomScaleNormal="205" workbookViewId="0">
      <selection activeCell="A4" sqref="A4"/>
    </sheetView>
  </sheetViews>
  <sheetFormatPr baseColWidth="10" defaultRowHeight="15" x14ac:dyDescent="0.25"/>
  <cols>
    <col min="1" max="1" width="33.85546875" customWidth="1"/>
    <col min="2" max="2" width="34.7109375" customWidth="1"/>
    <col min="3" max="3" width="21" customWidth="1"/>
  </cols>
  <sheetData>
    <row r="1" spans="1:3" x14ac:dyDescent="0.25">
      <c r="A1" s="5" t="s">
        <v>32</v>
      </c>
      <c r="B1" s="5" t="s">
        <v>33</v>
      </c>
    </row>
    <row r="2" spans="1:3" ht="30.75" customHeight="1" x14ac:dyDescent="0.25">
      <c r="A2" s="18" t="s">
        <v>20</v>
      </c>
      <c r="B2" s="18" t="s">
        <v>199</v>
      </c>
    </row>
    <row r="3" spans="1:3" x14ac:dyDescent="0.25">
      <c r="A3" s="13" t="s">
        <v>31</v>
      </c>
      <c r="B3" s="71" t="s">
        <v>21</v>
      </c>
      <c r="C3" s="35"/>
    </row>
    <row r="4" spans="1:3" x14ac:dyDescent="0.25">
      <c r="A4" s="12">
        <v>1</v>
      </c>
      <c r="B4" s="36" t="s">
        <v>66</v>
      </c>
      <c r="C4" s="4"/>
    </row>
    <row r="6" spans="1:3" x14ac:dyDescent="0.25">
      <c r="B6" t="s">
        <v>238</v>
      </c>
    </row>
  </sheetData>
  <hyperlinks>
    <hyperlink ref="A1" location="'Modelo de Dominio'!A1" display="&lt;&lt;&lt;&lt; Ir al modulo de dominio" xr:uid="{0FEEEACD-5263-424F-9691-DED385216B9A}"/>
    <hyperlink ref="B1" location="'Objetos de Dominio'!A1" display="&lt;&lt;&lt;&lt; Ir a objetos de dominio" xr:uid="{65BA578D-64B7-4416-81D4-7BC58A8F0B9A}"/>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59140-2713-4A98-8730-76D57DC1D653}">
  <dimension ref="A1:H11"/>
  <sheetViews>
    <sheetView zoomScale="145" zoomScaleNormal="145" workbookViewId="0">
      <selection activeCell="H7" sqref="A1:H7"/>
    </sheetView>
  </sheetViews>
  <sheetFormatPr baseColWidth="10" defaultRowHeight="15" x14ac:dyDescent="0.25"/>
  <cols>
    <col min="1" max="1" width="26.85546875" style="10" customWidth="1"/>
    <col min="2" max="6" width="26.28515625" style="10" customWidth="1"/>
    <col min="7" max="7" width="23.140625" style="10" customWidth="1"/>
    <col min="8" max="8" width="38.5703125" style="10" bestFit="1" customWidth="1"/>
  </cols>
  <sheetData>
    <row r="1" spans="1:8" x14ac:dyDescent="0.25">
      <c r="A1" s="11" t="s">
        <v>32</v>
      </c>
      <c r="B1" s="11" t="s">
        <v>33</v>
      </c>
      <c r="C1" s="11"/>
      <c r="D1" s="11"/>
      <c r="E1" s="11"/>
      <c r="F1" s="11"/>
      <c r="G1" s="12"/>
      <c r="H1" s="12"/>
    </row>
    <row r="2" spans="1:8" ht="46.5" x14ac:dyDescent="0.25">
      <c r="A2" s="17" t="s">
        <v>20</v>
      </c>
      <c r="B2" s="17" t="s">
        <v>170</v>
      </c>
      <c r="C2" s="17" t="s">
        <v>171</v>
      </c>
      <c r="D2" s="17" t="s">
        <v>172</v>
      </c>
      <c r="E2" s="17" t="s">
        <v>173</v>
      </c>
      <c r="F2" s="17" t="s">
        <v>207</v>
      </c>
      <c r="G2" s="18" t="s">
        <v>174</v>
      </c>
      <c r="H2" s="19" t="s">
        <v>128</v>
      </c>
    </row>
    <row r="3" spans="1:8" x14ac:dyDescent="0.25">
      <c r="A3" s="13" t="s">
        <v>31</v>
      </c>
      <c r="B3" s="54" t="s">
        <v>97</v>
      </c>
      <c r="C3" s="54" t="s">
        <v>99</v>
      </c>
      <c r="D3" s="54" t="s">
        <v>98</v>
      </c>
      <c r="E3" s="54" t="s">
        <v>100</v>
      </c>
      <c r="F3" s="71" t="s">
        <v>146</v>
      </c>
      <c r="G3" s="71" t="s">
        <v>22</v>
      </c>
      <c r="H3" s="14" t="s">
        <v>69</v>
      </c>
    </row>
    <row r="4" spans="1:8" x14ac:dyDescent="0.25">
      <c r="A4" s="12">
        <v>1</v>
      </c>
      <c r="B4" s="12" t="s">
        <v>114</v>
      </c>
      <c r="C4" s="12"/>
      <c r="D4" s="12" t="s">
        <v>107</v>
      </c>
      <c r="E4" s="12"/>
      <c r="F4" s="44" t="s">
        <v>122</v>
      </c>
      <c r="G4" s="12">
        <v>3234528921</v>
      </c>
      <c r="H4" s="12" t="str">
        <f>_xlfn.CONCAT(B4,"-",C4,"-",D4,"-",E4,"-",F4,"-",G4)</f>
        <v>Juan--Gómez--+57-3234528921</v>
      </c>
    </row>
    <row r="5" spans="1:8" x14ac:dyDescent="0.25">
      <c r="A5" s="12">
        <v>2</v>
      </c>
      <c r="B5" s="12" t="s">
        <v>112</v>
      </c>
      <c r="C5" s="12" t="s">
        <v>113</v>
      </c>
      <c r="D5" s="12" t="s">
        <v>109</v>
      </c>
      <c r="E5" s="12" t="s">
        <v>108</v>
      </c>
      <c r="F5" s="44" t="s">
        <v>122</v>
      </c>
      <c r="G5" s="12">
        <v>3161657782</v>
      </c>
      <c r="H5" s="12" t="str">
        <f t="shared" ref="H5:H7" si="0">_xlfn.CONCAT(B5,"-",C5,"-",D5,"-",E5,"-",F5,"-",G5)</f>
        <v>Jose-Miguel-Ramirez-Perez-+57-3161657782</v>
      </c>
    </row>
    <row r="6" spans="1:8" x14ac:dyDescent="0.25">
      <c r="A6" s="12">
        <v>3</v>
      </c>
      <c r="B6" s="12" t="s">
        <v>115</v>
      </c>
      <c r="C6" s="12"/>
      <c r="D6" s="12" t="s">
        <v>111</v>
      </c>
      <c r="E6" s="12" t="s">
        <v>109</v>
      </c>
      <c r="F6" s="44" t="s">
        <v>122</v>
      </c>
      <c r="G6" s="12">
        <v>3119884321</v>
      </c>
      <c r="H6" s="12" t="str">
        <f t="shared" si="0"/>
        <v>Simon--Ochoa-Ramirez-+57-3119884321</v>
      </c>
    </row>
    <row r="7" spans="1:8" x14ac:dyDescent="0.25">
      <c r="A7" s="12">
        <v>4</v>
      </c>
      <c r="B7" s="12" t="s">
        <v>116</v>
      </c>
      <c r="C7" s="12"/>
      <c r="D7" s="12" t="s">
        <v>110</v>
      </c>
      <c r="E7" s="12"/>
      <c r="F7" s="44" t="s">
        <v>123</v>
      </c>
      <c r="G7" s="12">
        <v>4127359182</v>
      </c>
      <c r="H7" s="12" t="str">
        <f t="shared" si="0"/>
        <v>Alexis--Gallego--+58-4127359182</v>
      </c>
    </row>
    <row r="11" spans="1:8" x14ac:dyDescent="0.25">
      <c r="C11"/>
    </row>
  </sheetData>
  <phoneticPr fontId="7" type="noConversion"/>
  <hyperlinks>
    <hyperlink ref="A1" location="'Modelo de Dominio'!A1" display="&lt;&lt;&lt;&lt; Ir al modulo de dominio" xr:uid="{45ECCE20-A7F3-41A8-ACF9-49963DA55DAB}"/>
    <hyperlink ref="B1" location="'Objetos de Dominio'!A1" display="&lt;&lt;&lt;&lt; Ir a objetos de dominio" xr:uid="{882DBE5D-51B0-4530-88DA-6C3B67C6032C}"/>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E77388-6266-4A55-B7A3-4FCD2B643D29}">
  <dimension ref="A1:F5"/>
  <sheetViews>
    <sheetView zoomScale="145" zoomScaleNormal="145" workbookViewId="0">
      <selection activeCell="E4" sqref="A1:E4"/>
    </sheetView>
  </sheetViews>
  <sheetFormatPr baseColWidth="10" defaultRowHeight="15" x14ac:dyDescent="0.25"/>
  <cols>
    <col min="1" max="1" width="26.85546875" customWidth="1"/>
    <col min="2" max="2" width="32.5703125" customWidth="1"/>
    <col min="3" max="3" width="28" customWidth="1"/>
    <col min="4" max="4" width="26.7109375" customWidth="1"/>
    <col min="5" max="5" width="16.28515625" bestFit="1" customWidth="1"/>
    <col min="6" max="6" width="18.42578125" bestFit="1" customWidth="1"/>
  </cols>
  <sheetData>
    <row r="1" spans="1:6" x14ac:dyDescent="0.25">
      <c r="A1" s="5" t="s">
        <v>32</v>
      </c>
      <c r="B1" s="5" t="s">
        <v>33</v>
      </c>
    </row>
    <row r="2" spans="1:6" ht="46.5" x14ac:dyDescent="0.25">
      <c r="A2" s="17" t="s">
        <v>20</v>
      </c>
      <c r="B2" s="18" t="s">
        <v>201</v>
      </c>
      <c r="C2" s="18" t="s">
        <v>175</v>
      </c>
      <c r="D2" s="18" t="s">
        <v>202</v>
      </c>
      <c r="E2" s="18" t="s">
        <v>68</v>
      </c>
    </row>
    <row r="3" spans="1:6" x14ac:dyDescent="0.25">
      <c r="A3" s="13" t="s">
        <v>31</v>
      </c>
      <c r="B3" s="72" t="s">
        <v>35</v>
      </c>
      <c r="C3" s="72" t="s">
        <v>23</v>
      </c>
      <c r="D3" s="72" t="s">
        <v>67</v>
      </c>
      <c r="E3" s="31" t="s">
        <v>36</v>
      </c>
      <c r="F3" s="3"/>
    </row>
    <row r="4" spans="1:6" x14ac:dyDescent="0.25">
      <c r="A4" s="12">
        <v>1</v>
      </c>
      <c r="B4" s="12">
        <v>10</v>
      </c>
      <c r="C4" s="38">
        <v>10000</v>
      </c>
      <c r="D4" s="12">
        <v>3</v>
      </c>
      <c r="E4" s="46" t="str">
        <f>Barberia_D!B4</f>
        <v>Barbería Oriental</v>
      </c>
      <c r="F4" t="str">
        <f>_xlfn.CONCAT(D9)</f>
        <v/>
      </c>
    </row>
    <row r="5" spans="1:6" x14ac:dyDescent="0.25">
      <c r="D5" s="2"/>
    </row>
  </sheetData>
  <hyperlinks>
    <hyperlink ref="A1" location="'Modelo de Dominio'!A1" display="&lt;&lt;&lt;&lt; Ir al modulo de dominio" xr:uid="{7C596F35-55B8-4CE7-B78D-972818210697}"/>
    <hyperlink ref="B1" location="'Objetos de Dominio'!A1" display="&lt;&lt;&lt;&lt; Ir a objetos de dominio" xr:uid="{633A0FBE-51A8-439E-B16B-3262AEDC61C1}"/>
    <hyperlink ref="E3" location="Barberia_D!A1" display="barberia" xr:uid="{92B752E3-B6E2-453C-B3B8-21F03C7B498E}"/>
    <hyperlink ref="E4" location="Barberia_D!A4" display="Barberia_D!A4" xr:uid="{4DB2A852-226E-4D4F-BC9E-2AB35927DB45}"/>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AE59AB-4103-4731-9C3C-4C276F8A29F8}">
  <dimension ref="A1:L18"/>
  <sheetViews>
    <sheetView topLeftCell="H1" zoomScale="130" zoomScaleNormal="130" workbookViewId="0">
      <selection activeCell="I16" sqref="I16"/>
    </sheetView>
  </sheetViews>
  <sheetFormatPr baseColWidth="10" defaultRowHeight="15" x14ac:dyDescent="0.25"/>
  <cols>
    <col min="1" max="1" width="27" bestFit="1" customWidth="1"/>
    <col min="2" max="6" width="26.7109375" customWidth="1"/>
    <col min="7" max="7" width="16.28515625" customWidth="1"/>
    <col min="8" max="8" width="40.7109375" customWidth="1"/>
    <col min="9" max="9" width="67.5703125" bestFit="1" customWidth="1"/>
    <col min="10" max="10" width="30.28515625" customWidth="1"/>
    <col min="11" max="11" width="21" customWidth="1"/>
    <col min="12" max="12" width="53.140625" bestFit="1" customWidth="1"/>
  </cols>
  <sheetData>
    <row r="1" spans="1:12" x14ac:dyDescent="0.25">
      <c r="A1" s="5" t="s">
        <v>32</v>
      </c>
      <c r="B1" s="5" t="s">
        <v>33</v>
      </c>
      <c r="C1" s="5"/>
      <c r="D1" s="5"/>
      <c r="E1" s="5"/>
      <c r="F1" s="5"/>
    </row>
    <row r="2" spans="1:12" ht="45.6" customHeight="1" x14ac:dyDescent="0.25">
      <c r="A2" s="25" t="s">
        <v>20</v>
      </c>
      <c r="B2" s="25" t="s">
        <v>147</v>
      </c>
      <c r="C2" s="25" t="s">
        <v>148</v>
      </c>
      <c r="D2" s="25" t="s">
        <v>149</v>
      </c>
      <c r="E2" s="25" t="s">
        <v>150</v>
      </c>
      <c r="F2" s="25" t="s">
        <v>151</v>
      </c>
      <c r="G2" s="26" t="s">
        <v>180</v>
      </c>
      <c r="H2" s="26" t="s">
        <v>181</v>
      </c>
      <c r="I2" s="26" t="s">
        <v>244</v>
      </c>
      <c r="J2" s="26" t="s">
        <v>203</v>
      </c>
      <c r="K2" s="26" t="s">
        <v>130</v>
      </c>
      <c r="L2" s="27" t="s">
        <v>139</v>
      </c>
    </row>
    <row r="3" spans="1:12" x14ac:dyDescent="0.25">
      <c r="A3" s="13" t="s">
        <v>31</v>
      </c>
      <c r="B3" s="54" t="s">
        <v>97</v>
      </c>
      <c r="C3" s="54" t="s">
        <v>99</v>
      </c>
      <c r="D3" s="54" t="s">
        <v>98</v>
      </c>
      <c r="E3" s="54" t="s">
        <v>100</v>
      </c>
      <c r="F3" s="71" t="s">
        <v>121</v>
      </c>
      <c r="G3" s="71" t="s">
        <v>22</v>
      </c>
      <c r="H3" s="71" t="s">
        <v>42</v>
      </c>
      <c r="I3" s="71" t="s">
        <v>120</v>
      </c>
      <c r="J3" s="40" t="s">
        <v>43</v>
      </c>
      <c r="K3" s="31" t="s">
        <v>36</v>
      </c>
      <c r="L3" s="28" t="s">
        <v>70</v>
      </c>
    </row>
    <row r="4" spans="1:12" x14ac:dyDescent="0.25">
      <c r="A4" s="12">
        <v>1</v>
      </c>
      <c r="B4" s="12" t="s">
        <v>114</v>
      </c>
      <c r="C4" s="12" t="s">
        <v>101</v>
      </c>
      <c r="D4" s="12" t="s">
        <v>135</v>
      </c>
      <c r="E4" s="12" t="s">
        <v>103</v>
      </c>
      <c r="F4" s="44" t="s">
        <v>122</v>
      </c>
      <c r="G4" s="12">
        <v>3245627890</v>
      </c>
      <c r="H4" s="11" t="s">
        <v>53</v>
      </c>
      <c r="I4" s="42" t="s">
        <v>239</v>
      </c>
      <c r="J4" s="12" t="s">
        <v>49</v>
      </c>
      <c r="K4" s="46" t="str">
        <f>Barberia_D!B4</f>
        <v>Barbería Oriental</v>
      </c>
      <c r="L4" s="12" t="str">
        <f>_xlfn.CONCAT(B4,"-",C4,"-",D4,"-",E4,"-",F4,"-",G4)</f>
        <v>Juan-Fernando-García-Lopez-+57-3245627890</v>
      </c>
    </row>
    <row r="5" spans="1:12" x14ac:dyDescent="0.25">
      <c r="A5" s="12">
        <v>2</v>
      </c>
      <c r="B5" s="12" t="s">
        <v>114</v>
      </c>
      <c r="C5" s="12" t="s">
        <v>102</v>
      </c>
      <c r="D5" s="12" t="s">
        <v>134</v>
      </c>
      <c r="E5" s="12" t="s">
        <v>104</v>
      </c>
      <c r="F5" s="44" t="s">
        <v>122</v>
      </c>
      <c r="G5" s="12">
        <v>3124518923</v>
      </c>
      <c r="H5" s="11" t="s">
        <v>54</v>
      </c>
      <c r="I5" s="42" t="s">
        <v>240</v>
      </c>
      <c r="J5" s="12" t="s">
        <v>49</v>
      </c>
      <c r="K5" s="46" t="str">
        <f>Barberia_D!B4</f>
        <v>Barbería Oriental</v>
      </c>
      <c r="L5" s="12" t="str">
        <f t="shared" ref="L5:L8" si="0">_xlfn.CONCAT(B5,"-",C5,"-",D5,"-",E5,"-",F5,"-",G5)</f>
        <v>Juan-David-Ortiz-Sanchez-+57-3124518923</v>
      </c>
    </row>
    <row r="6" spans="1:12" x14ac:dyDescent="0.25">
      <c r="A6" s="12">
        <v>3</v>
      </c>
      <c r="B6" s="12" t="s">
        <v>51</v>
      </c>
      <c r="C6" s="12"/>
      <c r="D6" s="12" t="s">
        <v>106</v>
      </c>
      <c r="E6" s="12"/>
      <c r="F6" s="44" t="s">
        <v>122</v>
      </c>
      <c r="G6" s="12">
        <v>3214533321</v>
      </c>
      <c r="H6" s="11" t="s">
        <v>55</v>
      </c>
      <c r="I6" s="43" t="s">
        <v>241</v>
      </c>
      <c r="J6" s="12" t="s">
        <v>49</v>
      </c>
      <c r="K6" s="46" t="str">
        <f>Barberia_D!B4</f>
        <v>Barbería Oriental</v>
      </c>
      <c r="L6" s="12" t="str">
        <f t="shared" si="0"/>
        <v>Carlos--Arbeladez--+57-3214533321</v>
      </c>
    </row>
    <row r="7" spans="1:12" x14ac:dyDescent="0.25">
      <c r="A7" s="12">
        <v>4</v>
      </c>
      <c r="B7" s="12" t="s">
        <v>52</v>
      </c>
      <c r="C7" s="12"/>
      <c r="D7" s="12" t="s">
        <v>109</v>
      </c>
      <c r="E7" s="12" t="s">
        <v>105</v>
      </c>
      <c r="F7" s="44" t="s">
        <v>124</v>
      </c>
      <c r="G7" s="12">
        <v>9876543210</v>
      </c>
      <c r="H7" s="11" t="s">
        <v>56</v>
      </c>
      <c r="I7" s="42" t="s">
        <v>242</v>
      </c>
      <c r="J7" s="12" t="s">
        <v>49</v>
      </c>
      <c r="K7" s="46" t="str">
        <f>Barberia_D!B4</f>
        <v>Barbería Oriental</v>
      </c>
      <c r="L7" s="12" t="str">
        <f t="shared" si="0"/>
        <v>Andres--Ramirez-Patiño-+91-9876543210</v>
      </c>
    </row>
    <row r="8" spans="1:12" x14ac:dyDescent="0.25">
      <c r="A8" s="12">
        <v>5</v>
      </c>
      <c r="B8" s="12" t="s">
        <v>114</v>
      </c>
      <c r="C8" s="12" t="s">
        <v>51</v>
      </c>
      <c r="D8" s="12" t="s">
        <v>136</v>
      </c>
      <c r="E8" s="12" t="s">
        <v>108</v>
      </c>
      <c r="F8" s="44" t="s">
        <v>137</v>
      </c>
      <c r="G8" s="12">
        <v>998765432</v>
      </c>
      <c r="H8" s="11" t="s">
        <v>138</v>
      </c>
      <c r="I8" s="12" t="s">
        <v>243</v>
      </c>
      <c r="J8" s="12" t="s">
        <v>50</v>
      </c>
      <c r="K8" s="46" t="str">
        <f>Barberia_D!B4</f>
        <v>Barbería Oriental</v>
      </c>
      <c r="L8" s="12" t="str">
        <f t="shared" si="0"/>
        <v>Juan-Carlos-Zambrano-Perez-+593-998765432</v>
      </c>
    </row>
    <row r="10" spans="1:12" x14ac:dyDescent="0.25">
      <c r="B10" s="10"/>
      <c r="C10" s="10"/>
      <c r="I10" s="93"/>
    </row>
    <row r="11" spans="1:12" x14ac:dyDescent="0.25">
      <c r="F11" s="91"/>
    </row>
    <row r="18" spans="3:3" x14ac:dyDescent="0.25">
      <c r="C18" t="s">
        <v>248</v>
      </c>
    </row>
  </sheetData>
  <phoneticPr fontId="7" type="noConversion"/>
  <hyperlinks>
    <hyperlink ref="A1" location="'Modelo de Dominio'!A1" display="&lt;&lt;&lt;&lt; Ir al modulo de dominio" xr:uid="{E687A9B1-2F94-41F4-9C64-B065CF803569}"/>
    <hyperlink ref="B1" location="'Objetos de Dominio'!A1" display="&lt;&lt;&lt;&lt; Ir a objetos de dominio" xr:uid="{B11349A8-A5E5-4188-AE93-A5D086816413}"/>
    <hyperlink ref="H4" r:id="rId1" xr:uid="{60EA2572-583B-4C21-A5A4-79AC0F810621}"/>
    <hyperlink ref="H5" r:id="rId2" xr:uid="{6DE7DFDC-37F8-4F9E-9AEF-2A9B5D465DE8}"/>
    <hyperlink ref="H6" r:id="rId3" xr:uid="{4550EE1F-4989-43BD-948F-5BD527B9D531}"/>
    <hyperlink ref="H7" r:id="rId4" xr:uid="{72EF9758-1786-4FA4-86ED-08E3A4E7C6AD}"/>
    <hyperlink ref="K3" location="Barberia_D!A1" display="barberia" xr:uid="{0A424D71-DFC6-4A9B-AB84-795AF0206DA0}"/>
    <hyperlink ref="K4" location="Barberia_D!A4" display="Barberia_D!A4" xr:uid="{74759F60-91D9-4AA0-8D34-C14AE4845BDE}"/>
    <hyperlink ref="K5:K7" location="Barberia_D!A4" display="Barberia_D!A4" xr:uid="{8B3C5650-71BD-4B78-A8B9-12566120F044}"/>
    <hyperlink ref="K8" location="Barberia_D!A4" display="Barberia_D!A4" xr:uid="{B14FD134-98B7-4B6A-849C-ECE5A6600A50}"/>
    <hyperlink ref="H8" r:id="rId5" xr:uid="{8A2F5CE3-2E3F-41D6-9E52-2EDCD463D69D}"/>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0E1EC-B79B-40C0-AC5B-0E2726DDD399}">
  <dimension ref="A1:F12"/>
  <sheetViews>
    <sheetView zoomScale="145" zoomScaleNormal="145" workbookViewId="0">
      <selection activeCell="F10" sqref="A1:F10"/>
    </sheetView>
  </sheetViews>
  <sheetFormatPr baseColWidth="10" defaultRowHeight="15" x14ac:dyDescent="0.25"/>
  <cols>
    <col min="1" max="1" width="27" bestFit="1" customWidth="1"/>
    <col min="2" max="2" width="26" bestFit="1" customWidth="1"/>
    <col min="3" max="3" width="34.42578125" customWidth="1"/>
    <col min="4" max="4" width="23.5703125" customWidth="1"/>
    <col min="5" max="5" width="23.7109375" customWidth="1"/>
    <col min="6" max="6" width="34.7109375" bestFit="1" customWidth="1"/>
  </cols>
  <sheetData>
    <row r="1" spans="1:6" x14ac:dyDescent="0.25">
      <c r="A1" s="5" t="s">
        <v>32</v>
      </c>
      <c r="B1" s="5" t="s">
        <v>33</v>
      </c>
    </row>
    <row r="2" spans="1:6" ht="44.45" customHeight="1" x14ac:dyDescent="0.25">
      <c r="A2" s="18" t="s">
        <v>20</v>
      </c>
      <c r="B2" s="18" t="s">
        <v>73</v>
      </c>
      <c r="C2" s="18" t="s">
        <v>200</v>
      </c>
      <c r="D2" s="18" t="s">
        <v>220</v>
      </c>
      <c r="E2" s="18" t="s">
        <v>225</v>
      </c>
      <c r="F2" s="18" t="s">
        <v>117</v>
      </c>
    </row>
    <row r="3" spans="1:6" x14ac:dyDescent="0.25">
      <c r="A3" s="13" t="s">
        <v>31</v>
      </c>
      <c r="B3" s="31" t="s">
        <v>36</v>
      </c>
      <c r="C3" s="83" t="s">
        <v>74</v>
      </c>
      <c r="D3" s="73" t="s">
        <v>75</v>
      </c>
      <c r="E3" s="74" t="s">
        <v>76</v>
      </c>
      <c r="F3" s="34" t="s">
        <v>69</v>
      </c>
    </row>
    <row r="4" spans="1:6" x14ac:dyDescent="0.25">
      <c r="A4" s="12">
        <v>1</v>
      </c>
      <c r="B4" s="46" t="str">
        <f>Barberia_D!B4</f>
        <v>Barbería Oriental</v>
      </c>
      <c r="C4" s="36" t="s">
        <v>77</v>
      </c>
      <c r="D4" s="88">
        <v>0.375</v>
      </c>
      <c r="E4" s="88">
        <v>0.79166666666666663</v>
      </c>
      <c r="F4" s="12" t="str">
        <f>_xlfn.CONCAT(B4,"-",C4,"-",TEXT(D4,"hh:mm"),"-",TEXT(E4,"hh:mm"))</f>
        <v>Barbería Oriental-Lunes-09:00-19:00</v>
      </c>
    </row>
    <row r="5" spans="1:6" x14ac:dyDescent="0.25">
      <c r="A5" s="12">
        <v>2</v>
      </c>
      <c r="B5" s="46" t="str">
        <f>Barberia_D!B4</f>
        <v>Barbería Oriental</v>
      </c>
      <c r="C5" s="12" t="s">
        <v>78</v>
      </c>
      <c r="D5" s="88">
        <v>0.375</v>
      </c>
      <c r="E5" s="88">
        <v>0.79166666666666663</v>
      </c>
      <c r="F5" s="12" t="str">
        <f t="shared" ref="F5:F10" si="0">_xlfn.CONCAT(B5,"-",C5,"-",TEXT(D5,"hh:mm"),"-",TEXT(E5,"hh:mm"))</f>
        <v>Barbería Oriental-Martes-09:00-19:00</v>
      </c>
    </row>
    <row r="6" spans="1:6" x14ac:dyDescent="0.25">
      <c r="A6" s="12">
        <v>3</v>
      </c>
      <c r="B6" s="46" t="str">
        <f>Barberia_D!B4</f>
        <v>Barbería Oriental</v>
      </c>
      <c r="C6" s="36" t="s">
        <v>79</v>
      </c>
      <c r="D6" s="88">
        <v>0.375</v>
      </c>
      <c r="E6" s="88">
        <v>0.79166666666666696</v>
      </c>
      <c r="F6" s="12" t="str">
        <f t="shared" si="0"/>
        <v>Barbería Oriental-Miércoles-09:00-19:00</v>
      </c>
    </row>
    <row r="7" spans="1:6" x14ac:dyDescent="0.25">
      <c r="A7" s="12">
        <v>4</v>
      </c>
      <c r="B7" s="46" t="str">
        <f>Barberia_D!B4</f>
        <v>Barbería Oriental</v>
      </c>
      <c r="C7" s="12" t="s">
        <v>80</v>
      </c>
      <c r="D7" s="88">
        <v>0.375</v>
      </c>
      <c r="E7" s="88">
        <v>0.79166666666666696</v>
      </c>
      <c r="F7" s="12" t="str">
        <f t="shared" si="0"/>
        <v>Barbería Oriental-Jueves-09:00-19:00</v>
      </c>
    </row>
    <row r="8" spans="1:6" x14ac:dyDescent="0.25">
      <c r="A8" s="12">
        <v>5</v>
      </c>
      <c r="B8" s="46" t="str">
        <f>Barberia_D!B4</f>
        <v>Barbería Oriental</v>
      </c>
      <c r="C8" s="36" t="s">
        <v>81</v>
      </c>
      <c r="D8" s="88">
        <v>0.375</v>
      </c>
      <c r="E8" s="88">
        <v>0.79166666666666696</v>
      </c>
      <c r="F8" s="12" t="str">
        <f t="shared" si="0"/>
        <v>Barbería Oriental-Viernes-09:00-19:00</v>
      </c>
    </row>
    <row r="9" spans="1:6" x14ac:dyDescent="0.25">
      <c r="A9" s="12">
        <v>6</v>
      </c>
      <c r="B9" s="46" t="str">
        <f>Barberia_D!B4</f>
        <v>Barbería Oriental</v>
      </c>
      <c r="C9" s="12" t="s">
        <v>82</v>
      </c>
      <c r="D9" s="89">
        <v>0.33333333333333331</v>
      </c>
      <c r="E9" s="88">
        <v>0.875</v>
      </c>
      <c r="F9" s="12" t="str">
        <f t="shared" si="0"/>
        <v>Barbería Oriental-Sábado-08:00-21:00</v>
      </c>
    </row>
    <row r="10" spans="1:6" x14ac:dyDescent="0.25">
      <c r="A10" s="12">
        <v>7</v>
      </c>
      <c r="B10" s="46" t="str">
        <f>Barberia_D!B4</f>
        <v>Barbería Oriental</v>
      </c>
      <c r="C10" s="36" t="s">
        <v>231</v>
      </c>
      <c r="D10" s="88">
        <v>0.41666666666666669</v>
      </c>
      <c r="E10" s="88">
        <v>0.625</v>
      </c>
      <c r="F10" s="12" t="str">
        <f t="shared" si="0"/>
        <v>Barbería Oriental-Festivo-10:00-15:00</v>
      </c>
    </row>
    <row r="11" spans="1:6" x14ac:dyDescent="0.25">
      <c r="A11" s="10"/>
      <c r="C11" s="10"/>
    </row>
    <row r="12" spans="1:6" x14ac:dyDescent="0.25">
      <c r="A12" s="10"/>
      <c r="C12" s="94" t="s">
        <v>234</v>
      </c>
    </row>
  </sheetData>
  <phoneticPr fontId="7" type="noConversion"/>
  <hyperlinks>
    <hyperlink ref="A1" location="'Modelo de Dominio'!A1" display="&lt;&lt;&lt;&lt; Ir al modulo de dominio" xr:uid="{8FE767F6-22F1-4F43-85BA-468D80B0CB91}"/>
    <hyperlink ref="B1" location="'Objetos de Dominio'!A1" display="&lt;&lt;&lt;&lt; Ir a objetos de dominio" xr:uid="{FCE2B5DC-7C40-48F2-89BF-3ECFD15A2C41}"/>
    <hyperlink ref="B3" location="Barberia_D!A1" display="barberia" xr:uid="{2492FDB7-93E1-4CE3-B41F-90BD0687A121}"/>
    <hyperlink ref="B4" location="Barberia_D!A4" display="Barberia_D!A4" xr:uid="{CA0BE91C-E243-4E18-9EBC-492DB8F2F841}"/>
    <hyperlink ref="B5" location="Barberia_D!A4" display="Barberia_D!A4" xr:uid="{8755C4B5-402C-4142-9068-F1A88E40D4BB}"/>
    <hyperlink ref="B6" location="Barberia_D!A4" display="Barberia_D!A4" xr:uid="{110C1F32-4D8E-40A2-90EC-1FBB2E0B8A29}"/>
    <hyperlink ref="B7" location="Barberia_D!A4" display="Barberia_D!A4" xr:uid="{EF70DFB1-E188-4E7F-9F0D-1EC2E2330BDA}"/>
    <hyperlink ref="B8" location="Barberia_D!A4" display="Barberia_D!A4" xr:uid="{FBCD47DD-56CD-4067-A39A-E821892FE723}"/>
    <hyperlink ref="B9" location="Barberia_D!A4" display="Barberia_D!A4" xr:uid="{11CC4F51-41DB-4B1A-8CAB-35A8FD0DE0E2}"/>
    <hyperlink ref="B10" location="Barberia_D!A4" display="Barberia_D!A4" xr:uid="{DF73B835-0B1D-44DB-8A25-CFCFDEE0B537}"/>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B567D-D27E-4BE3-B1E4-8CA267790151}">
  <dimension ref="A1:F12"/>
  <sheetViews>
    <sheetView zoomScale="130" zoomScaleNormal="130" workbookViewId="0">
      <selection activeCell="B1" sqref="B1"/>
    </sheetView>
  </sheetViews>
  <sheetFormatPr baseColWidth="10" defaultRowHeight="15" x14ac:dyDescent="0.25"/>
  <cols>
    <col min="1" max="2" width="28.140625" customWidth="1"/>
    <col min="3" max="3" width="26.5703125" customWidth="1"/>
    <col min="4" max="4" width="24.42578125" customWidth="1"/>
    <col min="5" max="5" width="25.28515625" customWidth="1"/>
    <col min="6" max="6" width="26.5703125" customWidth="1"/>
  </cols>
  <sheetData>
    <row r="1" spans="1:6" x14ac:dyDescent="0.25">
      <c r="A1" s="15" t="s">
        <v>32</v>
      </c>
      <c r="B1" s="15" t="s">
        <v>33</v>
      </c>
      <c r="D1" s="16"/>
      <c r="E1" s="16"/>
      <c r="F1" s="10"/>
    </row>
    <row r="2" spans="1:6" ht="45.75" customHeight="1" x14ac:dyDescent="0.25">
      <c r="A2" s="17" t="s">
        <v>20</v>
      </c>
      <c r="B2" s="17" t="s">
        <v>129</v>
      </c>
      <c r="C2" s="17" t="s">
        <v>176</v>
      </c>
      <c r="D2" s="30" t="s">
        <v>178</v>
      </c>
      <c r="E2" s="30" t="s">
        <v>179</v>
      </c>
      <c r="F2" s="18" t="s">
        <v>45</v>
      </c>
    </row>
    <row r="3" spans="1:6" x14ac:dyDescent="0.25">
      <c r="A3" s="20" t="s">
        <v>31</v>
      </c>
      <c r="B3" s="51" t="s">
        <v>36</v>
      </c>
      <c r="C3" s="75" t="s">
        <v>21</v>
      </c>
      <c r="D3" s="76" t="s">
        <v>37</v>
      </c>
      <c r="E3" s="76" t="s">
        <v>24</v>
      </c>
      <c r="F3" s="14" t="s">
        <v>177</v>
      </c>
    </row>
    <row r="4" spans="1:6" x14ac:dyDescent="0.25">
      <c r="A4" s="21">
        <v>1</v>
      </c>
      <c r="B4" s="52" t="str">
        <f>Barberia_D!B4</f>
        <v>Barbería Oriental</v>
      </c>
      <c r="C4" s="21" t="s">
        <v>38</v>
      </c>
      <c r="D4" s="21">
        <v>45</v>
      </c>
      <c r="E4" s="22">
        <v>22000</v>
      </c>
      <c r="F4" s="12" t="str">
        <f>C4</f>
        <v>Motilada</v>
      </c>
    </row>
    <row r="5" spans="1:6" x14ac:dyDescent="0.25">
      <c r="A5" s="21">
        <v>2</v>
      </c>
      <c r="B5" s="52" t="str">
        <f>Barberia_D!B4</f>
        <v>Barbería Oriental</v>
      </c>
      <c r="C5" s="21" t="s">
        <v>46</v>
      </c>
      <c r="D5" s="21">
        <v>10</v>
      </c>
      <c r="E5" s="22">
        <v>12000</v>
      </c>
      <c r="F5" s="12" t="str">
        <f t="shared" ref="F5:F7" si="0">C5</f>
        <v>Corte de barba</v>
      </c>
    </row>
    <row r="6" spans="1:6" x14ac:dyDescent="0.25">
      <c r="A6" s="21">
        <v>3</v>
      </c>
      <c r="B6" s="52" t="str">
        <f>Barberia_D!B4</f>
        <v>Barbería Oriental</v>
      </c>
      <c r="C6" s="21" t="s">
        <v>47</v>
      </c>
      <c r="D6" s="21">
        <v>15</v>
      </c>
      <c r="E6" s="22">
        <v>15000</v>
      </c>
      <c r="F6" s="12" t="str">
        <f t="shared" si="0"/>
        <v>Perfilada de barba</v>
      </c>
    </row>
    <row r="7" spans="1:6" ht="30" x14ac:dyDescent="0.25">
      <c r="A7" s="21">
        <v>4</v>
      </c>
      <c r="B7" s="52" t="str">
        <f>Barberia_D!B4</f>
        <v>Barbería Oriental</v>
      </c>
      <c r="C7" s="23" t="s">
        <v>48</v>
      </c>
      <c r="D7" s="21">
        <v>30</v>
      </c>
      <c r="E7" s="22">
        <v>35000</v>
      </c>
      <c r="F7" s="24" t="str">
        <f t="shared" si="0"/>
        <v>Arreglo completo de barba con toalla caliente</v>
      </c>
    </row>
    <row r="8" spans="1:6" x14ac:dyDescent="0.25">
      <c r="A8" s="16"/>
      <c r="B8" s="16"/>
      <c r="C8" s="16"/>
      <c r="D8" s="16"/>
      <c r="E8" s="16"/>
    </row>
    <row r="9" spans="1:6" x14ac:dyDescent="0.25">
      <c r="A9" s="16"/>
      <c r="B9" s="16"/>
      <c r="C9" s="16"/>
      <c r="D9" s="16"/>
      <c r="E9" s="16"/>
    </row>
    <row r="10" spans="1:6" x14ac:dyDescent="0.25">
      <c r="A10" s="16"/>
      <c r="B10" s="16" t="s">
        <v>245</v>
      </c>
      <c r="C10" s="16"/>
      <c r="D10" s="16"/>
      <c r="E10" s="16"/>
    </row>
    <row r="11" spans="1:6" x14ac:dyDescent="0.25">
      <c r="A11" s="16"/>
      <c r="B11" s="16"/>
      <c r="C11" s="16"/>
      <c r="D11" s="16"/>
      <c r="E11" s="16"/>
    </row>
    <row r="12" spans="1:6" x14ac:dyDescent="0.25">
      <c r="A12" s="16"/>
      <c r="B12" s="16"/>
      <c r="C12" s="16"/>
      <c r="D12" s="16"/>
      <c r="E12" s="16"/>
    </row>
  </sheetData>
  <hyperlinks>
    <hyperlink ref="A1" location="'Modelo de Dominio'!A1" display="&lt;&lt;&lt;&lt; Ir al modulo de dominio" xr:uid="{1232B379-2C8F-4361-B8CE-5CC492F8D207}"/>
    <hyperlink ref="B1" location="'Objetos de Dominio'!A1" display="&lt;&lt;&lt;&lt; Ir a objetos de dominio" xr:uid="{C4612CEA-B79F-4496-B57E-5F6E72A804C7}"/>
    <hyperlink ref="B3" location="Barberia_D!A1" display="barberia" xr:uid="{49DC9582-0184-41B1-95D7-525F6EE28820}"/>
    <hyperlink ref="B4" location="Barberia_D!A4" display="Barberia_D!A4" xr:uid="{9C3C8EC0-3D4B-4A80-9FA2-4578065166BB}"/>
    <hyperlink ref="B5" location="Barberia_D!A4" display="Barberia_D!A4" xr:uid="{1337E6E0-8BBF-46FA-B386-3E8B848525E7}"/>
    <hyperlink ref="B6" location="Servicio_D!A4" display="Servicio_D!A4" xr:uid="{F14FFAD6-C31D-4D17-A87C-7C4566115E73}"/>
    <hyperlink ref="B7" location="Barberia_D!A4" display="Barberia_D!A4" xr:uid="{75AD25E9-0697-4BA2-8F6A-B890AAE2A8F8}"/>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28B98D-AAA9-4184-8373-FE2E421AAE23}">
  <dimension ref="A1:G11"/>
  <sheetViews>
    <sheetView topLeftCell="C1" zoomScale="130" zoomScaleNormal="130" workbookViewId="0">
      <selection activeCell="E13" sqref="E13"/>
    </sheetView>
  </sheetViews>
  <sheetFormatPr baseColWidth="10" defaultRowHeight="15" x14ac:dyDescent="0.25"/>
  <cols>
    <col min="1" max="2" width="27" customWidth="1"/>
    <col min="3" max="4" width="28.85546875" customWidth="1"/>
    <col min="5" max="5" width="41" customWidth="1"/>
    <col min="6" max="6" width="36.140625" customWidth="1"/>
    <col min="7" max="7" width="26.85546875" customWidth="1"/>
  </cols>
  <sheetData>
    <row r="1" spans="1:7" x14ac:dyDescent="0.25">
      <c r="A1" s="5" t="s">
        <v>32</v>
      </c>
      <c r="B1" s="5" t="s">
        <v>33</v>
      </c>
      <c r="D1" s="5"/>
    </row>
    <row r="2" spans="1:7" ht="49.9" customHeight="1" x14ac:dyDescent="0.25">
      <c r="A2" s="17" t="s">
        <v>20</v>
      </c>
      <c r="B2" s="17" t="s">
        <v>221</v>
      </c>
      <c r="C2" s="17" t="s">
        <v>222</v>
      </c>
      <c r="D2" s="17" t="s">
        <v>209</v>
      </c>
      <c r="E2" s="30" t="s">
        <v>204</v>
      </c>
      <c r="F2" s="30" t="s">
        <v>119</v>
      </c>
      <c r="G2" s="30" t="s">
        <v>58</v>
      </c>
    </row>
    <row r="3" spans="1:7" x14ac:dyDescent="0.25">
      <c r="A3" s="13" t="s">
        <v>31</v>
      </c>
      <c r="B3" s="31" t="s">
        <v>210</v>
      </c>
      <c r="C3" s="31" t="s">
        <v>59</v>
      </c>
      <c r="D3" s="31" t="s">
        <v>208</v>
      </c>
      <c r="E3" s="40" t="s">
        <v>25</v>
      </c>
      <c r="F3" s="40" t="s">
        <v>57</v>
      </c>
      <c r="G3" s="28" t="s">
        <v>71</v>
      </c>
    </row>
    <row r="4" spans="1:7" x14ac:dyDescent="0.25">
      <c r="A4" s="12">
        <v>1</v>
      </c>
      <c r="B4" s="90" t="str">
        <f>Cliente_D!F4</f>
        <v>+57</v>
      </c>
      <c r="C4" s="11">
        <f>Cliente_D!G4</f>
        <v>3234528921</v>
      </c>
      <c r="D4" s="11" t="str">
        <f>_xlfn.CONCAT(Cliente_D!B4," ",Cliente_D!C4," ",Cliente_D!D4," ",Cliente_D!E4)</f>
        <v xml:space="preserve">Juan  Gómez </v>
      </c>
      <c r="E4" s="32">
        <v>45255</v>
      </c>
      <c r="F4" s="12" t="s">
        <v>50</v>
      </c>
      <c r="G4" s="12" t="str">
        <f>_xlfn.CONCAT(C4,"-",TEXT(E4,"dd/mm/yyyy"))</f>
        <v>3234528921-25/11/2023</v>
      </c>
    </row>
    <row r="5" spans="1:7" x14ac:dyDescent="0.25">
      <c r="A5" s="12">
        <v>2</v>
      </c>
      <c r="B5" s="90" t="str">
        <f>Cliente_D!F5</f>
        <v>+57</v>
      </c>
      <c r="C5" s="11">
        <f>Cliente_D!G5</f>
        <v>3161657782</v>
      </c>
      <c r="D5" s="11" t="str">
        <f>_xlfn.CONCAT(Cliente_D!B5," ",Cliente_D!C5," ",Cliente_D!D5," ",Cliente_D!E5)</f>
        <v>Jose Miguel Ramirez Perez</v>
      </c>
      <c r="E5" s="32">
        <v>45372</v>
      </c>
      <c r="F5" s="12" t="s">
        <v>50</v>
      </c>
      <c r="G5" s="12" t="str">
        <f t="shared" ref="G5:G7" si="0">_xlfn.CONCAT(C5,"-",TEXT(E5,"dd/mm/yyyy"))</f>
        <v>3161657782-21/03/2024</v>
      </c>
    </row>
    <row r="6" spans="1:7" x14ac:dyDescent="0.25">
      <c r="A6" s="12">
        <v>3</v>
      </c>
      <c r="B6" s="90" t="str">
        <f>Cliente_D!F6</f>
        <v>+57</v>
      </c>
      <c r="C6" s="11">
        <f>Cliente_D!G6</f>
        <v>3119884321</v>
      </c>
      <c r="D6" s="11" t="str">
        <f>_xlfn.CONCAT(Cliente_D!B6," ",Cliente_D!C6," ",Cliente_D!D6," ",Cliente_D!E6)</f>
        <v>Simon  Ochoa Ramirez</v>
      </c>
      <c r="E6" s="32">
        <v>45556</v>
      </c>
      <c r="F6" s="12" t="s">
        <v>49</v>
      </c>
      <c r="G6" s="12" t="str">
        <f t="shared" si="0"/>
        <v>3119884321-21/09/2024</v>
      </c>
    </row>
    <row r="7" spans="1:7" x14ac:dyDescent="0.25">
      <c r="A7" s="12">
        <v>4</v>
      </c>
      <c r="B7" s="90" t="str">
        <f>Cliente_D!F7</f>
        <v>+58</v>
      </c>
      <c r="C7" s="11">
        <f>Cliente_D!G7</f>
        <v>4127359182</v>
      </c>
      <c r="D7" s="11" t="str">
        <f>_xlfn.CONCAT(Cliente_D!B7," ",Cliente_D!C7," ",Cliente_D!D7," ",Cliente_D!E7)</f>
        <v xml:space="preserve">Alexis  Gallego </v>
      </c>
      <c r="E7" s="32">
        <v>46002</v>
      </c>
      <c r="F7" s="12" t="s">
        <v>49</v>
      </c>
      <c r="G7" s="12" t="str">
        <f t="shared" si="0"/>
        <v>4127359182-11/12/2025</v>
      </c>
    </row>
    <row r="8" spans="1:7" x14ac:dyDescent="0.25">
      <c r="E8" s="29"/>
      <c r="F8" s="29"/>
    </row>
    <row r="10" spans="1:7" x14ac:dyDescent="0.25">
      <c r="E10" t="s">
        <v>235</v>
      </c>
    </row>
    <row r="11" spans="1:7" x14ac:dyDescent="0.25">
      <c r="E11" s="41"/>
    </row>
  </sheetData>
  <hyperlinks>
    <hyperlink ref="A1" location="'Modelo de Dominio'!A1" display="&lt;&lt;&lt;&lt; Ir al modulo de dominio" xr:uid="{F755F618-0A40-4479-913F-8F6060E94F5B}"/>
    <hyperlink ref="B1" location="'Objetos de Dominio'!A1" display="&lt;&lt;&lt;&lt; Ir a objetos de dominio" xr:uid="{C5748D80-5E29-4CD8-BA51-198180E61202}"/>
    <hyperlink ref="C3" location="Cliente_D!A1" display="cliente" xr:uid="{F7C47FD3-2FEB-4E40-8CE8-9FEC66E905E0}"/>
    <hyperlink ref="C4" location="Cliente_D!A4" display="Cliente_D!A4" xr:uid="{7F6CACFC-57C0-447E-811A-802403EBA0AC}"/>
    <hyperlink ref="C5" location="Cliente_D!A5" display="Cliente_D!A5" xr:uid="{EE87A799-0DAD-412E-8BF4-24089411596B}"/>
    <hyperlink ref="C6" location="Cliente_D!A6" display="Cliente_D!A6" xr:uid="{D95F6EBA-51E7-42CB-9EFD-6676C5924513}"/>
    <hyperlink ref="C7" location="Cliente_D!A7" display="Cliente_D!A7" xr:uid="{9BA1680E-A8A5-4CE9-866D-EC3B5A4F5B91}"/>
    <hyperlink ref="D3" location="Cliente_D!A1" display="nombreCliente" xr:uid="{68430887-3CDA-4C9D-A9B6-DD494CC66E80}"/>
    <hyperlink ref="D4" location="Cliente_D!A4" display="Cliente_D!A4" xr:uid="{DC10FACA-52DE-4612-881C-57BC4CBD25A5}"/>
    <hyperlink ref="D5" location="Veto_D!A5" display="Veto_D!A5" xr:uid="{69A54058-DDEF-478F-92C9-1D0A036ECD17}"/>
    <hyperlink ref="D6" location="Veto_D!A6" display="Veto_D!A6" xr:uid="{3A9B5D93-9BFF-419B-8463-90BD464EE14C}"/>
    <hyperlink ref="D7" location="Veto_D!A7" display="Veto_D!A7" xr:uid="{DD180C3F-CB53-4CD4-BF38-5DA49CDF6A7A}"/>
    <hyperlink ref="B3" location="Cliente_D!A1" display="prefijoCelularCliente" xr:uid="{95163A37-51BA-42CF-9077-5A2663E258C4}"/>
    <hyperlink ref="B4" location="Cliente_D!A4" display="Cliente_D!A4" xr:uid="{F91463B6-23BA-47C1-BDE5-CE760AFC5378}"/>
    <hyperlink ref="B5" location="Cliente_D!A5" display="Cliente_D!A5" xr:uid="{63234F4D-EF9A-4729-8EBD-7241705C09B7}"/>
    <hyperlink ref="B6" location="Cliente_D!A6" display="Cliente_D!A6" xr:uid="{8618DC09-780E-4CC7-8513-BFB56E4EC06C}"/>
    <hyperlink ref="B7" location="Cliente_D!A7" display="Cliente_D!A7" xr:uid="{0B51C16B-0BF1-41D9-8A51-AF1E29A80563}"/>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4A074A-5C83-448D-978C-7C1005CE378E}">
  <dimension ref="A1:D7"/>
  <sheetViews>
    <sheetView zoomScale="130" zoomScaleNormal="130" workbookViewId="0">
      <selection activeCell="B14" sqref="B14"/>
    </sheetView>
  </sheetViews>
  <sheetFormatPr baseColWidth="10" defaultRowHeight="15" x14ac:dyDescent="0.25"/>
  <cols>
    <col min="1" max="1" width="29.140625" customWidth="1"/>
    <col min="2" max="2" width="30" customWidth="1"/>
    <col min="3" max="3" width="41.85546875" bestFit="1" customWidth="1"/>
    <col min="4" max="4" width="61.140625" bestFit="1" customWidth="1"/>
  </cols>
  <sheetData>
    <row r="1" spans="1:4" x14ac:dyDescent="0.25">
      <c r="A1" s="5" t="s">
        <v>32</v>
      </c>
      <c r="B1" s="5" t="s">
        <v>33</v>
      </c>
    </row>
    <row r="2" spans="1:4" ht="36.75" customHeight="1" x14ac:dyDescent="0.25">
      <c r="A2" s="17" t="s">
        <v>20</v>
      </c>
      <c r="B2" s="33" t="s">
        <v>61</v>
      </c>
      <c r="C2" s="30" t="s">
        <v>62</v>
      </c>
      <c r="D2" s="39" t="s">
        <v>96</v>
      </c>
    </row>
    <row r="3" spans="1:4" x14ac:dyDescent="0.25">
      <c r="A3" s="13" t="s">
        <v>31</v>
      </c>
      <c r="B3" s="31" t="s">
        <v>40</v>
      </c>
      <c r="C3" s="31" t="s">
        <v>41</v>
      </c>
      <c r="D3" s="34" t="s">
        <v>69</v>
      </c>
    </row>
    <row r="4" spans="1:4" x14ac:dyDescent="0.25">
      <c r="A4" s="12">
        <v>1</v>
      </c>
      <c r="B4" s="11" t="str">
        <f>_xlfn.CONCAT(Barbero_D!B4," ",Barbero_D!D4)</f>
        <v>Juan García</v>
      </c>
      <c r="C4" s="11" t="str">
        <f>Servicio_D!C4</f>
        <v>Motilada</v>
      </c>
      <c r="D4" s="12" t="str">
        <f>_xlfn.CONCAT(B4,"-",C4)</f>
        <v>Juan García-Motilada</v>
      </c>
    </row>
    <row r="5" spans="1:4" x14ac:dyDescent="0.25">
      <c r="A5" s="12">
        <v>2</v>
      </c>
      <c r="B5" s="11" t="str">
        <f>_xlfn.CONCAT(Barbero_D!B5," ",Barbero_D!D5)</f>
        <v>Juan Ortiz</v>
      </c>
      <c r="C5" s="11" t="str">
        <f>Servicio_D!C5</f>
        <v>Corte de barba</v>
      </c>
      <c r="D5" s="12" t="str">
        <f t="shared" ref="D5:D7" si="0">_xlfn.CONCAT(B5,"-",C5)</f>
        <v>Juan Ortiz-Corte de barba</v>
      </c>
    </row>
    <row r="6" spans="1:4" x14ac:dyDescent="0.25">
      <c r="A6" s="12">
        <v>3</v>
      </c>
      <c r="B6" s="11" t="str">
        <f>_xlfn.CONCAT(Barbero_D!B6," ",Barbero_D!D6)</f>
        <v>Carlos Arbeladez</v>
      </c>
      <c r="C6" s="11" t="str">
        <f>Servicio_D!C6</f>
        <v>Perfilada de barba</v>
      </c>
      <c r="D6" s="12" t="str">
        <f t="shared" si="0"/>
        <v>Carlos Arbeladez-Perfilada de barba</v>
      </c>
    </row>
    <row r="7" spans="1:4" x14ac:dyDescent="0.25">
      <c r="A7" s="12">
        <v>4</v>
      </c>
      <c r="B7" s="11" t="str">
        <f>_xlfn.CONCAT(Barbero_D!B7," ",Barbero_D!D7)</f>
        <v>Andres Ramirez</v>
      </c>
      <c r="C7" s="11" t="str">
        <f>Servicio_D!C7</f>
        <v>Arreglo completo de barba con toalla caliente</v>
      </c>
      <c r="D7" s="12" t="str">
        <f t="shared" si="0"/>
        <v>Andres Ramirez-Arreglo completo de barba con toalla caliente</v>
      </c>
    </row>
  </sheetData>
  <hyperlinks>
    <hyperlink ref="A1" location="'Modelo de Dominio'!A1" display="&lt;&lt;&lt;&lt; Ir al modulo de dominio" xr:uid="{FFA03467-D9E8-4922-8DD1-EB697146AC1B}"/>
    <hyperlink ref="B1" location="'Objetos de Dominio'!A1" display="&lt;&lt;&lt;&lt; Ir a objetos de dominio" xr:uid="{971E0EFC-60C0-48A1-B837-6AAF98E7514B}"/>
    <hyperlink ref="B3" location="Barbero_D!A1" display="barbero" xr:uid="{2B1F71D8-0AF1-4D91-BFA5-2A3B7EB9586C}"/>
    <hyperlink ref="B4" location="Barbero_D!A4" display="Barbero_D!A4" xr:uid="{90A93270-6BCA-45C6-9C51-0A233F33C1FE}"/>
    <hyperlink ref="B5" location="Barbero_D!A5" display="Barbero_D!A5" xr:uid="{9B9AF364-956C-4298-B942-23CF41E9C500}"/>
    <hyperlink ref="B6" location="Barbero_D!A6" display="Barbero_D!A6" xr:uid="{7CFAFC24-7106-416B-9DEA-F3CE7DB5FAF0}"/>
    <hyperlink ref="B7" location="Barbero_D!A7" display="Barbero_D!A7" xr:uid="{5A52E689-B50B-4B39-BCED-F285C67610A6}"/>
    <hyperlink ref="C3" location="Servicio_D!A1" display="servicio" xr:uid="{3B633903-C90E-4327-9B6F-B81E5AB13AC3}"/>
    <hyperlink ref="C4" location="Servicio_D!A4" display="Servicio_D!A4" xr:uid="{0ACF3FBE-22F7-4729-A945-C7090D251150}"/>
    <hyperlink ref="C5:C7" location="Servicio_D!A4" display="Servicio_D!A4" xr:uid="{A364E05C-8245-427B-B12C-5EB06B6F7E09}"/>
    <hyperlink ref="C5" location="Servicio_D!A5" display="Servicio_D!A5" xr:uid="{EDDED9CD-6F42-4E97-8ABD-42AD5859FB71}"/>
    <hyperlink ref="C6" location="Servicio_D!A6" display="Servicio_D!A6" xr:uid="{300EB704-D5DD-4403-88AD-48D12812E3C0}"/>
    <hyperlink ref="C7" location="Servicio_D!A7" display="Servicio_D!A7" xr:uid="{F311C539-AD0A-4F0D-A372-FDDEC6AB11F1}"/>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1A3C4-B96A-49A7-8353-9FD37D2F2B74}">
  <dimension ref="A1:H8"/>
  <sheetViews>
    <sheetView zoomScale="130" zoomScaleNormal="130" workbookViewId="0">
      <selection activeCell="C16" sqref="C16"/>
    </sheetView>
  </sheetViews>
  <sheetFormatPr baseColWidth="10" defaultRowHeight="15" x14ac:dyDescent="0.25"/>
  <cols>
    <col min="1" max="1" width="30" customWidth="1"/>
    <col min="2" max="6" width="42.28515625" customWidth="1"/>
    <col min="7" max="7" width="45.5703125" customWidth="1"/>
    <col min="8" max="8" width="52.7109375" bestFit="1" customWidth="1"/>
  </cols>
  <sheetData>
    <row r="1" spans="1:8" x14ac:dyDescent="0.25">
      <c r="A1" s="5" t="s">
        <v>32</v>
      </c>
      <c r="B1" s="5" t="s">
        <v>33</v>
      </c>
      <c r="C1" s="5"/>
      <c r="D1" s="5"/>
      <c r="E1" s="5"/>
      <c r="F1" s="5"/>
      <c r="G1" s="5"/>
    </row>
    <row r="2" spans="1:8" ht="46.5" x14ac:dyDescent="0.25">
      <c r="A2" s="17" t="s">
        <v>20</v>
      </c>
      <c r="B2" s="17" t="s">
        <v>118</v>
      </c>
      <c r="C2" s="17" t="s">
        <v>223</v>
      </c>
      <c r="D2" s="17"/>
      <c r="E2" s="17"/>
      <c r="F2" s="17" t="s">
        <v>224</v>
      </c>
      <c r="G2" s="17" t="s">
        <v>226</v>
      </c>
      <c r="H2" s="18" t="s">
        <v>83</v>
      </c>
    </row>
    <row r="3" spans="1:8" x14ac:dyDescent="0.25">
      <c r="A3" s="13" t="s">
        <v>31</v>
      </c>
      <c r="B3" s="31" t="s">
        <v>40</v>
      </c>
      <c r="C3" s="84" t="s">
        <v>74</v>
      </c>
      <c r="D3" s="31" t="s">
        <v>246</v>
      </c>
      <c r="E3" s="31" t="s">
        <v>247</v>
      </c>
      <c r="F3" s="95" t="s">
        <v>63</v>
      </c>
      <c r="G3" s="95" t="s">
        <v>187</v>
      </c>
      <c r="H3" s="28" t="s">
        <v>69</v>
      </c>
    </row>
    <row r="4" spans="1:8" x14ac:dyDescent="0.25">
      <c r="A4" s="12">
        <v>1</v>
      </c>
      <c r="B4" s="11" t="str">
        <f>_xlfn.CONCAT(Barbero_D!B4," ",Barbero_D!D4)</f>
        <v>Juan García</v>
      </c>
      <c r="C4" s="36" t="s">
        <v>77</v>
      </c>
      <c r="D4" s="96">
        <f>HorarioBarberia_D!D4</f>
        <v>0.375</v>
      </c>
      <c r="E4" s="96">
        <f>HorarioBarberia_D!E4</f>
        <v>0.79166666666666663</v>
      </c>
      <c r="F4" s="88">
        <v>0.41666666666666669</v>
      </c>
      <c r="G4" s="88">
        <v>0.66666666666666663</v>
      </c>
      <c r="H4" s="12" t="str">
        <f>_xlfn.CONCAT(B4,"-",C4,"-",TEXT(F4,"hh:mm"),"-",TEXT(G4,"hh:mm"))</f>
        <v>Juan García-Lunes-10:00-16:00</v>
      </c>
    </row>
    <row r="5" spans="1:8" x14ac:dyDescent="0.25">
      <c r="A5" s="12">
        <v>2</v>
      </c>
      <c r="B5" s="11" t="str">
        <f>_xlfn.CONCAT(Barbero_D!B5," ",Barbero_D!D5)</f>
        <v>Juan Ortiz</v>
      </c>
      <c r="C5" s="12" t="s">
        <v>78</v>
      </c>
      <c r="D5" s="96">
        <f>HorarioBarberia_D!D5</f>
        <v>0.375</v>
      </c>
      <c r="E5" s="96">
        <f>HorarioBarberia_D!E5</f>
        <v>0.79166666666666663</v>
      </c>
      <c r="F5" s="88">
        <v>0.375</v>
      </c>
      <c r="G5" s="88">
        <v>0.625</v>
      </c>
      <c r="H5" s="12" t="str">
        <f>_xlfn.CONCAT(B5,"-",C5,"-",TEXT(F5,"hh:mm"),"-",TEXT(G5,"hh:mm"))</f>
        <v>Juan Ortiz-Martes-09:00-15:00</v>
      </c>
    </row>
    <row r="6" spans="1:8" x14ac:dyDescent="0.25">
      <c r="A6" s="12">
        <v>3</v>
      </c>
      <c r="B6" s="11" t="str">
        <f>_xlfn.CONCAT(Barbero_D!B6," ",Barbero_D!D6)</f>
        <v>Carlos Arbeladez</v>
      </c>
      <c r="C6" s="12" t="s">
        <v>80</v>
      </c>
      <c r="D6" s="11"/>
      <c r="E6" s="11"/>
      <c r="F6" s="88">
        <v>0.54166666666666663</v>
      </c>
      <c r="G6" s="88">
        <v>0.79166666666666663</v>
      </c>
      <c r="H6" s="12" t="str">
        <f>_xlfn.CONCAT(B6,"-",C6,"-",TEXT(F6,"hh:mm"),"-",TEXT(G6,"hh:mm"))</f>
        <v>Carlos Arbeladez-Jueves-13:00-19:00</v>
      </c>
    </row>
    <row r="7" spans="1:8" x14ac:dyDescent="0.25">
      <c r="A7" s="12">
        <v>4</v>
      </c>
      <c r="B7" s="11" t="str">
        <f>_xlfn.CONCAT(Barbero_D!B7," ",Barbero_D!D7)</f>
        <v>Andres Ramirez</v>
      </c>
      <c r="C7" s="12" t="s">
        <v>82</v>
      </c>
      <c r="D7" s="11"/>
      <c r="E7" s="11"/>
      <c r="F7" s="88">
        <v>0.33333333333333331</v>
      </c>
      <c r="G7" s="88">
        <v>0.58333333333333337</v>
      </c>
      <c r="H7" s="12" t="str">
        <f>_xlfn.CONCAT(B7,"-",C7,"-",TEXT(F7,"hh:mm"),"-",TEXT(G7,"hh:mm"))</f>
        <v>Andres Ramirez-Sábado-08:00-14:00</v>
      </c>
    </row>
    <row r="8" spans="1:8" x14ac:dyDescent="0.25">
      <c r="A8" s="12">
        <v>5</v>
      </c>
      <c r="B8" s="11" t="str">
        <f>_xlfn.CONCAT(Barbero_D!B7," ",Barbero_D!D7)</f>
        <v>Andres Ramirez</v>
      </c>
      <c r="C8" s="12" t="s">
        <v>231</v>
      </c>
      <c r="D8" s="11"/>
      <c r="E8" s="11"/>
      <c r="F8" s="88">
        <v>0.5</v>
      </c>
      <c r="G8" s="88">
        <v>0.625</v>
      </c>
      <c r="H8" s="12" t="str">
        <f>_xlfn.CONCAT(B8,"-",C8,"-",TEXT(F8,"hh:mm"),"-",TEXT(G8,"hh:mm"))</f>
        <v>Andres Ramirez-Festivo-12:00-15:00</v>
      </c>
    </row>
  </sheetData>
  <hyperlinks>
    <hyperlink ref="A1" location="'Modelo de Dominio'!A1" display="&lt;&lt;&lt;&lt; Ir al modulo de dominio" xr:uid="{191A55C7-DA59-4C30-B63B-B024057DDC68}"/>
    <hyperlink ref="B1" location="'Objetos de Dominio'!A1" display="&lt;&lt;&lt;&lt; Ir a objetos de dominio" xr:uid="{E53BAB0A-E3EB-4977-AC9C-BE8955CDE77C}"/>
    <hyperlink ref="B3" location="Barbero_D!A1" display="barbero" xr:uid="{8AB66071-F172-4034-9805-A5EF83FBCC22}"/>
    <hyperlink ref="B4" location="Barbero_D!A4" display="Barbero_D!A4" xr:uid="{176DDD43-C9FD-44BE-A602-B883D3DF046C}"/>
    <hyperlink ref="B5:B7" location="Barbero_D!A4" display="Barbero_D!A4" xr:uid="{D4DBD4BD-CFE4-4DF9-A88D-520026FCCCF2}"/>
    <hyperlink ref="B5" location="Barbero_D!A5" display="Barbero_D!A5" xr:uid="{095BCBC5-A9C0-42E2-AF18-87E3049FBEDA}"/>
    <hyperlink ref="B6" location="Barbero_D!A6" display="Barbero_D!A6" xr:uid="{EA02F355-6C5D-4955-BCCD-7B0C9569DCED}"/>
    <hyperlink ref="B7" location="Barbero_D!A7" display="Barbero_D!A7" xr:uid="{979F9DA9-740D-4B06-AD22-BE8F66BD100A}"/>
    <hyperlink ref="B8" location="Barbero_D!A7" display="Barbero_D!A7" xr:uid="{5A220669-7753-4BEA-B5E1-3132F586A541}"/>
    <hyperlink ref="D3" location="HorarioBarberia_D!A1" display="horaAperturaBarberia" xr:uid="{2777B03F-8B4F-4798-A955-82C47EDEA18C}"/>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AE141B-6E6C-47BF-9B70-297A81AC9A72}">
  <dimension ref="A1:G7"/>
  <sheetViews>
    <sheetView zoomScale="145" zoomScaleNormal="145" workbookViewId="0">
      <selection activeCell="G7" sqref="A1:G7"/>
    </sheetView>
  </sheetViews>
  <sheetFormatPr baseColWidth="10" defaultRowHeight="15" x14ac:dyDescent="0.25"/>
  <cols>
    <col min="1" max="1" width="26.85546875" customWidth="1"/>
    <col min="2" max="2" width="32.5703125" customWidth="1"/>
    <col min="3" max="3" width="34.5703125" customWidth="1"/>
    <col min="4" max="4" width="32.5703125" customWidth="1"/>
    <col min="5" max="5" width="21.85546875" bestFit="1" customWidth="1"/>
    <col min="6" max="6" width="20.140625" customWidth="1"/>
    <col min="7" max="7" width="64.5703125" bestFit="1" customWidth="1"/>
  </cols>
  <sheetData>
    <row r="1" spans="1:7" x14ac:dyDescent="0.25">
      <c r="A1" s="5" t="s">
        <v>32</v>
      </c>
      <c r="B1" s="5" t="s">
        <v>33</v>
      </c>
      <c r="C1" s="5"/>
      <c r="D1" s="5"/>
    </row>
    <row r="2" spans="1:7" ht="46.5" x14ac:dyDescent="0.25">
      <c r="A2" s="17" t="s">
        <v>20</v>
      </c>
      <c r="B2" s="18" t="s">
        <v>186</v>
      </c>
      <c r="C2" s="30" t="s">
        <v>217</v>
      </c>
      <c r="D2" s="30" t="s">
        <v>218</v>
      </c>
      <c r="E2" s="18" t="s">
        <v>205</v>
      </c>
      <c r="F2" s="18" t="s">
        <v>219</v>
      </c>
      <c r="G2" s="18" t="s">
        <v>188</v>
      </c>
    </row>
    <row r="3" spans="1:7" x14ac:dyDescent="0.25">
      <c r="A3" s="13" t="s">
        <v>31</v>
      </c>
      <c r="B3" s="31" t="s">
        <v>60</v>
      </c>
      <c r="C3" s="85" t="s">
        <v>215</v>
      </c>
      <c r="D3" s="85" t="s">
        <v>216</v>
      </c>
      <c r="E3" s="84" t="s">
        <v>21</v>
      </c>
      <c r="F3" s="40" t="s">
        <v>37</v>
      </c>
      <c r="G3" s="28" t="s">
        <v>69</v>
      </c>
    </row>
    <row r="4" spans="1:7" x14ac:dyDescent="0.25">
      <c r="A4" s="12">
        <v>1</v>
      </c>
      <c r="B4" s="11" t="str">
        <f>Agenda_D!H4</f>
        <v>Juan García-Lunes-10:00-16:00</v>
      </c>
      <c r="C4" s="86">
        <v>46047.458333333336</v>
      </c>
      <c r="D4" s="86">
        <v>46047.541666666664</v>
      </c>
      <c r="E4" s="79" t="s">
        <v>194</v>
      </c>
      <c r="F4" s="12">
        <v>120</v>
      </c>
      <c r="G4" s="12" t="str">
        <f>_xlfn.CONCAT(B4,"-",TEXT(C4,"dd/mm/yyyy hh:mm"),"-",TEXT(D4,"dd/mm/yyyy hh:mm"))</f>
        <v>Juan García-Lunes-10:00-16:00-25/01/2026 11:00-25/01/2026 13:00</v>
      </c>
    </row>
    <row r="5" spans="1:7" x14ac:dyDescent="0.25">
      <c r="A5" s="12">
        <v>2</v>
      </c>
      <c r="B5" s="11" t="str">
        <f>Agenda_D!H5</f>
        <v>Juan Ortiz-Martes-09:00-15:00</v>
      </c>
      <c r="C5" s="86">
        <v>45362.5</v>
      </c>
      <c r="D5" s="86">
        <v>45362.645833333336</v>
      </c>
      <c r="E5" s="80" t="s">
        <v>195</v>
      </c>
      <c r="F5" s="12">
        <v>210</v>
      </c>
      <c r="G5" s="12" t="str">
        <f t="shared" ref="G5:G7" si="0">_xlfn.CONCAT(B5,"-",TEXT(C5,"dd/mm/yyyy hh:mm"),"-",TEXT(D5,"dd/mm/yyyy hh:mm"))</f>
        <v>Juan Ortiz-Martes-09:00-15:00-11/03/2024 12:00-11/03/2024 15:30</v>
      </c>
    </row>
    <row r="6" spans="1:7" x14ac:dyDescent="0.25">
      <c r="A6" s="12">
        <v>3</v>
      </c>
      <c r="B6" s="11" t="str">
        <f>Agenda_D!H6</f>
        <v>Carlos Arbeladez-Jueves-13:00-19:00</v>
      </c>
      <c r="C6" s="86">
        <v>46013.541666666664</v>
      </c>
      <c r="D6" s="86">
        <v>46013.583333333336</v>
      </c>
      <c r="E6" s="80" t="s">
        <v>196</v>
      </c>
      <c r="F6" s="12">
        <v>60</v>
      </c>
      <c r="G6" s="12" t="str">
        <f t="shared" si="0"/>
        <v>Carlos Arbeladez-Jueves-13:00-19:00-22/12/2025 13:00-22/12/2025 14:00</v>
      </c>
    </row>
    <row r="7" spans="1:7" x14ac:dyDescent="0.25">
      <c r="A7" s="12">
        <v>4</v>
      </c>
      <c r="B7" s="78" t="str">
        <f>Agenda_D!H7</f>
        <v>Andres Ramirez-Sábado-08:00-14:00</v>
      </c>
      <c r="C7" s="87">
        <v>46241.375</v>
      </c>
      <c r="D7" s="87">
        <v>46241.5</v>
      </c>
      <c r="E7" s="80" t="s">
        <v>197</v>
      </c>
      <c r="F7" s="12">
        <v>180</v>
      </c>
      <c r="G7" s="12" t="str">
        <f t="shared" si="0"/>
        <v>Andres Ramirez-Sábado-08:00-14:00-07/08/2026 09:00-07/08/2026 12:00</v>
      </c>
    </row>
  </sheetData>
  <hyperlinks>
    <hyperlink ref="A1" location="'Modelo de Dominio'!A1" display="&lt;&lt;&lt;&lt; Ir al modulo de dominio" xr:uid="{B428C070-F6EA-4693-9030-AA54AF833423}"/>
    <hyperlink ref="B1" location="'Objetos de Dominio'!A1" display="&lt;&lt;&lt;&lt; Ir a objetos de dominio" xr:uid="{907D0986-51A3-4C83-A3D9-42BF086C4E3E}"/>
    <hyperlink ref="B3" location="Agenda_D!A1" display="agenda" xr:uid="{ADF6E864-3D66-491F-9B59-46E28FAAD6DA}"/>
    <hyperlink ref="B4" location="Agenda_D!A4" display="Agenda_D!A4" xr:uid="{780EF3D8-7585-4C31-B2AA-FC1B8C5006F7}"/>
    <hyperlink ref="B5" location="Agenda_D!A5" display="Agenda_D!A5" xr:uid="{78210E4E-E975-4398-935F-2D4F77890E65}"/>
    <hyperlink ref="B6" location="Agenda_D!A6" display="Agenda_D!A6" xr:uid="{1994F7F3-CFB6-4C90-85C0-8ADD22510C50}"/>
    <hyperlink ref="B7" location="Agenda_D!A7" display="Agenda_D!A7" xr:uid="{D0080FB0-93CA-45FC-86C9-19C5C8A97148}"/>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38530B-FD95-4EEF-8F76-78E045637369}">
  <dimension ref="A1:G12"/>
  <sheetViews>
    <sheetView zoomScale="175" zoomScaleNormal="175" workbookViewId="0">
      <selection activeCell="A9" sqref="A9"/>
    </sheetView>
  </sheetViews>
  <sheetFormatPr baseColWidth="10" defaultRowHeight="15" x14ac:dyDescent="0.25"/>
  <cols>
    <col min="1" max="1" width="26.85546875" customWidth="1"/>
    <col min="2" max="2" width="32.5703125" customWidth="1"/>
    <col min="3" max="3" width="32.7109375" bestFit="1" customWidth="1"/>
    <col min="4" max="4" width="31.140625" bestFit="1" customWidth="1"/>
    <col min="5" max="5" width="26.7109375" customWidth="1"/>
    <col min="6" max="6" width="29.140625" customWidth="1"/>
    <col min="7" max="7" width="38.85546875" bestFit="1" customWidth="1"/>
  </cols>
  <sheetData>
    <row r="1" spans="1:7" x14ac:dyDescent="0.25">
      <c r="A1" s="5" t="s">
        <v>32</v>
      </c>
      <c r="B1" s="5" t="s">
        <v>33</v>
      </c>
    </row>
    <row r="2" spans="1:7" ht="40.5" customHeight="1" x14ac:dyDescent="0.25">
      <c r="A2" s="17" t="s">
        <v>20</v>
      </c>
      <c r="B2" s="18" t="s">
        <v>189</v>
      </c>
      <c r="C2" s="18" t="s">
        <v>228</v>
      </c>
      <c r="D2" s="18" t="s">
        <v>227</v>
      </c>
      <c r="E2" s="18" t="s">
        <v>211</v>
      </c>
      <c r="F2" s="30" t="s">
        <v>212</v>
      </c>
      <c r="G2" s="18" t="s">
        <v>198</v>
      </c>
    </row>
    <row r="3" spans="1:7" x14ac:dyDescent="0.25">
      <c r="A3" s="13" t="s">
        <v>31</v>
      </c>
      <c r="B3" s="31" t="s">
        <v>60</v>
      </c>
      <c r="C3" s="74" t="s">
        <v>63</v>
      </c>
      <c r="D3" s="74" t="s">
        <v>187</v>
      </c>
      <c r="E3" s="71" t="s">
        <v>21</v>
      </c>
      <c r="F3" s="81" t="s">
        <v>37</v>
      </c>
      <c r="G3" s="28" t="s">
        <v>69</v>
      </c>
    </row>
    <row r="4" spans="1:7" x14ac:dyDescent="0.25">
      <c r="A4" s="12">
        <v>1</v>
      </c>
      <c r="B4" s="11" t="str">
        <f>Agenda_D!H4</f>
        <v>Juan García-Lunes-10:00-16:00</v>
      </c>
      <c r="C4" s="88">
        <v>0.5</v>
      </c>
      <c r="D4" s="88">
        <v>0.58333333333333337</v>
      </c>
      <c r="E4" s="36" t="s">
        <v>190</v>
      </c>
      <c r="F4" s="82">
        <v>120</v>
      </c>
      <c r="G4" s="12" t="str">
        <f>_xlfn.CONCAT(B4,"-",TEXT(C4,"hh;mm"),"-",TEXT(D4,"hh;mm"))</f>
        <v>Juan García-Lunes-10:00-16:00-12-14</v>
      </c>
    </row>
    <row r="5" spans="1:7" x14ac:dyDescent="0.25">
      <c r="A5" s="12">
        <v>2</v>
      </c>
      <c r="B5" s="11" t="str">
        <f>Agenda_D!H7</f>
        <v>Andres Ramirez-Sábado-08:00-14:00</v>
      </c>
      <c r="C5" s="88">
        <v>0.52083333333333337</v>
      </c>
      <c r="D5" s="97">
        <v>0.54166666666666663</v>
      </c>
      <c r="E5" s="24" t="s">
        <v>193</v>
      </c>
      <c r="F5" s="12">
        <v>120</v>
      </c>
      <c r="G5" s="12" t="str">
        <f t="shared" ref="G5:G7" si="0">_xlfn.CONCAT(B5,"-",TEXT(C5,"hh;mm"),"-",TEXT(D5,"hh;mm"))</f>
        <v>Andres Ramirez-Sábado-08:00-14:00-12-13</v>
      </c>
    </row>
    <row r="6" spans="1:7" x14ac:dyDescent="0.25">
      <c r="A6" s="12">
        <v>3</v>
      </c>
      <c r="B6" s="11" t="str">
        <f>Agenda_D!H8</f>
        <v>Andres Ramirez-Festivo-12:00-15:00</v>
      </c>
      <c r="C6" s="88">
        <v>0.58333333333333337</v>
      </c>
      <c r="D6" s="88">
        <v>0.60416666666666663</v>
      </c>
      <c r="E6" s="12" t="s">
        <v>192</v>
      </c>
      <c r="F6" s="12">
        <v>60</v>
      </c>
      <c r="G6" s="12" t="str">
        <f t="shared" si="0"/>
        <v>Andres Ramirez-Festivo-12:00-15:00-14-14</v>
      </c>
    </row>
    <row r="7" spans="1:7" x14ac:dyDescent="0.25">
      <c r="A7" s="12">
        <v>4</v>
      </c>
      <c r="B7" s="11" t="str">
        <f>Agenda_D!H5</f>
        <v>Juan Ortiz-Martes-09:00-15:00</v>
      </c>
      <c r="C7" s="88">
        <v>0.47916666666666669</v>
      </c>
      <c r="D7" s="88">
        <v>0.54166666666666663</v>
      </c>
      <c r="E7" s="12" t="s">
        <v>191</v>
      </c>
      <c r="F7" s="12">
        <v>90</v>
      </c>
      <c r="G7" s="12" t="str">
        <f t="shared" si="0"/>
        <v>Juan Ortiz-Martes-09:00-15:00-11-13</v>
      </c>
    </row>
    <row r="9" spans="1:7" x14ac:dyDescent="0.25">
      <c r="C9" s="94"/>
      <c r="D9" s="94"/>
    </row>
    <row r="10" spans="1:7" x14ac:dyDescent="0.25">
      <c r="C10" s="94"/>
      <c r="D10" s="98"/>
    </row>
    <row r="11" spans="1:7" x14ac:dyDescent="0.25">
      <c r="C11" s="94"/>
      <c r="D11" s="94"/>
    </row>
    <row r="12" spans="1:7" x14ac:dyDescent="0.25">
      <c r="C12" s="94"/>
      <c r="D12" s="94"/>
    </row>
  </sheetData>
  <hyperlinks>
    <hyperlink ref="A1" location="'Modelo de Dominio'!A1" display="&lt;&lt;&lt;&lt; Ir al modulo de dominio" xr:uid="{28D494EF-6E9C-4926-913D-1C222BAE912F}"/>
    <hyperlink ref="B1" location="'Objetos de Dominio'!A1" display="&lt;&lt;&lt;&lt; Ir a objetos de dominio" xr:uid="{E603E2D9-858F-4FFA-8815-5567364FE382}"/>
    <hyperlink ref="B3" location="Agenda_D!A1" display="agenda" xr:uid="{E895F830-FA04-42C5-BF65-9170EC8A6C40}"/>
    <hyperlink ref="B4" location="HorarioBarbero_D!A4" display="HorarioBarbero_D!A4" xr:uid="{8EE0E36C-8BF0-4BBA-8EAF-59B76141C41B}"/>
    <hyperlink ref="B5" location="HorarioBarbero_D!A5" display="HorarioBarbero_D!A5" xr:uid="{B5E52511-94A7-4409-8D8A-54A2A651A3ED}"/>
    <hyperlink ref="B6" location="HorarioBarbero_D!A6" display="HorarioBarbero_D!A6" xr:uid="{70BE22C1-3690-4C31-BFB5-A4A0D08A8829}"/>
    <hyperlink ref="B7" location="HorarioBarbero_D!A7" display="HorarioBarbero_D!A7" xr:uid="{8717ACB0-7EC3-4D5F-95F4-D0AF5B38DBFA}"/>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29879F-6697-4F1F-AF5D-52C4860B7B3E}">
  <dimension ref="A1:H15"/>
  <sheetViews>
    <sheetView topLeftCell="F1" zoomScale="145" zoomScaleNormal="145" workbookViewId="0">
      <selection activeCell="G8" sqref="A1:G8"/>
    </sheetView>
  </sheetViews>
  <sheetFormatPr baseColWidth="10" defaultRowHeight="15" x14ac:dyDescent="0.25"/>
  <cols>
    <col min="1" max="1" width="28" customWidth="1"/>
    <col min="2" max="2" width="26.5703125" customWidth="1"/>
    <col min="3" max="3" width="30.42578125" customWidth="1"/>
    <col min="4" max="4" width="27.5703125" customWidth="1"/>
    <col min="5" max="5" width="36.5703125" customWidth="1"/>
    <col min="6" max="6" width="60.28515625" bestFit="1" customWidth="1"/>
    <col min="7" max="7" width="49.28515625" bestFit="1" customWidth="1"/>
    <col min="8" max="8" width="22" customWidth="1"/>
  </cols>
  <sheetData>
    <row r="1" spans="1:8" x14ac:dyDescent="0.25">
      <c r="A1" s="5" t="s">
        <v>32</v>
      </c>
      <c r="B1" s="5" t="s">
        <v>33</v>
      </c>
    </row>
    <row r="2" spans="1:8" ht="44.25" customHeight="1" x14ac:dyDescent="0.25">
      <c r="A2" s="17" t="s">
        <v>20</v>
      </c>
      <c r="B2" s="17" t="s">
        <v>64</v>
      </c>
      <c r="C2" s="30" t="s">
        <v>131</v>
      </c>
      <c r="D2" s="30" t="s">
        <v>182</v>
      </c>
      <c r="E2" s="30" t="s">
        <v>233</v>
      </c>
      <c r="F2" s="30" t="s">
        <v>213</v>
      </c>
      <c r="G2" s="30" t="s">
        <v>126</v>
      </c>
    </row>
    <row r="3" spans="1:8" x14ac:dyDescent="0.25">
      <c r="A3" s="13" t="s">
        <v>31</v>
      </c>
      <c r="B3" s="31" t="s">
        <v>44</v>
      </c>
      <c r="C3" s="31" t="s">
        <v>60</v>
      </c>
      <c r="D3" s="77" t="s">
        <v>125</v>
      </c>
      <c r="E3" s="40" t="s">
        <v>232</v>
      </c>
      <c r="F3" s="54" t="s">
        <v>26</v>
      </c>
      <c r="G3" s="28" t="s">
        <v>69</v>
      </c>
    </row>
    <row r="4" spans="1:8" x14ac:dyDescent="0.25">
      <c r="A4" s="12">
        <v>1</v>
      </c>
      <c r="B4" s="11" t="str">
        <f>_xlfn.CONCAT(Cliente_D!B4," ",Cliente_D!C4," ", Cliente_D!D4," ",Cliente_D!E4)</f>
        <v xml:space="preserve">Juan  Gómez </v>
      </c>
      <c r="C4" s="11" t="str">
        <f>Agenda_D!H4</f>
        <v>Juan García-Lunes-10:00-16:00</v>
      </c>
      <c r="D4" s="48">
        <v>46295.416666666664</v>
      </c>
      <c r="E4" s="48">
        <v>46295.447916666664</v>
      </c>
      <c r="F4" s="12" t="s">
        <v>65</v>
      </c>
      <c r="G4" s="12" t="str">
        <f>_xlfn.CONCAT(C4,"-",TEXT(D4,"dd/mm/yyyy/hh:mm"))</f>
        <v>Juan García-Lunes-10:00-16:00-30/09/2026/10:00</v>
      </c>
    </row>
    <row r="5" spans="1:8" x14ac:dyDescent="0.25">
      <c r="A5" s="12">
        <v>2</v>
      </c>
      <c r="B5" s="11" t="str">
        <f>_xlfn.CONCAT(Cliente_D!B5," ",Cliente_D!C5," ", Cliente_D!D5," ",Cliente_D!E5)</f>
        <v>Jose Miguel Ramirez Perez</v>
      </c>
      <c r="C5" s="11" t="str">
        <f>Agenda_D!H5</f>
        <v>Juan Ortiz-Martes-09:00-15:00</v>
      </c>
      <c r="D5" s="48">
        <v>45983.458333333336</v>
      </c>
      <c r="E5" s="48">
        <v>45983.489583333336</v>
      </c>
      <c r="F5" s="12" t="s">
        <v>84</v>
      </c>
      <c r="G5" s="12" t="str">
        <f t="shared" ref="G5:G8" si="0">_xlfn.CONCAT(C5,"-",TEXT(D5,"dd/mm/yyyy/hh:mm"))</f>
        <v>Juan Ortiz-Martes-09:00-15:00-22/11/2025/11:00</v>
      </c>
    </row>
    <row r="6" spans="1:8" x14ac:dyDescent="0.25">
      <c r="A6" s="12">
        <v>3</v>
      </c>
      <c r="B6" s="11" t="str">
        <f>_xlfn.CONCAT(Cliente_D!B6," ",Cliente_D!C6," ", Cliente_D!D6," ",Cliente_D!E6)</f>
        <v>Simon  Ochoa Ramirez</v>
      </c>
      <c r="C6" s="11" t="str">
        <f>Agenda_D!H6</f>
        <v>Carlos Arbeladez-Jueves-13:00-19:00</v>
      </c>
      <c r="D6" s="48">
        <v>45514.583333333336</v>
      </c>
      <c r="E6" s="48">
        <v>45514.59375</v>
      </c>
      <c r="F6" s="12" t="s">
        <v>127</v>
      </c>
      <c r="G6" s="12" t="str">
        <f t="shared" si="0"/>
        <v>Carlos Arbeladez-Jueves-13:00-19:00-10/08/2024/14:00</v>
      </c>
    </row>
    <row r="7" spans="1:8" x14ac:dyDescent="0.25">
      <c r="A7" s="12">
        <v>4</v>
      </c>
      <c r="B7" s="11" t="str">
        <f>_xlfn.CONCAT(Cliente_D!B7," ",Cliente_D!C7," ", Cliente_D!D7," ",Cliente_D!E7)</f>
        <v xml:space="preserve">Alexis  Gallego </v>
      </c>
      <c r="C7" s="11" t="str">
        <f>Agenda_D!H7</f>
        <v>Andres Ramirez-Sábado-08:00-14:00</v>
      </c>
      <c r="D7" s="48">
        <v>46289.541666666664</v>
      </c>
      <c r="E7" s="48">
        <v>46289.5625</v>
      </c>
      <c r="F7" s="12" t="s">
        <v>85</v>
      </c>
      <c r="G7" s="12" t="str">
        <f t="shared" si="0"/>
        <v>Andres Ramirez-Sábado-08:00-14:00-24/09/2026/13:00</v>
      </c>
    </row>
    <row r="8" spans="1:8" x14ac:dyDescent="0.25">
      <c r="A8" s="12">
        <v>5</v>
      </c>
      <c r="B8" s="11" t="str">
        <f>_xlfn.CONCAT(Cliente_D!B7," ",Cliente_D!C7," ", Cliente_D!D7," ",Cliente_D!E7)</f>
        <v xml:space="preserve">Alexis  Gallego </v>
      </c>
      <c r="C8" s="11" t="str">
        <f>Agenda_D!H6</f>
        <v>Carlos Arbeladez-Jueves-13:00-19:00</v>
      </c>
      <c r="D8" s="48">
        <v>46240.75</v>
      </c>
      <c r="E8" s="48">
        <v>46240.756944444445</v>
      </c>
      <c r="F8" s="12" t="s">
        <v>86</v>
      </c>
      <c r="G8" s="12" t="str">
        <f t="shared" si="0"/>
        <v>Carlos Arbeladez-Jueves-13:00-19:00-06/08/2026/18:00</v>
      </c>
      <c r="H8" s="45"/>
    </row>
    <row r="10" spans="1:8" x14ac:dyDescent="0.25">
      <c r="E10" s="92"/>
      <c r="H10" s="47"/>
    </row>
    <row r="11" spans="1:8" x14ac:dyDescent="0.25">
      <c r="E11" s="92"/>
      <c r="F11" s="10"/>
    </row>
    <row r="12" spans="1:8" x14ac:dyDescent="0.25">
      <c r="D12" s="49"/>
      <c r="E12" s="92"/>
    </row>
    <row r="13" spans="1:8" x14ac:dyDescent="0.25">
      <c r="D13" s="49"/>
      <c r="E13" s="92"/>
    </row>
    <row r="14" spans="1:8" x14ac:dyDescent="0.25">
      <c r="D14" s="49"/>
      <c r="E14" s="92"/>
    </row>
    <row r="15" spans="1:8" x14ac:dyDescent="0.25">
      <c r="D15" s="49"/>
    </row>
  </sheetData>
  <hyperlinks>
    <hyperlink ref="A1" location="'Modelo de Dominio'!A1" display="&lt;&lt;&lt;&lt; Ir al modulo de dominio" xr:uid="{B207C97C-275D-464D-907D-12CA92F31351}"/>
    <hyperlink ref="B1" location="'Objetos de Dominio'!A1" display="&lt;&lt;&lt;&lt; Ir a objetos de dominio" xr:uid="{A9A9D2FC-8663-43BF-ACCB-9C70C189E293}"/>
    <hyperlink ref="B3" location="Cliente_D!A1" display="cliente" xr:uid="{06CEF340-54E4-4B28-B31C-ABF377C5D505}"/>
    <hyperlink ref="B4" location="Cliente_D!A4" display="Cliente_D!A4" xr:uid="{2D6C3DE1-D9AA-441D-BD33-C130F6514BD7}"/>
    <hyperlink ref="B5:B7" location="Cliente_D!A4" display="Cliente_D!A4" xr:uid="{6F1163D6-DDFB-4008-9A38-BB6A2A795269}"/>
    <hyperlink ref="B5" location="Cliente_D!A5" display="Cliente_D!A5" xr:uid="{B8BD4E6D-1663-4D3D-A889-64D68A3A2A58}"/>
    <hyperlink ref="B6" location="Cliente_D!A6" display="Cliente_D!A6" xr:uid="{02BF914F-1130-4B28-AF19-0EE4E8BC2456}"/>
    <hyperlink ref="B7" location="Cliente_D!A7" display="Cliente_D!A7" xr:uid="{280602B1-AD7B-40F9-BC4D-6BE99B538582}"/>
    <hyperlink ref="B8" location="Cliente_D!A7" display="Cliente_D!A7" xr:uid="{6F7F8AF3-8E6D-4437-BBCD-93B99146262C}"/>
    <hyperlink ref="C3" location="Agenda_D!A1" display="agenda" xr:uid="{60744912-F7D2-4529-A199-58D08DC9D936}"/>
    <hyperlink ref="C4" location="Agenda_D!A4" display="Agenda_D!A4" xr:uid="{73B1783E-C87F-4875-A3AB-4B093DF06CAD}"/>
    <hyperlink ref="C5:C7" location="Agenda_D!A4" display="Agenda_D!A4" xr:uid="{373C7337-4CE5-4724-898C-CE3C5F8B88DE}"/>
    <hyperlink ref="C5" location="Agenda_D!A5" display="Agenda_D!A5" xr:uid="{2ADE8D46-19A8-4C2B-B93D-1A18A42B1A35}"/>
    <hyperlink ref="C6" location="Agenda_D!A6" display="Agenda_D!A6" xr:uid="{E39E814B-9CEA-41B3-BCB7-2A1A5D74E096}"/>
    <hyperlink ref="C7" location="Agenda_D!A7" display="Agenda_D!A7" xr:uid="{D8FF0774-9504-41FE-A66F-DFB70F6325C9}"/>
    <hyperlink ref="C8" location="Agenda_D!A6" display="Agenda_D!A6" xr:uid="{2783384A-2FE4-4E4A-8BF8-EC161634EA19}"/>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573FB-AAA2-4254-B83C-7C7505540365}">
  <dimension ref="A1:G7"/>
  <sheetViews>
    <sheetView tabSelected="1" topLeftCell="C1" zoomScale="130" zoomScaleNormal="130" workbookViewId="0">
      <selection activeCell="B28" sqref="B28"/>
    </sheetView>
  </sheetViews>
  <sheetFormatPr baseColWidth="10" defaultRowHeight="15" x14ac:dyDescent="0.25"/>
  <cols>
    <col min="1" max="1" width="26.7109375" customWidth="1"/>
    <col min="2" max="2" width="38.5703125" customWidth="1"/>
    <col min="3" max="3" width="49.7109375" bestFit="1" customWidth="1"/>
    <col min="4" max="5" width="39.7109375" customWidth="1"/>
    <col min="6" max="6" width="34.28515625" bestFit="1" customWidth="1"/>
    <col min="7" max="7" width="49.7109375" bestFit="1" customWidth="1"/>
  </cols>
  <sheetData>
    <row r="1" spans="1:7" x14ac:dyDescent="0.25">
      <c r="A1" s="5" t="s">
        <v>32</v>
      </c>
      <c r="B1" s="5" t="s">
        <v>33</v>
      </c>
    </row>
    <row r="2" spans="1:7" ht="31.5" customHeight="1" x14ac:dyDescent="0.25">
      <c r="A2" s="17" t="s">
        <v>20</v>
      </c>
      <c r="B2" s="17" t="s">
        <v>88</v>
      </c>
      <c r="C2" s="30" t="s">
        <v>89</v>
      </c>
      <c r="D2" s="30" t="s">
        <v>214</v>
      </c>
      <c r="E2" s="30" t="s">
        <v>133</v>
      </c>
      <c r="F2" s="30" t="s">
        <v>90</v>
      </c>
      <c r="G2" s="30" t="s">
        <v>91</v>
      </c>
    </row>
    <row r="3" spans="1:7" x14ac:dyDescent="0.25">
      <c r="A3" s="13" t="s">
        <v>31</v>
      </c>
      <c r="B3" s="31" t="s">
        <v>44</v>
      </c>
      <c r="C3" s="31" t="s">
        <v>87</v>
      </c>
      <c r="D3" s="40" t="s">
        <v>27</v>
      </c>
      <c r="E3" s="53" t="s">
        <v>132</v>
      </c>
      <c r="F3" s="40" t="s">
        <v>28</v>
      </c>
      <c r="G3" s="28" t="s">
        <v>69</v>
      </c>
    </row>
    <row r="4" spans="1:7" x14ac:dyDescent="0.25">
      <c r="A4" s="12">
        <v>1</v>
      </c>
      <c r="B4" s="11" t="str">
        <f>Cliente_D!H6</f>
        <v>Simon--Ochoa-Ramirez-+57-3119884321</v>
      </c>
      <c r="C4" s="11" t="str">
        <f>Cita_D!G6</f>
        <v>Carlos Arbeladez-Jueves-13:00-19:00-10/08/2024/14:00</v>
      </c>
      <c r="D4" s="12">
        <f>Regla_D!C4</f>
        <v>10000</v>
      </c>
      <c r="E4" s="12" t="s">
        <v>127</v>
      </c>
      <c r="F4" s="12" t="s">
        <v>49</v>
      </c>
      <c r="G4" s="12" t="str">
        <f>C4</f>
        <v>Carlos Arbeladez-Jueves-13:00-19:00-10/08/2024/14:00</v>
      </c>
    </row>
    <row r="5" spans="1:7" x14ac:dyDescent="0.25">
      <c r="A5" s="12">
        <v>2</v>
      </c>
      <c r="B5" s="11" t="str">
        <f>Cliente_D!H7</f>
        <v>Alexis--Gallego--+58-4127359182</v>
      </c>
      <c r="C5" s="11" t="str">
        <f>Cita_D!G7</f>
        <v>Andres Ramirez-Sábado-08:00-14:00-24/09/2026/13:00</v>
      </c>
      <c r="D5" s="12">
        <f>CitaServicio_D!D8</f>
        <v>35000</v>
      </c>
      <c r="E5" s="12" t="s">
        <v>85</v>
      </c>
      <c r="F5" s="12" t="s">
        <v>50</v>
      </c>
      <c r="G5" s="12" t="str">
        <f>C5</f>
        <v>Andres Ramirez-Sábado-08:00-14:00-24/09/2026/13:00</v>
      </c>
    </row>
    <row r="6" spans="1:7" x14ac:dyDescent="0.25">
      <c r="A6" s="10"/>
      <c r="B6" s="10"/>
      <c r="C6" s="10"/>
      <c r="D6" s="10"/>
      <c r="E6" s="10"/>
      <c r="F6" s="10"/>
      <c r="G6" s="10"/>
    </row>
    <row r="7" spans="1:7" x14ac:dyDescent="0.25">
      <c r="A7" s="10"/>
      <c r="B7" s="10"/>
      <c r="C7" s="10"/>
      <c r="D7" s="10"/>
      <c r="E7" s="10"/>
      <c r="F7" s="10"/>
      <c r="G7" s="10"/>
    </row>
  </sheetData>
  <hyperlinks>
    <hyperlink ref="A1" location="'Modelo de Dominio'!A1" display="&lt;&lt;&lt;&lt; Ir al modulo de dominio" xr:uid="{9F0C7EDD-9274-48A2-A738-083239FDA7C6}"/>
    <hyperlink ref="B1" location="'Objetos de Dominio'!A1" display="&lt;&lt;&lt;&lt; Ir a objetos de dominio" xr:uid="{0C771B16-6597-49B8-8E4B-7C7FF5DA8BF5}"/>
    <hyperlink ref="B3" location="Cliente_D!A1" display="cliente" xr:uid="{25A756FB-4C6E-4DEC-B1F0-39B61B456159}"/>
    <hyperlink ref="B4" location="Cliente_D!A6" display="Cliente_D!A6" xr:uid="{04DD592F-405E-41B2-A74B-A27DC1B151DB}"/>
    <hyperlink ref="B5" location="Cliente_D!A7" display="Cliente_D!A7" xr:uid="{8977D7CB-DE4B-483D-AE43-AF4CAAF7DABC}"/>
    <hyperlink ref="C3" location="Cita_D!A1" display="cita" xr:uid="{8D994A8D-0DEB-42E2-9882-162D0FABC119}"/>
    <hyperlink ref="C4" location="Cita_D!A6" display="Cita_D!A6" xr:uid="{96DA50FB-FF8E-47E8-A0CF-7BB6384478FA}"/>
    <hyperlink ref="C5" location="Cita_D!A7" display="Cita_D!A7" xr:uid="{54D436A3-2C3E-4CC7-B15B-7C4DEF2A214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0C5A4-8D15-43DA-95FC-91C9614E5EEA}">
  <dimension ref="A1:F12"/>
  <sheetViews>
    <sheetView zoomScale="130" zoomScaleNormal="130" workbookViewId="0">
      <selection activeCell="C20" sqref="C20:C21"/>
    </sheetView>
  </sheetViews>
  <sheetFormatPr baseColWidth="10" defaultRowHeight="15" x14ac:dyDescent="0.25"/>
  <cols>
    <col min="1" max="1" width="26.42578125" customWidth="1"/>
    <col min="2" max="2" width="49.7109375" bestFit="1" customWidth="1"/>
    <col min="3" max="3" width="21.85546875" customWidth="1"/>
    <col min="4" max="4" width="41.85546875" customWidth="1"/>
    <col min="5" max="5" width="32.140625" customWidth="1"/>
    <col min="6" max="6" width="55.85546875" customWidth="1"/>
  </cols>
  <sheetData>
    <row r="1" spans="1:6" x14ac:dyDescent="0.25">
      <c r="A1" s="5" t="s">
        <v>32</v>
      </c>
      <c r="B1" s="5" t="s">
        <v>33</v>
      </c>
    </row>
    <row r="2" spans="1:6" ht="33" customHeight="1" x14ac:dyDescent="0.25">
      <c r="A2" s="17" t="s">
        <v>20</v>
      </c>
      <c r="B2" s="17" t="s">
        <v>92</v>
      </c>
      <c r="C2" s="30" t="s">
        <v>93</v>
      </c>
      <c r="D2" s="30" t="s">
        <v>206</v>
      </c>
      <c r="E2" s="30" t="s">
        <v>94</v>
      </c>
      <c r="F2" s="30" t="s">
        <v>95</v>
      </c>
    </row>
    <row r="3" spans="1:6" x14ac:dyDescent="0.25">
      <c r="A3" s="37" t="s">
        <v>31</v>
      </c>
      <c r="B3" s="31" t="s">
        <v>87</v>
      </c>
      <c r="C3" s="31" t="s">
        <v>41</v>
      </c>
      <c r="D3" s="72" t="s">
        <v>29</v>
      </c>
      <c r="E3" s="72" t="s">
        <v>30</v>
      </c>
      <c r="F3" s="28" t="s">
        <v>69</v>
      </c>
    </row>
    <row r="4" spans="1:6" x14ac:dyDescent="0.25">
      <c r="A4" s="12">
        <v>1</v>
      </c>
      <c r="B4" s="11" t="str">
        <f>Cita_D!G4</f>
        <v>Juan García-Lunes-10:00-16:00-30/09/2026/10:00</v>
      </c>
      <c r="C4" s="11" t="str">
        <f>Servicio_D!F4</f>
        <v>Motilada</v>
      </c>
      <c r="D4" s="12">
        <v>22000</v>
      </c>
      <c r="E4" s="12">
        <v>45</v>
      </c>
      <c r="F4" s="12" t="str">
        <f>_xlfn.CONCAT(B4,"-",C4)</f>
        <v>Juan García-Lunes-10:00-16:00-30/09/2026/10:00-Motilada</v>
      </c>
    </row>
    <row r="5" spans="1:6" x14ac:dyDescent="0.25">
      <c r="A5" s="12">
        <v>2</v>
      </c>
      <c r="B5" s="11" t="str">
        <f>Cita_D!G5</f>
        <v>Juan Ortiz-Martes-09:00-15:00-22/11/2025/11:00</v>
      </c>
      <c r="C5" s="11" t="str">
        <f>Servicio_D!F5</f>
        <v>Corte de barba</v>
      </c>
      <c r="D5" s="12">
        <v>12000</v>
      </c>
      <c r="E5" s="12">
        <v>10</v>
      </c>
      <c r="F5" s="12" t="str">
        <f>_xlfn.CONCAT(B5,"-",C5)</f>
        <v>Juan Ortiz-Martes-09:00-15:00-22/11/2025/11:00-Corte de barba</v>
      </c>
    </row>
    <row r="6" spans="1:6" x14ac:dyDescent="0.25">
      <c r="A6" s="12">
        <v>3</v>
      </c>
      <c r="B6" s="11" t="str">
        <f>Cita_D!G5</f>
        <v>Juan Ortiz-Martes-09:00-15:00-22/11/2025/11:00</v>
      </c>
      <c r="C6" s="11" t="str">
        <f>Servicio_D!F4</f>
        <v>Motilada</v>
      </c>
      <c r="D6" s="12">
        <v>22000</v>
      </c>
      <c r="E6" s="12">
        <v>45</v>
      </c>
      <c r="F6" s="12" t="str">
        <f t="shared" ref="F6:F9" si="0">_xlfn.CONCAT(B6,"-",C6)</f>
        <v>Juan Ortiz-Martes-09:00-15:00-22/11/2025/11:00-Motilada</v>
      </c>
    </row>
    <row r="7" spans="1:6" x14ac:dyDescent="0.25">
      <c r="A7" s="12">
        <v>4</v>
      </c>
      <c r="B7" s="11" t="str">
        <f>Cita_D!G6</f>
        <v>Carlos Arbeladez-Jueves-13:00-19:00-10/08/2024/14:00</v>
      </c>
      <c r="C7" s="11" t="str">
        <f>Servicio_D!F6</f>
        <v>Perfilada de barba</v>
      </c>
      <c r="D7" s="12">
        <v>15000</v>
      </c>
      <c r="E7" s="12">
        <v>15</v>
      </c>
      <c r="F7" s="12" t="str">
        <f t="shared" si="0"/>
        <v>Carlos Arbeladez-Jueves-13:00-19:00-10/08/2024/14:00-Perfilada de barba</v>
      </c>
    </row>
    <row r="8" spans="1:6" ht="45" x14ac:dyDescent="0.25">
      <c r="A8" s="12">
        <v>5</v>
      </c>
      <c r="B8" s="11" t="str">
        <f>Cita_D!G7</f>
        <v>Andres Ramirez-Sábado-08:00-14:00-24/09/2026/13:00</v>
      </c>
      <c r="C8" s="50" t="str">
        <f>Servicio_D!F7</f>
        <v>Arreglo completo de barba con toalla caliente</v>
      </c>
      <c r="D8" s="12">
        <v>35000</v>
      </c>
      <c r="E8" s="12">
        <v>30</v>
      </c>
      <c r="F8" s="24" t="str">
        <f t="shared" si="0"/>
        <v>Andres Ramirez-Sábado-08:00-14:00-24/09/2026/13:00-Arreglo completo de barba con toalla caliente</v>
      </c>
    </row>
    <row r="9" spans="1:6" x14ac:dyDescent="0.25">
      <c r="A9" s="12">
        <v>6</v>
      </c>
      <c r="B9" s="11" t="str">
        <f>Cita_D!G8</f>
        <v>Carlos Arbeladez-Jueves-13:00-19:00-06/08/2026/18:00</v>
      </c>
      <c r="C9" s="11" t="str">
        <f>Servicio_D!C5</f>
        <v>Corte de barba</v>
      </c>
      <c r="D9" s="12">
        <v>12000</v>
      </c>
      <c r="E9" s="12">
        <v>10</v>
      </c>
      <c r="F9" s="24" t="str">
        <f t="shared" si="0"/>
        <v>Carlos Arbeladez-Jueves-13:00-19:00-06/08/2026/18:00-Corte de barba</v>
      </c>
    </row>
    <row r="11" spans="1:6" x14ac:dyDescent="0.25">
      <c r="D11" t="s">
        <v>236</v>
      </c>
    </row>
    <row r="12" spans="1:6" x14ac:dyDescent="0.25">
      <c r="E12" t="s">
        <v>237</v>
      </c>
    </row>
  </sheetData>
  <hyperlinks>
    <hyperlink ref="A1" location="'Modelo de Dominio'!A1" display="&lt;&lt;&lt;&lt; Ir al modulo de dominio" xr:uid="{0CE4CBFB-2016-4FF6-924A-B49B8392B10B}"/>
    <hyperlink ref="B1" location="'Objetos de Dominio'!A1" display="&lt;&lt;&lt;&lt; Ir a objetos de dominio" xr:uid="{57379F34-219A-4662-8198-09F584C326D5}"/>
    <hyperlink ref="B3" location="Cita_D!A1" display="cita" xr:uid="{E89AB6B9-F364-4BAD-BFEA-CAA2C102229E}"/>
    <hyperlink ref="B4" location="Cita_D!A4" display="Cita_D!A4" xr:uid="{0CF27EF5-B7FA-41F5-B712-E18CF914FB99}"/>
    <hyperlink ref="B6:B9" location="Cita_D!A4" display="Cita_D!A4" xr:uid="{24E1B3F9-C1C3-4AC0-83CF-93AC9D358E4F}"/>
    <hyperlink ref="B6" location="Cita_D!A5" display="Cita_D!A5" xr:uid="{54C06FE5-3D1C-4E02-B80F-F52398660735}"/>
    <hyperlink ref="B7" location="Cita_D!A6" display="Cita_D!A6" xr:uid="{7C3F9E66-FC63-4CC5-A67C-8604702403F0}"/>
    <hyperlink ref="B8" location="Cita_D!A7" display="Cita_D!A7" xr:uid="{B03F3CEB-2FAE-4C17-B421-BB7244341FF9}"/>
    <hyperlink ref="B9" location="Cita_D!A8" display="Cita_D!A8" xr:uid="{FA20FBDC-E2C6-44CF-B98E-C85818BE6D1B}"/>
    <hyperlink ref="C3" location="Servicio_D!A1" display="servicio" xr:uid="{46A59B94-B463-41EF-A1B6-2B1BD97218B9}"/>
    <hyperlink ref="C4" location="Servicio_D!A4" display="Servicio_D!A4" xr:uid="{E5D47101-7002-491C-A64F-9E08C0E5E166}"/>
    <hyperlink ref="C6" location="Servicio_D!A4" display="Servicio_D!A4" xr:uid="{EC363894-A006-45A1-A451-8A105D143020}"/>
    <hyperlink ref="C7" location="Servicio_D!A6" display="Servicio_D!A6" xr:uid="{2F70A83F-4454-46E6-A1E5-B359824AA24F}"/>
    <hyperlink ref="C8" location="Servicio_D!A7" display="Servicio_D!A7" xr:uid="{36945D0D-E1EC-4BD2-A67D-287FB73A0E8D}"/>
    <hyperlink ref="C9" location="Servicio_D!A5" display="Corte de barba" xr:uid="{52D089FF-955D-405E-BFF7-8EABA1516B8E}"/>
    <hyperlink ref="B5" location="Cita_D!A4" display="Cita_D!A4" xr:uid="{39C11A52-01CE-4DAA-BC18-9212C37DBE32}"/>
    <hyperlink ref="C5" location="Servicio_D!A5" display="Servicio_D!A5" xr:uid="{C52FCEDE-6EC5-4607-AF2D-6AA06D251491}"/>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17</vt:i4>
      </vt:variant>
    </vt:vector>
  </HeadingPairs>
  <TitlesOfParts>
    <vt:vector size="17" baseType="lpstr">
      <vt:lpstr>Modelo de Dominio</vt:lpstr>
      <vt:lpstr>Objetos de Dominio</vt:lpstr>
      <vt:lpstr>Tipo de datos</vt:lpstr>
      <vt:lpstr>Barberia_D</vt:lpstr>
      <vt:lpstr>Cliente_D</vt:lpstr>
      <vt:lpstr>Regla_D</vt:lpstr>
      <vt:lpstr>Barbero_D</vt:lpstr>
      <vt:lpstr>HorarioBarberia_D</vt:lpstr>
      <vt:lpstr>Servicio_D</vt:lpstr>
      <vt:lpstr>Veto_D</vt:lpstr>
      <vt:lpstr>BarberoServicio_D</vt:lpstr>
      <vt:lpstr>Agenda_D</vt:lpstr>
      <vt:lpstr>Bloqueo_D</vt:lpstr>
      <vt:lpstr>Descanso_D</vt:lpstr>
      <vt:lpstr>Cita_D</vt:lpstr>
      <vt:lpstr>Multa_D</vt:lpstr>
      <vt:lpstr>CitaServicio_D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Leo 1000</dc:creator>
  <cp:lastModifiedBy>Edilio Gomez</cp:lastModifiedBy>
  <dcterms:created xsi:type="dcterms:W3CDTF">2026-08-03T17:50:17Z</dcterms:created>
  <dcterms:modified xsi:type="dcterms:W3CDTF">2026-08-21T15:08:43Z</dcterms:modified>
</cp:coreProperties>
</file>