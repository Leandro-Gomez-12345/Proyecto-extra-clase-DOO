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leand\Desktop\DOO\DOO\Barberia\"/>
    </mc:Choice>
  </mc:AlternateContent>
  <xr:revisionPtr revIDLastSave="0" documentId="13_ncr:1_{7D2C82A5-CE11-488F-916B-C5EEB7B95CE2}" xr6:coauthVersionLast="47" xr6:coauthVersionMax="47" xr10:uidLastSave="{00000000-0000-0000-0000-000000000000}"/>
  <bookViews>
    <workbookView xWindow="-108" yWindow="-108" windowWidth="23256" windowHeight="12456" xr2:uid="{09A6C7D7-663F-4C06-9D71-8A4E97495CF9}"/>
  </bookViews>
  <sheets>
    <sheet name="Modelo de Dominio" sheetId="1" r:id="rId1"/>
    <sheet name="Objetos de Dominio" sheetId="4" r:id="rId2"/>
    <sheet name="Tipo de datos" sheetId="21" r:id="rId3"/>
    <sheet name="Barberia_D" sheetId="5" r:id="rId4"/>
    <sheet name="Cliente_D" sheetId="6" r:id="rId5"/>
    <sheet name="Regla_D" sheetId="7" r:id="rId6"/>
    <sheet name="HorarioBarberia_D" sheetId="18" r:id="rId7"/>
    <sheet name="Servicio_D" sheetId="8" r:id="rId8"/>
    <sheet name="Barbero_D" sheetId="9" r:id="rId9"/>
    <sheet name="Veto_D" sheetId="10" r:id="rId10"/>
    <sheet name="BarberoServicio_D" sheetId="11" r:id="rId11"/>
    <sheet name="Agenda_D" sheetId="12" r:id="rId12"/>
    <sheet name="HorarioBarbero_D" sheetId="20" r:id="rId13"/>
    <sheet name="Cita_D" sheetId="13" r:id="rId14"/>
    <sheet name="Multa_D" sheetId="16" r:id="rId15"/>
    <sheet name="CitaServicio_D" sheetId="17"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L8" i="9" l="1"/>
  <c r="K8" i="9"/>
  <c r="K7" i="9"/>
  <c r="K6" i="9"/>
  <c r="K5" i="9"/>
  <c r="K4" i="9"/>
  <c r="B5" i="8"/>
  <c r="B6" i="8"/>
  <c r="B7" i="8"/>
  <c r="B4" i="8"/>
  <c r="H5" i="6"/>
  <c r="H6" i="6"/>
  <c r="H7" i="6"/>
  <c r="B5" i="16" s="1"/>
  <c r="H4" i="6"/>
  <c r="B5" i="13"/>
  <c r="B6" i="13"/>
  <c r="B7" i="13"/>
  <c r="B8" i="13"/>
  <c r="B5" i="12"/>
  <c r="B6" i="12"/>
  <c r="C6" i="12" s="1"/>
  <c r="B7" i="12"/>
  <c r="C7" i="12" s="1"/>
  <c r="C5" i="11"/>
  <c r="C6" i="11"/>
  <c r="C7" i="11"/>
  <c r="B6" i="11"/>
  <c r="D6" i="11" s="1"/>
  <c r="B5" i="11"/>
  <c r="D5" i="11" s="1"/>
  <c r="B7" i="11"/>
  <c r="D7" i="11" s="1"/>
  <c r="B4" i="11"/>
  <c r="D4" i="11" s="1"/>
  <c r="D5" i="16"/>
  <c r="D4" i="16"/>
  <c r="B4" i="16"/>
  <c r="B4" i="13"/>
  <c r="B7" i="18"/>
  <c r="B8" i="18"/>
  <c r="B9" i="18"/>
  <c r="B5" i="18"/>
  <c r="B6" i="18"/>
  <c r="L5" i="9"/>
  <c r="L6" i="9"/>
  <c r="L7" i="9"/>
  <c r="L4" i="9"/>
  <c r="C6" i="17"/>
  <c r="B4" i="12"/>
  <c r="C4" i="12" s="1"/>
  <c r="B4" i="20" s="1"/>
  <c r="F4" i="20" s="1"/>
  <c r="F5" i="18"/>
  <c r="F6" i="18"/>
  <c r="F7" i="18"/>
  <c r="F8" i="18"/>
  <c r="F9" i="18"/>
  <c r="F4" i="18"/>
  <c r="B4" i="18"/>
  <c r="F4" i="7"/>
  <c r="E4" i="7"/>
  <c r="C4" i="11"/>
  <c r="B7" i="10"/>
  <c r="E7" i="10" s="1"/>
  <c r="B6" i="10"/>
  <c r="E6" i="10" s="1"/>
  <c r="B5" i="10"/>
  <c r="E5" i="10" s="1"/>
  <c r="B4" i="10"/>
  <c r="E4" i="10" s="1"/>
  <c r="F5" i="8"/>
  <c r="F6" i="8"/>
  <c r="F7" i="8"/>
  <c r="C7" i="17" s="1"/>
  <c r="F4" i="8"/>
  <c r="C5" i="17" s="1"/>
  <c r="B7" i="20" l="1"/>
  <c r="C7" i="13"/>
  <c r="F6" i="20"/>
  <c r="B6" i="20"/>
  <c r="C6" i="13"/>
  <c r="C4" i="17"/>
  <c r="C8" i="13"/>
  <c r="G8" i="13" s="1"/>
  <c r="F7" i="20"/>
  <c r="G7" i="13"/>
  <c r="C4" i="13"/>
  <c r="G4" i="13" s="1"/>
  <c r="G6" i="13"/>
  <c r="C5" i="12"/>
  <c r="C4" i="16" l="1"/>
  <c r="G4" i="16" s="1"/>
  <c r="B6" i="17"/>
  <c r="C5" i="16"/>
  <c r="G5" i="16" s="1"/>
  <c r="B7" i="17"/>
  <c r="F7" i="17" s="1"/>
  <c r="B8" i="17"/>
  <c r="F8" i="17" s="1"/>
  <c r="C5" i="13"/>
  <c r="B5" i="20"/>
  <c r="F6" i="17"/>
  <c r="B4" i="17"/>
  <c r="F4" i="17" s="1"/>
  <c r="F5" i="20"/>
  <c r="G5" i="13"/>
  <c r="B5" i="17" s="1"/>
  <c r="F5" i="17" l="1"/>
</calcChain>
</file>

<file path=xl/sharedStrings.xml><?xml version="1.0" encoding="utf-8"?>
<sst xmlns="http://schemas.openxmlformats.org/spreadsheetml/2006/main" count="333" uniqueCount="220">
  <si>
    <t>Nombre</t>
  </si>
  <si>
    <t>Descripcion</t>
  </si>
  <si>
    <t>Linea de vida</t>
  </si>
  <si>
    <t>Datos</t>
  </si>
  <si>
    <t>Barberia</t>
  </si>
  <si>
    <t>Regla</t>
  </si>
  <si>
    <t>Servicio</t>
  </si>
  <si>
    <t>Barbero</t>
  </si>
  <si>
    <t>BarberoServicio</t>
  </si>
  <si>
    <t>Agenda</t>
  </si>
  <si>
    <t>Cita</t>
  </si>
  <si>
    <t>Cliente</t>
  </si>
  <si>
    <t>Multa</t>
  </si>
  <si>
    <t>Veto</t>
  </si>
  <si>
    <t>CitaServicio</t>
  </si>
  <si>
    <t>Representa el negocio donde trabajan los barberos, agrupa el catalogo de servicios que ofrece y las reglas de tolerancia, multas y veto que aplican para todos sus clientes</t>
  </si>
  <si>
    <t>Representa a un trabajador de la barbería que atiende clientes segun los servicios que sabe realizar y que organiza su tiempo a través de su propia agenda</t>
  </si>
  <si>
    <t>Representa que servicios realiza cada barbero, ya que no todos los barberos de la barbería ofrecen los mismos servicios</t>
  </si>
  <si>
    <t>Representa la sanción económica que se le impone a un cliente por incumplir una cita (llegar tarde fuera de tolerancia o no presentarse), calculada a partir de la cita específica que la originó</t>
  </si>
  <si>
    <t>Representa cada servicio incluido dentro de una cita puntual, guardando el precio y la duración que tenía ese servicio en el momento exacto en que se agendó, para que cambios futuros en el catálogo no alteren citas ya registradas</t>
  </si>
  <si>
    <t>Representa un identificador que hará unico cada objeto de dominio de este tipo, no se puede repetir</t>
  </si>
  <si>
    <t>nombre</t>
  </si>
  <si>
    <t>celular</t>
  </si>
  <si>
    <t>montoMultaTardanza</t>
  </si>
  <si>
    <t>precio</t>
  </si>
  <si>
    <t>fecha</t>
  </si>
  <si>
    <t>estado</t>
  </si>
  <si>
    <t>monto</t>
  </si>
  <si>
    <t>pagada</t>
  </si>
  <si>
    <t>precioAlMomento</t>
  </si>
  <si>
    <t>duracionAlMomento</t>
  </si>
  <si>
    <t>id</t>
  </si>
  <si>
    <t>&lt;&lt;&lt;&lt; Ir al modulo de dominio</t>
  </si>
  <si>
    <t>&lt;&lt;&lt;&lt; Ir a objetos de dominio</t>
  </si>
  <si>
    <t>aquí</t>
  </si>
  <si>
    <t>toleranciaTardanza</t>
  </si>
  <si>
    <t>barberia</t>
  </si>
  <si>
    <t>duracion</t>
  </si>
  <si>
    <t>Motilada</t>
  </si>
  <si>
    <t>Ir a objetos de dominio &gt;&gt;&gt;&gt;</t>
  </si>
  <si>
    <t>barbero</t>
  </si>
  <si>
    <t>servicio</t>
  </si>
  <si>
    <t>correo</t>
  </si>
  <si>
    <t>vigente</t>
  </si>
  <si>
    <t>cliente</t>
  </si>
  <si>
    <t>Combinacion única que indica que no puede existir más de un servicio con el mismo nombre</t>
  </si>
  <si>
    <t>Corte de barba</t>
  </si>
  <si>
    <t>Perfilada de barba</t>
  </si>
  <si>
    <t>Arreglo completo de barba con toalla caliente</t>
  </si>
  <si>
    <t>si</t>
  </si>
  <si>
    <t>no</t>
  </si>
  <si>
    <t>Carlos</t>
  </si>
  <si>
    <t>Andres</t>
  </si>
  <si>
    <t>juanfer234535@gmail.com</t>
  </si>
  <si>
    <t>juandaviddd2525@gmail.com</t>
  </si>
  <si>
    <t>carlosbeladez@gmail.com</t>
  </si>
  <si>
    <t>andresramirezpatino123@gmail.com</t>
  </si>
  <si>
    <t>activo</t>
  </si>
  <si>
    <t>Representa el numero de celular del cliente al que se veto, es decir al que no se le podra agendar más citas</t>
  </si>
  <si>
    <t>Combinacion única que indica que no puede existir más de un veto con el mismo cliente y la misma fecha</t>
  </si>
  <si>
    <t>Representa la fecha en el que se veto al cliente, por acomular y no pagar las multas, el numero para que se de el veto lo define la regla de la barbería</t>
  </si>
  <si>
    <t>numeroCelularCliente</t>
  </si>
  <si>
    <t>agenda</t>
  </si>
  <si>
    <t>Representa el nombre y apellidos del barbero</t>
  </si>
  <si>
    <t xml:space="preserve">Representa el nombre del servicio de la barberia </t>
  </si>
  <si>
    <t>horaInicio</t>
  </si>
  <si>
    <t>Representa el nombre completo del cliente que va a estar en la cita, para que luego el barbero se acuerde a quien tiene que atender</t>
  </si>
  <si>
    <t>agendada</t>
  </si>
  <si>
    <t>Barbería Oriental</t>
  </si>
  <si>
    <t>numeroMultasMaxima</t>
  </si>
  <si>
    <t>Representa el nombre de la barberia que va a estar asociado la regla</t>
  </si>
  <si>
    <t>Combinación única</t>
  </si>
  <si>
    <t xml:space="preserve">Combinación única </t>
  </si>
  <si>
    <t>Combinacion única</t>
  </si>
  <si>
    <t>HorarioBarberia</t>
  </si>
  <si>
    <t>HorarioBarbero</t>
  </si>
  <si>
    <t>Representa el nombre de la barberia que va pertencer los horarios de la barberia</t>
  </si>
  <si>
    <t>dia</t>
  </si>
  <si>
    <t>horaApertura</t>
  </si>
  <si>
    <t>horaCierre</t>
  </si>
  <si>
    <t>Lunes</t>
  </si>
  <si>
    <t>Martes</t>
  </si>
  <si>
    <t>Miércoles</t>
  </si>
  <si>
    <t>Jueves</t>
  </si>
  <si>
    <t>Viernes</t>
  </si>
  <si>
    <t>Sábado</t>
  </si>
  <si>
    <t>Combinación única que indica que un barbero no puede tener más de una agenda, cada barbero organiza todo su tiempo en un único lugar</t>
  </si>
  <si>
    <t>horaFin</t>
  </si>
  <si>
    <t xml:space="preserve">
Hace referencia a la agenda (y por lo tanto al barbero) a la que pertenece este horario, permite saber de quién es cada bloque de disponibilidad</t>
  </si>
  <si>
    <t>Representa la hora en la que el barbero empieza a estar disponible ese dia</t>
  </si>
  <si>
    <t>Representa la hora en la que el barbero deja de estar disponible ese día, junto con horaInicio, es lo que la aplicación usa para saber si hay campo para agendar una cita nueva</t>
  </si>
  <si>
    <t>Combinación única que indica que una misma agenda no puede tener dos horarios distintos para el mismo día</t>
  </si>
  <si>
    <t>atendida</t>
  </si>
  <si>
    <t>incumplida</t>
  </si>
  <si>
    <t>cancelada</t>
  </si>
  <si>
    <t>cita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</si>
  <si>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</si>
  <si>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</si>
  <si>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si el cliente ya pagó o no esta multa, es el dato que se revisa para decidir si un cliente llega al número de multas sin pagar que activa el veto</t>
  </si>
  <si>
    <t>Combinación única que indica que una misma cita no puede generar más de una multa</t>
  </si>
  <si>
    <t>Hace referencia a la cita puntual en la que se pidió este servicio</t>
  </si>
  <si>
    <t>Hace referencia a cual servicio del catalogo fue el que se pidió en esa cita</t>
  </si>
  <si>
    <t>Representa cuanto duraba el servicio en el momento en que se agendó, junto con la hora de inicio de la cita permite calcular hasta que hora queda ocupado el barbero</t>
  </si>
  <si>
    <t>Combinación única que indica que un mismo servicio no puede repetirse dos veces dentro de la misma cita</t>
  </si>
  <si>
    <t>Combinación única que indica que un mismo barbero no puede aparecer dos veces ofreciendo el mismo servicio</t>
  </si>
  <si>
    <t>primerNombre</t>
  </si>
  <si>
    <t>primerApellido</t>
  </si>
  <si>
    <t>segundoNombre</t>
  </si>
  <si>
    <t>segundoApellido</t>
  </si>
  <si>
    <t>Fernando</t>
  </si>
  <si>
    <t>David</t>
  </si>
  <si>
    <t>Lopez</t>
  </si>
  <si>
    <t>Sanchez</t>
  </si>
  <si>
    <t>Patiño</t>
  </si>
  <si>
    <t>Arbeladez</t>
  </si>
  <si>
    <t>Gómez</t>
  </si>
  <si>
    <t>Perez</t>
  </si>
  <si>
    <t>Ramirez</t>
  </si>
  <si>
    <t>Gallego</t>
  </si>
  <si>
    <t>Ochoa</t>
  </si>
  <si>
    <t>Jose</t>
  </si>
  <si>
    <t>Miguel</t>
  </si>
  <si>
    <t>Juan</t>
  </si>
  <si>
    <t>Simon</t>
  </si>
  <si>
    <t>Alexis</t>
  </si>
  <si>
    <t>Combinacion única que indica que no puede existir más de un horario con la misma barberia, dia de la semana, hora de apertura y cierre</t>
  </si>
  <si>
    <t>Referencia a que barbero va a ser dueño de esta agenda, es el dato que conecta el calendario con la persona que lo usa para organizar su tiempo y sus citas</t>
  </si>
  <si>
    <t>Representa si el veto está vigente o no. Es el dato que indica si el cliente se le quito la sancion del veto o no. Este dato se calcula, cada que un cliente acomule 3 multas sin pagar se pone si o si el paga una de las multas el sistema lo pone en no</t>
  </si>
  <si>
    <t>contraseña</t>
  </si>
  <si>
    <t>Carlos.1995</t>
  </si>
  <si>
    <t>Juan.sanchez2342</t>
  </si>
  <si>
    <t>ramirezpatinio23121</t>
  </si>
  <si>
    <t>prefijo</t>
  </si>
  <si>
    <t>+57</t>
  </si>
  <si>
    <t>+58</t>
  </si>
  <si>
    <t>+91</t>
  </si>
  <si>
    <t>Representa si el barbero sigue o no trabajando en la barberia, es un dato calculado cuando el barbero tiene en su agenda un horario de trabajo si es vigente y si no tiene horario de trabajo dice no es vigente</t>
  </si>
  <si>
    <t>fechaHora</t>
  </si>
  <si>
    <t xml:space="preserve">
Combinación única que indica que una cita no puede existir dentro de una agenda con la misma fecha y hora de inicio para la cita</t>
  </si>
  <si>
    <t>retraso</t>
  </si>
  <si>
    <t xml:space="preserve">Representa cuanto dinero en pesos colombianos debe pagar el cliente la multa, si es por retraso se el monto es el que dice en regla y si es por incumplida el monto es del o los servicios que pidio </t>
  </si>
  <si>
    <t>Combinacion única que indica que no puede existir más de un cliente con un mismo nombre, apellidos, prefijo de celular y número de celular</t>
  </si>
  <si>
    <t>Representa la hora prevista a la que finaliza una cita, es un dato calculado a partir de la hora en que empieza la cita y la duración del servicio, sumándole la duración del servicio a la hora de inicio</t>
  </si>
  <si>
    <t>Representa el nombre de la barbería que pertenece el servicio</t>
  </si>
  <si>
    <t>Representa la barbería en la que trabaja el barbero</t>
  </si>
  <si>
    <t>Hace referencia a en la agenda de que barbero quedó registrada esta cita, es lo que permite validar que no se cruce con otra cita del mismo barbero</t>
  </si>
  <si>
    <t>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t>
  </si>
  <si>
    <t>tipo</t>
  </si>
  <si>
    <t>Representa el tipo de multa con el que se va sancionar, si es retraso o incumplida. Este es un dato obtenido del estado de cita</t>
  </si>
  <si>
    <t>Ortiz</t>
  </si>
  <si>
    <t>García</t>
  </si>
  <si>
    <t>Zambrano</t>
  </si>
  <si>
    <t>+593</t>
  </si>
  <si>
    <t>juancarloszambrano4394@gmail.com</t>
  </si>
  <si>
    <t>Combinacion única que indica que no puede existir más de un barbero con el mismo nombre, apellidos y número de celular</t>
  </si>
  <si>
    <t>Representa a la persona que solicita citas en la barbería, el se las pide a un barbero por WhatsApp. Su valor esta en darle al sistema un historial por persona: que citas ha pedido, que multas tiene y si esta o no vetado, para que cualquier barbero sepa con quien esta tratando antes de agendarle.</t>
  </si>
  <si>
    <t>Representa las políticas de la barbería frente al incumplimiento de los clientes: cuantos minutos de tolerancia se dan antes de considerar tardanza, cuanto vale la multa fija por llegar tarde, y cuantas multas sin pagar activan un veto</t>
  </si>
  <si>
    <t>Representa, día por día, a que hora abre y cierra el negocio. Es el límite dentro del cual tiene que caber el horario de cualquier barbero, nadie puede trabajar antes de que abra ni después de que cierre</t>
  </si>
  <si>
    <t>Representa cada tipo de corte o arreglo que ofrece la barbería, con su duración y su precio. Es el catalogo del que sale tanto lo que un barbero puede ofrecer como lo que termina costando y durando cada cita</t>
  </si>
  <si>
    <t>Representa el historial de bloqueos de un cliente. Cuando esta activo, ningún barbero de la barbería puede agendarle citas nuevas a esa persona. Su valor es proteger a todos los barberos de un mismo cliente problemático, sin que cada uno tenga que enterarse por su cuenta</t>
  </si>
  <si>
    <t>Representa el calendario propio de un barbero. Es donde se organiza su horario de trabajo y las citas que se le van agendando, validando que ninguna se le cruce con otra</t>
  </si>
  <si>
    <t>Representa cada día de la semana, hora en el que entra, hora a la que sale, para que la agenda del barbero sepa que días trabaja el</t>
  </si>
  <si>
    <t>Representa la reserva de un cliente con un barbero para una fecha y hora puntual. De ella sale tanto el cálculo de cuanto queda ocupado el barbero como la funcionalidad de si hay o no una multa (se genera cuando un barbero pone el estado de la cita en retraso o inclumplida), según cómo haya terminado (atendida, con retraso, incumplida o cancelada)</t>
  </si>
  <si>
    <t>Representa el nombre de como se llama la barberia en donde trabajan los barberos. El tipo de dato es alfanumérico, su valor por defecto es el vacio y es permitido</t>
  </si>
  <si>
    <t>prefijoCelular</t>
  </si>
  <si>
    <t>Representa el primer nombre del barbero que trabaja en barbería. Su tipo de dato es texto, su valor por defecto es el vacio y no es permitido</t>
  </si>
  <si>
    <t>Representa el segundo nombre del barbero que trabaja en barbería. Su tipo de dato es texto, su valor por defecto es el vacio y es permitido</t>
  </si>
  <si>
    <t>Representa el primer apellido del barbero que trabaja en la barbería. Su tipo de dato es texto, su valor por defecto es el vacio y no es permitido</t>
  </si>
  <si>
    <t>Representa el segundo apellido del barbero que trabaja en la barbería. Su tipo de dato es texto, su valor por defecto es el vacio y es permitido</t>
  </si>
  <si>
    <t>Realmente se necesita saber el numero del barbero</t>
  </si>
  <si>
    <t>Representa de que pais es el numero de celular del barbero. Su tipo de dato es alfanumérico, su valor por defecto es +0 y no es permitido</t>
  </si>
  <si>
    <t>Representa la contraseña del barbebro, con el que se va a registrar o iniciar sesión. Su tipo de dato es alfanumérico, su valor por defecto es el vacio y no esta permitido</t>
  </si>
  <si>
    <t>Tipo de dato</t>
  </si>
  <si>
    <t>Texto</t>
  </si>
  <si>
    <t>Alfanumerico</t>
  </si>
  <si>
    <t>Entero</t>
  </si>
  <si>
    <t>Representa el día de la semana en que aplica este horario, es necesario porque un barbero puede trabajar unos días sí y otros no. Su valor por defecto es el vacío y no es permitido</t>
  </si>
  <si>
    <t>Este dato también lo tengo pensado como una lista. Lo dejé como tipo texto</t>
  </si>
  <si>
    <t>FechaHora</t>
  </si>
  <si>
    <t>Hora</t>
  </si>
  <si>
    <t>Identificador unico</t>
  </si>
  <si>
    <t>Combinacion unica</t>
  </si>
  <si>
    <t>Referencia de otros objetos de dominio</t>
  </si>
  <si>
    <t>Dato calculado</t>
  </si>
  <si>
    <t xml:space="preserve">Tipo de dato que solo admite letras de la A a la Z. </t>
  </si>
  <si>
    <t>Tipo de dato que admite cualquier tipo de carácter, combinando letras, números y símbolos.</t>
  </si>
  <si>
    <t xml:space="preserve">Tipo de dato numérico que solo admite números enteros, sin parte decimal. </t>
  </si>
  <si>
    <t>Tipo de dato que solo representa la hora del día (horas y minutos), sin incluir la fecha.</t>
  </si>
  <si>
    <t>Atributo que identifica de forma única a cada instancia de un objeto de dominio, no se puede repetir entre objetos del mismo tipo.</t>
  </si>
  <si>
    <t>Regla de unicidad construida combinando varios atributos de un mismo objeto de dominio, para garantizar que no existan dos instancias con exactamente los mismos valores en esos campos.</t>
  </si>
  <si>
    <t>Tipo de dato que combina fecha y hora en un mismo valor.</t>
  </si>
  <si>
    <t>Atributo que apunta al identificador o a la combinación única de otro objeto de dominio, materializando la relación de asociación entre ambos.</t>
  </si>
  <si>
    <t>Atributo cuyo valor no lo ingresa el usuario, sino que es un dato calculado sobre otros atributos del mismo objeto o de objetos relacionados. Por ejemplo, la hora de finalización de una cita se calcula sumando la hora de inicio y la duración del servicio agendado.</t>
  </si>
  <si>
    <t>Representa el primer nombre de la persona, que va a estar llendo a la barberia para las citas. Su valor por defecto es el vacío y no es permitido</t>
  </si>
  <si>
    <t>Representa el segundo nombre de la persona, que va a estar llendo a la barberia para las citas. Su valor por defecto es el vacío y es permitido</t>
  </si>
  <si>
    <t>Representa el primer apellido de la persona, que va a estar llendo a la barberia para las citas. Su valor por defecto es el vacío y no es permitido</t>
  </si>
  <si>
    <t>Representa el primer apellido de la persona, que va a estar llendo a la barberia para las citas. Su valor por defecto es el vacío y es permitido</t>
  </si>
  <si>
    <t>Representa de que pais es el numero de celular del cliente. Su valor por defecto es +0 (este prefijo no referencia a ningún país) y no es permitido</t>
  </si>
  <si>
    <t>Representa el numero de celular de la persona que le va a escribir al barbero por WhatsApp para pedirle una cita. Su valor por defecto es el 0 y no es permitido</t>
  </si>
  <si>
    <t>Representa la cantidad de minutos que el cliente puede llegarle tarde un cliente a la cita establecida con el barbero, despues de eso el barbero lo podrá multar. Debe de ser mayor o igual a 0, su valor por defecto es el 0 y es permitido</t>
  </si>
  <si>
    <t>Representa la cantidad de dinero que el cliente debe de pagar en pesos colombianos, por superar la toleranciaTardanza. Debe de ser mayor a cero, su valor por defecto es 0 y no es permitido</t>
  </si>
  <si>
    <t>Representa la maxima de multas que pueda tener un cliente sin pagar, a partir de esta cantidad se le hace un veto al cliente. Debe de ser mayor o igual a cero, su valor por defecto es 0 y es permitido</t>
  </si>
  <si>
    <t>Este dato lo tengo pensado como si fuera una lista, pero no se si esta bien dejarlo tipo texto</t>
  </si>
  <si>
    <t>Representa el día de la semana en que aplica este horario, es necesario para saber que días abrira la barberia. Su valor por defecto es el vacio y no es permitido</t>
  </si>
  <si>
    <t>Representa la hora a la que abre la barbería. Su valor por defecto es 00:00 am y es permitido</t>
  </si>
  <si>
    <t>Representa la hora a la que cierra la barbería. Su valor por defecto es 00:00 am y es permitido</t>
  </si>
  <si>
    <t>Representa el nombre del servicio que va estar en la barberia, que el barbero ofrece y en las citas que esta. Su valor por defecto es el vacio y no es permitido</t>
  </si>
  <si>
    <t xml:space="preserve">Combinacion única </t>
  </si>
  <si>
    <t>Representa lo que va durar en minutos el servicio. Debe de ser mayor a cero, su valor por defecto es 0 y no es permitido</t>
  </si>
  <si>
    <t>Representa cuanto va a valer el servicio en pesos colombianos. Debe de ser mayor a cero, su valor por defecto es 0 y no esta permitido</t>
  </si>
  <si>
    <t>Representa el número de celular del barbero. Su valor por defecto es 0 y no es permitido</t>
  </si>
  <si>
    <t>Representa el correo electronico del barbero, con el que se va a registrar o iniciar seción. Su valor por defecto es el vacio y no es permitido</t>
  </si>
  <si>
    <t>Fecha</t>
  </si>
  <si>
    <t>Tipo de dato que contiene el día, mes y el año.</t>
  </si>
  <si>
    <t>Este es calculado o lo pone el barbero?</t>
  </si>
  <si>
    <t>Tengo pensado que este sea de tipo texto, su valor por defecto sería el vacío y no sería permitido</t>
  </si>
  <si>
    <t>Representa la fecha y la hora en el que se va a realizar la cita al cliente. Su valor por defecto es 01/01/1000 00:00 y no es permitido</t>
  </si>
  <si>
    <t>Representa cuanto valía el servicio en el momento exacto en que se agendó la cita, se guarda aparte del precio del catalogo por si el precio de ese servicio cambia después, las citas ya registradas no se vean afectadas. Debe de ser mayor a cero, su valor por defecto es el 0 y no es permitido</t>
  </si>
  <si>
    <t>Sera que este es calculado o lo pone le barbero</t>
  </si>
  <si>
    <t>Sera que este es calculado o lo pone el barbero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</si>
</sst>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F800]dddd\,\ mmmm\ dd\,\ yyyy"/>
  </numFmts>
  <fonts count="9" x14ac:knownFonts="1">
    <font>
      <sz val="11"/>
      <color theme="1"/>
      <name val="Aptos Narrow"/>
      <family val="2"/>
      <scheme val="minor"/>
    </font>
    <font>
      <b/>
      <sz val="11"/>
      <color theme="1"/>
      <name val="Aptos Narrow"/>
      <family val="2"/>
      <scheme val="minor"/>
    </font>
    <font>
      <sz val="7"/>
      <color theme="1"/>
      <name val="Aptos Narrow"/>
      <family val="2"/>
      <scheme val="minor"/>
    </font>
    <font>
      <u/>
      <sz val="11"/>
      <color theme="10"/>
      <name val="Aptos Narrow"/>
      <family val="2"/>
      <scheme val="minor"/>
    </font>
    <font>
      <sz val="7"/>
      <name val="Aptos Narrow"/>
      <family val="2"/>
      <scheme val="minor"/>
    </font>
    <font>
      <b/>
      <sz val="11"/>
      <name val="Aptos Narrow"/>
      <family val="2"/>
      <scheme val="minor"/>
    </font>
    <font>
      <b/>
      <u/>
      <sz val="11"/>
      <color theme="10"/>
      <name val="Aptos Narrow"/>
      <family val="2"/>
      <scheme val="minor"/>
    </font>
    <font>
      <sz val="8"/>
      <name val="Aptos Narrow"/>
      <family val="2"/>
      <scheme val="minor"/>
    </font>
    <font>
      <sz val="11"/>
      <name val="Aptos Narrow"/>
      <family val="2"/>
      <scheme val="minor"/>
    </font>
  </fonts>
  <fills count="16">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rgb="FFFF3F3F"/>
        <bgColor indexed="64"/>
      </patternFill>
    </fill>
    <fill>
      <patternFill patternType="solid">
        <fgColor rgb="FF7030A0"/>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85">
    <xf numFmtId="0" fontId="0" fillId="0" borderId="0" xfId="0"/>
    <xf numFmtId="0" fontId="0" fillId="2" borderId="0" xfId="0" applyFill="1"/>
    <xf numFmtId="0" fontId="0" fillId="0" borderId="0" xfId="0" applyAlignment="1">
      <alignment wrapText="1"/>
    </xf>
    <xf numFmtId="0" fontId="1" fillId="0" borderId="0" xfId="0" applyFont="1"/>
    <xf numFmtId="18" fontId="0" fillId="0" borderId="0" xfId="0" applyNumberFormat="1"/>
    <xf numFmtId="0" fontId="3" fillId="0" borderId="0" xfId="1"/>
    <xf numFmtId="0" fontId="1" fillId="0" borderId="1" xfId="0" applyFont="1" applyBorder="1"/>
    <xf numFmtId="0" fontId="0" fillId="0" borderId="1" xfId="0" applyBorder="1"/>
    <xf numFmtId="0" fontId="0" fillId="0" borderId="1" xfId="0" applyBorder="1" applyAlignment="1">
      <alignment wrapText="1"/>
    </xf>
    <xf numFmtId="0" fontId="3" fillId="0" borderId="1" xfId="1" applyBorder="1"/>
    <xf numFmtId="0" fontId="0" fillId="0" borderId="0" xfId="0" applyAlignment="1">
      <alignment horizontal="center"/>
    </xf>
    <xf numFmtId="0" fontId="3" fillId="0" borderId="1" xfId="1" applyBorder="1" applyAlignment="1">
      <alignment horizontal="center"/>
    </xf>
    <xf numFmtId="0" fontId="0" fillId="0" borderId="1" xfId="0" applyBorder="1" applyAlignment="1">
      <alignment horizontal="center"/>
    </xf>
    <xf numFmtId="0" fontId="1" fillId="0" borderId="1" xfId="0" applyFont="1" applyBorder="1" applyAlignment="1">
      <alignment horizontal="center"/>
    </xf>
    <xf numFmtId="0" fontId="1" fillId="3" borderId="1" xfId="0" applyFont="1" applyFill="1" applyBorder="1" applyAlignment="1">
      <alignment horizontal="center"/>
    </xf>
    <xf numFmtId="0" fontId="1" fillId="4" borderId="1" xfId="0" applyFont="1" applyFill="1" applyBorder="1" applyAlignment="1">
      <alignment horizontal="center"/>
    </xf>
    <xf numFmtId="0" fontId="3" fillId="0" borderId="0" xfId="1" applyAlignment="1">
      <alignment horizontal="center" vertical="top"/>
    </xf>
    <xf numFmtId="0" fontId="0" fillId="0" borderId="0" xfId="0" applyAlignment="1">
      <alignment horizontal="center" vertical="top"/>
    </xf>
    <xf numFmtId="0" fontId="4" fillId="5" borderId="1" xfId="1" applyFont="1" applyFill="1" applyBorder="1" applyAlignment="1">
      <alignment horizontal="center" wrapText="1"/>
    </xf>
    <xf numFmtId="0" fontId="2" fillId="5" borderId="1" xfId="0" applyFont="1" applyFill="1" applyBorder="1" applyAlignment="1">
      <alignment horizontal="center" wrapText="1"/>
    </xf>
    <xf numFmtId="0" fontId="2" fillId="5" borderId="1" xfId="0" applyFont="1" applyFill="1" applyBorder="1" applyAlignment="1">
      <alignment wrapText="1"/>
    </xf>
    <xf numFmtId="0" fontId="5" fillId="3" borderId="1" xfId="0" applyFont="1" applyFill="1" applyBorder="1" applyAlignment="1">
      <alignment horizontal="center" vertical="top"/>
    </xf>
    <xf numFmtId="0" fontId="0" fillId="0" borderId="1" xfId="0" applyBorder="1" applyAlignment="1">
      <alignment horizontal="center" vertical="top"/>
    </xf>
    <xf numFmtId="164" fontId="0" fillId="0" borderId="1" xfId="0" applyNumberFormat="1" applyBorder="1" applyAlignment="1">
      <alignment horizontal="center" vertical="top"/>
    </xf>
    <xf numFmtId="0" fontId="0" fillId="0" borderId="1" xfId="0" applyBorder="1" applyAlignment="1">
      <alignment horizontal="center" vertical="top" wrapText="1"/>
    </xf>
    <xf numFmtId="0" fontId="0" fillId="0" borderId="1" xfId="0" applyBorder="1" applyAlignment="1">
      <alignment horizontal="center" wrapText="1"/>
    </xf>
    <xf numFmtId="0" fontId="4" fillId="7" borderId="1" xfId="1" applyFont="1" applyFill="1" applyBorder="1" applyAlignment="1">
      <alignment horizontal="center" wrapText="1"/>
    </xf>
    <xf numFmtId="0" fontId="4" fillId="7" borderId="1" xfId="0" applyFont="1" applyFill="1" applyBorder="1" applyAlignment="1">
      <alignment horizontal="center" wrapText="1"/>
    </xf>
    <xf numFmtId="0" fontId="2" fillId="7" borderId="1" xfId="0" applyFont="1" applyFill="1" applyBorder="1" applyAlignment="1">
      <alignment horizontal="center" wrapText="1"/>
    </xf>
    <xf numFmtId="0" fontId="1" fillId="8" borderId="1" xfId="0" applyFont="1" applyFill="1" applyBorder="1" applyAlignment="1">
      <alignment horizontal="center"/>
    </xf>
    <xf numFmtId="14" fontId="0" fillId="0" borderId="0" xfId="0" applyNumberFormat="1"/>
    <xf numFmtId="0" fontId="4" fillId="5" borderId="1" xfId="0" applyFont="1" applyFill="1" applyBorder="1" applyAlignment="1">
      <alignment horizontal="center" wrapText="1"/>
    </xf>
    <xf numFmtId="0" fontId="6" fillId="6" borderId="1" xfId="1" applyFont="1" applyFill="1" applyBorder="1" applyAlignment="1">
      <alignment horizontal="center"/>
    </xf>
    <xf numFmtId="14" fontId="0" fillId="0" borderId="1" xfId="0" applyNumberFormat="1" applyBorder="1" applyAlignment="1">
      <alignment horizontal="center"/>
    </xf>
    <xf numFmtId="0" fontId="4" fillId="5" borderId="1" xfId="1" applyFont="1" applyFill="1" applyBorder="1" applyAlignment="1">
      <alignment horizontal="center"/>
    </xf>
    <xf numFmtId="0" fontId="1" fillId="6" borderId="1" xfId="0" applyFont="1" applyFill="1" applyBorder="1" applyAlignment="1">
      <alignment horizontal="center"/>
    </xf>
    <xf numFmtId="0" fontId="5" fillId="8" borderId="1" xfId="0" applyFont="1" applyFill="1" applyBorder="1" applyAlignment="1">
      <alignment horizontal="center"/>
    </xf>
    <xf numFmtId="0" fontId="5" fillId="0" borderId="0" xfId="0" applyFont="1"/>
    <xf numFmtId="18" fontId="0" fillId="0" borderId="1" xfId="0" applyNumberFormat="1" applyBorder="1" applyAlignment="1">
      <alignment horizontal="center"/>
    </xf>
    <xf numFmtId="18" fontId="0" fillId="0" borderId="0" xfId="0" applyNumberFormat="1" applyAlignment="1">
      <alignment horizontal="center"/>
    </xf>
    <xf numFmtId="18" fontId="0" fillId="0" borderId="1" xfId="0" applyNumberFormat="1" applyBorder="1" applyAlignment="1">
      <alignment horizontal="center" vertical="top"/>
    </xf>
    <xf numFmtId="0" fontId="5" fillId="3" borderId="1" xfId="0" applyFont="1" applyFill="1" applyBorder="1" applyAlignment="1">
      <alignment horizontal="center"/>
    </xf>
    <xf numFmtId="164" fontId="0" fillId="0" borderId="1" xfId="0" applyNumberFormat="1" applyBorder="1" applyAlignment="1">
      <alignment horizontal="center"/>
    </xf>
    <xf numFmtId="0" fontId="2" fillId="5" borderId="1" xfId="0" applyFont="1" applyFill="1" applyBorder="1" applyAlignment="1">
      <alignment horizontal="center"/>
    </xf>
    <xf numFmtId="0" fontId="1" fillId="9" borderId="1" xfId="0" applyFont="1" applyFill="1" applyBorder="1" applyAlignment="1">
      <alignment horizontal="center"/>
    </xf>
    <xf numFmtId="0" fontId="2" fillId="0" borderId="0" xfId="0" applyFont="1" applyAlignment="1">
      <alignment wrapText="1"/>
    </xf>
    <xf numFmtId="0" fontId="8" fillId="0" borderId="1" xfId="1" applyFont="1" applyBorder="1" applyAlignment="1">
      <alignment horizontal="center"/>
    </xf>
    <xf numFmtId="0" fontId="8" fillId="0" borderId="0" xfId="0" applyFont="1" applyAlignment="1">
      <alignment horizontal="center"/>
    </xf>
    <xf numFmtId="49" fontId="0" fillId="0" borderId="1" xfId="0" applyNumberFormat="1" applyBorder="1" applyAlignment="1">
      <alignment horizontal="center"/>
    </xf>
    <xf numFmtId="165" fontId="0" fillId="0" borderId="0" xfId="0" applyNumberFormat="1"/>
    <xf numFmtId="18" fontId="3" fillId="0" borderId="1" xfId="1" applyNumberFormat="1" applyBorder="1" applyAlignment="1">
      <alignment horizontal="center"/>
    </xf>
    <xf numFmtId="22" fontId="0" fillId="0" borderId="0" xfId="0" applyNumberFormat="1"/>
    <xf numFmtId="22" fontId="0" fillId="0" borderId="1" xfId="0" applyNumberFormat="1" applyBorder="1" applyAlignment="1">
      <alignment horizontal="center"/>
    </xf>
    <xf numFmtId="14" fontId="0" fillId="0" borderId="0" xfId="0" applyNumberFormat="1" applyAlignment="1">
      <alignment horizontal="center"/>
    </xf>
    <xf numFmtId="0" fontId="3" fillId="0" borderId="1" xfId="1" applyBorder="1" applyAlignment="1">
      <alignment horizontal="center" wrapText="1"/>
    </xf>
    <xf numFmtId="0" fontId="6" fillId="6" borderId="1" xfId="1" applyFont="1" applyFill="1" applyBorder="1" applyAlignment="1">
      <alignment horizontal="center" vertical="top"/>
    </xf>
    <xf numFmtId="18" fontId="3" fillId="0" borderId="1" xfId="1" applyNumberFormat="1" applyBorder="1" applyAlignment="1">
      <alignment horizontal="center" vertical="top"/>
    </xf>
    <xf numFmtId="0" fontId="5" fillId="6" borderId="1" xfId="0" applyFont="1" applyFill="1" applyBorder="1" applyAlignment="1">
      <alignment horizontal="center"/>
    </xf>
    <xf numFmtId="0" fontId="1" fillId="13" borderId="1" xfId="0" applyFont="1" applyFill="1" applyBorder="1" applyAlignment="1">
      <alignment horizontal="center"/>
    </xf>
    <xf numFmtId="0" fontId="5" fillId="13" borderId="1" xfId="0" applyFont="1" applyFill="1" applyBorder="1" applyAlignment="1">
      <alignment horizontal="center"/>
    </xf>
    <xf numFmtId="0" fontId="0" fillId="0" borderId="0" xfId="0" applyFill="1" applyBorder="1" applyAlignment="1">
      <alignment horizontal="center"/>
    </xf>
    <xf numFmtId="0" fontId="0" fillId="13" borderId="1" xfId="0" applyFill="1" applyBorder="1"/>
    <xf numFmtId="0" fontId="0" fillId="10" borderId="1" xfId="0" applyFill="1" applyBorder="1"/>
    <xf numFmtId="0" fontId="8" fillId="11" borderId="1" xfId="0" applyFont="1" applyFill="1" applyBorder="1"/>
    <xf numFmtId="0" fontId="0" fillId="12" borderId="1" xfId="0" applyFill="1" applyBorder="1"/>
    <xf numFmtId="0" fontId="0" fillId="14" borderId="1" xfId="0" applyFill="1" applyBorder="1"/>
    <xf numFmtId="0" fontId="0" fillId="15" borderId="1" xfId="0" applyFill="1" applyBorder="1"/>
    <xf numFmtId="0" fontId="0" fillId="3" borderId="1" xfId="0" applyFill="1" applyBorder="1"/>
    <xf numFmtId="0" fontId="0" fillId="4" borderId="1" xfId="0" applyFill="1" applyBorder="1"/>
    <xf numFmtId="0" fontId="0" fillId="6" borderId="1" xfId="0" applyFill="1" applyBorder="1" applyAlignment="1">
      <alignment wrapText="1"/>
    </xf>
    <xf numFmtId="0" fontId="0" fillId="9" borderId="1" xfId="0" applyFill="1" applyBorder="1"/>
    <xf numFmtId="0" fontId="0" fillId="10" borderId="1" xfId="0" applyFill="1" applyBorder="1" applyAlignment="1">
      <alignment wrapText="1"/>
    </xf>
    <xf numFmtId="0" fontId="0" fillId="11" borderId="1" xfId="0" applyFill="1" applyBorder="1" applyAlignment="1">
      <alignment wrapText="1"/>
    </xf>
    <xf numFmtId="0" fontId="0" fillId="15" borderId="1" xfId="0" applyFill="1" applyBorder="1" applyAlignment="1">
      <alignment wrapText="1"/>
    </xf>
    <xf numFmtId="0" fontId="0" fillId="3" borderId="1" xfId="0" applyFill="1" applyBorder="1" applyAlignment="1">
      <alignment wrapText="1"/>
    </xf>
    <xf numFmtId="0" fontId="0" fillId="4" borderId="1" xfId="0" applyFill="1" applyBorder="1" applyAlignment="1">
      <alignment wrapText="1"/>
    </xf>
    <xf numFmtId="0" fontId="0" fillId="9" borderId="1" xfId="0" applyFill="1" applyBorder="1" applyAlignment="1">
      <alignment wrapText="1"/>
    </xf>
    <xf numFmtId="0" fontId="1" fillId="10" borderId="1" xfId="0" applyFont="1" applyFill="1" applyBorder="1" applyAlignment="1">
      <alignment horizontal="center"/>
    </xf>
    <xf numFmtId="0" fontId="1" fillId="12" borderId="1" xfId="0" applyFont="1" applyFill="1" applyBorder="1" applyAlignment="1">
      <alignment horizontal="center"/>
    </xf>
    <xf numFmtId="0" fontId="1" fillId="15" borderId="1" xfId="0" applyFont="1" applyFill="1" applyBorder="1" applyAlignment="1">
      <alignment horizontal="center" wrapText="1"/>
    </xf>
    <xf numFmtId="0" fontId="1" fillId="15" borderId="1" xfId="0" applyFont="1" applyFill="1" applyBorder="1" applyAlignment="1">
      <alignment horizontal="center"/>
    </xf>
    <xf numFmtId="0" fontId="5" fillId="10" borderId="1" xfId="0" applyFont="1" applyFill="1" applyBorder="1" applyAlignment="1">
      <alignment horizontal="center" vertical="top"/>
    </xf>
    <xf numFmtId="0" fontId="5" fillId="12" borderId="1" xfId="0" applyFont="1" applyFill="1" applyBorder="1" applyAlignment="1">
      <alignment horizontal="center" vertical="top"/>
    </xf>
    <xf numFmtId="0" fontId="1" fillId="11" borderId="1" xfId="0" applyFont="1" applyFill="1" applyBorder="1" applyAlignment="1">
      <alignment horizontal="center"/>
    </xf>
    <xf numFmtId="0" fontId="1" fillId="14" borderId="1" xfId="0" applyFont="1" applyFill="1" applyBorder="1" applyAlignment="1">
      <alignment horizontal="center"/>
    </xf>
  </cellXfs>
  <cellStyles count="2">
    <cellStyle name="Hipervínculo" xfId="1" builtinId="8"/>
    <cellStyle name="Normal" xfId="0" builtinId="0"/>
  </cellStyles>
  <dxfs count="0"/>
  <tableStyles count="0" defaultTableStyle="TableStyleMedium2" defaultPivotStyle="PivotStyleLight16"/>
  <colors>
    <mruColors>
      <color rgb="FFFF3F3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202045</xdr:colOff>
      <xdr:row>2</xdr:row>
      <xdr:rowOff>192423</xdr:rowOff>
    </xdr:from>
    <xdr:to>
      <xdr:col>18</xdr:col>
      <xdr:colOff>329247</xdr:colOff>
      <xdr:row>31</xdr:row>
      <xdr:rowOff>163560</xdr:rowOff>
    </xdr:to>
    <xdr:pic>
      <xdr:nvPicPr>
        <xdr:cNvPr id="2" name="Imagen 1">
          <a:extLst>
            <a:ext uri="{FF2B5EF4-FFF2-40B4-BE49-F238E27FC236}">
              <a16:creationId xmlns:a16="http://schemas.microsoft.com/office/drawing/2014/main" id="{ABE419C4-ED6D-F2DD-03E4-99972CEE0EE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02045" y="577271"/>
          <a:ext cx="14799550" cy="55514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2216492-8388-41E0-BF9F-A7DC14E86A70}">
  <we:reference id="wa200010725" version="1.0.0.1" store="es-ES" storeType="OMEX"/>
  <we:alternateReferences>
    <we:reference id="WA200010725" version="1.0.0.1" store="" storeType="OMEX"/>
  </we:alternateReferences>
  <we:properties>
    <we:property name="claude.fileId" value="&quot;a357427e-8d6b-4b8d-a56c-647f29a36447&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95362-94CF-4E08-8433-6F4780C6375E}">
  <dimension ref="A1:AD50"/>
  <sheetViews>
    <sheetView tabSelected="1" zoomScale="99" workbookViewId="0"/>
  </sheetViews>
  <sheetFormatPr baseColWidth="10" defaultRowHeight="14.4" x14ac:dyDescent="0.3"/>
  <cols>
    <col min="1" max="1" width="26.33203125" bestFit="1" customWidth="1"/>
  </cols>
  <sheetData>
    <row r="1" spans="1:30" x14ac:dyDescent="0.3">
      <c r="A1" s="5" t="s">
        <v>39</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spans="1:30" x14ac:dyDescent="0.3">
      <c r="A2" s="1"/>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x14ac:dyDescent="0.3">
      <c r="A3" s="1"/>
      <c r="B3" s="1"/>
      <c r="C3" s="1"/>
      <c r="D3" s="1"/>
      <c r="E3" s="1"/>
      <c r="F3" s="1"/>
      <c r="G3" s="1"/>
      <c r="H3" s="1"/>
      <c r="I3" s="1"/>
      <c r="J3" s="1"/>
      <c r="K3" s="1"/>
      <c r="L3" s="1"/>
      <c r="M3" s="1"/>
      <c r="N3" s="1"/>
      <c r="O3" s="1"/>
      <c r="P3" s="1"/>
      <c r="Q3" s="1"/>
      <c r="R3" s="1"/>
      <c r="S3" s="1"/>
      <c r="T3" s="1"/>
      <c r="U3" s="1"/>
      <c r="V3" s="1"/>
      <c r="W3" s="1"/>
      <c r="X3" s="1"/>
      <c r="Y3" s="1"/>
      <c r="Z3" s="1"/>
      <c r="AA3" s="1"/>
      <c r="AB3" s="1"/>
      <c r="AC3" s="1"/>
      <c r="AD3" s="1"/>
    </row>
    <row r="4" spans="1:30" x14ac:dyDescent="0.3">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x14ac:dyDescent="0.3">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x14ac:dyDescent="0.3">
      <c r="A6" s="1"/>
      <c r="B6" s="1"/>
      <c r="D6" s="1"/>
      <c r="E6" s="1"/>
      <c r="F6" s="1"/>
      <c r="G6" s="1"/>
      <c r="H6" s="1"/>
      <c r="I6" s="1"/>
      <c r="J6" s="1"/>
      <c r="K6" s="1"/>
      <c r="L6" s="1"/>
      <c r="M6" s="1"/>
      <c r="N6" s="1"/>
      <c r="O6" s="1"/>
      <c r="P6" s="1"/>
      <c r="Q6" s="1"/>
      <c r="R6" s="1"/>
      <c r="S6" s="1"/>
      <c r="T6" s="1"/>
      <c r="U6" s="1"/>
      <c r="V6" s="1"/>
      <c r="W6" s="1"/>
      <c r="X6" s="1"/>
      <c r="Y6" s="1"/>
      <c r="Z6" s="1"/>
      <c r="AA6" s="1"/>
      <c r="AB6" s="1"/>
      <c r="AC6" s="1"/>
      <c r="AD6" s="1"/>
    </row>
    <row r="7" spans="1:30" x14ac:dyDescent="0.3">
      <c r="A7" s="1"/>
      <c r="B7" s="1"/>
      <c r="C7" s="1"/>
      <c r="D7" s="1"/>
      <c r="E7" s="1"/>
      <c r="F7" s="1"/>
      <c r="G7" s="1"/>
      <c r="H7" s="1"/>
      <c r="I7" s="1"/>
      <c r="J7" s="1"/>
      <c r="K7" s="1"/>
      <c r="L7" s="1"/>
      <c r="M7" s="1"/>
      <c r="N7" s="1"/>
      <c r="O7" s="1"/>
      <c r="P7" s="1"/>
      <c r="Q7" s="1"/>
      <c r="R7" s="1"/>
      <c r="S7" s="1"/>
      <c r="T7" s="1"/>
      <c r="U7" s="1"/>
      <c r="V7" s="1"/>
      <c r="W7" s="1"/>
      <c r="X7" s="1"/>
      <c r="Y7" s="1"/>
      <c r="Z7" s="1"/>
      <c r="AA7" s="1"/>
      <c r="AB7" s="1"/>
      <c r="AC7" s="1"/>
      <c r="AD7" s="1"/>
    </row>
    <row r="8" spans="1:30" x14ac:dyDescent="0.3">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x14ac:dyDescent="0.3">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x14ac:dyDescent="0.3">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spans="1:30" x14ac:dyDescent="0.3">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spans="1:30" x14ac:dyDescent="0.3">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spans="1:30" x14ac:dyDescent="0.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spans="1:30" x14ac:dyDescent="0.3">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spans="1:30" x14ac:dyDescent="0.3">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spans="1:30" x14ac:dyDescent="0.3">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spans="1:30" x14ac:dyDescent="0.3">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x14ac:dyDescent="0.3">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x14ac:dyDescent="0.3">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x14ac:dyDescent="0.3">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spans="1:30" x14ac:dyDescent="0.3">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x14ac:dyDescent="0.3">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x14ac:dyDescent="0.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x14ac:dyDescent="0.3">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x14ac:dyDescent="0.3">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x14ac:dyDescent="0.3">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x14ac:dyDescent="0.3">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x14ac:dyDescent="0.3">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x14ac:dyDescent="0.3">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x14ac:dyDescent="0.3">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x14ac:dyDescent="0.3">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x14ac:dyDescent="0.3">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x14ac:dyDescent="0.3">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x14ac:dyDescent="0.3">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x14ac:dyDescent="0.3">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x14ac:dyDescent="0.3">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x14ac:dyDescent="0.3">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x14ac:dyDescent="0.3">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x14ac:dyDescent="0.3">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x14ac:dyDescent="0.3">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x14ac:dyDescent="0.3">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3">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3">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3">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3">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3">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x14ac:dyDescent="0.3">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x14ac:dyDescent="0.3">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sheetData>
  <hyperlinks>
    <hyperlink ref="A1" location="'Objetos de Dominio'!A1" display="&lt;&lt;&lt;&lt; Ir a objetos de dominio" xr:uid="{1E6C5FA1-E9A9-4758-8F5D-35278D15B010}"/>
  </hyperlink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A025-A9A3-4E3E-A766-44885AA770B6}">
  <dimension ref="A1:D15"/>
  <sheetViews>
    <sheetView workbookViewId="0"/>
  </sheetViews>
  <sheetFormatPr baseColWidth="10" defaultRowHeight="14.4" x14ac:dyDescent="0.3"/>
  <cols>
    <col min="1" max="1" width="27" bestFit="1" customWidth="1"/>
    <col min="2" max="2" width="63.6640625" customWidth="1"/>
    <col min="3" max="3" width="14.44140625" customWidth="1"/>
    <col min="4" max="4" width="7.6640625" customWidth="1"/>
  </cols>
  <sheetData>
    <row r="1" spans="1:4" x14ac:dyDescent="0.3">
      <c r="A1" s="5" t="s">
        <v>32</v>
      </c>
    </row>
    <row r="2" spans="1:4" x14ac:dyDescent="0.3">
      <c r="A2" s="6" t="s">
        <v>0</v>
      </c>
      <c r="B2" s="6" t="s">
        <v>1</v>
      </c>
      <c r="C2" s="6" t="s">
        <v>2</v>
      </c>
      <c r="D2" s="6" t="s">
        <v>3</v>
      </c>
    </row>
    <row r="3" spans="1:4" ht="43.2" x14ac:dyDescent="0.3">
      <c r="A3" s="7" t="s">
        <v>4</v>
      </c>
      <c r="B3" s="8" t="s">
        <v>15</v>
      </c>
      <c r="C3" s="7">
        <v>1</v>
      </c>
      <c r="D3" s="9" t="s">
        <v>34</v>
      </c>
    </row>
    <row r="4" spans="1:4" ht="57.6" x14ac:dyDescent="0.3">
      <c r="A4" s="7" t="s">
        <v>11</v>
      </c>
      <c r="B4" s="8" t="s">
        <v>155</v>
      </c>
      <c r="C4" s="7">
        <v>1</v>
      </c>
      <c r="D4" s="9" t="s">
        <v>34</v>
      </c>
    </row>
    <row r="5" spans="1:4" ht="57.6" x14ac:dyDescent="0.3">
      <c r="A5" s="7" t="s">
        <v>5</v>
      </c>
      <c r="B5" s="8" t="s">
        <v>156</v>
      </c>
      <c r="C5" s="7">
        <v>2</v>
      </c>
      <c r="D5" s="9" t="s">
        <v>34</v>
      </c>
    </row>
    <row r="6" spans="1:4" ht="43.2" x14ac:dyDescent="0.3">
      <c r="A6" s="7" t="s">
        <v>74</v>
      </c>
      <c r="B6" s="8" t="s">
        <v>157</v>
      </c>
      <c r="C6" s="7">
        <v>2</v>
      </c>
      <c r="D6" s="9" t="s">
        <v>34</v>
      </c>
    </row>
    <row r="7" spans="1:4" ht="43.2" x14ac:dyDescent="0.3">
      <c r="A7" s="7" t="s">
        <v>6</v>
      </c>
      <c r="B7" s="8" t="s">
        <v>158</v>
      </c>
      <c r="C7" s="7">
        <v>2</v>
      </c>
      <c r="D7" s="9" t="s">
        <v>34</v>
      </c>
    </row>
    <row r="8" spans="1:4" ht="43.2" x14ac:dyDescent="0.3">
      <c r="A8" s="7" t="s">
        <v>7</v>
      </c>
      <c r="B8" s="8" t="s">
        <v>16</v>
      </c>
      <c r="C8" s="7">
        <v>2</v>
      </c>
      <c r="D8" s="9" t="s">
        <v>34</v>
      </c>
    </row>
    <row r="9" spans="1:4" ht="57.6" x14ac:dyDescent="0.3">
      <c r="A9" s="7" t="s">
        <v>13</v>
      </c>
      <c r="B9" s="8" t="s">
        <v>159</v>
      </c>
      <c r="C9" s="7">
        <v>2</v>
      </c>
      <c r="D9" s="9" t="s">
        <v>34</v>
      </c>
    </row>
    <row r="10" spans="1:4" ht="28.8" x14ac:dyDescent="0.3">
      <c r="A10" s="7" t="s">
        <v>8</v>
      </c>
      <c r="B10" s="8" t="s">
        <v>17</v>
      </c>
      <c r="C10" s="7">
        <v>3</v>
      </c>
      <c r="D10" s="9" t="s">
        <v>34</v>
      </c>
    </row>
    <row r="11" spans="1:4" ht="43.2" x14ac:dyDescent="0.3">
      <c r="A11" s="7" t="s">
        <v>9</v>
      </c>
      <c r="B11" s="8" t="s">
        <v>160</v>
      </c>
      <c r="C11" s="7">
        <v>3</v>
      </c>
      <c r="D11" s="9" t="s">
        <v>34</v>
      </c>
    </row>
    <row r="12" spans="1:4" ht="28.8" x14ac:dyDescent="0.3">
      <c r="A12" s="7" t="s">
        <v>75</v>
      </c>
      <c r="B12" s="8" t="s">
        <v>161</v>
      </c>
      <c r="C12" s="7">
        <v>4</v>
      </c>
      <c r="D12" s="9" t="s">
        <v>34</v>
      </c>
    </row>
    <row r="13" spans="1:4" ht="72" x14ac:dyDescent="0.3">
      <c r="A13" s="7" t="s">
        <v>10</v>
      </c>
      <c r="B13" s="8" t="s">
        <v>162</v>
      </c>
      <c r="C13" s="7">
        <v>4</v>
      </c>
      <c r="D13" s="9" t="s">
        <v>34</v>
      </c>
    </row>
    <row r="14" spans="1:4" ht="43.2" x14ac:dyDescent="0.3">
      <c r="A14" s="7" t="s">
        <v>12</v>
      </c>
      <c r="B14" s="8" t="s">
        <v>18</v>
      </c>
      <c r="C14" s="7">
        <v>5</v>
      </c>
      <c r="D14" s="9" t="s">
        <v>34</v>
      </c>
    </row>
    <row r="15" spans="1:4" ht="57.6" x14ac:dyDescent="0.3">
      <c r="A15" s="7" t="s">
        <v>14</v>
      </c>
      <c r="B15" s="8" t="s">
        <v>19</v>
      </c>
      <c r="C15" s="7">
        <v>5</v>
      </c>
      <c r="D15" s="9" t="s">
        <v>34</v>
      </c>
    </row>
  </sheetData>
  <hyperlinks>
    <hyperlink ref="D3" location="Barberia_D!A1" display="aquí" xr:uid="{4DD4FFDC-FEC3-4024-8B2A-15ECCC25F1B4}"/>
    <hyperlink ref="D4" location="Cliente_D!A1" display="aquí" xr:uid="{36147D48-0B43-4DA0-AD5A-85C9F3A80142}"/>
    <hyperlink ref="D5" location="Regla_D!A1" display="aquí" xr:uid="{CE75E08E-3AEF-4772-B979-C6C2C9E47B76}"/>
    <hyperlink ref="D7" location="Servicio_D!A1" display="aquí" xr:uid="{FA9DCCF5-D4AD-44C7-B850-A147A771879F}"/>
    <hyperlink ref="D8" location="Barbero_D!A1" display="aquí" xr:uid="{D986BDF3-3679-4C1D-B75C-941AB0C17E00}"/>
    <hyperlink ref="D9" location="Veto_D!A1" display="aquí" xr:uid="{50EEB4A4-A05B-458F-A616-2C079D7BA2A1}"/>
    <hyperlink ref="D10" location="BarberoServicio_D!A1" display="aquí" xr:uid="{AC14820F-CB56-4CB4-B9D5-B9DDBC302113}"/>
    <hyperlink ref="D11" location="Agenda_D!A1" display="aquí" xr:uid="{F2DC45FC-06BF-43EC-8765-3A2CBBBD79CD}"/>
    <hyperlink ref="D13" location="Cita_D!A1" display="aquí" xr:uid="{3BDFED20-FFB7-4345-9356-B30AC1240BDC}"/>
    <hyperlink ref="D14" location="Multa_D!A1" display="aquí" xr:uid="{5D100657-ADBE-4AA9-A971-9C9D942C9DAD}"/>
    <hyperlink ref="D15" location="CitaServicio_D!A1" display="aquí" xr:uid="{F49154C9-A497-4677-B686-F9CF5B536DEC}"/>
    <hyperlink ref="A1" location="'Modelo de Dominio'!A1" display="&lt;&lt;&lt;&lt; Ir al modulo de dominio" xr:uid="{A3D1E053-3C90-4C85-85FB-01CE6B92A5EE}"/>
    <hyperlink ref="D6" location="HorarioBarberia_D!A1" display="aquí" xr:uid="{CE45E0DE-1B75-4BE0-8664-81F7834039D9}"/>
    <hyperlink ref="D12" location="HorarioBarbero_D!A1" display="aquí" xr:uid="{3B048927-BA4F-418A-BCDC-3E65406B8FD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DE6AC-7D92-461D-9DD1-84082B531231}">
  <dimension ref="A1:B11"/>
  <sheetViews>
    <sheetView zoomScale="140" zoomScaleNormal="140" workbookViewId="0">
      <selection activeCell="A6" sqref="A6"/>
    </sheetView>
  </sheetViews>
  <sheetFormatPr baseColWidth="10" defaultRowHeight="14.4" x14ac:dyDescent="0.3"/>
  <cols>
    <col min="1" max="1" width="18.44140625" customWidth="1"/>
    <col min="2" max="2" width="62.77734375" customWidth="1"/>
  </cols>
  <sheetData>
    <row r="1" spans="1:2" x14ac:dyDescent="0.3">
      <c r="A1" s="7" t="s">
        <v>172</v>
      </c>
      <c r="B1" s="7" t="s">
        <v>1</v>
      </c>
    </row>
    <row r="2" spans="1:2" x14ac:dyDescent="0.3">
      <c r="A2" s="61" t="s">
        <v>173</v>
      </c>
      <c r="B2" s="61" t="s">
        <v>184</v>
      </c>
    </row>
    <row r="3" spans="1:2" ht="28.8" x14ac:dyDescent="0.3">
      <c r="A3" s="62" t="s">
        <v>174</v>
      </c>
      <c r="B3" s="71" t="s">
        <v>185</v>
      </c>
    </row>
    <row r="4" spans="1:2" x14ac:dyDescent="0.3">
      <c r="A4" s="64" t="s">
        <v>175</v>
      </c>
      <c r="B4" s="64" t="s">
        <v>186</v>
      </c>
    </row>
    <row r="5" spans="1:2" x14ac:dyDescent="0.3">
      <c r="A5" s="63" t="s">
        <v>212</v>
      </c>
      <c r="B5" s="72" t="s">
        <v>213</v>
      </c>
    </row>
    <row r="6" spans="1:2" x14ac:dyDescent="0.3">
      <c r="A6" s="65" t="s">
        <v>178</v>
      </c>
      <c r="B6" s="65" t="s">
        <v>190</v>
      </c>
    </row>
    <row r="7" spans="1:2" ht="28.8" x14ac:dyDescent="0.3">
      <c r="A7" s="66" t="s">
        <v>179</v>
      </c>
      <c r="B7" s="73" t="s">
        <v>187</v>
      </c>
    </row>
    <row r="8" spans="1:2" ht="28.8" x14ac:dyDescent="0.3">
      <c r="A8" s="67" t="s">
        <v>180</v>
      </c>
      <c r="B8" s="74" t="s">
        <v>188</v>
      </c>
    </row>
    <row r="9" spans="1:2" ht="43.2" x14ac:dyDescent="0.3">
      <c r="A9" s="68" t="s">
        <v>181</v>
      </c>
      <c r="B9" s="75" t="s">
        <v>189</v>
      </c>
    </row>
    <row r="10" spans="1:2" ht="28.8" x14ac:dyDescent="0.3">
      <c r="A10" s="69" t="s">
        <v>182</v>
      </c>
      <c r="B10" s="69" t="s">
        <v>191</v>
      </c>
    </row>
    <row r="11" spans="1:2" ht="57.6" x14ac:dyDescent="0.3">
      <c r="A11" s="70" t="s">
        <v>183</v>
      </c>
      <c r="B11" s="76" t="s">
        <v>192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22F8C-1648-4644-8301-765EB2B8C50B}">
  <dimension ref="A1:C4"/>
  <sheetViews>
    <sheetView zoomScale="160" zoomScaleNormal="160" workbookViewId="0">
      <selection activeCell="D7" sqref="D7"/>
    </sheetView>
  </sheetViews>
  <sheetFormatPr baseColWidth="10" defaultRowHeight="14.4" x14ac:dyDescent="0.3"/>
  <cols>
    <col min="1" max="1" width="33.88671875" customWidth="1"/>
    <col min="2" max="2" width="34.6640625" customWidth="1"/>
    <col min="3" max="3" width="21" customWidth="1"/>
  </cols>
  <sheetData>
    <row r="1" spans="1:3" x14ac:dyDescent="0.3">
      <c r="A1" s="5" t="s">
        <v>32</v>
      </c>
      <c r="B1" s="5" t="s">
        <v>33</v>
      </c>
    </row>
    <row r="2" spans="1:3" ht="30.75" customHeight="1" x14ac:dyDescent="0.3">
      <c r="A2" s="19" t="s">
        <v>20</v>
      </c>
      <c r="B2" s="19" t="s">
        <v>163</v>
      </c>
    </row>
    <row r="3" spans="1:3" x14ac:dyDescent="0.3">
      <c r="A3" s="14" t="s">
        <v>31</v>
      </c>
      <c r="B3" s="13" t="s">
        <v>21</v>
      </c>
      <c r="C3" s="37"/>
    </row>
    <row r="4" spans="1:3" x14ac:dyDescent="0.3">
      <c r="A4" s="12">
        <v>1</v>
      </c>
      <c r="B4" s="38" t="s">
        <v>68</v>
      </c>
      <c r="C4" s="4"/>
    </row>
  </sheetData>
  <hyperlinks>
    <hyperlink ref="A1" location="'Modelo de Dominio'!A1" display="&lt;&lt;&lt;&lt; Ir al modulo de dominio" xr:uid="{0FEEEACD-5263-424F-9691-DED385216B9A}"/>
    <hyperlink ref="B1" location="'Objetos de Dominio'!A1" display="&lt;&lt;&lt;&lt; Ir a objetos de dominio" xr:uid="{65BA578D-64B7-4416-81D4-7BC58A8F0B9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59140-2713-4A98-8730-76D57DC1D653}">
  <dimension ref="A1:H11"/>
  <sheetViews>
    <sheetView zoomScale="145" zoomScaleNormal="145" workbookViewId="0">
      <selection activeCell="B3" sqref="B3"/>
    </sheetView>
  </sheetViews>
  <sheetFormatPr baseColWidth="10" defaultRowHeight="14.4" x14ac:dyDescent="0.3"/>
  <cols>
    <col min="1" max="1" width="26.88671875" style="10" customWidth="1"/>
    <col min="2" max="6" width="26.33203125" style="10" customWidth="1"/>
    <col min="7" max="7" width="23.109375" style="10" customWidth="1"/>
    <col min="8" max="8" width="38.5546875" style="10" bestFit="1" customWidth="1"/>
  </cols>
  <sheetData>
    <row r="1" spans="1:8" x14ac:dyDescent="0.3">
      <c r="A1" s="11" t="s">
        <v>32</v>
      </c>
      <c r="B1" s="11" t="s">
        <v>33</v>
      </c>
      <c r="C1" s="11"/>
      <c r="D1" s="11"/>
      <c r="E1" s="11"/>
      <c r="F1" s="11"/>
      <c r="G1" s="12"/>
      <c r="H1" s="12"/>
    </row>
    <row r="2" spans="1:8" ht="39.6" x14ac:dyDescent="0.3">
      <c r="A2" s="18" t="s">
        <v>20</v>
      </c>
      <c r="B2" s="18" t="s">
        <v>193</v>
      </c>
      <c r="C2" s="18" t="s">
        <v>194</v>
      </c>
      <c r="D2" s="18" t="s">
        <v>195</v>
      </c>
      <c r="E2" s="18" t="s">
        <v>196</v>
      </c>
      <c r="F2" s="18" t="s">
        <v>197</v>
      </c>
      <c r="G2" s="19" t="s">
        <v>198</v>
      </c>
      <c r="H2" s="20" t="s">
        <v>141</v>
      </c>
    </row>
    <row r="3" spans="1:8" x14ac:dyDescent="0.3">
      <c r="A3" s="14" t="s">
        <v>31</v>
      </c>
      <c r="B3" s="58" t="s">
        <v>105</v>
      </c>
      <c r="C3" s="58" t="s">
        <v>107</v>
      </c>
      <c r="D3" s="58" t="s">
        <v>106</v>
      </c>
      <c r="E3" s="58" t="s">
        <v>108</v>
      </c>
      <c r="F3" s="77" t="s">
        <v>164</v>
      </c>
      <c r="G3" s="77" t="s">
        <v>22</v>
      </c>
      <c r="H3" s="15" t="s">
        <v>71</v>
      </c>
    </row>
    <row r="4" spans="1:8" x14ac:dyDescent="0.3">
      <c r="A4" s="12">
        <v>1</v>
      </c>
      <c r="B4" s="12" t="s">
        <v>122</v>
      </c>
      <c r="C4" s="12"/>
      <c r="D4" s="12" t="s">
        <v>115</v>
      </c>
      <c r="E4" s="12"/>
      <c r="F4" s="48" t="s">
        <v>133</v>
      </c>
      <c r="G4" s="12">
        <v>3234528921</v>
      </c>
      <c r="H4" s="12" t="str">
        <f>_xlfn.CONCAT(B4,"-",C4,"-",D4,"-",E4,"-",F4,"-",G4)</f>
        <v>Juan--Gómez--+57-3234528921</v>
      </c>
    </row>
    <row r="5" spans="1:8" x14ac:dyDescent="0.3">
      <c r="A5" s="12">
        <v>2</v>
      </c>
      <c r="B5" s="12" t="s">
        <v>120</v>
      </c>
      <c r="C5" s="12" t="s">
        <v>121</v>
      </c>
      <c r="D5" s="12" t="s">
        <v>117</v>
      </c>
      <c r="E5" s="12" t="s">
        <v>116</v>
      </c>
      <c r="F5" s="48" t="s">
        <v>133</v>
      </c>
      <c r="G5" s="12">
        <v>3161657782</v>
      </c>
      <c r="H5" s="12" t="str">
        <f t="shared" ref="H5:H7" si="0">_xlfn.CONCAT(B5,"-",C5,"-",D5,"-",E5,"-",F5,"-",G5)</f>
        <v>Jose-Miguel-Ramirez-Perez-+57-3161657782</v>
      </c>
    </row>
    <row r="6" spans="1:8" x14ac:dyDescent="0.3">
      <c r="A6" s="12">
        <v>3</v>
      </c>
      <c r="B6" s="12" t="s">
        <v>123</v>
      </c>
      <c r="C6" s="12"/>
      <c r="D6" s="12" t="s">
        <v>119</v>
      </c>
      <c r="E6" s="12" t="s">
        <v>117</v>
      </c>
      <c r="F6" s="48" t="s">
        <v>133</v>
      </c>
      <c r="G6" s="12">
        <v>3119884321</v>
      </c>
      <c r="H6" s="12" t="str">
        <f t="shared" si="0"/>
        <v>Simon--Ochoa-Ramirez-+57-3119884321</v>
      </c>
    </row>
    <row r="7" spans="1:8" x14ac:dyDescent="0.3">
      <c r="A7" s="12">
        <v>4</v>
      </c>
      <c r="B7" s="12" t="s">
        <v>124</v>
      </c>
      <c r="C7" s="12"/>
      <c r="D7" s="12" t="s">
        <v>118</v>
      </c>
      <c r="E7" s="12"/>
      <c r="F7" s="48" t="s">
        <v>134</v>
      </c>
      <c r="G7" s="12">
        <v>4127359182</v>
      </c>
      <c r="H7" s="12" t="str">
        <f t="shared" si="0"/>
        <v>Alexis--Gallego--+58-4127359182</v>
      </c>
    </row>
    <row r="11" spans="1:8" x14ac:dyDescent="0.3">
      <c r="C11"/>
    </row>
  </sheetData>
  <phoneticPr fontId="7" type="noConversion"/>
  <hyperlinks>
    <hyperlink ref="A1" location="'Modelo de Dominio'!A1" display="&lt;&lt;&lt;&lt; Ir al modulo de dominio" xr:uid="{45ECCE20-A7F3-41A8-ACF9-49963DA55DAB}"/>
    <hyperlink ref="B1" location="'Objetos de Dominio'!A1" display="&lt;&lt;&lt;&lt; Ir a objetos de dominio" xr:uid="{882DBE5D-51B0-4530-88DA-6C3B67C6032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388-6266-4A55-B7A3-4FCD2B643D29}">
  <dimension ref="A1:F5"/>
  <sheetViews>
    <sheetView zoomScale="145" zoomScaleNormal="145" workbookViewId="0">
      <selection activeCell="D3" sqref="D3"/>
    </sheetView>
  </sheetViews>
  <sheetFormatPr baseColWidth="10" defaultRowHeight="14.4" x14ac:dyDescent="0.3"/>
  <cols>
    <col min="1" max="1" width="26.88671875" customWidth="1"/>
    <col min="2" max="2" width="32.5546875" customWidth="1"/>
    <col min="3" max="3" width="28" customWidth="1"/>
    <col min="4" max="4" width="26.6640625" customWidth="1"/>
    <col min="5" max="5" width="16.33203125" bestFit="1" customWidth="1"/>
    <col min="6" max="6" width="18.44140625" bestFit="1" customWidth="1"/>
  </cols>
  <sheetData>
    <row r="1" spans="1:6" x14ac:dyDescent="0.3">
      <c r="A1" s="5" t="s">
        <v>32</v>
      </c>
      <c r="B1" s="5" t="s">
        <v>33</v>
      </c>
    </row>
    <row r="2" spans="1:6" ht="49.2" x14ac:dyDescent="0.3">
      <c r="A2" s="18" t="s">
        <v>20</v>
      </c>
      <c r="B2" s="19" t="s">
        <v>199</v>
      </c>
      <c r="C2" s="19" t="s">
        <v>200</v>
      </c>
      <c r="D2" s="19" t="s">
        <v>201</v>
      </c>
      <c r="E2" s="19" t="s">
        <v>70</v>
      </c>
    </row>
    <row r="3" spans="1:6" x14ac:dyDescent="0.3">
      <c r="A3" s="14" t="s">
        <v>31</v>
      </c>
      <c r="B3" s="78" t="s">
        <v>35</v>
      </c>
      <c r="C3" s="78" t="s">
        <v>23</v>
      </c>
      <c r="D3" s="78" t="s">
        <v>69</v>
      </c>
      <c r="E3" s="32" t="s">
        <v>36</v>
      </c>
      <c r="F3" s="3"/>
    </row>
    <row r="4" spans="1:6" x14ac:dyDescent="0.3">
      <c r="A4" s="12">
        <v>1</v>
      </c>
      <c r="B4" s="12">
        <v>10</v>
      </c>
      <c r="C4" s="42">
        <v>10000</v>
      </c>
      <c r="D4" s="12">
        <v>3</v>
      </c>
      <c r="E4" s="50" t="str">
        <f>Barberia_D!B4</f>
        <v>Barbería Oriental</v>
      </c>
      <c r="F4" t="str">
        <f>_xlfn.CONCAT(D9)</f>
        <v/>
      </c>
    </row>
    <row r="5" spans="1:6" x14ac:dyDescent="0.3">
      <c r="D5" s="2"/>
    </row>
  </sheetData>
  <hyperlinks>
    <hyperlink ref="A1" location="'Modelo de Dominio'!A1" display="&lt;&lt;&lt;&lt; Ir al modulo de dominio" xr:uid="{7C596F35-55B8-4CE7-B78D-972818210697}"/>
    <hyperlink ref="B1" location="'Objetos de Dominio'!A1" display="&lt;&lt;&lt;&lt; Ir a objetos de dominio" xr:uid="{633A0FBE-51A8-439E-B16B-3262AEDC61C1}"/>
    <hyperlink ref="E3" location="Barberia_D!A1" display="barberia" xr:uid="{92B752E3-B6E2-453C-B3B8-21F03C7B498E}"/>
    <hyperlink ref="E4" location="Barberia_D!A4" display="Barberia_D!A4" xr:uid="{4DB2A852-226E-4D4F-BC9E-2AB35927DB45}"/>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0E1EC-B79B-40C0-AC5B-0E2726DDD399}">
  <dimension ref="A1:F11"/>
  <sheetViews>
    <sheetView zoomScale="145" zoomScaleNormal="145" workbookViewId="0">
      <selection activeCell="E3" sqref="E3"/>
    </sheetView>
  </sheetViews>
  <sheetFormatPr baseColWidth="10" defaultRowHeight="14.4" x14ac:dyDescent="0.3"/>
  <cols>
    <col min="1" max="1" width="27" bestFit="1" customWidth="1"/>
    <col min="2" max="2" width="26" bestFit="1" customWidth="1"/>
    <col min="3" max="3" width="22.5546875" customWidth="1"/>
    <col min="4" max="4" width="23.5546875" customWidth="1"/>
    <col min="5" max="5" width="23.77734375" customWidth="1"/>
    <col min="6" max="6" width="34.88671875" customWidth="1"/>
  </cols>
  <sheetData>
    <row r="1" spans="1:6" x14ac:dyDescent="0.3">
      <c r="A1" s="5" t="s">
        <v>32</v>
      </c>
      <c r="B1" s="5" t="s">
        <v>33</v>
      </c>
    </row>
    <row r="2" spans="1:6" ht="44.4" customHeight="1" x14ac:dyDescent="0.3">
      <c r="A2" s="19" t="s">
        <v>20</v>
      </c>
      <c r="B2" s="19" t="s">
        <v>76</v>
      </c>
      <c r="C2" s="19" t="s">
        <v>203</v>
      </c>
      <c r="D2" s="19" t="s">
        <v>204</v>
      </c>
      <c r="E2" s="19" t="s">
        <v>205</v>
      </c>
      <c r="F2" s="19" t="s">
        <v>125</v>
      </c>
    </row>
    <row r="3" spans="1:6" x14ac:dyDescent="0.3">
      <c r="A3" s="14" t="s">
        <v>31</v>
      </c>
      <c r="B3" s="32" t="s">
        <v>36</v>
      </c>
      <c r="C3" s="59" t="s">
        <v>77</v>
      </c>
      <c r="D3" s="79" t="s">
        <v>78</v>
      </c>
      <c r="E3" s="80" t="s">
        <v>79</v>
      </c>
      <c r="F3" s="36" t="s">
        <v>71</v>
      </c>
    </row>
    <row r="4" spans="1:6" x14ac:dyDescent="0.3">
      <c r="A4" s="12">
        <v>1</v>
      </c>
      <c r="B4" s="50" t="str">
        <f>Barberia_D!B4</f>
        <v>Barbería Oriental</v>
      </c>
      <c r="C4" s="38" t="s">
        <v>80</v>
      </c>
      <c r="D4" s="38">
        <v>0.375</v>
      </c>
      <c r="E4" s="38">
        <v>0.79166666666666663</v>
      </c>
      <c r="F4" s="12" t="str">
        <f>_xlfn.CONCAT(B4,"-",C4,"-",TEXT(D4,"hh:mm"),"-",TEXT(E4,"hh:mm"))</f>
        <v>Barbería Oriental-Lunes-09:00-19:00</v>
      </c>
    </row>
    <row r="5" spans="1:6" x14ac:dyDescent="0.3">
      <c r="A5" s="12">
        <v>2</v>
      </c>
      <c r="B5" s="50" t="str">
        <f>Barberia_D!B4</f>
        <v>Barbería Oriental</v>
      </c>
      <c r="C5" s="12" t="s">
        <v>81</v>
      </c>
      <c r="D5" s="38">
        <v>0.375</v>
      </c>
      <c r="E5" s="38">
        <v>0.79166666666666663</v>
      </c>
      <c r="F5" s="12" t="str">
        <f t="shared" ref="F5:F9" si="0">_xlfn.CONCAT(B5,"-",C5,"-",TEXT(D5,"hh:mm"),"-",TEXT(E5,"hh:mm"))</f>
        <v>Barbería Oriental-Martes-09:00-19:00</v>
      </c>
    </row>
    <row r="6" spans="1:6" x14ac:dyDescent="0.3">
      <c r="A6" s="12">
        <v>3</v>
      </c>
      <c r="B6" s="50" t="str">
        <f>Barberia_D!B4</f>
        <v>Barbería Oriental</v>
      </c>
      <c r="C6" s="38" t="s">
        <v>82</v>
      </c>
      <c r="D6" s="38">
        <v>0.375</v>
      </c>
      <c r="E6" s="38">
        <v>0.79166666666666696</v>
      </c>
      <c r="F6" s="12" t="str">
        <f t="shared" si="0"/>
        <v>Barbería Oriental-Miércoles-09:00-19:00</v>
      </c>
    </row>
    <row r="7" spans="1:6" x14ac:dyDescent="0.3">
      <c r="A7" s="12">
        <v>4</v>
      </c>
      <c r="B7" s="50" t="str">
        <f>Barberia_D!B4</f>
        <v>Barbería Oriental</v>
      </c>
      <c r="C7" s="12" t="s">
        <v>83</v>
      </c>
      <c r="D7" s="38">
        <v>0.375</v>
      </c>
      <c r="E7" s="38">
        <v>0.79166666666666696</v>
      </c>
      <c r="F7" s="12" t="str">
        <f t="shared" si="0"/>
        <v>Barbería Oriental-Jueves-09:00-19:00</v>
      </c>
    </row>
    <row r="8" spans="1:6" x14ac:dyDescent="0.3">
      <c r="A8" s="12">
        <v>5</v>
      </c>
      <c r="B8" s="50" t="str">
        <f>Barberia_D!B4</f>
        <v>Barbería Oriental</v>
      </c>
      <c r="C8" s="38" t="s">
        <v>84</v>
      </c>
      <c r="D8" s="38">
        <v>0.375</v>
      </c>
      <c r="E8" s="38">
        <v>0.79166666666666696</v>
      </c>
      <c r="F8" s="12" t="str">
        <f t="shared" si="0"/>
        <v>Barbería Oriental-Viernes-09:00-19:00</v>
      </c>
    </row>
    <row r="9" spans="1:6" x14ac:dyDescent="0.3">
      <c r="A9" s="12">
        <v>6</v>
      </c>
      <c r="B9" s="50" t="str">
        <f>Barberia_D!B4</f>
        <v>Barbería Oriental</v>
      </c>
      <c r="C9" s="12" t="s">
        <v>85</v>
      </c>
      <c r="D9" s="40">
        <v>0.33333333333333331</v>
      </c>
      <c r="E9" s="38">
        <v>0.875</v>
      </c>
      <c r="F9" s="12" t="str">
        <f t="shared" si="0"/>
        <v>Barbería Oriental-Sábado-08:00-21:00</v>
      </c>
    </row>
    <row r="10" spans="1:6" x14ac:dyDescent="0.3">
      <c r="A10" s="10"/>
      <c r="B10" s="39"/>
      <c r="C10" s="39"/>
    </row>
    <row r="11" spans="1:6" x14ac:dyDescent="0.3">
      <c r="C11" s="10" t="s">
        <v>202</v>
      </c>
    </row>
  </sheetData>
  <phoneticPr fontId="7" type="noConversion"/>
  <hyperlinks>
    <hyperlink ref="A1" location="'Modelo de Dominio'!A1" display="&lt;&lt;&lt;&lt; Ir al modulo de dominio" xr:uid="{8FE767F6-22F1-4F43-85BA-468D80B0CB91}"/>
    <hyperlink ref="B1" location="'Objetos de Dominio'!A1" display="&lt;&lt;&lt;&lt; Ir a objetos de dominio" xr:uid="{FCE2B5DC-7C40-48F2-89BF-3ECFD15A2C41}"/>
    <hyperlink ref="B3" location="Barberia_D!A1" display="barberia" xr:uid="{2492FDB7-93E1-4CE3-B41F-90BD0687A121}"/>
    <hyperlink ref="B4" location="Barberia_D!A4" display="Barberia_D!A4" xr:uid="{CA0BE91C-E243-4E18-9EBC-492DB8F2F841}"/>
    <hyperlink ref="B5" location="Barberia_D!A4" display="Barberia_D!A4" xr:uid="{8755C4B5-402C-4142-9068-F1A88E40D4BB}"/>
    <hyperlink ref="B6" location="Barberia_D!A4" display="Barberia_D!A4" xr:uid="{110C1F32-4D8E-40A2-90EC-1FBB2E0B8A29}"/>
    <hyperlink ref="B7" location="Barberia_D!A4" display="Barberia_D!A4" xr:uid="{EF70DFB1-E188-4E7F-9F0D-1EC2E2330BDA}"/>
    <hyperlink ref="B8" location="Barberia_D!A4" display="Barberia_D!A4" xr:uid="{FBCD47DD-56CD-4067-A39A-E821892FE723}"/>
    <hyperlink ref="B9" location="Barberia_D!A4" display="Barberia_D!A4" xr:uid="{11CC4F51-41DB-4B1A-8CAB-35A8FD0DE0E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567D-D27E-4BE3-B1E4-8CA267790151}">
  <dimension ref="A1:F12"/>
  <sheetViews>
    <sheetView topLeftCell="B1" zoomScale="130" zoomScaleNormal="130" workbookViewId="0">
      <selection activeCell="E15" sqref="E15"/>
    </sheetView>
  </sheetViews>
  <sheetFormatPr baseColWidth="10" defaultRowHeight="14.4" x14ac:dyDescent="0.3"/>
  <cols>
    <col min="1" max="2" width="28.109375" customWidth="1"/>
    <col min="3" max="3" width="26.5546875" customWidth="1"/>
    <col min="4" max="4" width="24.44140625" customWidth="1"/>
    <col min="5" max="5" width="25.33203125" customWidth="1"/>
    <col min="6" max="6" width="26.5546875" customWidth="1"/>
  </cols>
  <sheetData>
    <row r="1" spans="1:6" x14ac:dyDescent="0.3">
      <c r="A1" s="16" t="s">
        <v>32</v>
      </c>
      <c r="B1" s="16" t="s">
        <v>33</v>
      </c>
      <c r="D1" s="17"/>
      <c r="E1" s="17"/>
      <c r="F1" s="10"/>
    </row>
    <row r="2" spans="1:6" ht="45.75" customHeight="1" x14ac:dyDescent="0.3">
      <c r="A2" s="18" t="s">
        <v>20</v>
      </c>
      <c r="B2" s="18" t="s">
        <v>143</v>
      </c>
      <c r="C2" s="18" t="s">
        <v>206</v>
      </c>
      <c r="D2" s="31" t="s">
        <v>208</v>
      </c>
      <c r="E2" s="31" t="s">
        <v>209</v>
      </c>
      <c r="F2" s="19" t="s">
        <v>45</v>
      </c>
    </row>
    <row r="3" spans="1:6" x14ac:dyDescent="0.3">
      <c r="A3" s="21" t="s">
        <v>31</v>
      </c>
      <c r="B3" s="55" t="s">
        <v>36</v>
      </c>
      <c r="C3" s="81" t="s">
        <v>21</v>
      </c>
      <c r="D3" s="82" t="s">
        <v>37</v>
      </c>
      <c r="E3" s="82" t="s">
        <v>24</v>
      </c>
      <c r="F3" s="15" t="s">
        <v>207</v>
      </c>
    </row>
    <row r="4" spans="1:6" x14ac:dyDescent="0.3">
      <c r="A4" s="22">
        <v>1</v>
      </c>
      <c r="B4" s="56" t="str">
        <f>Barberia_D!B4</f>
        <v>Barbería Oriental</v>
      </c>
      <c r="C4" s="22" t="s">
        <v>38</v>
      </c>
      <c r="D4" s="22">
        <v>45</v>
      </c>
      <c r="E4" s="23">
        <v>22000</v>
      </c>
      <c r="F4" s="12" t="str">
        <f>C4</f>
        <v>Motilada</v>
      </c>
    </row>
    <row r="5" spans="1:6" x14ac:dyDescent="0.3">
      <c r="A5" s="22">
        <v>2</v>
      </c>
      <c r="B5" s="56" t="str">
        <f>Barberia_D!B4</f>
        <v>Barbería Oriental</v>
      </c>
      <c r="C5" s="22" t="s">
        <v>46</v>
      </c>
      <c r="D5" s="22">
        <v>10</v>
      </c>
      <c r="E5" s="23">
        <v>12000</v>
      </c>
      <c r="F5" s="12" t="str">
        <f t="shared" ref="F5:F7" si="0">C5</f>
        <v>Corte de barba</v>
      </c>
    </row>
    <row r="6" spans="1:6" x14ac:dyDescent="0.3">
      <c r="A6" s="22">
        <v>3</v>
      </c>
      <c r="B6" s="56" t="str">
        <f>Barberia_D!B4</f>
        <v>Barbería Oriental</v>
      </c>
      <c r="C6" s="22" t="s">
        <v>47</v>
      </c>
      <c r="D6" s="22">
        <v>15</v>
      </c>
      <c r="E6" s="23">
        <v>15000</v>
      </c>
      <c r="F6" s="12" t="str">
        <f t="shared" si="0"/>
        <v>Perfilada de barba</v>
      </c>
    </row>
    <row r="7" spans="1:6" ht="28.8" x14ac:dyDescent="0.3">
      <c r="A7" s="22">
        <v>4</v>
      </c>
      <c r="B7" s="56" t="str">
        <f>Barberia_D!B4</f>
        <v>Barbería Oriental</v>
      </c>
      <c r="C7" s="24" t="s">
        <v>48</v>
      </c>
      <c r="D7" s="22">
        <v>30</v>
      </c>
      <c r="E7" s="23">
        <v>35000</v>
      </c>
      <c r="F7" s="25" t="str">
        <f t="shared" si="0"/>
        <v>Arreglo completo de barba con toalla caliente</v>
      </c>
    </row>
    <row r="8" spans="1:6" x14ac:dyDescent="0.3">
      <c r="A8" s="17"/>
      <c r="B8" s="17"/>
      <c r="C8" s="17"/>
      <c r="D8" s="17"/>
      <c r="E8" s="17"/>
    </row>
    <row r="9" spans="1:6" x14ac:dyDescent="0.3">
      <c r="A9" s="17"/>
      <c r="B9" s="17"/>
      <c r="C9" s="17"/>
      <c r="D9" s="17"/>
      <c r="E9" s="17"/>
    </row>
    <row r="10" spans="1:6" x14ac:dyDescent="0.3">
      <c r="A10" s="17"/>
      <c r="B10" s="17"/>
      <c r="C10" s="17"/>
      <c r="D10" s="17"/>
      <c r="E10" s="17"/>
    </row>
    <row r="11" spans="1:6" x14ac:dyDescent="0.3">
      <c r="A11" s="17"/>
      <c r="B11" s="17"/>
      <c r="C11" s="17"/>
      <c r="D11" s="17"/>
      <c r="E11" s="17"/>
    </row>
    <row r="12" spans="1:6" x14ac:dyDescent="0.3">
      <c r="A12" s="17"/>
      <c r="B12" s="17"/>
      <c r="C12" s="17"/>
      <c r="D12" s="17"/>
      <c r="E12" s="17"/>
    </row>
  </sheetData>
  <hyperlinks>
    <hyperlink ref="A1" location="'Modelo de Dominio'!A1" display="&lt;&lt;&lt;&lt; Ir al modulo de dominio" xr:uid="{1232B379-2C8F-4361-B8CE-5CC492F8D207}"/>
    <hyperlink ref="B1" location="'Objetos de Dominio'!A1" display="&lt;&lt;&lt;&lt; Ir a objetos de dominio" xr:uid="{C4612CEA-B79F-4496-B57E-5F6E72A804C7}"/>
    <hyperlink ref="B3" location="Barberia_D!A1" display="barberia" xr:uid="{49DC9582-0184-41B1-95D7-525F6EE28820}"/>
    <hyperlink ref="B4" location="Barberia_D!A4" display="Barberia_D!A4" xr:uid="{9C3C8EC0-3D4B-4A80-9FA2-4578065166BB}"/>
    <hyperlink ref="B5" location="Barberia_D!A4" display="Barberia_D!A4" xr:uid="{1337E6E0-8BBF-46FA-B386-3E8B848525E7}"/>
    <hyperlink ref="B6" location="Servicio_D!A4" display="Servicio_D!A4" xr:uid="{F14FFAD6-C31D-4D17-A87C-7C4566115E73}"/>
    <hyperlink ref="B7" location="Barberia_D!A4" display="Barberia_D!A4" xr:uid="{75AD25E9-0697-4BA2-8F6A-B890AAE2A8F8}"/>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59AB-4103-4731-9C3C-4C276F8A29F8}">
  <dimension ref="A1:L14"/>
  <sheetViews>
    <sheetView topLeftCell="F1" zoomScale="130" zoomScaleNormal="130" workbookViewId="0">
      <selection activeCell="H3" sqref="H3"/>
    </sheetView>
  </sheetViews>
  <sheetFormatPr baseColWidth="10" defaultRowHeight="14.4" x14ac:dyDescent="0.3"/>
  <cols>
    <col min="1" max="1" width="27" bestFit="1" customWidth="1"/>
    <col min="2" max="6" width="26.6640625" customWidth="1"/>
    <col min="7" max="7" width="16.33203125" customWidth="1"/>
    <col min="8" max="9" width="40.6640625" customWidth="1"/>
    <col min="10" max="10" width="30.33203125" customWidth="1"/>
    <col min="11" max="11" width="21" customWidth="1"/>
    <col min="12" max="12" width="53.109375" bestFit="1" customWidth="1"/>
  </cols>
  <sheetData>
    <row r="1" spans="1:12" x14ac:dyDescent="0.3">
      <c r="A1" s="5" t="s">
        <v>32</v>
      </c>
      <c r="B1" s="5" t="s">
        <v>33</v>
      </c>
      <c r="C1" s="5"/>
      <c r="D1" s="5"/>
      <c r="E1" s="5"/>
      <c r="F1" s="5"/>
    </row>
    <row r="2" spans="1:12" ht="45.6" customHeight="1" x14ac:dyDescent="0.3">
      <c r="A2" s="26" t="s">
        <v>20</v>
      </c>
      <c r="B2" s="26" t="s">
        <v>165</v>
      </c>
      <c r="C2" s="26" t="s">
        <v>166</v>
      </c>
      <c r="D2" s="26" t="s">
        <v>167</v>
      </c>
      <c r="E2" s="26" t="s">
        <v>168</v>
      </c>
      <c r="F2" s="26" t="s">
        <v>170</v>
      </c>
      <c r="G2" s="27" t="s">
        <v>210</v>
      </c>
      <c r="H2" s="27" t="s">
        <v>211</v>
      </c>
      <c r="I2" s="27" t="s">
        <v>171</v>
      </c>
      <c r="J2" s="27" t="s">
        <v>136</v>
      </c>
      <c r="K2" s="27" t="s">
        <v>144</v>
      </c>
      <c r="L2" s="28" t="s">
        <v>154</v>
      </c>
    </row>
    <row r="3" spans="1:12" x14ac:dyDescent="0.3">
      <c r="A3" s="14" t="s">
        <v>31</v>
      </c>
      <c r="B3" s="58" t="s">
        <v>105</v>
      </c>
      <c r="C3" s="58" t="s">
        <v>107</v>
      </c>
      <c r="D3" s="58" t="s">
        <v>106</v>
      </c>
      <c r="E3" s="58" t="s">
        <v>108</v>
      </c>
      <c r="F3" s="77" t="s">
        <v>132</v>
      </c>
      <c r="G3" s="77" t="s">
        <v>22</v>
      </c>
      <c r="H3" s="77" t="s">
        <v>42</v>
      </c>
      <c r="I3" s="77" t="s">
        <v>128</v>
      </c>
      <c r="J3" s="44" t="s">
        <v>43</v>
      </c>
      <c r="K3" s="32" t="s">
        <v>36</v>
      </c>
      <c r="L3" s="29" t="s">
        <v>72</v>
      </c>
    </row>
    <row r="4" spans="1:12" x14ac:dyDescent="0.3">
      <c r="A4" s="12">
        <v>1</v>
      </c>
      <c r="B4" s="12" t="s">
        <v>122</v>
      </c>
      <c r="C4" s="12" t="s">
        <v>109</v>
      </c>
      <c r="D4" s="12" t="s">
        <v>150</v>
      </c>
      <c r="E4" s="12" t="s">
        <v>111</v>
      </c>
      <c r="F4" s="48" t="s">
        <v>133</v>
      </c>
      <c r="G4" s="12">
        <v>3245627890</v>
      </c>
      <c r="H4" s="11" t="s">
        <v>53</v>
      </c>
      <c r="I4" s="46">
        <v>1264267821</v>
      </c>
      <c r="J4" s="12" t="s">
        <v>49</v>
      </c>
      <c r="K4" s="50" t="str">
        <f>Barberia_D!B4</f>
        <v>Barbería Oriental</v>
      </c>
      <c r="L4" s="12" t="str">
        <f>_xlfn.CONCAT(B4,"-",C4,"-",D4,"-",E4,"-",F4,"-",G4)</f>
        <v>Juan-Fernando-García-Lopez-+57-3245627890</v>
      </c>
    </row>
    <row r="5" spans="1:12" x14ac:dyDescent="0.3">
      <c r="A5" s="12">
        <v>2</v>
      </c>
      <c r="B5" s="12" t="s">
        <v>122</v>
      </c>
      <c r="C5" s="12" t="s">
        <v>110</v>
      </c>
      <c r="D5" s="12" t="s">
        <v>149</v>
      </c>
      <c r="E5" s="12" t="s">
        <v>112</v>
      </c>
      <c r="F5" s="48" t="s">
        <v>133</v>
      </c>
      <c r="G5" s="12">
        <v>3124518923</v>
      </c>
      <c r="H5" s="11" t="s">
        <v>54</v>
      </c>
      <c r="I5" s="46" t="s">
        <v>130</v>
      </c>
      <c r="J5" s="12" t="s">
        <v>49</v>
      </c>
      <c r="K5" s="50" t="str">
        <f>Barberia_D!B4</f>
        <v>Barbería Oriental</v>
      </c>
      <c r="L5" s="12" t="str">
        <f t="shared" ref="L5:L8" si="0">_xlfn.CONCAT(B5,"-",C5,"-",D5,"-",E5,"-",F5,"-",G5)</f>
        <v>Juan-David-Ortiz-Sanchez-+57-3124518923</v>
      </c>
    </row>
    <row r="6" spans="1:12" x14ac:dyDescent="0.3">
      <c r="A6" s="12">
        <v>3</v>
      </c>
      <c r="B6" s="12" t="s">
        <v>51</v>
      </c>
      <c r="C6" s="12"/>
      <c r="D6" s="12" t="s">
        <v>114</v>
      </c>
      <c r="E6" s="12"/>
      <c r="F6" s="48" t="s">
        <v>133</v>
      </c>
      <c r="G6" s="12">
        <v>3214533321</v>
      </c>
      <c r="H6" s="11" t="s">
        <v>55</v>
      </c>
      <c r="I6" s="47" t="s">
        <v>129</v>
      </c>
      <c r="J6" s="12" t="s">
        <v>49</v>
      </c>
      <c r="K6" s="50" t="str">
        <f>Barberia_D!B4</f>
        <v>Barbería Oriental</v>
      </c>
      <c r="L6" s="12" t="str">
        <f t="shared" si="0"/>
        <v>Carlos--Arbeladez--+57-3214533321</v>
      </c>
    </row>
    <row r="7" spans="1:12" x14ac:dyDescent="0.3">
      <c r="A7" s="12">
        <v>4</v>
      </c>
      <c r="B7" s="12" t="s">
        <v>52</v>
      </c>
      <c r="C7" s="12"/>
      <c r="D7" s="12" t="s">
        <v>117</v>
      </c>
      <c r="E7" s="12" t="s">
        <v>113</v>
      </c>
      <c r="F7" s="48" t="s">
        <v>135</v>
      </c>
      <c r="G7" s="12">
        <v>9876543210</v>
      </c>
      <c r="H7" s="11" t="s">
        <v>56</v>
      </c>
      <c r="I7" s="46" t="s">
        <v>131</v>
      </c>
      <c r="J7" s="12" t="s">
        <v>49</v>
      </c>
      <c r="K7" s="50" t="str">
        <f>Barberia_D!B4</f>
        <v>Barbería Oriental</v>
      </c>
      <c r="L7" s="12" t="str">
        <f t="shared" si="0"/>
        <v>Andres--Ramirez-Patiño-+91-9876543210</v>
      </c>
    </row>
    <row r="8" spans="1:12" x14ac:dyDescent="0.3">
      <c r="A8" s="12">
        <v>5</v>
      </c>
      <c r="B8" s="12" t="s">
        <v>122</v>
      </c>
      <c r="C8" s="12" t="s">
        <v>51</v>
      </c>
      <c r="D8" s="12" t="s">
        <v>151</v>
      </c>
      <c r="E8" s="12" t="s">
        <v>116</v>
      </c>
      <c r="F8" s="48" t="s">
        <v>152</v>
      </c>
      <c r="G8" s="12">
        <v>998765432</v>
      </c>
      <c r="H8" s="11" t="s">
        <v>153</v>
      </c>
      <c r="I8" s="12">
        <v>312334342</v>
      </c>
      <c r="J8" s="12" t="s">
        <v>50</v>
      </c>
      <c r="K8" s="50" t="str">
        <f>Barberia_D!B4</f>
        <v>Barbería Oriental</v>
      </c>
      <c r="L8" s="12" t="str">
        <f t="shared" si="0"/>
        <v>Juan-Carlos-Zambrano-Perez-+593-998765432</v>
      </c>
    </row>
    <row r="10" spans="1:12" x14ac:dyDescent="0.3">
      <c r="B10" s="10"/>
      <c r="C10" s="10"/>
    </row>
    <row r="14" spans="1:12" x14ac:dyDescent="0.3">
      <c r="F14" t="s">
        <v>169</v>
      </c>
    </row>
  </sheetData>
  <phoneticPr fontId="7" type="noConversion"/>
  <hyperlinks>
    <hyperlink ref="A1" location="'Modelo de Dominio'!A1" display="&lt;&lt;&lt;&lt; Ir al modulo de dominio" xr:uid="{E687A9B1-2F94-41F4-9C64-B065CF803569}"/>
    <hyperlink ref="B1" location="'Objetos de Dominio'!A1" display="&lt;&lt;&lt;&lt; Ir a objetos de dominio" xr:uid="{B11349A8-A5E5-4188-AE93-A5D086816413}"/>
    <hyperlink ref="H4" r:id="rId1" xr:uid="{60EA2572-583B-4C21-A5A4-79AC0F810621}"/>
    <hyperlink ref="H5" r:id="rId2" xr:uid="{6DE7DFDC-37F8-4F9E-9AEF-2A9B5D465DE8}"/>
    <hyperlink ref="H6" r:id="rId3" xr:uid="{4550EE1F-4989-43BD-948F-5BD527B9D531}"/>
    <hyperlink ref="H7" r:id="rId4" xr:uid="{72EF9758-1786-4FA4-86ED-08E3A4E7C6AD}"/>
    <hyperlink ref="K3" location="Barberia_D!A1" display="barberia" xr:uid="{0A424D71-DFC6-4A9B-AB84-795AF0206DA0}"/>
    <hyperlink ref="K4" location="Barberia_D!A4" display="Barberia_D!A4" xr:uid="{74759F60-91D9-4AA0-8D34-C14AE4845BDE}"/>
    <hyperlink ref="K5:K7" location="Barberia_D!A4" display="Barberia_D!A4" xr:uid="{8B3C5650-71BD-4B78-A8B9-12566120F044}"/>
    <hyperlink ref="K8" location="Barberia_D!A4" display="Barberia_D!A4" xr:uid="{B14FD134-98B7-4B6A-849C-ECE5A6600A50}"/>
    <hyperlink ref="H8" r:id="rId5" xr:uid="{8A2F5CE3-2E3F-41D6-9E52-2EDCD463D69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8B98D-AAA9-4184-8373-FE2E421AAE23}">
  <dimension ref="A1:E11"/>
  <sheetViews>
    <sheetView zoomScale="130" zoomScaleNormal="130" workbookViewId="0">
      <selection activeCell="C10" sqref="C10"/>
    </sheetView>
  </sheetViews>
  <sheetFormatPr baseColWidth="10" defaultRowHeight="14.4" x14ac:dyDescent="0.3"/>
  <cols>
    <col min="1" max="1" width="27" customWidth="1"/>
    <col min="2" max="2" width="28.88671875" customWidth="1"/>
    <col min="3" max="3" width="41" customWidth="1"/>
    <col min="4" max="4" width="36.109375" customWidth="1"/>
    <col min="5" max="5" width="26.88671875" customWidth="1"/>
  </cols>
  <sheetData>
    <row r="1" spans="1:5" x14ac:dyDescent="0.3">
      <c r="A1" s="5" t="s">
        <v>32</v>
      </c>
      <c r="B1" s="5" t="s">
        <v>33</v>
      </c>
    </row>
    <row r="2" spans="1:5" ht="49.95" customHeight="1" x14ac:dyDescent="0.3">
      <c r="A2" s="18" t="s">
        <v>20</v>
      </c>
      <c r="B2" s="18" t="s">
        <v>58</v>
      </c>
      <c r="C2" s="31" t="s">
        <v>60</v>
      </c>
      <c r="D2" s="31" t="s">
        <v>127</v>
      </c>
      <c r="E2" s="31" t="s">
        <v>59</v>
      </c>
    </row>
    <row r="3" spans="1:5" x14ac:dyDescent="0.3">
      <c r="A3" s="14" t="s">
        <v>31</v>
      </c>
      <c r="B3" s="32" t="s">
        <v>61</v>
      </c>
      <c r="C3" s="83" t="s">
        <v>25</v>
      </c>
      <c r="D3" s="44" t="s">
        <v>57</v>
      </c>
      <c r="E3" s="29" t="s">
        <v>73</v>
      </c>
    </row>
    <row r="4" spans="1:5" x14ac:dyDescent="0.3">
      <c r="A4" s="12">
        <v>1</v>
      </c>
      <c r="B4" s="11">
        <f>Cliente_D!G4</f>
        <v>3234528921</v>
      </c>
      <c r="C4" s="33">
        <v>45255</v>
      </c>
      <c r="D4" s="12" t="s">
        <v>50</v>
      </c>
      <c r="E4" s="12" t="str">
        <f>_xlfn.CONCAT(B4,"-",TEXT(C4,"dd/mm/yyyy"))</f>
        <v>3234528921-25/11/2023</v>
      </c>
    </row>
    <row r="5" spans="1:5" x14ac:dyDescent="0.3">
      <c r="A5" s="12">
        <v>2</v>
      </c>
      <c r="B5" s="11">
        <f>Cliente_D!G5</f>
        <v>3161657782</v>
      </c>
      <c r="C5" s="33">
        <v>45372</v>
      </c>
      <c r="D5" s="12" t="s">
        <v>50</v>
      </c>
      <c r="E5" s="12" t="str">
        <f t="shared" ref="E5:E7" si="0">_xlfn.CONCAT(B5,"-",TEXT(C5,"dd/mm/yyyy"))</f>
        <v>3161657782-21/03/2024</v>
      </c>
    </row>
    <row r="6" spans="1:5" x14ac:dyDescent="0.3">
      <c r="A6" s="12">
        <v>3</v>
      </c>
      <c r="B6" s="11">
        <f>Cliente_D!G6</f>
        <v>3119884321</v>
      </c>
      <c r="C6" s="33">
        <v>45556</v>
      </c>
      <c r="D6" s="12" t="s">
        <v>49</v>
      </c>
      <c r="E6" s="12" t="str">
        <f t="shared" si="0"/>
        <v>3119884321-21/09/2024</v>
      </c>
    </row>
    <row r="7" spans="1:5" x14ac:dyDescent="0.3">
      <c r="A7" s="12">
        <v>4</v>
      </c>
      <c r="B7" s="11">
        <f>Cliente_D!G7</f>
        <v>4127359182</v>
      </c>
      <c r="C7" s="33">
        <v>46002</v>
      </c>
      <c r="D7" s="12" t="s">
        <v>49</v>
      </c>
      <c r="E7" s="12" t="str">
        <f t="shared" si="0"/>
        <v>4127359182-11/12/2025</v>
      </c>
    </row>
    <row r="8" spans="1:5" x14ac:dyDescent="0.3">
      <c r="C8" s="30"/>
      <c r="D8" s="30"/>
    </row>
    <row r="9" spans="1:5" x14ac:dyDescent="0.3">
      <c r="C9" t="s">
        <v>214</v>
      </c>
    </row>
    <row r="11" spans="1:5" x14ac:dyDescent="0.3">
      <c r="C11" s="45"/>
    </row>
  </sheetData>
  <hyperlinks>
    <hyperlink ref="A1" location="'Modelo de Dominio'!A1" display="&lt;&lt;&lt;&lt; Ir al modulo de dominio" xr:uid="{F755F618-0A40-4479-913F-8F6060E94F5B}"/>
    <hyperlink ref="B1" location="'Objetos de Dominio'!A1" display="&lt;&lt;&lt;&lt; Ir a objetos de dominio" xr:uid="{C5748D80-5E29-4CD8-BA51-198180E61202}"/>
    <hyperlink ref="B3" location="Cliente_D!A1" display="cliente" xr:uid="{F7C47FD3-2FEB-4E40-8CE8-9FEC66E905E0}"/>
    <hyperlink ref="B4" location="Cliente_D!A4" display="Cliente_D!A4" xr:uid="{7F6CACFC-57C0-447E-811A-802403EBA0AC}"/>
    <hyperlink ref="B5" location="Cliente_D!A5" display="Cliente_D!A5" xr:uid="{EE87A799-0DAD-412E-8BF4-24089411596B}"/>
    <hyperlink ref="B6" location="Cliente_D!A6" display="Cliente_D!A6" xr:uid="{D95F6EBA-51E7-42CB-9EFD-6676C5924513}"/>
    <hyperlink ref="B7" location="Cliente_D!A7" display="Cliente_D!A7" xr:uid="{9BA1680E-A8A5-4CE9-866D-EC3B5A4F5B9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A074A-5C83-448D-978C-7C1005CE378E}">
  <dimension ref="A1:D7"/>
  <sheetViews>
    <sheetView zoomScale="130" zoomScaleNormal="130" workbookViewId="0">
      <selection activeCell="C11" sqref="C11"/>
    </sheetView>
  </sheetViews>
  <sheetFormatPr baseColWidth="10" defaultRowHeight="14.4" x14ac:dyDescent="0.3"/>
  <cols>
    <col min="1" max="1" width="29.109375" customWidth="1"/>
    <col min="2" max="2" width="30" customWidth="1"/>
    <col min="3" max="3" width="41.88671875" bestFit="1" customWidth="1"/>
    <col min="4" max="4" width="61.109375" bestFit="1" customWidth="1"/>
  </cols>
  <sheetData>
    <row r="1" spans="1:4" x14ac:dyDescent="0.3">
      <c r="A1" s="5" t="s">
        <v>32</v>
      </c>
      <c r="B1" s="5" t="s">
        <v>33</v>
      </c>
    </row>
    <row r="2" spans="1:4" ht="36.75" customHeight="1" x14ac:dyDescent="0.3">
      <c r="A2" s="18" t="s">
        <v>20</v>
      </c>
      <c r="B2" s="34" t="s">
        <v>63</v>
      </c>
      <c r="C2" s="31" t="s">
        <v>64</v>
      </c>
      <c r="D2" s="43" t="s">
        <v>104</v>
      </c>
    </row>
    <row r="3" spans="1:4" x14ac:dyDescent="0.3">
      <c r="A3" s="14" t="s">
        <v>31</v>
      </c>
      <c r="B3" s="32" t="s">
        <v>40</v>
      </c>
      <c r="C3" s="32" t="s">
        <v>41</v>
      </c>
      <c r="D3" s="36" t="s">
        <v>71</v>
      </c>
    </row>
    <row r="4" spans="1:4" x14ac:dyDescent="0.3">
      <c r="A4" s="12">
        <v>1</v>
      </c>
      <c r="B4" s="11" t="str">
        <f>_xlfn.CONCAT(Barbero_D!B4," ",Barbero_D!D4)</f>
        <v>Juan García</v>
      </c>
      <c r="C4" s="11" t="str">
        <f>Servicio_D!C4</f>
        <v>Motilada</v>
      </c>
      <c r="D4" s="12" t="str">
        <f>_xlfn.CONCAT(B4,"-",C4)</f>
        <v>Juan García-Motilada</v>
      </c>
    </row>
    <row r="5" spans="1:4" x14ac:dyDescent="0.3">
      <c r="A5" s="12">
        <v>2</v>
      </c>
      <c r="B5" s="11" t="str">
        <f>_xlfn.CONCAT(Barbero_D!B5," ",Barbero_D!D5)</f>
        <v>Juan Ortiz</v>
      </c>
      <c r="C5" s="11" t="str">
        <f>Servicio_D!C5</f>
        <v>Corte de barba</v>
      </c>
      <c r="D5" s="12" t="str">
        <f t="shared" ref="D5:D7" si="0">_xlfn.CONCAT(B5,"-",C5)</f>
        <v>Juan Ortiz-Corte de barba</v>
      </c>
    </row>
    <row r="6" spans="1:4" x14ac:dyDescent="0.3">
      <c r="A6" s="12">
        <v>3</v>
      </c>
      <c r="B6" s="11" t="str">
        <f>_xlfn.CONCAT(Barbero_D!B6," ",Barbero_D!D6)</f>
        <v>Carlos Arbeladez</v>
      </c>
      <c r="C6" s="11" t="str">
        <f>Servicio_D!C6</f>
        <v>Perfilada de barba</v>
      </c>
      <c r="D6" s="12" t="str">
        <f t="shared" si="0"/>
        <v>Carlos Arbeladez-Perfilada de barba</v>
      </c>
    </row>
    <row r="7" spans="1:4" x14ac:dyDescent="0.3">
      <c r="A7" s="12">
        <v>4</v>
      </c>
      <c r="B7" s="11" t="str">
        <f>_xlfn.CONCAT(Barbero_D!B7," ",Barbero_D!D7)</f>
        <v>Andres Ramirez</v>
      </c>
      <c r="C7" s="11" t="str">
        <f>Servicio_D!C7</f>
        <v>Arreglo completo de barba con toalla caliente</v>
      </c>
      <c r="D7" s="12" t="str">
        <f t="shared" si="0"/>
        <v>Andres Ramirez-Arreglo completo de barba con toalla caliente</v>
      </c>
    </row>
  </sheetData>
  <hyperlinks>
    <hyperlink ref="A1" location="'Modelo de Dominio'!A1" display="&lt;&lt;&lt;&lt; Ir al modulo de dominio" xr:uid="{FFA03467-D9E8-4922-8DD1-EB697146AC1B}"/>
    <hyperlink ref="B1" location="'Objetos de Dominio'!A1" display="&lt;&lt;&lt;&lt; Ir a objetos de dominio" xr:uid="{971E0EFC-60C0-48A1-B837-6AAF98E7514B}"/>
    <hyperlink ref="B3" location="Barbero_D!A1" display="barbero" xr:uid="{2B1F71D8-0AF1-4D91-BFA5-2A3B7EB9586C}"/>
    <hyperlink ref="B4" location="Barbero_D!A4" display="Barbero_D!A4" xr:uid="{90A93270-6BCA-45C6-9C51-0A233F33C1FE}"/>
    <hyperlink ref="B5" location="Barbero_D!A5" display="Barbero_D!A5" xr:uid="{9B9AF364-956C-4298-B942-23CF41E9C500}"/>
    <hyperlink ref="B6" location="Barbero_D!A6" display="Barbero_D!A6" xr:uid="{7CFAFC24-7106-416B-9DEA-F3CE7DB5FAF0}"/>
    <hyperlink ref="B7" location="Barbero_D!A7" display="Barbero_D!A7" xr:uid="{5A52E689-B50B-4B39-BCED-F285C67610A6}"/>
    <hyperlink ref="C3" location="Servicio_D!A1" display="servicio" xr:uid="{3B633903-C90E-4327-9B6F-B81E5AB13AC3}"/>
    <hyperlink ref="C4" location="Servicio_D!A4" display="Servicio_D!A4" xr:uid="{0ACF3FBE-22F7-4729-A945-C7090D251150}"/>
    <hyperlink ref="C5:C7" location="Servicio_D!A4" display="Servicio_D!A4" xr:uid="{A364E05C-8245-427B-B12C-5EB06B6F7E09}"/>
    <hyperlink ref="C5" location="Servicio_D!A5" display="Servicio_D!A5" xr:uid="{EDDED9CD-6F42-4E97-8ABD-42AD5859FB71}"/>
    <hyperlink ref="C6" location="Servicio_D!A6" display="Servicio_D!A6" xr:uid="{300EB704-D5DD-4403-88AD-48D12812E3C0}"/>
    <hyperlink ref="C7" location="Servicio_D!A7" display="Servicio_D!A7" xr:uid="{F311C539-AD0A-4F0D-A372-FDDEC6AB11F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A3C4-B96A-49A7-8353-9FD37D2F2B74}">
  <dimension ref="A1:C7"/>
  <sheetViews>
    <sheetView zoomScale="130" zoomScaleNormal="130" workbookViewId="0">
      <selection activeCell="A6" sqref="A6"/>
    </sheetView>
  </sheetViews>
  <sheetFormatPr baseColWidth="10" defaultRowHeight="14.4" x14ac:dyDescent="0.3"/>
  <cols>
    <col min="1" max="1" width="30" customWidth="1"/>
    <col min="2" max="2" width="42.33203125" customWidth="1"/>
    <col min="3" max="3" width="37.44140625" customWidth="1"/>
  </cols>
  <sheetData>
    <row r="1" spans="1:3" x14ac:dyDescent="0.3">
      <c r="A1" s="5" t="s">
        <v>32</v>
      </c>
      <c r="B1" s="5" t="s">
        <v>33</v>
      </c>
    </row>
    <row r="2" spans="1:3" ht="30" x14ac:dyDescent="0.3">
      <c r="A2" s="18" t="s">
        <v>20</v>
      </c>
      <c r="B2" s="18" t="s">
        <v>126</v>
      </c>
      <c r="C2" s="19" t="s">
        <v>86</v>
      </c>
    </row>
    <row r="3" spans="1:3" x14ac:dyDescent="0.3">
      <c r="A3" s="14" t="s">
        <v>31</v>
      </c>
      <c r="B3" s="32" t="s">
        <v>40</v>
      </c>
      <c r="C3" s="29" t="s">
        <v>71</v>
      </c>
    </row>
    <row r="4" spans="1:3" x14ac:dyDescent="0.3">
      <c r="A4" s="12">
        <v>1</v>
      </c>
      <c r="B4" s="11" t="str">
        <f>_xlfn.CONCAT(Barbero_D!B4," ",Barbero_D!D4)</f>
        <v>Juan García</v>
      </c>
      <c r="C4" s="12" t="str">
        <f>B4</f>
        <v>Juan García</v>
      </c>
    </row>
    <row r="5" spans="1:3" x14ac:dyDescent="0.3">
      <c r="A5" s="12">
        <v>2</v>
      </c>
      <c r="B5" s="11" t="str">
        <f>_xlfn.CONCAT(Barbero_D!B5," ",Barbero_D!D5)</f>
        <v>Juan Ortiz</v>
      </c>
      <c r="C5" s="12" t="str">
        <f t="shared" ref="C5:C7" si="0">B5</f>
        <v>Juan Ortiz</v>
      </c>
    </row>
    <row r="6" spans="1:3" x14ac:dyDescent="0.3">
      <c r="A6" s="12">
        <v>3</v>
      </c>
      <c r="B6" s="11" t="str">
        <f>_xlfn.CONCAT(Barbero_D!B6," ",Barbero_D!D6)</f>
        <v>Carlos Arbeladez</v>
      </c>
      <c r="C6" s="12" t="str">
        <f t="shared" si="0"/>
        <v>Carlos Arbeladez</v>
      </c>
    </row>
    <row r="7" spans="1:3" x14ac:dyDescent="0.3">
      <c r="A7" s="12">
        <v>4</v>
      </c>
      <c r="B7" s="11" t="str">
        <f>_xlfn.CONCAT(Barbero_D!B7," ",Barbero_D!D7)</f>
        <v>Andres Ramirez</v>
      </c>
      <c r="C7" s="12" t="str">
        <f t="shared" si="0"/>
        <v>Andres Ramirez</v>
      </c>
    </row>
  </sheetData>
  <hyperlinks>
    <hyperlink ref="A1" location="'Modelo de Dominio'!A1" display="&lt;&lt;&lt;&lt; Ir al modulo de dominio" xr:uid="{191A55C7-DA59-4C30-B63B-B024057DDC68}"/>
    <hyperlink ref="B1" location="'Objetos de Dominio'!A1" display="&lt;&lt;&lt;&lt; Ir a objetos de dominio" xr:uid="{E53BAB0A-E3EB-4977-AC9C-BE8955CDE77C}"/>
    <hyperlink ref="B3" location="Barbero_D!A1" display="barbero" xr:uid="{8AB66071-F172-4034-9805-A5EF83FBCC22}"/>
    <hyperlink ref="B4" location="Barbero_D!A4" display="Barbero_D!A4" xr:uid="{176DDD43-C9FD-44BE-A602-B883D3DF046C}"/>
    <hyperlink ref="B5:B7" location="Barbero_D!A4" display="Barbero_D!A4" xr:uid="{D4DBD4BD-CFE4-4DF9-A88D-520026FCCCF2}"/>
    <hyperlink ref="B5" location="Barbero_D!A5" display="Barbero_D!A5" xr:uid="{095BCBC5-A9C0-42E2-AF18-87E3049FBEDA}"/>
    <hyperlink ref="B6" location="Barbero_D!A6" display="Barbero_D!A6" xr:uid="{EA02F355-6C5D-4955-BCCD-7B0C9569DCED}"/>
    <hyperlink ref="B7" location="Barbero_D!A7" display="Barbero_D!A7" xr:uid="{979F9DA9-740D-4B06-AD22-BE8F66BD100A}"/>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E76D0-FBB4-4C81-85CC-F644057A8847}">
  <dimension ref="A1:F10"/>
  <sheetViews>
    <sheetView topLeftCell="B1" zoomScale="145" zoomScaleNormal="145" workbookViewId="0">
      <selection activeCell="E13" sqref="E13"/>
    </sheetView>
  </sheetViews>
  <sheetFormatPr baseColWidth="10" defaultRowHeight="14.4" x14ac:dyDescent="0.3"/>
  <cols>
    <col min="1" max="1" width="27" bestFit="1" customWidth="1"/>
    <col min="2" max="2" width="37.109375" customWidth="1"/>
    <col min="3" max="3" width="28" customWidth="1"/>
    <col min="4" max="4" width="18.6640625" customWidth="1"/>
    <col min="5" max="5" width="31.6640625" customWidth="1"/>
    <col min="6" max="6" width="37.6640625" bestFit="1" customWidth="1"/>
  </cols>
  <sheetData>
    <row r="1" spans="1:6" x14ac:dyDescent="0.3">
      <c r="A1" s="5" t="s">
        <v>32</v>
      </c>
      <c r="B1" s="5" t="s">
        <v>33</v>
      </c>
    </row>
    <row r="2" spans="1:6" ht="40.5" customHeight="1" x14ac:dyDescent="0.3">
      <c r="A2" s="19" t="s">
        <v>20</v>
      </c>
      <c r="B2" s="19" t="s">
        <v>88</v>
      </c>
      <c r="C2" s="19" t="s">
        <v>176</v>
      </c>
      <c r="D2" s="19" t="s">
        <v>89</v>
      </c>
      <c r="E2" s="19" t="s">
        <v>90</v>
      </c>
      <c r="F2" s="19" t="s">
        <v>91</v>
      </c>
    </row>
    <row r="3" spans="1:6" x14ac:dyDescent="0.3">
      <c r="A3" s="14" t="s">
        <v>31</v>
      </c>
      <c r="B3" s="32" t="s">
        <v>62</v>
      </c>
      <c r="C3" s="59" t="s">
        <v>77</v>
      </c>
      <c r="D3" s="80" t="s">
        <v>65</v>
      </c>
      <c r="E3" s="80" t="s">
        <v>87</v>
      </c>
      <c r="F3" s="29" t="s">
        <v>71</v>
      </c>
    </row>
    <row r="4" spans="1:6" x14ac:dyDescent="0.3">
      <c r="A4" s="12">
        <v>1</v>
      </c>
      <c r="B4" s="50" t="str">
        <f>Agenda_D!C4</f>
        <v>Juan García</v>
      </c>
      <c r="C4" s="38" t="s">
        <v>80</v>
      </c>
      <c r="D4" s="38">
        <v>0.41666666666666669</v>
      </c>
      <c r="E4" s="38">
        <v>0.66666666666666663</v>
      </c>
      <c r="F4" s="12" t="str">
        <f>_xlfn.CONCAT(B4,"-",C4,"-",TEXT(D4,"hh;mm"),"-",TEXT(E4,"hh;mm"))</f>
        <v>Juan García-Lunes-10-16</v>
      </c>
    </row>
    <row r="5" spans="1:6" x14ac:dyDescent="0.3">
      <c r="A5" s="12">
        <v>2</v>
      </c>
      <c r="B5" s="50" t="str">
        <f>Agenda_D!C5</f>
        <v>Juan Ortiz</v>
      </c>
      <c r="C5" s="12" t="s">
        <v>81</v>
      </c>
      <c r="D5" s="38">
        <v>0.375</v>
      </c>
      <c r="E5" s="38">
        <v>0.625</v>
      </c>
      <c r="F5" s="12" t="str">
        <f t="shared" ref="F5:F7" si="0">_xlfn.CONCAT(B5,"-",C5,"-",TEXT(D5,"hh;mm"),"-",TEXT(E5,"hh;mm"))</f>
        <v>Juan Ortiz-Martes-09-15</v>
      </c>
    </row>
    <row r="6" spans="1:6" x14ac:dyDescent="0.3">
      <c r="A6" s="12">
        <v>3</v>
      </c>
      <c r="B6" s="50" t="str">
        <f>Agenda_D!C6</f>
        <v>Carlos Arbeladez</v>
      </c>
      <c r="C6" s="12" t="s">
        <v>83</v>
      </c>
      <c r="D6" s="38">
        <v>0.54166666666666663</v>
      </c>
      <c r="E6" s="38">
        <v>0.79166666666666663</v>
      </c>
      <c r="F6" s="12" t="str">
        <f t="shared" si="0"/>
        <v>Carlos Arbeladez-Jueves-13-19</v>
      </c>
    </row>
    <row r="7" spans="1:6" x14ac:dyDescent="0.3">
      <c r="A7" s="12">
        <v>4</v>
      </c>
      <c r="B7" s="50" t="str">
        <f>Agenda_D!C7</f>
        <v>Andres Ramirez</v>
      </c>
      <c r="C7" s="12" t="s">
        <v>85</v>
      </c>
      <c r="D7" s="38">
        <v>0.33333333333333331</v>
      </c>
      <c r="E7" s="38">
        <v>0.58333333333333337</v>
      </c>
      <c r="F7" s="12" t="str">
        <f t="shared" si="0"/>
        <v>Andres Ramirez-Sábado-08-14</v>
      </c>
    </row>
    <row r="10" spans="1:6" x14ac:dyDescent="0.3">
      <c r="C10" s="60" t="s">
        <v>177</v>
      </c>
    </row>
  </sheetData>
  <hyperlinks>
    <hyperlink ref="A1" location="'Modelo de Dominio'!A1" display="&lt;&lt;&lt;&lt; Ir al modulo de dominio" xr:uid="{98F427D6-B9F6-42D5-A84C-3F68DE3A5B6E}"/>
    <hyperlink ref="B1" location="'Objetos de Dominio'!A1" display="&lt;&lt;&lt;&lt; Ir a objetos de dominio" xr:uid="{9EA36EAB-A0B6-4F6C-A61D-44A86E61BF9F}"/>
    <hyperlink ref="B3" location="Agenda_D!A1" display="agenda" xr:uid="{4824C529-638F-4299-AEE0-9730B3BC73C9}"/>
    <hyperlink ref="B4" location="Agenda_D!A4" display="Agenda_D!A4" xr:uid="{4DA17190-FFA5-47EF-8FD3-54EA9F7DF58B}"/>
    <hyperlink ref="B5:B7" location="Agenda_D!A4" display="Agenda_D!A4" xr:uid="{6001330A-45FA-467D-82F2-97DD807F947F}"/>
    <hyperlink ref="B5" location="Agenda_D!A5" display="Agenda_D!A5" xr:uid="{22BB4167-53C0-4D10-9F76-560F79FADE86}"/>
    <hyperlink ref="B6" location="Agenda_D!A6" display="Agenda_D!A6" xr:uid="{36B092FB-CBA5-4E3A-9127-52EA641442EA}"/>
    <hyperlink ref="B7" location="Agenda_D!A7" display="Agenda_D!A7" xr:uid="{59DFEC77-AF33-433C-99D6-F82241ADA5F1}"/>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9879F-6697-4F1F-AF5D-52C4860B7B3E}">
  <dimension ref="A1:H15"/>
  <sheetViews>
    <sheetView zoomScale="130" zoomScaleNormal="130" workbookViewId="0">
      <selection activeCell="D3" sqref="D3"/>
    </sheetView>
  </sheetViews>
  <sheetFormatPr baseColWidth="10" defaultRowHeight="14.4" x14ac:dyDescent="0.3"/>
  <cols>
    <col min="1" max="1" width="28" customWidth="1"/>
    <col min="2" max="2" width="26.5546875" customWidth="1"/>
    <col min="3" max="3" width="30.44140625" customWidth="1"/>
    <col min="4" max="4" width="27.5546875" customWidth="1"/>
    <col min="5" max="5" width="36.5546875" customWidth="1"/>
    <col min="6" max="6" width="60.33203125" bestFit="1" customWidth="1"/>
    <col min="7" max="7" width="39.33203125" bestFit="1" customWidth="1"/>
    <col min="8" max="8" width="22" customWidth="1"/>
  </cols>
  <sheetData>
    <row r="1" spans="1:8" x14ac:dyDescent="0.3">
      <c r="A1" s="5" t="s">
        <v>32</v>
      </c>
      <c r="B1" s="5" t="s">
        <v>33</v>
      </c>
    </row>
    <row r="2" spans="1:8" ht="36.75" customHeight="1" x14ac:dyDescent="0.3">
      <c r="A2" s="18" t="s">
        <v>20</v>
      </c>
      <c r="B2" s="18" t="s">
        <v>66</v>
      </c>
      <c r="C2" s="31" t="s">
        <v>145</v>
      </c>
      <c r="D2" s="31" t="s">
        <v>216</v>
      </c>
      <c r="E2" s="31" t="s">
        <v>142</v>
      </c>
      <c r="F2" s="31" t="s">
        <v>146</v>
      </c>
      <c r="G2" s="31" t="s">
        <v>138</v>
      </c>
    </row>
    <row r="3" spans="1:8" x14ac:dyDescent="0.3">
      <c r="A3" s="14" t="s">
        <v>31</v>
      </c>
      <c r="B3" s="32" t="s">
        <v>44</v>
      </c>
      <c r="C3" s="32" t="s">
        <v>62</v>
      </c>
      <c r="D3" s="84" t="s">
        <v>137</v>
      </c>
      <c r="E3" s="44" t="s">
        <v>87</v>
      </c>
      <c r="F3" s="58" t="s">
        <v>26</v>
      </c>
      <c r="G3" s="29" t="s">
        <v>71</v>
      </c>
    </row>
    <row r="4" spans="1:8" x14ac:dyDescent="0.3">
      <c r="A4" s="12">
        <v>1</v>
      </c>
      <c r="B4" s="11" t="str">
        <f>_xlfn.CONCAT(Cliente_D!B4," ",Cliente_D!C4," ", Cliente_D!D4," ",Cliente_D!E4)</f>
        <v xml:space="preserve">Juan  Gómez </v>
      </c>
      <c r="C4" s="11" t="str">
        <f>Agenda_D!C4</f>
        <v>Juan García</v>
      </c>
      <c r="D4" s="52">
        <v>46295.416666666664</v>
      </c>
      <c r="E4" s="38">
        <v>0.44791666666666669</v>
      </c>
      <c r="F4" s="12" t="s">
        <v>67</v>
      </c>
      <c r="G4" s="12" t="str">
        <f>_xlfn.CONCAT(C4,"-",TEXT(D4,"dd/mm/yyyy/hh:mm"))</f>
        <v>Juan García-30/09/2026/10:00</v>
      </c>
    </row>
    <row r="5" spans="1:8" x14ac:dyDescent="0.3">
      <c r="A5" s="12">
        <v>2</v>
      </c>
      <c r="B5" s="11" t="str">
        <f>_xlfn.CONCAT(Cliente_D!B5," ",Cliente_D!C5," ", Cliente_D!D5," ",Cliente_D!E5)</f>
        <v>Jose Miguel Ramirez Perez</v>
      </c>
      <c r="C5" s="11" t="str">
        <f>Agenda_D!C5</f>
        <v>Juan Ortiz</v>
      </c>
      <c r="D5" s="52">
        <v>45983.458333333336</v>
      </c>
      <c r="E5" s="38">
        <v>0.48958333333333331</v>
      </c>
      <c r="F5" s="12" t="s">
        <v>92</v>
      </c>
      <c r="G5" s="12" t="str">
        <f t="shared" ref="G5:G8" si="0">_xlfn.CONCAT(C5,"-",TEXT(D5,"dd/mm/yyyy/hh:mm"))</f>
        <v>Juan Ortiz-22/11/2025/11:00</v>
      </c>
    </row>
    <row r="6" spans="1:8" x14ac:dyDescent="0.3">
      <c r="A6" s="12">
        <v>3</v>
      </c>
      <c r="B6" s="11" t="str">
        <f>_xlfn.CONCAT(Cliente_D!B6," ",Cliente_D!C6," ", Cliente_D!D6," ",Cliente_D!E6)</f>
        <v>Simon  Ochoa Ramirez</v>
      </c>
      <c r="C6" s="11" t="str">
        <f>Agenda_D!C6</f>
        <v>Carlos Arbeladez</v>
      </c>
      <c r="D6" s="52">
        <v>45514.583333333336</v>
      </c>
      <c r="E6" s="38">
        <v>0.59375</v>
      </c>
      <c r="F6" s="12" t="s">
        <v>139</v>
      </c>
      <c r="G6" s="12" t="str">
        <f t="shared" si="0"/>
        <v>Carlos Arbeladez-10/08/2024/14:00</v>
      </c>
    </row>
    <row r="7" spans="1:8" x14ac:dyDescent="0.3">
      <c r="A7" s="12">
        <v>4</v>
      </c>
      <c r="B7" s="11" t="str">
        <f>_xlfn.CONCAT(Cliente_D!B7," ",Cliente_D!C7," ", Cliente_D!D7," ",Cliente_D!E7)</f>
        <v xml:space="preserve">Alexis  Gallego </v>
      </c>
      <c r="C7" s="11" t="str">
        <f>Agenda_D!C7</f>
        <v>Andres Ramirez</v>
      </c>
      <c r="D7" s="52">
        <v>46289.541666666664</v>
      </c>
      <c r="E7" s="38">
        <v>0.5625</v>
      </c>
      <c r="F7" s="12" t="s">
        <v>93</v>
      </c>
      <c r="G7" s="12" t="str">
        <f t="shared" si="0"/>
        <v>Andres Ramirez-24/09/2026/13:00</v>
      </c>
    </row>
    <row r="8" spans="1:8" x14ac:dyDescent="0.3">
      <c r="A8" s="12">
        <v>5</v>
      </c>
      <c r="B8" s="11" t="str">
        <f>_xlfn.CONCAT(Cliente_D!B7," ",Cliente_D!C7," ", Cliente_D!D7," ",Cliente_D!E7)</f>
        <v xml:space="preserve">Alexis  Gallego </v>
      </c>
      <c r="C8" s="11" t="str">
        <f>Agenda_D!C6</f>
        <v>Carlos Arbeladez</v>
      </c>
      <c r="D8" s="52">
        <v>46240.75</v>
      </c>
      <c r="E8" s="38">
        <v>0.75694444444444442</v>
      </c>
      <c r="F8" s="12" t="s">
        <v>94</v>
      </c>
      <c r="G8" s="12" t="str">
        <f t="shared" si="0"/>
        <v>Carlos Arbeladez-06/08/2026/18:00</v>
      </c>
      <c r="H8" s="49"/>
    </row>
    <row r="10" spans="1:8" x14ac:dyDescent="0.3">
      <c r="H10" s="51"/>
    </row>
    <row r="11" spans="1:8" x14ac:dyDescent="0.3">
      <c r="F11" s="60" t="s">
        <v>215</v>
      </c>
    </row>
    <row r="12" spans="1:8" x14ac:dyDescent="0.3">
      <c r="D12" s="53"/>
    </row>
    <row r="13" spans="1:8" x14ac:dyDescent="0.3">
      <c r="D13" s="53"/>
    </row>
    <row r="14" spans="1:8" x14ac:dyDescent="0.3">
      <c r="D14" s="53"/>
    </row>
    <row r="15" spans="1:8" x14ac:dyDescent="0.3">
      <c r="D15" s="53"/>
    </row>
  </sheetData>
  <hyperlinks>
    <hyperlink ref="A1" location="'Modelo de Dominio'!A1" display="&lt;&lt;&lt;&lt; Ir al modulo de dominio" xr:uid="{B207C97C-275D-464D-907D-12CA92F31351}"/>
    <hyperlink ref="B1" location="'Objetos de Dominio'!A1" display="&lt;&lt;&lt;&lt; Ir a objetos de dominio" xr:uid="{A9A9D2FC-8663-43BF-ACCB-9C70C189E293}"/>
    <hyperlink ref="B3" location="Cliente_D!A1" display="cliente" xr:uid="{06CEF340-54E4-4B28-B31C-ABF377C5D505}"/>
    <hyperlink ref="B4" location="Cliente_D!A4" display="Cliente_D!A4" xr:uid="{2D6C3DE1-D9AA-441D-BD33-C130F6514BD7}"/>
    <hyperlink ref="B5:B7" location="Cliente_D!A4" display="Cliente_D!A4" xr:uid="{6F1163D6-DDFB-4008-9A38-BB6A2A795269}"/>
    <hyperlink ref="B5" location="Cliente_D!A5" display="Cliente_D!A5" xr:uid="{B8BD4E6D-1663-4D3D-A889-64D68A3A2A58}"/>
    <hyperlink ref="B6" location="Cliente_D!A6" display="Cliente_D!A6" xr:uid="{02BF914F-1130-4B28-AF19-0EE4E8BC2456}"/>
    <hyperlink ref="B7" location="Cliente_D!A7" display="Cliente_D!A7" xr:uid="{280602B1-AD7B-40F9-BC4D-6BE99B538582}"/>
    <hyperlink ref="B8" location="Cliente_D!A7" display="Cliente_D!A7" xr:uid="{6F7F8AF3-8E6D-4437-BBCD-93B99146262C}"/>
    <hyperlink ref="C3" location="Agenda_D!A1" display="agenda" xr:uid="{60744912-F7D2-4529-A199-58D08DC9D936}"/>
    <hyperlink ref="C4" location="Agenda_D!A4" display="Agenda_D!A4" xr:uid="{73B1783E-C87F-4875-A3AB-4B093DF06CAD}"/>
    <hyperlink ref="C5:C7" location="Agenda_D!A4" display="Agenda_D!A4" xr:uid="{373C7337-4CE5-4724-898C-CE3C5F8B88DE}"/>
    <hyperlink ref="C5" location="Agenda_D!A5" display="Agenda_D!A5" xr:uid="{2ADE8D46-19A8-4C2B-B93D-1A18A42B1A35}"/>
    <hyperlink ref="C6" location="Agenda_D!A6" display="Agenda_D!A6" xr:uid="{E39E814B-9CEA-41B3-BCB7-2A1A5D74E096}"/>
    <hyperlink ref="C7" location="Agenda_D!A7" display="Agenda_D!A7" xr:uid="{D8FF0774-9504-41FE-A66F-DFB70F6325C9}"/>
    <hyperlink ref="C8" location="Agenda_D!A6" display="Agenda_D!A6" xr:uid="{2783384A-2FE4-4E4A-8BF8-EC161634EA19}"/>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73FB-AAA2-4254-B83C-7C7505540365}">
  <dimension ref="A1:G7"/>
  <sheetViews>
    <sheetView topLeftCell="B1" zoomScale="130" zoomScaleNormal="130" workbookViewId="0">
      <selection activeCell="E7" sqref="E7"/>
    </sheetView>
  </sheetViews>
  <sheetFormatPr baseColWidth="10" defaultRowHeight="14.4" x14ac:dyDescent="0.3"/>
  <cols>
    <col min="1" max="1" width="26.6640625" customWidth="1"/>
    <col min="2" max="2" width="38.5546875" customWidth="1"/>
    <col min="3" max="3" width="39.33203125" bestFit="1" customWidth="1"/>
    <col min="4" max="5" width="39.6640625" customWidth="1"/>
    <col min="6" max="6" width="34.33203125" bestFit="1" customWidth="1"/>
    <col min="7" max="7" width="39.33203125" bestFit="1" customWidth="1"/>
  </cols>
  <sheetData>
    <row r="1" spans="1:7" x14ac:dyDescent="0.3">
      <c r="A1" s="5" t="s">
        <v>32</v>
      </c>
      <c r="B1" s="5" t="s">
        <v>33</v>
      </c>
    </row>
    <row r="2" spans="1:7" ht="31.5" customHeight="1" x14ac:dyDescent="0.3">
      <c r="A2" s="18" t="s">
        <v>20</v>
      </c>
      <c r="B2" s="18" t="s">
        <v>96</v>
      </c>
      <c r="C2" s="31" t="s">
        <v>97</v>
      </c>
      <c r="D2" s="31" t="s">
        <v>140</v>
      </c>
      <c r="E2" s="31" t="s">
        <v>148</v>
      </c>
      <c r="F2" s="31" t="s">
        <v>98</v>
      </c>
      <c r="G2" s="31" t="s">
        <v>99</v>
      </c>
    </row>
    <row r="3" spans="1:7" x14ac:dyDescent="0.3">
      <c r="A3" s="14" t="s">
        <v>31</v>
      </c>
      <c r="B3" s="32" t="s">
        <v>44</v>
      </c>
      <c r="C3" s="32" t="s">
        <v>95</v>
      </c>
      <c r="D3" s="35" t="s">
        <v>27</v>
      </c>
      <c r="E3" s="57" t="s">
        <v>147</v>
      </c>
      <c r="F3" s="44" t="s">
        <v>28</v>
      </c>
      <c r="G3" s="29" t="s">
        <v>71</v>
      </c>
    </row>
    <row r="4" spans="1:7" x14ac:dyDescent="0.3">
      <c r="A4" s="12">
        <v>1</v>
      </c>
      <c r="B4" s="11" t="str">
        <f>Cliente_D!H6</f>
        <v>Simon--Ochoa-Ramirez-+57-3119884321</v>
      </c>
      <c r="C4" s="11" t="str">
        <f>Cita_D!G6</f>
        <v>Carlos Arbeladez-10/08/2024/14:00</v>
      </c>
      <c r="D4" s="12">
        <f>Regla_D!C4</f>
        <v>10000</v>
      </c>
      <c r="E4" s="12" t="s">
        <v>139</v>
      </c>
      <c r="F4" s="12" t="s">
        <v>49</v>
      </c>
      <c r="G4" s="12" t="str">
        <f>C4</f>
        <v>Carlos Arbeladez-10/08/2024/14:00</v>
      </c>
    </row>
    <row r="5" spans="1:7" x14ac:dyDescent="0.3">
      <c r="A5" s="12">
        <v>2</v>
      </c>
      <c r="B5" s="11" t="str">
        <f>Cliente_D!H7</f>
        <v>Alexis--Gallego--+58-4127359182</v>
      </c>
      <c r="C5" s="11" t="str">
        <f>Cita_D!G7</f>
        <v>Andres Ramirez-24/09/2026/13:00</v>
      </c>
      <c r="D5" s="12">
        <f>CitaServicio_D!D7</f>
        <v>35000</v>
      </c>
      <c r="E5" s="12" t="s">
        <v>93</v>
      </c>
      <c r="F5" s="12" t="s">
        <v>50</v>
      </c>
      <c r="G5" s="12" t="str">
        <f>C5</f>
        <v>Andres Ramirez-24/09/2026/13:00</v>
      </c>
    </row>
    <row r="6" spans="1:7" x14ac:dyDescent="0.3">
      <c r="A6" s="10"/>
      <c r="B6" s="10"/>
      <c r="C6" s="10"/>
      <c r="D6" s="10"/>
      <c r="E6" s="10"/>
      <c r="F6" s="10"/>
      <c r="G6" s="10"/>
    </row>
    <row r="7" spans="1:7" x14ac:dyDescent="0.3">
      <c r="A7" s="10"/>
      <c r="B7" s="10"/>
      <c r="C7" s="10"/>
      <c r="D7" s="10"/>
      <c r="E7" s="10"/>
      <c r="F7" s="10"/>
      <c r="G7" s="10"/>
    </row>
  </sheetData>
  <hyperlinks>
    <hyperlink ref="A1" location="'Modelo de Dominio'!A1" display="&lt;&lt;&lt;&lt; Ir al modulo de dominio" xr:uid="{9F0C7EDD-9274-48A2-A738-083239FDA7C6}"/>
    <hyperlink ref="B1" location="'Objetos de Dominio'!A1" display="&lt;&lt;&lt;&lt; Ir a objetos de dominio" xr:uid="{0C771B16-6597-49B8-8E4B-7C7FF5DA8BF5}"/>
    <hyperlink ref="B3" location="Cliente_D!A1" display="cliente" xr:uid="{25A756FB-4C6E-4DEC-B1F0-39B61B456159}"/>
    <hyperlink ref="B4" location="Cliente_D!A6" display="Cliente_D!A6" xr:uid="{04DD592F-405E-41B2-A74B-A27DC1B151DB}"/>
    <hyperlink ref="B5" location="Cliente_D!A7" display="Cliente_D!A7" xr:uid="{8977D7CB-DE4B-483D-AE43-AF4CAAF7DABC}"/>
    <hyperlink ref="C3" location="Cita_D!A1" display="cita" xr:uid="{8D994A8D-0DEB-42E2-9882-162D0FABC119}"/>
    <hyperlink ref="C4" location="Cita_D!A6" display="Cita_D!A6" xr:uid="{96DA50FB-FF8E-47E8-A0CF-7BB6384478FA}"/>
    <hyperlink ref="C5" location="Cita_D!A7" display="Cita_D!A7" xr:uid="{54D436A3-2C3E-4CC7-B15B-7C4DEF2A214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C5A4-8D15-43DA-95FC-91C9614E5EEA}">
  <dimension ref="A1:F10"/>
  <sheetViews>
    <sheetView zoomScale="130" zoomScaleNormal="130" workbookViewId="0"/>
  </sheetViews>
  <sheetFormatPr baseColWidth="10" defaultRowHeight="14.4" x14ac:dyDescent="0.3"/>
  <cols>
    <col min="1" max="1" width="26.44140625" customWidth="1"/>
    <col min="2" max="2" width="39.33203125" bestFit="1" customWidth="1"/>
    <col min="3" max="3" width="21.88671875" customWidth="1"/>
    <col min="4" max="4" width="41.88671875" customWidth="1"/>
    <col min="5" max="5" width="32.109375" customWidth="1"/>
    <col min="6" max="6" width="55.88671875" customWidth="1"/>
  </cols>
  <sheetData>
    <row r="1" spans="1:6" x14ac:dyDescent="0.3">
      <c r="A1" s="5" t="s">
        <v>32</v>
      </c>
      <c r="B1" s="5" t="s">
        <v>33</v>
      </c>
    </row>
    <row r="2" spans="1:6" ht="33" customHeight="1" x14ac:dyDescent="0.3">
      <c r="A2" s="18" t="s">
        <v>20</v>
      </c>
      <c r="B2" s="18" t="s">
        <v>100</v>
      </c>
      <c r="C2" s="31" t="s">
        <v>101</v>
      </c>
      <c r="D2" s="31" t="s">
        <v>217</v>
      </c>
      <c r="E2" s="31" t="s">
        <v>102</v>
      </c>
      <c r="F2" s="31" t="s">
        <v>103</v>
      </c>
    </row>
    <row r="3" spans="1:6" x14ac:dyDescent="0.3">
      <c r="A3" s="41" t="s">
        <v>31</v>
      </c>
      <c r="B3" s="32" t="s">
        <v>95</v>
      </c>
      <c r="C3" s="32" t="s">
        <v>41</v>
      </c>
      <c r="D3" s="78" t="s">
        <v>29</v>
      </c>
      <c r="E3" s="78" t="s">
        <v>30</v>
      </c>
      <c r="F3" s="29" t="s">
        <v>71</v>
      </c>
    </row>
    <row r="4" spans="1:6" x14ac:dyDescent="0.3">
      <c r="A4" s="12">
        <v>1</v>
      </c>
      <c r="B4" s="11" t="str">
        <f>Cita_D!G4</f>
        <v>Juan García-30/09/2026/10:00</v>
      </c>
      <c r="C4" s="11" t="str">
        <f>Servicio_D!F4</f>
        <v>Motilada</v>
      </c>
      <c r="D4" s="12">
        <v>22000</v>
      </c>
      <c r="E4" s="12">
        <v>45</v>
      </c>
      <c r="F4" s="12" t="str">
        <f>_xlfn.CONCAT(B4,"-",C4)</f>
        <v>Juan García-30/09/2026/10:00-Motilada</v>
      </c>
    </row>
    <row r="5" spans="1:6" x14ac:dyDescent="0.3">
      <c r="A5" s="12">
        <v>2</v>
      </c>
      <c r="B5" s="11" t="str">
        <f>Cita_D!G5</f>
        <v>Juan Ortiz-22/11/2025/11:00</v>
      </c>
      <c r="C5" s="11" t="str">
        <f>Servicio_D!F4</f>
        <v>Motilada</v>
      </c>
      <c r="D5" s="12">
        <v>22000</v>
      </c>
      <c r="E5" s="12">
        <v>45</v>
      </c>
      <c r="F5" s="12" t="str">
        <f t="shared" ref="F5:F8" si="0">_xlfn.CONCAT(B5,"-",C5)</f>
        <v>Juan Ortiz-22/11/2025/11:00-Motilada</v>
      </c>
    </row>
    <row r="6" spans="1:6" x14ac:dyDescent="0.3">
      <c r="A6" s="12">
        <v>3</v>
      </c>
      <c r="B6" s="11" t="str">
        <f>Cita_D!G6</f>
        <v>Carlos Arbeladez-10/08/2024/14:00</v>
      </c>
      <c r="C6" s="11" t="str">
        <f>Servicio_D!F6</f>
        <v>Perfilada de barba</v>
      </c>
      <c r="D6" s="12">
        <v>15000</v>
      </c>
      <c r="E6" s="12">
        <v>15</v>
      </c>
      <c r="F6" s="12" t="str">
        <f t="shared" si="0"/>
        <v>Carlos Arbeladez-10/08/2024/14:00-Perfilada de barba</v>
      </c>
    </row>
    <row r="7" spans="1:6" ht="28.8" x14ac:dyDescent="0.3">
      <c r="A7" s="12">
        <v>4</v>
      </c>
      <c r="B7" s="11" t="str">
        <f>Cita_D!G7</f>
        <v>Andres Ramirez-24/09/2026/13:00</v>
      </c>
      <c r="C7" s="54" t="str">
        <f>Servicio_D!F7</f>
        <v>Arreglo completo de barba con toalla caliente</v>
      </c>
      <c r="D7" s="12">
        <v>35000</v>
      </c>
      <c r="E7" s="12">
        <v>30</v>
      </c>
      <c r="F7" s="25" t="str">
        <f t="shared" si="0"/>
        <v>Andres Ramirez-24/09/2026/13:00-Arreglo completo de barba con toalla caliente</v>
      </c>
    </row>
    <row r="8" spans="1:6" x14ac:dyDescent="0.3">
      <c r="A8" s="12">
        <v>5</v>
      </c>
      <c r="B8" s="11" t="str">
        <f>Cita_D!G8</f>
        <v>Carlos Arbeladez-06/08/2026/18:00</v>
      </c>
      <c r="C8" s="11" t="s">
        <v>46</v>
      </c>
      <c r="D8" s="12">
        <v>12000</v>
      </c>
      <c r="E8" s="12">
        <v>10</v>
      </c>
      <c r="F8" s="25" t="str">
        <f t="shared" si="0"/>
        <v>Carlos Arbeladez-06/08/2026/18:00-Corte de barba</v>
      </c>
    </row>
    <row r="10" spans="1:6" x14ac:dyDescent="0.3">
      <c r="D10" t="s">
        <v>219</v>
      </c>
      <c r="E10" t="s">
        <v>218</v>
      </c>
    </row>
  </sheetData>
  <hyperlinks>
    <hyperlink ref="A1" location="'Modelo de Dominio'!A1" display="&lt;&lt;&lt;&lt; Ir al modulo de dominio" xr:uid="{0CE4CBFB-2016-4FF6-924A-B49B8392B10B}"/>
    <hyperlink ref="B1" location="'Objetos de Dominio'!A1" display="&lt;&lt;&lt;&lt; Ir a objetos de dominio" xr:uid="{57379F34-219A-4662-8198-09F584C326D5}"/>
    <hyperlink ref="B3" location="Cita_D!A1" display="cita" xr:uid="{E89AB6B9-F364-4BAD-BFEA-CAA2C102229E}"/>
    <hyperlink ref="B4" location="Cita_D!A4" display="Cita_D!A4" xr:uid="{0CF27EF5-B7FA-41F5-B712-E18CF914FB99}"/>
    <hyperlink ref="B5:B8" location="Cita_D!A4" display="Cita_D!A4" xr:uid="{24E1B3F9-C1C3-4AC0-83CF-93AC9D358E4F}"/>
    <hyperlink ref="B5" location="Cita_D!A5" display="Cita_D!A5" xr:uid="{54C06FE5-3D1C-4E02-B80F-F52398660735}"/>
    <hyperlink ref="B6" location="Cita_D!A6" display="Cita_D!A6" xr:uid="{7C3F9E66-FC63-4CC5-A67C-8604702403F0}"/>
    <hyperlink ref="B7" location="Cita_D!A7" display="Cita_D!A7" xr:uid="{B03F3CEB-2FAE-4C17-B421-BB7244341FF9}"/>
    <hyperlink ref="B8" location="Cita_D!A8" display="Cita_D!A8" xr:uid="{FA20FBDC-E2C6-44CF-B98E-C85818BE6D1B}"/>
    <hyperlink ref="C3" location="Servicio_D!A1" display="servicio" xr:uid="{46A59B94-B463-41EF-A1B6-2B1BD97218B9}"/>
    <hyperlink ref="C4" location="Servicio_D!A4" display="Servicio_D!A4" xr:uid="{E5D47101-7002-491C-A64F-9E08C0E5E166}"/>
    <hyperlink ref="C5" location="Servicio_D!A4" display="Servicio_D!A4" xr:uid="{EC363894-A006-45A1-A451-8A105D143020}"/>
    <hyperlink ref="C6" location="Servicio_D!A6" display="Servicio_D!A6" xr:uid="{2F70A83F-4454-46E6-A1E5-B359824AA24F}"/>
    <hyperlink ref="C7" location="Servicio_D!A7" display="Servicio_D!A7" xr:uid="{36945D0D-E1EC-4BD2-A67D-287FB73A0E8D}"/>
    <hyperlink ref="C8" location="Servicio_D!A5" display="Corte de barba" xr:uid="{52D089FF-955D-405E-BFF7-8EABA1516B8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16</vt:i4>
      </vt:variant>
    </vt:vector>
  </HeadingPairs>
  <TitlesOfParts>
    <vt:vector size="16" baseType="lpstr">
      <vt:lpstr>Modelo de Dominio</vt:lpstr>
      <vt:lpstr>Objetos de Dominio</vt:lpstr>
      <vt:lpstr>Tipo de datos</vt:lpstr>
      <vt:lpstr>Barberia_D</vt:lpstr>
      <vt:lpstr>Cliente_D</vt:lpstr>
      <vt:lpstr>Regla_D</vt:lpstr>
      <vt:lpstr>HorarioBarberia_D</vt:lpstr>
      <vt:lpstr>Servicio_D</vt:lpstr>
      <vt:lpstr>Barbero_D</vt:lpstr>
      <vt:lpstr>Veto_D</vt:lpstr>
      <vt:lpstr>BarberoServicio_D</vt:lpstr>
      <vt:lpstr>Agenda_D</vt:lpstr>
      <vt:lpstr>HorarioBarbero_D</vt:lpstr>
      <vt:lpstr>Cita_D</vt:lpstr>
      <vt:lpstr>Multa_D</vt:lpstr>
      <vt:lpstr>CitaServicio_D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1000</dc:creator>
  <cp:lastModifiedBy>Leo 1000</cp:lastModifiedBy>
  <dcterms:created xsi:type="dcterms:W3CDTF">2026-08-03T17:50:17Z</dcterms:created>
  <dcterms:modified xsi:type="dcterms:W3CDTF">2026-08-10T20:03:22Z</dcterms:modified>
</cp:coreProperties>
</file>