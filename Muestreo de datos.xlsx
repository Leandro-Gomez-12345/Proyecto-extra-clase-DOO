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eand\Desktop\DOO\DOO\Barberia\"/>
    </mc:Choice>
  </mc:AlternateContent>
  <xr:revisionPtr revIDLastSave="0" documentId="13_ncr:1_{81BFAD6D-9C90-4CE7-B6FE-4D8B9CAEDEAD}" xr6:coauthVersionLast="47" xr6:coauthVersionMax="47" xr10:uidLastSave="{00000000-0000-0000-0000-000000000000}"/>
  <bookViews>
    <workbookView xWindow="-108" yWindow="-108" windowWidth="23256" windowHeight="12456" xr2:uid="{09A6C7D7-663F-4C06-9D71-8A4E97495CF9}"/>
  </bookViews>
  <sheets>
    <sheet name="Modelo de Dominio" sheetId="1" r:id="rId1"/>
    <sheet name="Objetos de Dominio" sheetId="4" r:id="rId2"/>
    <sheet name="Barberia_D" sheetId="5" r:id="rId3"/>
    <sheet name="Cliente_D" sheetId="6" r:id="rId4"/>
    <sheet name="Regla_D" sheetId="7" r:id="rId5"/>
    <sheet name="HorarioBarberia_D" sheetId="18" r:id="rId6"/>
    <sheet name="Servicio_D" sheetId="8" r:id="rId7"/>
    <sheet name="Barbero_D" sheetId="9" r:id="rId8"/>
    <sheet name="Veto_D" sheetId="10" r:id="rId9"/>
    <sheet name="BarberoServicio_D" sheetId="11" r:id="rId10"/>
    <sheet name="Agenda_D" sheetId="12" r:id="rId11"/>
    <sheet name="HorarioBarbero_D" sheetId="20" r:id="rId12"/>
    <sheet name="Cita_D" sheetId="13" r:id="rId13"/>
    <sheet name="Multa_D" sheetId="16" r:id="rId14"/>
    <sheet name="CitaServicio_D" sheetId="17"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7" i="9" l="1"/>
  <c r="K6" i="9"/>
  <c r="K5" i="9"/>
  <c r="K4" i="9"/>
  <c r="B5" i="8"/>
  <c r="B6" i="8"/>
  <c r="B7" i="8"/>
  <c r="B4" i="8"/>
  <c r="C7" i="13"/>
  <c r="H5" i="6"/>
  <c r="H6" i="6"/>
  <c r="H7" i="6"/>
  <c r="B5" i="16" s="1"/>
  <c r="H4" i="6"/>
  <c r="B5" i="13"/>
  <c r="B6" i="13"/>
  <c r="B7" i="13"/>
  <c r="B8" i="13"/>
  <c r="B7" i="20"/>
  <c r="B5" i="12"/>
  <c r="B6" i="12"/>
  <c r="C6" i="12" s="1"/>
  <c r="B7" i="12"/>
  <c r="C5" i="11"/>
  <c r="C6" i="11"/>
  <c r="C7" i="11"/>
  <c r="B6" i="11"/>
  <c r="D6" i="11" s="1"/>
  <c r="B5" i="11"/>
  <c r="D5" i="11" s="1"/>
  <c r="B7" i="11"/>
  <c r="D7" i="11" s="1"/>
  <c r="B4" i="11"/>
  <c r="D4" i="11" s="1"/>
  <c r="D5" i="16"/>
  <c r="D4" i="16"/>
  <c r="B4" i="16"/>
  <c r="B4" i="13"/>
  <c r="B7" i="18"/>
  <c r="B8" i="18"/>
  <c r="B9" i="18"/>
  <c r="B5" i="18"/>
  <c r="B6" i="18"/>
  <c r="L5" i="9"/>
  <c r="L6" i="9"/>
  <c r="L7" i="9"/>
  <c r="L4" i="9"/>
  <c r="C6" i="17"/>
  <c r="C7" i="12"/>
  <c r="B4" i="12"/>
  <c r="C4" i="12" s="1"/>
  <c r="B4" i="20" s="1"/>
  <c r="F4" i="20" s="1"/>
  <c r="F5" i="18"/>
  <c r="F6" i="18"/>
  <c r="F7" i="18"/>
  <c r="F8" i="18"/>
  <c r="F9" i="18"/>
  <c r="F4" i="18"/>
  <c r="B4" i="18"/>
  <c r="F4" i="7"/>
  <c r="E4" i="7"/>
  <c r="C4" i="11"/>
  <c r="B7" i="10"/>
  <c r="E7" i="10" s="1"/>
  <c r="B6" i="10"/>
  <c r="E6" i="10" s="1"/>
  <c r="B5" i="10"/>
  <c r="E5" i="10" s="1"/>
  <c r="B4" i="10"/>
  <c r="E4" i="10" s="1"/>
  <c r="F5" i="8"/>
  <c r="F6" i="8"/>
  <c r="F7" i="8"/>
  <c r="C7" i="17" s="1"/>
  <c r="F4" i="8"/>
  <c r="C5" i="17" s="1"/>
  <c r="F6" i="20" l="1"/>
  <c r="B6" i="20"/>
  <c r="C6" i="13"/>
  <c r="C4" i="17"/>
  <c r="C8" i="13"/>
  <c r="G8" i="13" s="1"/>
  <c r="F7" i="20"/>
  <c r="G7" i="13"/>
  <c r="C4" i="13"/>
  <c r="G4" i="13" s="1"/>
  <c r="G6" i="13"/>
  <c r="C5" i="12"/>
  <c r="C4" i="16" l="1"/>
  <c r="G4" i="16" s="1"/>
  <c r="B6" i="17"/>
  <c r="C5" i="16"/>
  <c r="G5" i="16" s="1"/>
  <c r="B7" i="17"/>
  <c r="F7" i="17" s="1"/>
  <c r="B8" i="17"/>
  <c r="F8" i="17" s="1"/>
  <c r="C5" i="13"/>
  <c r="B5" i="20"/>
  <c r="F6" i="17"/>
  <c r="B4" i="17"/>
  <c r="F4" i="17" s="1"/>
  <c r="F5" i="20"/>
  <c r="G5" i="13"/>
  <c r="B5" i="17" s="1"/>
  <c r="F5" i="17" l="1"/>
</calcChain>
</file>

<file path=xl/sharedStrings.xml><?xml version="1.0" encoding="utf-8"?>
<sst xmlns="http://schemas.openxmlformats.org/spreadsheetml/2006/main" count="297" uniqueCount="191">
  <si>
    <t>Nombre</t>
  </si>
  <si>
    <t>Descripcion</t>
  </si>
  <si>
    <t>Linea de vida</t>
  </si>
  <si>
    <t>Datos</t>
  </si>
  <si>
    <t>Barberia</t>
  </si>
  <si>
    <t>Regla</t>
  </si>
  <si>
    <t>Servicio</t>
  </si>
  <si>
    <t>Barbero</t>
  </si>
  <si>
    <t>BarberoServicio</t>
  </si>
  <si>
    <t>Agenda</t>
  </si>
  <si>
    <t>Cita</t>
  </si>
  <si>
    <t>Cliente</t>
  </si>
  <si>
    <t>Multa</t>
  </si>
  <si>
    <t>Veto</t>
  </si>
  <si>
    <t>CitaServicio</t>
  </si>
  <si>
    <t>Representa el negocio donde trabajan los barberos, agrupa el catalogo de servicios que ofrece y las reglas de tolerancia, multas y veto que aplican para todos sus clientes</t>
  </si>
  <si>
    <t>Representa un tipo de servicio que ofrece la barbería, por ejemplo, motilada, afeitada de barba, perfilar barba, con su duración y su precio. Este precio es el que se usa para calcular la multa cuando un cliente no se presenta a una cita</t>
  </si>
  <si>
    <t>Representa a un trabajador de la barbería que atiende clientes segun los servicios que sabe realizar y que organiza su tiempo a través de su propia agenda</t>
  </si>
  <si>
    <t>Representa que servicios realiza cada barbero, ya que no todos los barberos de la barbería ofrecen los mismos servicios</t>
  </si>
  <si>
    <t>Representa el historial de estado de bloqueo de un cliente, cuando esta activo, ningun barbero de la barbería puede agendarle nuevas citas. Se activa cuando el cliente llega al número de multas sin pagar definido en Regla</t>
  </si>
  <si>
    <t>Representa el calendario de un barbero, incluye su horario de trabajo, sus bloqueos temporales (permisos, capacitaciones, compromisos que no le permiten trabajar) y las citas que se le van agendando, validando que ninguna se cruce con otra</t>
  </si>
  <si>
    <t>Representa las politicas configurables del negocio, cuantos minutos de tolerancia se permiten antes de aplicar una multa por tardanza, cuanto vale esa multa, y cuantas multas sin pagar se necesitan para que un cliente quede vetado</t>
  </si>
  <si>
    <t>Representa una cita agendada por un cliente con un barbero, incluye la fecha y hora, el o los servicios solicitados, y su estado agendada(indica que se ha creado la cita y esta esperando el cambio de estado depues de la hora prevista de finalizacion), atendida(indica que el barbero atendió correctamente al cliente), incumplida(indica que el cliente violó una de las reglas establecidas) o cancelada(indica que el cliente le pidio al barbero que ya no quiere la cita, por lo que esta cita no va a aparecer en su agenda)</t>
  </si>
  <si>
    <t>Representa la sanción económica que se le impone a un cliente por incumplir una cita (llegar tarde fuera de tolerancia o no presentarse), calculada a partir de la cita específica que la originó</t>
  </si>
  <si>
    <t>Representa cada servicio incluido dentro de una cita puntual, guardando el precio y la duración que tenía ese servicio en el momento exacto en que se agendó, para que cambios futuros en el catálogo no alteren citas ya registradas</t>
  </si>
  <si>
    <t>Representa un identificador que hará unico cada objeto de dominio de este tipo, no se puede repetir</t>
  </si>
  <si>
    <t>nombre</t>
  </si>
  <si>
    <t>celular</t>
  </si>
  <si>
    <t>montoMultaTardanza</t>
  </si>
  <si>
    <t>precio</t>
  </si>
  <si>
    <t>fecha</t>
  </si>
  <si>
    <t>estado</t>
  </si>
  <si>
    <t>monto</t>
  </si>
  <si>
    <t>pagada</t>
  </si>
  <si>
    <t>precioAlMomento</t>
  </si>
  <si>
    <t>duracionAlMomento</t>
  </si>
  <si>
    <t>id</t>
  </si>
  <si>
    <t>&lt;&lt;&lt;&lt; Ir al modulo de dominio</t>
  </si>
  <si>
    <t>&lt;&lt;&lt;&lt; Ir a objetos de dominio</t>
  </si>
  <si>
    <t>aquí</t>
  </si>
  <si>
    <t>toleranciaTardanza</t>
  </si>
  <si>
    <t>Representa la cantidad de minutos que el cliente puede llegarle tarde un cliente a la cita establecida con el barbero, despues de eso el barbero lo podrá multar</t>
  </si>
  <si>
    <t>Representa la maxima de multas que pueda tener un cliente sin pagar, a partir de esta cantidad se le hace un veto al cliente</t>
  </si>
  <si>
    <t>barberia</t>
  </si>
  <si>
    <t>Representa el nombre del servicio que va estar en la barberia, que el barbero ofrece y en las citas que esta</t>
  </si>
  <si>
    <t>duracion</t>
  </si>
  <si>
    <t>Representa lo que va durar en minutos el servicio</t>
  </si>
  <si>
    <t>Representa cuanto va a valer el servicio en pesos colombianos</t>
  </si>
  <si>
    <t>Representa la cantidad de dinero que el cliente debe de pagar en pesos colombianos, por superar la toleranciaTardanza</t>
  </si>
  <si>
    <t>Motilada</t>
  </si>
  <si>
    <t>Ir a objetos de dominio &gt;&gt;&gt;&gt;</t>
  </si>
  <si>
    <t>barbero</t>
  </si>
  <si>
    <t>servicio</t>
  </si>
  <si>
    <t>correo</t>
  </si>
  <si>
    <t>vigente</t>
  </si>
  <si>
    <t>cliente</t>
  </si>
  <si>
    <t>Combinacion única que indica que no puede existir más de un servicio con el mismo nombre</t>
  </si>
  <si>
    <t>Corte de barba</t>
  </si>
  <si>
    <t>Perfilada de barba</t>
  </si>
  <si>
    <t>Arreglo completo de barba con toalla caliente</t>
  </si>
  <si>
    <t>Representa el numero de celular del barbero</t>
  </si>
  <si>
    <t>si</t>
  </si>
  <si>
    <t>no</t>
  </si>
  <si>
    <t>Juan Fernando</t>
  </si>
  <si>
    <t>Juan David</t>
  </si>
  <si>
    <t>Carlos</t>
  </si>
  <si>
    <t>Andres</t>
  </si>
  <si>
    <t>García Lopez</t>
  </si>
  <si>
    <t>Ortiz Sanchez</t>
  </si>
  <si>
    <t>Ramirez Patiño</t>
  </si>
  <si>
    <t>juanfer234535@gmail.com</t>
  </si>
  <si>
    <t>juandaviddd2525@gmail.com</t>
  </si>
  <si>
    <t>carlosbeladez@gmail.com</t>
  </si>
  <si>
    <t>andresramirezpatino123@gmail.com</t>
  </si>
  <si>
    <t>activo</t>
  </si>
  <si>
    <t>Representa el numero de celular del cliente al que se veto, es decir al que no se le podra agendar más citas</t>
  </si>
  <si>
    <t>Combinacion única que indica que no puede existir más de un veto con el mismo cliente y la misma fecha</t>
  </si>
  <si>
    <t>Representa la fecha en el que se veto al cliente, por acomular y no pagar las multas, el numero para que se de el veto lo define la regla de la barbería</t>
  </si>
  <si>
    <t>numeroCelularCliente</t>
  </si>
  <si>
    <t>agenda</t>
  </si>
  <si>
    <t>Representa el nombre y apellidos del barbero</t>
  </si>
  <si>
    <t xml:space="preserve">Representa el nombre del servicio de la barberia </t>
  </si>
  <si>
    <t>horaInicio</t>
  </si>
  <si>
    <t>Representa el nombre completo del cliente que va a estar en la cita, para que luego el barbero se acuerde a quien tiene que atender</t>
  </si>
  <si>
    <t>agendada</t>
  </si>
  <si>
    <t>Representa el nombre de como se llama la barberia en donde trabajan los barberos</t>
  </si>
  <si>
    <t>Barbería Oriental</t>
  </si>
  <si>
    <t>numeroMultasMaxima</t>
  </si>
  <si>
    <t>Representa el nombre de la barberia que va a estar asociado la regla</t>
  </si>
  <si>
    <t>Combinación única</t>
  </si>
  <si>
    <t xml:space="preserve">combinacion única </t>
  </si>
  <si>
    <t xml:space="preserve">Combinación única </t>
  </si>
  <si>
    <t>Combinacion única</t>
  </si>
  <si>
    <t>HorarioBarberia</t>
  </si>
  <si>
    <t>HorarioBarbero</t>
  </si>
  <si>
    <t>Representa a la persona que solicita citas en la barbería, el se las pide a un barbero por WhatsApp. Cada uno solo es para que en el sistema tenga un historial de las citas que ha pedido, de multas y de vetos</t>
  </si>
  <si>
    <t>Representa cada dia de la semana, hora en el que entra, hora a la que sale, para que la agenda del barbero sepa que dias trabaja el</t>
  </si>
  <si>
    <t>Representa cada día de la semana en los que la barberia abre, la hora a la que abre y cierra la barberia</t>
  </si>
  <si>
    <t>Representa el nombre de la barberia que va pertencer los horarios de la barberia</t>
  </si>
  <si>
    <t>dia</t>
  </si>
  <si>
    <t>horaApertura</t>
  </si>
  <si>
    <t>horaCierre</t>
  </si>
  <si>
    <t>Lunes</t>
  </si>
  <si>
    <t>Martes</t>
  </si>
  <si>
    <t>Miércoles</t>
  </si>
  <si>
    <t>Jueves</t>
  </si>
  <si>
    <t>Viernes</t>
  </si>
  <si>
    <t>Sábado</t>
  </si>
  <si>
    <t>Combinación única que indica que un barbero no puede tener más de una agenda, cada barbero organiza todo su tiempo en un único lugar</t>
  </si>
  <si>
    <t>horaFin</t>
  </si>
  <si>
    <t xml:space="preserve">
Hace referencia a la agenda (y por lo tanto al barbero) a la que pertenece este horario, permite saber de quién es cada bloque de disponibilidad</t>
  </si>
  <si>
    <t>Representa el día de la semana en que aplica este horario, es necesario porque un barbero puede trabajar unos días sí y otros no</t>
  </si>
  <si>
    <t>Representa la hora en la que el barbero empieza a estar disponible ese dia</t>
  </si>
  <si>
    <t>Representa la hora en la que el barbero deja de estar disponible ese día, junto con horaInicio, es lo que la aplicación usa para saber si hay campo para agendar una cita nueva</t>
  </si>
  <si>
    <t>Combinación única que indica que una misma agenda no puede tener dos horarios distintos para el mismo día</t>
  </si>
  <si>
    <t>atendida</t>
  </si>
  <si>
    <t>incumplida</t>
  </si>
  <si>
    <t>cancelada</t>
  </si>
  <si>
    <t>cita</t>
  </si>
  <si>
    <t>Hace referencia a que cliente se le esta cobrando la multa, es el dato que se usa para sumar cuántas multas sin pagar tiene una persona y decidir si debe ser vetada, dependiendo de como se definio en regla</t>
  </si>
  <si>
    <t>Hace referencia a la cita puntual que el cliente incumplió (llegando tarde fuera de la tolerancia o no presentándose), de esa cita es de donde sale el valor de monto si fue el caso de no presentase</t>
  </si>
  <si>
    <t>Representa si el cliente ya pagó o no esta multa, es el dato que se revisa para decidir si un cliente llega al número de multas sin pagar que activa el veto</t>
  </si>
  <si>
    <t>Combinación única que indica que una misma cita no puede generar más de una multa</t>
  </si>
  <si>
    <t>Hace referencia a la cita puntual en la que se pidió este servicio</t>
  </si>
  <si>
    <t>Hace referencia a cual servicio del catalogo fue el que se pidió en esa cita</t>
  </si>
  <si>
    <t>Representa cuanto valía el servicio en el momento exacto en que se agendó la cita, se guarda aparte del precio del catalogo por si el precio de ese servicio cambia después, las citas ya registradas no se vean afectadas</t>
  </si>
  <si>
    <t>Representa cuanto duraba el servicio en el momento en que se agendó, junto con la hora de inicio de la cita permite calcular hasta que hora queda ocupado el barbero</t>
  </si>
  <si>
    <t>Combinación única que indica que un mismo servicio no puede repetirse dos veces dentro de la misma cita</t>
  </si>
  <si>
    <t>Representa el numero de celular de la persona que le va aescribir al barbero por WhatsApp para pedirle una cita</t>
  </si>
  <si>
    <t>Combinación única que indica que un mismo barbero no puede aparecer dos veces ofreciendo el mismo servicio</t>
  </si>
  <si>
    <t>primerNombre</t>
  </si>
  <si>
    <t>primerApellido</t>
  </si>
  <si>
    <t>segundoNombre</t>
  </si>
  <si>
    <t>segundoApellido</t>
  </si>
  <si>
    <t>Fernando</t>
  </si>
  <si>
    <t>David</t>
  </si>
  <si>
    <t>Lopez</t>
  </si>
  <si>
    <t>Sanchez</t>
  </si>
  <si>
    <t>Patiño</t>
  </si>
  <si>
    <t>Arbeladez</t>
  </si>
  <si>
    <t>Representa el segundo apellido del barbero que trabaja en la barbería, su valor por defecto es el vacio y es permitido</t>
  </si>
  <si>
    <t>Representa el primer nombre del barbero que trabaja en barbería, su valor por defecto es el vacio</t>
  </si>
  <si>
    <t>Representa el primer apellido del barbero que trabaja en la barbería, su valor por defecto es el vacio</t>
  </si>
  <si>
    <t>Representa el segundo nombre del barbero que trabaja en barbería, su valor por defecto es el vacio y es permitido</t>
  </si>
  <si>
    <t>Gómez</t>
  </si>
  <si>
    <t>Perez</t>
  </si>
  <si>
    <t>Ramirez</t>
  </si>
  <si>
    <t>Gallego</t>
  </si>
  <si>
    <t>Ochoa</t>
  </si>
  <si>
    <t>Jose</t>
  </si>
  <si>
    <t>Miguel</t>
  </si>
  <si>
    <t>Juan</t>
  </si>
  <si>
    <t>Simon</t>
  </si>
  <si>
    <t>Alexis</t>
  </si>
  <si>
    <t>Representa el primer nombre de la persona, que va a estar llendo a la barberia para las citas, su valor por defecto es el vacío y no es permitido</t>
  </si>
  <si>
    <t>Representa el segundo nombre de la persona, que va a estar llendo a la barberia para las citas, su valor por defecto es el vacío y es permitido</t>
  </si>
  <si>
    <t>Representa el primer apellido de la persona, que va a estar llendo a la barberia para las citas, su valor por defecto es el vacío y no es permitido</t>
  </si>
  <si>
    <t>Representa el primer apellido de la persona, que va a estar llendo a la barberia para las citas, su valor por defecto es el vacío y es permitido</t>
  </si>
  <si>
    <t>Representa el día de la semana en que aplica este horario, es necesario para saber que días abrira la barberia</t>
  </si>
  <si>
    <t>Representa la hora a la que abre la barbería</t>
  </si>
  <si>
    <t>Representa la hora a la que cierra la barbería</t>
  </si>
  <si>
    <t>Combinacion única que indica que no puede existir más de un horario con la misma barberia, dia de la semana, hora de apertura y cierre</t>
  </si>
  <si>
    <t>Referencia a que barbero va a ser dueño de esta agenda, es el dato que conecta el calendario con la persona que lo usa para organizar su tiempo y sus citas</t>
  </si>
  <si>
    <t>Representa si el veto está vigente o no. Es el dato que indica si el cliente se le quito la sancion del veto o no. Este dato se calcula, cada que un cliente acomule 3 multas sin pagar se pone si o si el paga una de las multas el sistema lo pone en no</t>
  </si>
  <si>
    <t>contraseña</t>
  </si>
  <si>
    <t>Representa el correo electronico del barbero, con el que se va a registrar o iniciar seción</t>
  </si>
  <si>
    <t>Representa la contraseña del barbebro, con el que se va a registrar o iniciar sesión</t>
  </si>
  <si>
    <t>Carlos.1995</t>
  </si>
  <si>
    <t>Juan.sanchez2342</t>
  </si>
  <si>
    <t>ramirezpatinio23121</t>
  </si>
  <si>
    <t>Combinacion única que indica que no puede existir más de un barbero con el mismo nombre, apellidos y  número de celular</t>
  </si>
  <si>
    <t>prefijo</t>
  </si>
  <si>
    <t>+57</t>
  </si>
  <si>
    <t>+58</t>
  </si>
  <si>
    <t>Representa de que pais es el numero de celular del cliente</t>
  </si>
  <si>
    <t>Representa de que pais es el numero de celular del barbero</t>
  </si>
  <si>
    <t>+91</t>
  </si>
  <si>
    <t>Representa si el barbero sigue o no trabajando en la barberia, es un dato calculado cuando el barbero tiene en su agenda un horario de trabajo si es vigente y si no tiene horario de trabajo dice no es vigente</t>
  </si>
  <si>
    <t>fechaHora</t>
  </si>
  <si>
    <t>Representa la fecha y la hora en el que se va a realizar la cita al cliente</t>
  </si>
  <si>
    <t xml:space="preserve">
Combinación única que indica que una cita no puede existir dentro de una agenda con la misma fecha y hora de inicio para la cita</t>
  </si>
  <si>
    <t>retraso</t>
  </si>
  <si>
    <t xml:space="preserve">Representa cuanto dinero en pesos colombianos debe pagar el cliente la multa, si es por retraso se el monto es el que dice en regla y si es por incumplida el monto es del o los servicios que pidio </t>
  </si>
  <si>
    <t>Combinacion única que indica que no puede existir más de un cliente con un mismo nombre, apellidos, prefijo de celular y número de celular</t>
  </si>
  <si>
    <t>Representa la hora prevista a la que finaliza una cita, es un dato calculado a partir de la hora en que empieza la cita y la duración del servicio, sumándole la duración del servicio a la hora de inicio</t>
  </si>
  <si>
    <t>Representa el nombre de la barbería que pertenece el servicio</t>
  </si>
  <si>
    <t>Representa la barbería en la que trabaja el barbero</t>
  </si>
  <si>
    <t>Hace referencia a en la agenda de que barbero quedó registrada esta cita, es lo que permite validar que no se cruce con otra cita del mismo barbero</t>
  </si>
  <si>
    <t>Representa en que momento del proceso está la cita: agendada (se creó y espera a que el cliente llegue), atendida (la cita se cumplió sin ningún inconveniente), retraso (el cliente llegó, pero pasada la tolerancia de tiempo) ,incumplida (el cliente nunca llegó) o cancelada (el cliente avisó con anticipación que ya no la quiere)</t>
  </si>
  <si>
    <t>tipo</t>
  </si>
  <si>
    <t>Representa el tipo de multa con el que se va sancionar, si es retraso o incumplida. Este es un dato obtenido del estado de cita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</si>
</sst>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F800]dddd\,\ mmmm\ dd\,\ yyyy"/>
  </numFmts>
  <fonts count="9" x14ac:knownFonts="1">
    <font>
      <sz val="11"/>
      <color theme="1"/>
      <name val="Aptos Narrow"/>
      <family val="2"/>
      <scheme val="minor"/>
    </font>
    <font>
      <b/>
      <sz val="11"/>
      <color theme="1"/>
      <name val="Aptos Narrow"/>
      <family val="2"/>
      <scheme val="minor"/>
    </font>
    <font>
      <sz val="7"/>
      <color theme="1"/>
      <name val="Aptos Narrow"/>
      <family val="2"/>
      <scheme val="minor"/>
    </font>
    <font>
      <u/>
      <sz val="11"/>
      <color theme="10"/>
      <name val="Aptos Narrow"/>
      <family val="2"/>
      <scheme val="minor"/>
    </font>
    <font>
      <sz val="7"/>
      <name val="Aptos Narrow"/>
      <family val="2"/>
      <scheme val="minor"/>
    </font>
    <font>
      <b/>
      <sz val="11"/>
      <name val="Aptos Narrow"/>
      <family val="2"/>
      <scheme val="minor"/>
    </font>
    <font>
      <b/>
      <u/>
      <sz val="11"/>
      <color theme="10"/>
      <name val="Aptos Narrow"/>
      <family val="2"/>
      <scheme val="minor"/>
    </font>
    <font>
      <sz val="8"/>
      <name val="Aptos Narrow"/>
      <family val="2"/>
      <scheme val="minor"/>
    </font>
    <font>
      <sz val="11"/>
      <name val="Aptos Narrow"/>
      <family val="2"/>
      <scheme val="minor"/>
    </font>
  </fonts>
  <fills count="10">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63">
    <xf numFmtId="0" fontId="0" fillId="0" borderId="0" xfId="0"/>
    <xf numFmtId="0" fontId="0" fillId="2" borderId="0" xfId="0" applyFill="1"/>
    <xf numFmtId="0" fontId="0" fillId="0" borderId="0" xfId="0" applyAlignment="1">
      <alignment wrapText="1"/>
    </xf>
    <xf numFmtId="0" fontId="1" fillId="0" borderId="0" xfId="0" applyFont="1"/>
    <xf numFmtId="18" fontId="0" fillId="0" borderId="0" xfId="0" applyNumberFormat="1"/>
    <xf numFmtId="0" fontId="3" fillId="0" borderId="0" xfId="1"/>
    <xf numFmtId="0" fontId="1" fillId="0" borderId="1" xfId="0" applyFont="1" applyBorder="1"/>
    <xf numFmtId="0" fontId="0" fillId="0" borderId="1" xfId="0" applyBorder="1"/>
    <xf numFmtId="0" fontId="0" fillId="0" borderId="1" xfId="0" applyBorder="1" applyAlignment="1">
      <alignment wrapText="1"/>
    </xf>
    <xf numFmtId="0" fontId="3" fillId="0" borderId="1" xfId="1" applyBorder="1"/>
    <xf numFmtId="0" fontId="0" fillId="0" borderId="0" xfId="0" applyAlignment="1">
      <alignment horizontal="center"/>
    </xf>
    <xf numFmtId="0" fontId="3" fillId="0" borderId="1" xfId="1" applyBorder="1" applyAlignment="1">
      <alignment horizontal="center"/>
    </xf>
    <xf numFmtId="0" fontId="0" fillId="0" borderId="1" xfId="0" applyBorder="1" applyAlignment="1">
      <alignment horizontal="center"/>
    </xf>
    <xf numFmtId="0" fontId="1" fillId="0" borderId="1" xfId="0" applyFont="1" applyBorder="1"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3" fillId="0" borderId="0" xfId="1" applyAlignment="1">
      <alignment horizontal="center" vertical="top"/>
    </xf>
    <xf numFmtId="0" fontId="0" fillId="0" borderId="0" xfId="0" applyAlignment="1">
      <alignment horizontal="center" vertical="top"/>
    </xf>
    <xf numFmtId="0" fontId="4" fillId="5" borderId="1" xfId="1" applyFont="1" applyFill="1" applyBorder="1" applyAlignment="1">
      <alignment horizontal="center" wrapText="1"/>
    </xf>
    <xf numFmtId="0" fontId="2" fillId="5" borderId="1" xfId="0" applyFont="1" applyFill="1" applyBorder="1" applyAlignment="1">
      <alignment horizontal="center" wrapText="1"/>
    </xf>
    <xf numFmtId="0" fontId="2" fillId="5" borderId="1" xfId="0" applyFont="1" applyFill="1" applyBorder="1" applyAlignment="1">
      <alignment wrapText="1"/>
    </xf>
    <xf numFmtId="0" fontId="4" fillId="5" borderId="1" xfId="1" applyFont="1" applyFill="1" applyBorder="1" applyAlignment="1">
      <alignment horizontal="center" vertical="top" wrapText="1"/>
    </xf>
    <xf numFmtId="0" fontId="4" fillId="5" borderId="1" xfId="0" applyFont="1" applyFill="1" applyBorder="1" applyAlignment="1">
      <alignment horizontal="center" vertical="top" wrapText="1"/>
    </xf>
    <xf numFmtId="0" fontId="5" fillId="3" borderId="1" xfId="0" applyFont="1" applyFill="1" applyBorder="1" applyAlignment="1">
      <alignment horizontal="center" vertical="top"/>
    </xf>
    <xf numFmtId="0" fontId="5" fillId="0" borderId="1" xfId="0" applyFont="1" applyBorder="1" applyAlignment="1">
      <alignment horizontal="center" vertical="top"/>
    </xf>
    <xf numFmtId="0" fontId="0" fillId="0" borderId="1" xfId="0" applyBorder="1" applyAlignment="1">
      <alignment horizontal="center" vertical="top"/>
    </xf>
    <xf numFmtId="164" fontId="0" fillId="0" borderId="1" xfId="0" applyNumberFormat="1"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4" fillId="7" borderId="1" xfId="1" applyFont="1" applyFill="1" applyBorder="1" applyAlignment="1">
      <alignment horizontal="center" wrapText="1"/>
    </xf>
    <xf numFmtId="0" fontId="4" fillId="7" borderId="1" xfId="0" applyFont="1" applyFill="1" applyBorder="1" applyAlignment="1">
      <alignment horizontal="center" wrapText="1"/>
    </xf>
    <xf numFmtId="0" fontId="2" fillId="7" borderId="1" xfId="0" applyFont="1" applyFill="1" applyBorder="1" applyAlignment="1">
      <alignment horizontal="center" wrapText="1"/>
    </xf>
    <xf numFmtId="0" fontId="1" fillId="8" borderId="1" xfId="0" applyFont="1" applyFill="1" applyBorder="1" applyAlignment="1">
      <alignment horizontal="center"/>
    </xf>
    <xf numFmtId="14" fontId="0" fillId="0" borderId="0" xfId="0" applyNumberFormat="1"/>
    <xf numFmtId="0" fontId="4" fillId="5" borderId="1" xfId="0" applyFont="1" applyFill="1" applyBorder="1" applyAlignment="1">
      <alignment horizontal="center" wrapText="1"/>
    </xf>
    <xf numFmtId="0" fontId="6" fillId="6" borderId="1" xfId="1" applyFont="1" applyFill="1" applyBorder="1" applyAlignment="1">
      <alignment horizontal="center"/>
    </xf>
    <xf numFmtId="14" fontId="0" fillId="0" borderId="1" xfId="0" applyNumberFormat="1" applyBorder="1" applyAlignment="1">
      <alignment horizontal="center"/>
    </xf>
    <xf numFmtId="0" fontId="4" fillId="5" borderId="1" xfId="1" applyFont="1" applyFill="1" applyBorder="1" applyAlignment="1">
      <alignment horizontal="center"/>
    </xf>
    <xf numFmtId="0" fontId="1" fillId="6" borderId="1" xfId="0" applyFont="1" applyFill="1" applyBorder="1" applyAlignment="1">
      <alignment horizontal="center"/>
    </xf>
    <xf numFmtId="0" fontId="5" fillId="8" borderId="1" xfId="0" applyFont="1" applyFill="1" applyBorder="1" applyAlignment="1">
      <alignment horizontal="center"/>
    </xf>
    <xf numFmtId="0" fontId="5" fillId="0" borderId="0" xfId="0" applyFont="1"/>
    <xf numFmtId="18" fontId="0" fillId="0" borderId="1" xfId="0" applyNumberFormat="1" applyBorder="1" applyAlignment="1">
      <alignment horizontal="center"/>
    </xf>
    <xf numFmtId="0" fontId="5" fillId="0" borderId="1" xfId="0" applyFont="1" applyBorder="1" applyAlignment="1">
      <alignment horizontal="center"/>
    </xf>
    <xf numFmtId="18" fontId="0" fillId="0" borderId="0" xfId="0" applyNumberFormat="1" applyAlignment="1">
      <alignment horizontal="center"/>
    </xf>
    <xf numFmtId="18" fontId="0" fillId="0" borderId="1" xfId="0" applyNumberFormat="1" applyBorder="1" applyAlignment="1">
      <alignment horizontal="center" vertical="top"/>
    </xf>
    <xf numFmtId="0" fontId="5" fillId="3" borderId="1" xfId="0" applyFont="1" applyFill="1" applyBorder="1" applyAlignment="1">
      <alignment horizontal="center"/>
    </xf>
    <xf numFmtId="164" fontId="0" fillId="0" borderId="1" xfId="0" applyNumberFormat="1" applyBorder="1" applyAlignment="1">
      <alignment horizontal="center"/>
    </xf>
    <xf numFmtId="0" fontId="2" fillId="5" borderId="1" xfId="0" applyFont="1" applyFill="1" applyBorder="1" applyAlignment="1">
      <alignment horizontal="center"/>
    </xf>
    <xf numFmtId="0" fontId="1" fillId="0" borderId="1" xfId="0" applyFont="1" applyBorder="1" applyAlignment="1">
      <alignment horizontal="center" wrapText="1"/>
    </xf>
    <xf numFmtId="0" fontId="1" fillId="9" borderId="1" xfId="0" applyFont="1" applyFill="1" applyBorder="1" applyAlignment="1">
      <alignment horizontal="center"/>
    </xf>
    <xf numFmtId="0" fontId="2" fillId="0" borderId="0" xfId="0" applyFont="1" applyAlignment="1">
      <alignment wrapText="1"/>
    </xf>
    <xf numFmtId="0" fontId="8" fillId="0" borderId="1" xfId="1" applyFont="1" applyBorder="1" applyAlignment="1">
      <alignment horizontal="center"/>
    </xf>
    <xf numFmtId="0" fontId="8" fillId="0" borderId="0" xfId="0" applyFont="1" applyAlignment="1">
      <alignment horizontal="center"/>
    </xf>
    <xf numFmtId="49" fontId="0" fillId="0" borderId="1" xfId="0" applyNumberFormat="1" applyBorder="1" applyAlignment="1">
      <alignment horizontal="center"/>
    </xf>
    <xf numFmtId="165" fontId="0" fillId="0" borderId="0" xfId="0" applyNumberFormat="1"/>
    <xf numFmtId="18" fontId="3" fillId="0" borderId="1" xfId="1" applyNumberFormat="1" applyBorder="1" applyAlignment="1">
      <alignment horizontal="center"/>
    </xf>
    <xf numFmtId="22" fontId="0" fillId="0" borderId="0" xfId="0" applyNumberFormat="1"/>
    <xf numFmtId="22" fontId="0" fillId="0" borderId="1" xfId="0" applyNumberFormat="1" applyBorder="1" applyAlignment="1">
      <alignment horizontal="center"/>
    </xf>
    <xf numFmtId="14" fontId="0" fillId="0" borderId="0" xfId="0" applyNumberFormat="1" applyAlignment="1">
      <alignment horizontal="center"/>
    </xf>
    <xf numFmtId="0" fontId="3" fillId="0" borderId="1" xfId="1" applyBorder="1" applyAlignment="1">
      <alignment horizontal="center" wrapText="1"/>
    </xf>
    <xf numFmtId="0" fontId="6" fillId="6" borderId="1" xfId="1" applyFont="1" applyFill="1" applyBorder="1" applyAlignment="1">
      <alignment horizontal="center" vertical="top"/>
    </xf>
    <xf numFmtId="18" fontId="3" fillId="0" borderId="1" xfId="1" applyNumberFormat="1" applyBorder="1" applyAlignment="1">
      <alignment horizontal="center" vertical="top"/>
    </xf>
    <xf numFmtId="0" fontId="5" fillId="6" borderId="1" xfId="0" applyFont="1" applyFill="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202045</xdr:colOff>
      <xdr:row>2</xdr:row>
      <xdr:rowOff>192423</xdr:rowOff>
    </xdr:from>
    <xdr:to>
      <xdr:col>18</xdr:col>
      <xdr:colOff>329247</xdr:colOff>
      <xdr:row>31</xdr:row>
      <xdr:rowOff>163560</xdr:rowOff>
    </xdr:to>
    <xdr:pic>
      <xdr:nvPicPr>
        <xdr:cNvPr id="2" name="Imagen 1">
          <a:extLst>
            <a:ext uri="{FF2B5EF4-FFF2-40B4-BE49-F238E27FC236}">
              <a16:creationId xmlns:a16="http://schemas.microsoft.com/office/drawing/2014/main" id="{ABE419C4-ED6D-F2DD-03E4-99972CEE0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045" y="577271"/>
          <a:ext cx="14799550" cy="5551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hyperlink" Target="mailto:carlosbeladez@gmail.com" TargetMode="External"/><Relationship Id="rId2" Type="http://schemas.openxmlformats.org/officeDocument/2006/relationships/hyperlink" Target="mailto:juandaviddd2525@gmail.com" TargetMode="External"/><Relationship Id="rId1" Type="http://schemas.openxmlformats.org/officeDocument/2006/relationships/hyperlink" Target="mailto:juanfer234535@gmail.com" TargetMode="External"/><Relationship Id="rId4" Type="http://schemas.openxmlformats.org/officeDocument/2006/relationships/hyperlink" Target="mailto:andresramirezpatino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95362-94CF-4E08-8433-6F4780C6375E}">
  <dimension ref="A1:AD50"/>
  <sheetViews>
    <sheetView tabSelected="1" zoomScale="99" workbookViewId="0"/>
  </sheetViews>
  <sheetFormatPr baseColWidth="10" defaultRowHeight="14.4" x14ac:dyDescent="0.3"/>
  <cols>
    <col min="1" max="1" width="26.33203125" bestFit="1" customWidth="1"/>
  </cols>
  <sheetData>
    <row r="1" spans="1:30" x14ac:dyDescent="0.3">
      <c r="A1" s="5" t="s">
        <v>50</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x14ac:dyDescent="0.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spans="1:30" x14ac:dyDescent="0.3">
      <c r="A6" s="1"/>
      <c r="B6" s="1"/>
      <c r="D6" s="1"/>
      <c r="E6" s="1"/>
      <c r="F6" s="1"/>
      <c r="G6" s="1"/>
      <c r="H6" s="1"/>
      <c r="I6" s="1"/>
      <c r="J6" s="1"/>
      <c r="K6" s="1"/>
      <c r="L6" s="1"/>
      <c r="M6" s="1"/>
      <c r="N6" s="1"/>
      <c r="O6" s="1"/>
      <c r="P6" s="1"/>
      <c r="Q6" s="1"/>
      <c r="R6" s="1"/>
      <c r="S6" s="1"/>
      <c r="T6" s="1"/>
      <c r="U6" s="1"/>
      <c r="V6" s="1"/>
      <c r="W6" s="1"/>
      <c r="X6" s="1"/>
      <c r="Y6" s="1"/>
      <c r="Z6" s="1"/>
      <c r="AA6" s="1"/>
      <c r="AB6" s="1"/>
      <c r="AC6" s="1"/>
      <c r="AD6" s="1"/>
    </row>
    <row r="7" spans="1:30"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spans="1:30"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row>
    <row r="9" spans="1:30"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row>
    <row r="10" spans="1:30"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row>
    <row r="11" spans="1:30"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row>
    <row r="12" spans="1:30"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row>
    <row r="13" spans="1:30" x14ac:dyDescent="0.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row>
    <row r="14" spans="1:30"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1:30"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row>
    <row r="16" spans="1:30"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row>
    <row r="17" spans="1:30"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spans="1:30"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row>
    <row r="19" spans="1:30"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spans="1:30"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spans="1:30"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spans="1:30"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1:30"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spans="1:30"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sheetData>
  <hyperlinks>
    <hyperlink ref="A1" location="'Objetos de Dominio'!A1" display="&lt;&lt;&lt;&lt; Ir a objetos de dominio" xr:uid="{1E6C5FA1-E9A9-4758-8F5D-35278D15B01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AA025-A9A3-4E3E-A766-44885AA770B6}">
  <dimension ref="A1:D15"/>
  <sheetViews>
    <sheetView topLeftCell="A11" workbookViewId="0">
      <selection activeCell="D15" sqref="D15"/>
    </sheetView>
  </sheetViews>
  <sheetFormatPr baseColWidth="10" defaultRowHeight="14.4" x14ac:dyDescent="0.3"/>
  <cols>
    <col min="1" max="1" width="27" bestFit="1" customWidth="1"/>
    <col min="2" max="2" width="54.5546875" customWidth="1"/>
    <col min="3" max="3" width="14.44140625" customWidth="1"/>
    <col min="4" max="4" width="7.6640625" customWidth="1"/>
  </cols>
  <sheetData>
    <row r="1" spans="1:4" x14ac:dyDescent="0.3">
      <c r="A1" s="5" t="s">
        <v>37</v>
      </c>
    </row>
    <row r="2" spans="1:4" x14ac:dyDescent="0.3">
      <c r="A2" s="6" t="s">
        <v>0</v>
      </c>
      <c r="B2" s="6" t="s">
        <v>1</v>
      </c>
      <c r="C2" s="6" t="s">
        <v>2</v>
      </c>
      <c r="D2" s="6" t="s">
        <v>3</v>
      </c>
    </row>
    <row r="3" spans="1:4" ht="43.2" x14ac:dyDescent="0.3">
      <c r="A3" s="7" t="s">
        <v>4</v>
      </c>
      <c r="B3" s="8" t="s">
        <v>15</v>
      </c>
      <c r="C3" s="7">
        <v>1</v>
      </c>
      <c r="D3" s="9" t="s">
        <v>39</v>
      </c>
    </row>
    <row r="4" spans="1:4" ht="57.6" x14ac:dyDescent="0.3">
      <c r="A4" s="7" t="s">
        <v>11</v>
      </c>
      <c r="B4" s="8" t="s">
        <v>95</v>
      </c>
      <c r="C4" s="7">
        <v>1</v>
      </c>
      <c r="D4" s="9" t="s">
        <v>39</v>
      </c>
    </row>
    <row r="5" spans="1:4" ht="57.6" x14ac:dyDescent="0.3">
      <c r="A5" s="7" t="s">
        <v>5</v>
      </c>
      <c r="B5" s="8" t="s">
        <v>21</v>
      </c>
      <c r="C5" s="7">
        <v>2</v>
      </c>
      <c r="D5" s="9" t="s">
        <v>39</v>
      </c>
    </row>
    <row r="6" spans="1:4" ht="28.8" x14ac:dyDescent="0.3">
      <c r="A6" s="7" t="s">
        <v>93</v>
      </c>
      <c r="B6" s="8" t="s">
        <v>97</v>
      </c>
      <c r="C6" s="7">
        <v>2</v>
      </c>
      <c r="D6" s="9" t="s">
        <v>39</v>
      </c>
    </row>
    <row r="7" spans="1:4" ht="57.6" x14ac:dyDescent="0.3">
      <c r="A7" s="7" t="s">
        <v>6</v>
      </c>
      <c r="B7" s="8" t="s">
        <v>16</v>
      </c>
      <c r="C7" s="7">
        <v>2</v>
      </c>
      <c r="D7" s="9" t="s">
        <v>39</v>
      </c>
    </row>
    <row r="8" spans="1:4" ht="43.2" x14ac:dyDescent="0.3">
      <c r="A8" s="7" t="s">
        <v>7</v>
      </c>
      <c r="B8" s="8" t="s">
        <v>17</v>
      </c>
      <c r="C8" s="7">
        <v>2</v>
      </c>
      <c r="D8" s="9" t="s">
        <v>39</v>
      </c>
    </row>
    <row r="9" spans="1:4" ht="57.6" x14ac:dyDescent="0.3">
      <c r="A9" s="7" t="s">
        <v>13</v>
      </c>
      <c r="B9" s="8" t="s">
        <v>19</v>
      </c>
      <c r="C9" s="7">
        <v>2</v>
      </c>
      <c r="D9" s="9" t="s">
        <v>39</v>
      </c>
    </row>
    <row r="10" spans="1:4" ht="28.8" x14ac:dyDescent="0.3">
      <c r="A10" s="7" t="s">
        <v>8</v>
      </c>
      <c r="B10" s="8" t="s">
        <v>18</v>
      </c>
      <c r="C10" s="7">
        <v>3</v>
      </c>
      <c r="D10" s="9" t="s">
        <v>39</v>
      </c>
    </row>
    <row r="11" spans="1:4" ht="57.6" x14ac:dyDescent="0.3">
      <c r="A11" s="7" t="s">
        <v>9</v>
      </c>
      <c r="B11" s="8" t="s">
        <v>20</v>
      </c>
      <c r="C11" s="7">
        <v>3</v>
      </c>
      <c r="D11" s="9" t="s">
        <v>39</v>
      </c>
    </row>
    <row r="12" spans="1:4" ht="28.8" x14ac:dyDescent="0.3">
      <c r="A12" s="7" t="s">
        <v>94</v>
      </c>
      <c r="B12" s="8" t="s">
        <v>96</v>
      </c>
      <c r="C12" s="7">
        <v>4</v>
      </c>
      <c r="D12" s="9" t="s">
        <v>39</v>
      </c>
    </row>
    <row r="13" spans="1:4" ht="129.6" x14ac:dyDescent="0.3">
      <c r="A13" s="7" t="s">
        <v>10</v>
      </c>
      <c r="B13" s="8" t="s">
        <v>22</v>
      </c>
      <c r="C13" s="7">
        <v>4</v>
      </c>
      <c r="D13" s="9" t="s">
        <v>39</v>
      </c>
    </row>
    <row r="14" spans="1:4" ht="43.2" x14ac:dyDescent="0.3">
      <c r="A14" s="7" t="s">
        <v>12</v>
      </c>
      <c r="B14" s="8" t="s">
        <v>23</v>
      </c>
      <c r="C14" s="7">
        <v>5</v>
      </c>
      <c r="D14" s="9" t="s">
        <v>39</v>
      </c>
    </row>
    <row r="15" spans="1:4" ht="57.6" x14ac:dyDescent="0.3">
      <c r="A15" s="7" t="s">
        <v>14</v>
      </c>
      <c r="B15" s="8" t="s">
        <v>24</v>
      </c>
      <c r="C15" s="7">
        <v>5</v>
      </c>
      <c r="D15" s="9" t="s">
        <v>39</v>
      </c>
    </row>
  </sheetData>
  <hyperlinks>
    <hyperlink ref="D3" location="Barberia_D!A1" display="aquí" xr:uid="{4DD4FFDC-FEC3-4024-8B2A-15ECCC25F1B4}"/>
    <hyperlink ref="D4" location="Cliente_D!A1" display="aquí" xr:uid="{36147D48-0B43-4DA0-AD5A-85C9F3A80142}"/>
    <hyperlink ref="D5" location="Regla_D!A1" display="aquí" xr:uid="{CE75E08E-3AEF-4772-B979-C6C2C9E47B76}"/>
    <hyperlink ref="D7" location="Servicio_D!A1" display="aquí" xr:uid="{FA9DCCF5-D4AD-44C7-B850-A147A771879F}"/>
    <hyperlink ref="D8" location="Barbero_D!A1" display="aquí" xr:uid="{D986BDF3-3679-4C1D-B75C-941AB0C17E00}"/>
    <hyperlink ref="D9" location="Veto_D!A1" display="aquí" xr:uid="{50EEB4A4-A05B-458F-A616-2C079D7BA2A1}"/>
    <hyperlink ref="D10" location="BarberoServicio_D!A1" display="aquí" xr:uid="{AC14820F-CB56-4CB4-B9D5-B9DDBC302113}"/>
    <hyperlink ref="D11" location="Agenda_D!A1" display="aquí" xr:uid="{F2DC45FC-06BF-43EC-8765-3A2CBBBD79CD}"/>
    <hyperlink ref="D13" location="Cita_D!A1" display="aquí" xr:uid="{3BDFED20-FFB7-4345-9356-B30AC1240BDC}"/>
    <hyperlink ref="D14" location="Multa_D!A1" display="aquí" xr:uid="{5D100657-ADBE-4AA9-A971-9C9D942C9DAD}"/>
    <hyperlink ref="D15" location="CitaServicio_D!A1" display="aquí" xr:uid="{F49154C9-A497-4677-B686-F9CF5B536DEC}"/>
    <hyperlink ref="A1" location="'Modelo de Dominio'!A1" display="&lt;&lt;&lt;&lt; Ir al modulo de dominio" xr:uid="{A3D1E053-3C90-4C85-85FB-01CE6B92A5EE}"/>
    <hyperlink ref="D6" location="HorarioBarberia_D!A1" display="aquí" xr:uid="{CE45E0DE-1B75-4BE0-8664-81F7834039D9}"/>
    <hyperlink ref="D12" location="HorarioBarbero_D!A1" display="aquí" xr:uid="{3B048927-BA4F-418A-BCDC-3E65406B8F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22F8C-1648-4644-8301-765EB2B8C50B}">
  <dimension ref="A1:C4"/>
  <sheetViews>
    <sheetView zoomScale="160" zoomScaleNormal="160" workbookViewId="0">
      <selection activeCell="A4" sqref="A4"/>
    </sheetView>
  </sheetViews>
  <sheetFormatPr baseColWidth="10" defaultRowHeight="14.4" x14ac:dyDescent="0.3"/>
  <cols>
    <col min="1" max="1" width="33.88671875" customWidth="1"/>
    <col min="2" max="2" width="29.109375" customWidth="1"/>
    <col min="3" max="3" width="21" customWidth="1"/>
  </cols>
  <sheetData>
    <row r="1" spans="1:3" x14ac:dyDescent="0.3">
      <c r="A1" s="5" t="s">
        <v>37</v>
      </c>
      <c r="B1" s="5" t="s">
        <v>38</v>
      </c>
    </row>
    <row r="2" spans="1:3" ht="30.75" customHeight="1" x14ac:dyDescent="0.3">
      <c r="A2" s="19" t="s">
        <v>25</v>
      </c>
      <c r="B2" s="19" t="s">
        <v>85</v>
      </c>
    </row>
    <row r="3" spans="1:3" x14ac:dyDescent="0.3">
      <c r="A3" s="14" t="s">
        <v>36</v>
      </c>
      <c r="B3" s="13" t="s">
        <v>26</v>
      </c>
      <c r="C3" s="40"/>
    </row>
    <row r="4" spans="1:3" x14ac:dyDescent="0.3">
      <c r="A4" s="12">
        <v>1</v>
      </c>
      <c r="B4" s="41" t="s">
        <v>86</v>
      </c>
      <c r="C4" s="4"/>
    </row>
  </sheetData>
  <hyperlinks>
    <hyperlink ref="A1" location="'Modelo de Dominio'!A1" display="&lt;&lt;&lt;&lt; Ir al modulo de dominio" xr:uid="{0FEEEACD-5263-424F-9691-DED385216B9A}"/>
    <hyperlink ref="B1" location="'Objetos de Dominio'!A1" display="&lt;&lt;&lt;&lt; Ir a objetos de dominio" xr:uid="{65BA578D-64B7-4416-81D4-7BC58A8F0B9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9140-2713-4A98-8730-76D57DC1D653}">
  <dimension ref="A1:H11"/>
  <sheetViews>
    <sheetView zoomScale="145" zoomScaleNormal="145" workbookViewId="0">
      <selection activeCell="H3" sqref="H3"/>
    </sheetView>
  </sheetViews>
  <sheetFormatPr baseColWidth="10" defaultRowHeight="14.4" x14ac:dyDescent="0.3"/>
  <cols>
    <col min="1" max="1" width="26.88671875" style="10" customWidth="1"/>
    <col min="2" max="6" width="26.33203125" style="10" customWidth="1"/>
    <col min="7" max="7" width="23.109375" style="10" customWidth="1"/>
    <col min="8" max="8" width="38.5546875" style="10" bestFit="1" customWidth="1"/>
  </cols>
  <sheetData>
    <row r="1" spans="1:8" x14ac:dyDescent="0.3">
      <c r="A1" s="11" t="s">
        <v>37</v>
      </c>
      <c r="B1" s="11" t="s">
        <v>38</v>
      </c>
      <c r="C1" s="11"/>
      <c r="D1" s="11"/>
      <c r="E1" s="11"/>
      <c r="F1" s="11"/>
      <c r="G1" s="12"/>
      <c r="H1" s="12"/>
    </row>
    <row r="2" spans="1:8" ht="39.6" x14ac:dyDescent="0.3">
      <c r="A2" s="18" t="s">
        <v>25</v>
      </c>
      <c r="B2" s="18" t="s">
        <v>154</v>
      </c>
      <c r="C2" s="18" t="s">
        <v>155</v>
      </c>
      <c r="D2" s="18" t="s">
        <v>156</v>
      </c>
      <c r="E2" s="18" t="s">
        <v>157</v>
      </c>
      <c r="F2" s="18" t="s">
        <v>174</v>
      </c>
      <c r="G2" s="19" t="s">
        <v>128</v>
      </c>
      <c r="H2" s="20" t="s">
        <v>183</v>
      </c>
    </row>
    <row r="3" spans="1:8" x14ac:dyDescent="0.3">
      <c r="A3" s="14" t="s">
        <v>36</v>
      </c>
      <c r="B3" s="13" t="s">
        <v>130</v>
      </c>
      <c r="C3" s="13" t="s">
        <v>132</v>
      </c>
      <c r="D3" s="13" t="s">
        <v>131</v>
      </c>
      <c r="E3" s="13" t="s">
        <v>133</v>
      </c>
      <c r="F3" s="13" t="s">
        <v>171</v>
      </c>
      <c r="G3" s="13" t="s">
        <v>27</v>
      </c>
      <c r="H3" s="15" t="s">
        <v>89</v>
      </c>
    </row>
    <row r="4" spans="1:8" x14ac:dyDescent="0.3">
      <c r="A4" s="12">
        <v>1</v>
      </c>
      <c r="B4" s="12" t="s">
        <v>151</v>
      </c>
      <c r="C4" s="12"/>
      <c r="D4" s="12" t="s">
        <v>144</v>
      </c>
      <c r="E4" s="12"/>
      <c r="F4" s="53" t="s">
        <v>172</v>
      </c>
      <c r="G4" s="12">
        <v>3234528921</v>
      </c>
      <c r="H4" s="12" t="str">
        <f>_xlfn.CONCAT(B4,"-",C4,"-",D4,"-",E4,"-",F4,"-",G4)</f>
        <v>Juan--Gómez--+57-3234528921</v>
      </c>
    </row>
    <row r="5" spans="1:8" x14ac:dyDescent="0.3">
      <c r="A5" s="12">
        <v>2</v>
      </c>
      <c r="B5" s="12" t="s">
        <v>149</v>
      </c>
      <c r="C5" s="12" t="s">
        <v>150</v>
      </c>
      <c r="D5" s="12" t="s">
        <v>146</v>
      </c>
      <c r="E5" s="12" t="s">
        <v>145</v>
      </c>
      <c r="F5" s="53" t="s">
        <v>172</v>
      </c>
      <c r="G5" s="12">
        <v>3161657782</v>
      </c>
      <c r="H5" s="12" t="str">
        <f t="shared" ref="H5:H7" si="0">_xlfn.CONCAT(B5,"-",C5,"-",D5,"-",E5,"-",F5,"-",G5)</f>
        <v>Jose-Miguel-Ramirez-Perez-+57-3161657782</v>
      </c>
    </row>
    <row r="6" spans="1:8" x14ac:dyDescent="0.3">
      <c r="A6" s="12">
        <v>3</v>
      </c>
      <c r="B6" s="12" t="s">
        <v>152</v>
      </c>
      <c r="C6" s="12"/>
      <c r="D6" s="12" t="s">
        <v>148</v>
      </c>
      <c r="E6" s="12" t="s">
        <v>146</v>
      </c>
      <c r="F6" s="53" t="s">
        <v>172</v>
      </c>
      <c r="G6" s="12">
        <v>3119884321</v>
      </c>
      <c r="H6" s="12" t="str">
        <f t="shared" si="0"/>
        <v>Simon--Ochoa-Ramirez-+57-3119884321</v>
      </c>
    </row>
    <row r="7" spans="1:8" x14ac:dyDescent="0.3">
      <c r="A7" s="12">
        <v>4</v>
      </c>
      <c r="B7" s="12" t="s">
        <v>153</v>
      </c>
      <c r="C7" s="12"/>
      <c r="D7" s="12" t="s">
        <v>147</v>
      </c>
      <c r="E7" s="12"/>
      <c r="F7" s="53" t="s">
        <v>173</v>
      </c>
      <c r="G7" s="12">
        <v>4127359182</v>
      </c>
      <c r="H7" s="12" t="str">
        <f t="shared" si="0"/>
        <v>Alexis--Gallego--+58-4127359182</v>
      </c>
    </row>
    <row r="11" spans="1:8" x14ac:dyDescent="0.3">
      <c r="C11"/>
    </row>
  </sheetData>
  <phoneticPr fontId="7" type="noConversion"/>
  <hyperlinks>
    <hyperlink ref="A1" location="'Modelo de Dominio'!A1" display="&lt;&lt;&lt;&lt; Ir al modulo de dominio" xr:uid="{45ECCE20-A7F3-41A8-ACF9-49963DA55DAB}"/>
    <hyperlink ref="B1" location="'Objetos de Dominio'!A1" display="&lt;&lt;&lt;&lt; Ir a objetos de dominio" xr:uid="{882DBE5D-51B0-4530-88DA-6C3B67C6032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77388-6266-4A55-B7A3-4FCD2B643D29}">
  <dimension ref="A1:F5"/>
  <sheetViews>
    <sheetView zoomScale="145" zoomScaleNormal="145" workbookViewId="0">
      <selection activeCell="E4" sqref="E4"/>
    </sheetView>
  </sheetViews>
  <sheetFormatPr baseColWidth="10" defaultRowHeight="14.4" x14ac:dyDescent="0.3"/>
  <cols>
    <col min="1" max="1" width="26.88671875" customWidth="1"/>
    <col min="2" max="2" width="27.33203125" customWidth="1"/>
    <col min="3" max="3" width="19.88671875" bestFit="1" customWidth="1"/>
    <col min="4" max="4" width="21" bestFit="1" customWidth="1"/>
    <col min="5" max="5" width="16.33203125" bestFit="1" customWidth="1"/>
    <col min="6" max="6" width="18.44140625" bestFit="1" customWidth="1"/>
  </cols>
  <sheetData>
    <row r="1" spans="1:6" x14ac:dyDescent="0.3">
      <c r="A1" s="5" t="s">
        <v>37</v>
      </c>
      <c r="B1" s="5" t="s">
        <v>38</v>
      </c>
    </row>
    <row r="2" spans="1:6" ht="39.6" x14ac:dyDescent="0.3">
      <c r="A2" s="18" t="s">
        <v>25</v>
      </c>
      <c r="B2" s="19" t="s">
        <v>41</v>
      </c>
      <c r="C2" s="19" t="s">
        <v>48</v>
      </c>
      <c r="D2" s="19" t="s">
        <v>42</v>
      </c>
      <c r="E2" s="19" t="s">
        <v>88</v>
      </c>
    </row>
    <row r="3" spans="1:6" x14ac:dyDescent="0.3">
      <c r="A3" s="14" t="s">
        <v>36</v>
      </c>
      <c r="B3" s="13" t="s">
        <v>40</v>
      </c>
      <c r="C3" s="13" t="s">
        <v>28</v>
      </c>
      <c r="D3" s="13" t="s">
        <v>87</v>
      </c>
      <c r="E3" s="35" t="s">
        <v>43</v>
      </c>
      <c r="F3" s="3"/>
    </row>
    <row r="4" spans="1:6" x14ac:dyDescent="0.3">
      <c r="A4" s="12">
        <v>1</v>
      </c>
      <c r="B4" s="12">
        <v>10</v>
      </c>
      <c r="C4" s="46">
        <v>10000</v>
      </c>
      <c r="D4" s="12">
        <v>3</v>
      </c>
      <c r="E4" s="55" t="str">
        <f>Barberia_D!B4</f>
        <v>Barbería Oriental</v>
      </c>
      <c r="F4" t="str">
        <f>_xlfn.CONCAT(D9)</f>
        <v/>
      </c>
    </row>
    <row r="5" spans="1:6" x14ac:dyDescent="0.3">
      <c r="D5" s="2"/>
    </row>
  </sheetData>
  <hyperlinks>
    <hyperlink ref="A1" location="'Modelo de Dominio'!A1" display="&lt;&lt;&lt;&lt; Ir al modulo de dominio" xr:uid="{7C596F35-55B8-4CE7-B78D-972818210697}"/>
    <hyperlink ref="B1" location="'Objetos de Dominio'!A1" display="&lt;&lt;&lt;&lt; Ir a objetos de dominio" xr:uid="{633A0FBE-51A8-439E-B16B-3262AEDC61C1}"/>
    <hyperlink ref="E3" location="Barberia_D!A1" display="barberia" xr:uid="{92B752E3-B6E2-453C-B3B8-21F03C7B498E}"/>
    <hyperlink ref="E4" location="Barberia_D!A4" display="Barberia_D!A4" xr:uid="{4DB2A852-226E-4D4F-BC9E-2AB35927DB4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0E1EC-B79B-40C0-AC5B-0E2726DDD399}">
  <dimension ref="A1:F10"/>
  <sheetViews>
    <sheetView zoomScale="145" zoomScaleNormal="145" workbookViewId="0">
      <selection activeCell="D11" sqref="D11"/>
    </sheetView>
  </sheetViews>
  <sheetFormatPr baseColWidth="10" defaultRowHeight="14.4" x14ac:dyDescent="0.3"/>
  <cols>
    <col min="1" max="1" width="27" bestFit="1" customWidth="1"/>
    <col min="2" max="2" width="26" bestFit="1" customWidth="1"/>
    <col min="3" max="3" width="21.33203125" bestFit="1" customWidth="1"/>
    <col min="4" max="4" width="13" customWidth="1"/>
    <col min="6" max="6" width="34.88671875" customWidth="1"/>
  </cols>
  <sheetData>
    <row r="1" spans="1:6" x14ac:dyDescent="0.3">
      <c r="A1" s="5" t="s">
        <v>37</v>
      </c>
      <c r="B1" s="5" t="s">
        <v>38</v>
      </c>
    </row>
    <row r="2" spans="1:6" ht="37.5" customHeight="1" x14ac:dyDescent="0.3">
      <c r="A2" s="19" t="s">
        <v>25</v>
      </c>
      <c r="B2" s="19" t="s">
        <v>98</v>
      </c>
      <c r="C2" s="19" t="s">
        <v>158</v>
      </c>
      <c r="D2" s="19" t="s">
        <v>159</v>
      </c>
      <c r="E2" s="19" t="s">
        <v>160</v>
      </c>
      <c r="F2" s="19" t="s">
        <v>161</v>
      </c>
    </row>
    <row r="3" spans="1:6" x14ac:dyDescent="0.3">
      <c r="A3" s="14" t="s">
        <v>36</v>
      </c>
      <c r="B3" s="35" t="s">
        <v>43</v>
      </c>
      <c r="C3" s="42" t="s">
        <v>99</v>
      </c>
      <c r="D3" s="48" t="s">
        <v>100</v>
      </c>
      <c r="E3" s="13" t="s">
        <v>101</v>
      </c>
      <c r="F3" s="39" t="s">
        <v>89</v>
      </c>
    </row>
    <row r="4" spans="1:6" x14ac:dyDescent="0.3">
      <c r="A4" s="12">
        <v>1</v>
      </c>
      <c r="B4" s="55" t="str">
        <f>Barberia_D!B4</f>
        <v>Barbería Oriental</v>
      </c>
      <c r="C4" s="41" t="s">
        <v>102</v>
      </c>
      <c r="D4" s="41">
        <v>0.375</v>
      </c>
      <c r="E4" s="41">
        <v>0.79166666666666663</v>
      </c>
      <c r="F4" s="12" t="str">
        <f>_xlfn.CONCAT(B4,"-",C4,"-",TEXT(D4,"hh:mm"),"-",TEXT(E4,"hh:mm"))</f>
        <v>Barbería Oriental-Lunes-09:00-19:00</v>
      </c>
    </row>
    <row r="5" spans="1:6" x14ac:dyDescent="0.3">
      <c r="A5" s="12">
        <v>2</v>
      </c>
      <c r="B5" s="55" t="str">
        <f>Barberia_D!B4</f>
        <v>Barbería Oriental</v>
      </c>
      <c r="C5" s="12" t="s">
        <v>103</v>
      </c>
      <c r="D5" s="41">
        <v>0.375</v>
      </c>
      <c r="E5" s="41">
        <v>0.79166666666666663</v>
      </c>
      <c r="F5" s="12" t="str">
        <f t="shared" ref="F5:F9" si="0">_xlfn.CONCAT(B5,"-",C5,"-",TEXT(D5,"hh:mm"),"-",TEXT(E5,"hh:mm"))</f>
        <v>Barbería Oriental-Martes-09:00-19:00</v>
      </c>
    </row>
    <row r="6" spans="1:6" x14ac:dyDescent="0.3">
      <c r="A6" s="12">
        <v>3</v>
      </c>
      <c r="B6" s="55" t="str">
        <f>Barberia_D!B4</f>
        <v>Barbería Oriental</v>
      </c>
      <c r="C6" s="41" t="s">
        <v>104</v>
      </c>
      <c r="D6" s="41">
        <v>0.375</v>
      </c>
      <c r="E6" s="41">
        <v>0.79166666666666696</v>
      </c>
      <c r="F6" s="12" t="str">
        <f t="shared" si="0"/>
        <v>Barbería Oriental-Miércoles-09:00-19:00</v>
      </c>
    </row>
    <row r="7" spans="1:6" x14ac:dyDescent="0.3">
      <c r="A7" s="12">
        <v>4</v>
      </c>
      <c r="B7" s="55" t="str">
        <f>Barberia_D!B4</f>
        <v>Barbería Oriental</v>
      </c>
      <c r="C7" s="12" t="s">
        <v>105</v>
      </c>
      <c r="D7" s="41">
        <v>0.375</v>
      </c>
      <c r="E7" s="41">
        <v>0.79166666666666696</v>
      </c>
      <c r="F7" s="12" t="str">
        <f t="shared" si="0"/>
        <v>Barbería Oriental-Jueves-09:00-19:00</v>
      </c>
    </row>
    <row r="8" spans="1:6" x14ac:dyDescent="0.3">
      <c r="A8" s="12">
        <v>5</v>
      </c>
      <c r="B8" s="55" t="str">
        <f>Barberia_D!B4</f>
        <v>Barbería Oriental</v>
      </c>
      <c r="C8" s="41" t="s">
        <v>106</v>
      </c>
      <c r="D8" s="41">
        <v>0.375</v>
      </c>
      <c r="E8" s="41">
        <v>0.79166666666666696</v>
      </c>
      <c r="F8" s="12" t="str">
        <f t="shared" si="0"/>
        <v>Barbería Oriental-Viernes-09:00-19:00</v>
      </c>
    </row>
    <row r="9" spans="1:6" x14ac:dyDescent="0.3">
      <c r="A9" s="12">
        <v>6</v>
      </c>
      <c r="B9" s="55" t="str">
        <f>Barberia_D!B4</f>
        <v>Barbería Oriental</v>
      </c>
      <c r="C9" s="12" t="s">
        <v>107</v>
      </c>
      <c r="D9" s="44">
        <v>0.33333333333333331</v>
      </c>
      <c r="E9" s="41">
        <v>0.875</v>
      </c>
      <c r="F9" s="12" t="str">
        <f t="shared" si="0"/>
        <v>Barbería Oriental-Sábado-08:00-21:00</v>
      </c>
    </row>
    <row r="10" spans="1:6" x14ac:dyDescent="0.3">
      <c r="A10" s="10"/>
      <c r="B10" s="43"/>
      <c r="C10" s="43"/>
    </row>
  </sheetData>
  <phoneticPr fontId="7" type="noConversion"/>
  <hyperlinks>
    <hyperlink ref="A1" location="'Modelo de Dominio'!A1" display="&lt;&lt;&lt;&lt; Ir al modulo de dominio" xr:uid="{8FE767F6-22F1-4F43-85BA-468D80B0CB91}"/>
    <hyperlink ref="B1" location="'Objetos de Dominio'!A1" display="&lt;&lt;&lt;&lt; Ir a objetos de dominio" xr:uid="{FCE2B5DC-7C40-48F2-89BF-3ECFD15A2C41}"/>
    <hyperlink ref="B3" location="Barberia_D!A1" display="barberia" xr:uid="{2492FDB7-93E1-4CE3-B41F-90BD0687A121}"/>
    <hyperlink ref="B4" location="Barberia_D!A4" display="Barberia_D!A4" xr:uid="{CA0BE91C-E243-4E18-9EBC-492DB8F2F841}"/>
    <hyperlink ref="B5" location="Barberia_D!A4" display="Barberia_D!A4" xr:uid="{8755C4B5-402C-4142-9068-F1A88E40D4BB}"/>
    <hyperlink ref="B6" location="Barberia_D!A4" display="Barberia_D!A4" xr:uid="{110C1F32-4D8E-40A2-90EC-1FBB2E0B8A29}"/>
    <hyperlink ref="B7" location="Barberia_D!A4" display="Barberia_D!A4" xr:uid="{EF70DFB1-E188-4E7F-9F0D-1EC2E2330BDA}"/>
    <hyperlink ref="B8" location="Barberia_D!A4" display="Barberia_D!A4" xr:uid="{FBCD47DD-56CD-4067-A39A-E821892FE723}"/>
    <hyperlink ref="B9" location="Barberia_D!A4" display="Barberia_D!A4" xr:uid="{11CC4F51-41DB-4B1A-8CAB-35A8FD0DE0E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B567D-D27E-4BE3-B1E4-8CA267790151}">
  <dimension ref="A1:F12"/>
  <sheetViews>
    <sheetView zoomScale="130" zoomScaleNormal="130" workbookViewId="0">
      <selection activeCell="B1" sqref="B1"/>
    </sheetView>
  </sheetViews>
  <sheetFormatPr baseColWidth="10" defaultRowHeight="14.4" x14ac:dyDescent="0.3"/>
  <cols>
    <col min="1" max="2" width="28.109375" customWidth="1"/>
    <col min="3" max="3" width="26.5546875" customWidth="1"/>
    <col min="4" max="4" width="16.33203125" bestFit="1" customWidth="1"/>
    <col min="5" max="5" width="17.33203125" customWidth="1"/>
    <col min="6" max="6" width="26.5546875" customWidth="1"/>
  </cols>
  <sheetData>
    <row r="1" spans="1:6" x14ac:dyDescent="0.3">
      <c r="A1" s="16" t="s">
        <v>37</v>
      </c>
      <c r="B1" s="16" t="s">
        <v>38</v>
      </c>
      <c r="D1" s="17"/>
      <c r="E1" s="17"/>
      <c r="F1" s="10"/>
    </row>
    <row r="2" spans="1:6" ht="28.8" x14ac:dyDescent="0.3">
      <c r="A2" s="21" t="s">
        <v>25</v>
      </c>
      <c r="B2" s="21" t="s">
        <v>185</v>
      </c>
      <c r="C2" s="21" t="s">
        <v>44</v>
      </c>
      <c r="D2" s="22" t="s">
        <v>46</v>
      </c>
      <c r="E2" s="22" t="s">
        <v>47</v>
      </c>
      <c r="F2" s="19" t="s">
        <v>56</v>
      </c>
    </row>
    <row r="3" spans="1:6" x14ac:dyDescent="0.3">
      <c r="A3" s="23" t="s">
        <v>36</v>
      </c>
      <c r="B3" s="60" t="s">
        <v>43</v>
      </c>
      <c r="C3" s="24" t="s">
        <v>26</v>
      </c>
      <c r="D3" s="24" t="s">
        <v>45</v>
      </c>
      <c r="E3" s="24" t="s">
        <v>29</v>
      </c>
      <c r="F3" s="15" t="s">
        <v>90</v>
      </c>
    </row>
    <row r="4" spans="1:6" x14ac:dyDescent="0.3">
      <c r="A4" s="25">
        <v>1</v>
      </c>
      <c r="B4" s="61" t="str">
        <f>Barberia_D!B4</f>
        <v>Barbería Oriental</v>
      </c>
      <c r="C4" s="25" t="s">
        <v>49</v>
      </c>
      <c r="D4" s="25">
        <v>45</v>
      </c>
      <c r="E4" s="26">
        <v>22000</v>
      </c>
      <c r="F4" s="12" t="str">
        <f>C4</f>
        <v>Motilada</v>
      </c>
    </row>
    <row r="5" spans="1:6" x14ac:dyDescent="0.3">
      <c r="A5" s="25">
        <v>2</v>
      </c>
      <c r="B5" s="61" t="str">
        <f>Barberia_D!B4</f>
        <v>Barbería Oriental</v>
      </c>
      <c r="C5" s="25" t="s">
        <v>57</v>
      </c>
      <c r="D5" s="25">
        <v>10</v>
      </c>
      <c r="E5" s="26">
        <v>12000</v>
      </c>
      <c r="F5" s="12" t="str">
        <f t="shared" ref="F5:F7" si="0">C5</f>
        <v>Corte de barba</v>
      </c>
    </row>
    <row r="6" spans="1:6" x14ac:dyDescent="0.3">
      <c r="A6" s="25">
        <v>3</v>
      </c>
      <c r="B6" s="61" t="str">
        <f>Barberia_D!B4</f>
        <v>Barbería Oriental</v>
      </c>
      <c r="C6" s="25" t="s">
        <v>58</v>
      </c>
      <c r="D6" s="25">
        <v>15</v>
      </c>
      <c r="E6" s="26">
        <v>15000</v>
      </c>
      <c r="F6" s="12" t="str">
        <f t="shared" si="0"/>
        <v>Perfilada de barba</v>
      </c>
    </row>
    <row r="7" spans="1:6" ht="28.8" x14ac:dyDescent="0.3">
      <c r="A7" s="25">
        <v>4</v>
      </c>
      <c r="B7" s="61" t="str">
        <f>Barberia_D!B4</f>
        <v>Barbería Oriental</v>
      </c>
      <c r="C7" s="27" t="s">
        <v>59</v>
      </c>
      <c r="D7" s="25">
        <v>30</v>
      </c>
      <c r="E7" s="26">
        <v>35000</v>
      </c>
      <c r="F7" s="28" t="str">
        <f t="shared" si="0"/>
        <v>Arreglo completo de barba con toalla caliente</v>
      </c>
    </row>
    <row r="8" spans="1:6" x14ac:dyDescent="0.3">
      <c r="A8" s="17"/>
      <c r="B8" s="17"/>
      <c r="C8" s="17"/>
      <c r="D8" s="17"/>
      <c r="E8" s="17"/>
    </row>
    <row r="9" spans="1:6" x14ac:dyDescent="0.3">
      <c r="A9" s="17"/>
      <c r="B9" s="17"/>
      <c r="C9" s="17"/>
      <c r="D9" s="17"/>
      <c r="E9" s="17"/>
    </row>
    <row r="10" spans="1:6" x14ac:dyDescent="0.3">
      <c r="A10" s="17"/>
      <c r="B10" s="17"/>
      <c r="C10" s="17"/>
      <c r="D10" s="17"/>
      <c r="E10" s="17"/>
    </row>
    <row r="11" spans="1:6" x14ac:dyDescent="0.3">
      <c r="A11" s="17"/>
      <c r="B11" s="17"/>
      <c r="C11" s="17"/>
      <c r="D11" s="17"/>
      <c r="E11" s="17"/>
    </row>
    <row r="12" spans="1:6" x14ac:dyDescent="0.3">
      <c r="A12" s="17"/>
      <c r="B12" s="17"/>
      <c r="C12" s="17"/>
      <c r="D12" s="17"/>
      <c r="E12" s="17"/>
    </row>
  </sheetData>
  <hyperlinks>
    <hyperlink ref="A1" location="'Modelo de Dominio'!A1" display="&lt;&lt;&lt;&lt; Ir al modulo de dominio" xr:uid="{1232B379-2C8F-4361-B8CE-5CC492F8D207}"/>
    <hyperlink ref="B1" location="'Objetos de Dominio'!A1" display="&lt;&lt;&lt;&lt; Ir a objetos de dominio" xr:uid="{C4612CEA-B79F-4496-B57E-5F6E72A804C7}"/>
    <hyperlink ref="B3" location="Barberia_D!A1" display="barberia" xr:uid="{49DC9582-0184-41B1-95D7-525F6EE28820}"/>
    <hyperlink ref="B4" location="Barberia_D!A4" display="Barberia_D!A4" xr:uid="{9C3C8EC0-3D4B-4A80-9FA2-4578065166BB}"/>
    <hyperlink ref="B5" location="Barberia_D!A4" display="Barberia_D!A4" xr:uid="{1337E6E0-8BBF-46FA-B386-3E8B848525E7}"/>
    <hyperlink ref="B6" location="Servicio_D!A4" display="Servicio_D!A4" xr:uid="{F14FFAD6-C31D-4D17-A87C-7C4566115E73}"/>
    <hyperlink ref="B7" location="Barberia_D!A4" display="Barberia_D!A4" xr:uid="{75AD25E9-0697-4BA2-8F6A-B890AAE2A8F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E59AB-4103-4731-9C3C-4C276F8A29F8}">
  <dimension ref="A1:L10"/>
  <sheetViews>
    <sheetView topLeftCell="H1" zoomScale="115" zoomScaleNormal="115" workbookViewId="0">
      <selection activeCell="K7" sqref="K7"/>
    </sheetView>
  </sheetViews>
  <sheetFormatPr baseColWidth="10" defaultRowHeight="14.4" x14ac:dyDescent="0.3"/>
  <cols>
    <col min="1" max="1" width="27" bestFit="1" customWidth="1"/>
    <col min="2" max="6" width="26.6640625" customWidth="1"/>
    <col min="7" max="7" width="16.33203125" customWidth="1"/>
    <col min="8" max="9" width="40.6640625" customWidth="1"/>
    <col min="10" max="10" width="27.109375" customWidth="1"/>
    <col min="11" max="11" width="21" customWidth="1"/>
    <col min="12" max="12" width="53.109375" bestFit="1" customWidth="1"/>
  </cols>
  <sheetData>
    <row r="1" spans="1:12" x14ac:dyDescent="0.3">
      <c r="A1" s="5" t="s">
        <v>37</v>
      </c>
      <c r="B1" s="5" t="s">
        <v>38</v>
      </c>
      <c r="C1" s="5"/>
      <c r="D1" s="5"/>
      <c r="E1" s="5"/>
      <c r="F1" s="5"/>
    </row>
    <row r="2" spans="1:12" ht="45.6" customHeight="1" x14ac:dyDescent="0.3">
      <c r="A2" s="29" t="s">
        <v>25</v>
      </c>
      <c r="B2" s="29" t="s">
        <v>141</v>
      </c>
      <c r="C2" s="29" t="s">
        <v>143</v>
      </c>
      <c r="D2" s="29" t="s">
        <v>142</v>
      </c>
      <c r="E2" s="29" t="s">
        <v>140</v>
      </c>
      <c r="F2" s="29" t="s">
        <v>175</v>
      </c>
      <c r="G2" s="30" t="s">
        <v>60</v>
      </c>
      <c r="H2" s="30" t="s">
        <v>165</v>
      </c>
      <c r="I2" s="30" t="s">
        <v>166</v>
      </c>
      <c r="J2" s="30" t="s">
        <v>177</v>
      </c>
      <c r="K2" s="30" t="s">
        <v>186</v>
      </c>
      <c r="L2" s="31" t="s">
        <v>170</v>
      </c>
    </row>
    <row r="3" spans="1:12" x14ac:dyDescent="0.3">
      <c r="A3" s="14" t="s">
        <v>36</v>
      </c>
      <c r="B3" s="13" t="s">
        <v>130</v>
      </c>
      <c r="C3" s="13" t="s">
        <v>132</v>
      </c>
      <c r="D3" s="13" t="s">
        <v>131</v>
      </c>
      <c r="E3" s="13" t="s">
        <v>133</v>
      </c>
      <c r="F3" s="13" t="s">
        <v>171</v>
      </c>
      <c r="G3" s="13" t="s">
        <v>27</v>
      </c>
      <c r="H3" s="13" t="s">
        <v>53</v>
      </c>
      <c r="I3" s="13" t="s">
        <v>164</v>
      </c>
      <c r="J3" s="49" t="s">
        <v>54</v>
      </c>
      <c r="K3" s="35" t="s">
        <v>43</v>
      </c>
      <c r="L3" s="32" t="s">
        <v>91</v>
      </c>
    </row>
    <row r="4" spans="1:12" x14ac:dyDescent="0.3">
      <c r="A4" s="12">
        <v>1</v>
      </c>
      <c r="B4" s="12" t="s">
        <v>63</v>
      </c>
      <c r="C4" s="12" t="s">
        <v>134</v>
      </c>
      <c r="D4" s="12" t="s">
        <v>67</v>
      </c>
      <c r="E4" s="12" t="s">
        <v>136</v>
      </c>
      <c r="F4" s="53" t="s">
        <v>172</v>
      </c>
      <c r="G4" s="12">
        <v>3245627890</v>
      </c>
      <c r="H4" s="11" t="s">
        <v>70</v>
      </c>
      <c r="I4" s="51">
        <v>1264267821</v>
      </c>
      <c r="J4" s="12" t="s">
        <v>61</v>
      </c>
      <c r="K4" s="55" t="str">
        <f>Barberia_D!B4</f>
        <v>Barbería Oriental</v>
      </c>
      <c r="L4" s="12" t="str">
        <f>_xlfn.CONCAT(B4,"-",C4,"-",D4,"-",E4,"-",F4,"-",G4)</f>
        <v>Juan Fernando-Fernando-García Lopez-Lopez-+57-3245627890</v>
      </c>
    </row>
    <row r="5" spans="1:12" x14ac:dyDescent="0.3">
      <c r="A5" s="12">
        <v>2</v>
      </c>
      <c r="B5" s="12" t="s">
        <v>64</v>
      </c>
      <c r="C5" s="12" t="s">
        <v>135</v>
      </c>
      <c r="D5" s="12" t="s">
        <v>68</v>
      </c>
      <c r="E5" s="12" t="s">
        <v>137</v>
      </c>
      <c r="F5" s="53" t="s">
        <v>172</v>
      </c>
      <c r="G5" s="12">
        <v>3124518923</v>
      </c>
      <c r="H5" s="11" t="s">
        <v>71</v>
      </c>
      <c r="I5" s="51" t="s">
        <v>168</v>
      </c>
      <c r="J5" s="12" t="s">
        <v>62</v>
      </c>
      <c r="K5" s="55" t="str">
        <f>Barberia_D!B4</f>
        <v>Barbería Oriental</v>
      </c>
      <c r="L5" s="12" t="str">
        <f t="shared" ref="L5:L7" si="0">_xlfn.CONCAT(B5,"-",C5,"-",D5,"-",E5,"-",F5,"-",G5)</f>
        <v>Juan David-David-Ortiz Sanchez-Sanchez-+57-3124518923</v>
      </c>
    </row>
    <row r="6" spans="1:12" x14ac:dyDescent="0.3">
      <c r="A6" s="12">
        <v>3</v>
      </c>
      <c r="B6" s="12" t="s">
        <v>65</v>
      </c>
      <c r="C6" s="12"/>
      <c r="D6" s="12" t="s">
        <v>139</v>
      </c>
      <c r="E6" s="12"/>
      <c r="F6" s="53" t="s">
        <v>172</v>
      </c>
      <c r="G6" s="12">
        <v>3214533321</v>
      </c>
      <c r="H6" s="11" t="s">
        <v>72</v>
      </c>
      <c r="I6" s="52" t="s">
        <v>167</v>
      </c>
      <c r="J6" s="12" t="s">
        <v>61</v>
      </c>
      <c r="K6" s="55" t="str">
        <f>Barberia_D!B4</f>
        <v>Barbería Oriental</v>
      </c>
      <c r="L6" s="12" t="str">
        <f t="shared" si="0"/>
        <v>Carlos--Arbeladez--+57-3214533321</v>
      </c>
    </row>
    <row r="7" spans="1:12" x14ac:dyDescent="0.3">
      <c r="A7" s="12">
        <v>4</v>
      </c>
      <c r="B7" s="12" t="s">
        <v>66</v>
      </c>
      <c r="C7" s="12"/>
      <c r="D7" s="12" t="s">
        <v>69</v>
      </c>
      <c r="E7" s="12" t="s">
        <v>138</v>
      </c>
      <c r="F7" s="53" t="s">
        <v>176</v>
      </c>
      <c r="G7" s="12">
        <v>9876543210</v>
      </c>
      <c r="H7" s="11" t="s">
        <v>73</v>
      </c>
      <c r="I7" s="51" t="s">
        <v>169</v>
      </c>
      <c r="J7" s="12" t="s">
        <v>61</v>
      </c>
      <c r="K7" s="55" t="str">
        <f>Barberia_D!B4</f>
        <v>Barbería Oriental</v>
      </c>
      <c r="L7" s="12" t="str">
        <f t="shared" si="0"/>
        <v>Andres--Ramirez Patiño-Patiño-+91-9876543210</v>
      </c>
    </row>
    <row r="10" spans="1:12" x14ac:dyDescent="0.3">
      <c r="B10" s="10"/>
      <c r="C10" s="10"/>
    </row>
  </sheetData>
  <phoneticPr fontId="7" type="noConversion"/>
  <hyperlinks>
    <hyperlink ref="A1" location="'Modelo de Dominio'!A1" display="&lt;&lt;&lt;&lt; Ir al modulo de dominio" xr:uid="{E687A9B1-2F94-41F4-9C64-B065CF803569}"/>
    <hyperlink ref="B1" location="'Objetos de Dominio'!A1" display="&lt;&lt;&lt;&lt; Ir a objetos de dominio" xr:uid="{B11349A8-A5E5-4188-AE93-A5D086816413}"/>
    <hyperlink ref="H4" r:id="rId1" xr:uid="{60EA2572-583B-4C21-A5A4-79AC0F810621}"/>
    <hyperlink ref="H5" r:id="rId2" xr:uid="{6DE7DFDC-37F8-4F9E-9AEF-2A9B5D465DE8}"/>
    <hyperlink ref="H6" r:id="rId3" xr:uid="{4550EE1F-4989-43BD-948F-5BD527B9D531}"/>
    <hyperlink ref="H7" r:id="rId4" xr:uid="{72EF9758-1786-4FA4-86ED-08E3A4E7C6AD}"/>
    <hyperlink ref="K3" location="Barberia_D!A1" display="barberia" xr:uid="{0A424D71-DFC6-4A9B-AB84-795AF0206DA0}"/>
    <hyperlink ref="K4" location="Barberia_D!A4" display="Barberia_D!A4" xr:uid="{74759F60-91D9-4AA0-8D34-C14AE4845BDE}"/>
    <hyperlink ref="K5:K7" location="Barberia_D!A4" display="Barberia_D!A4" xr:uid="{8B3C5650-71BD-4B78-A8B9-12566120F04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8B98D-AAA9-4184-8373-FE2E421AAE23}">
  <dimension ref="A1:E11"/>
  <sheetViews>
    <sheetView zoomScale="130" zoomScaleNormal="130" workbookViewId="0">
      <selection activeCell="C10" sqref="C10"/>
    </sheetView>
  </sheetViews>
  <sheetFormatPr baseColWidth="10" defaultRowHeight="14.4" x14ac:dyDescent="0.3"/>
  <cols>
    <col min="1" max="1" width="27" customWidth="1"/>
    <col min="2" max="2" width="28.88671875" customWidth="1"/>
    <col min="3" max="3" width="41" customWidth="1"/>
    <col min="4" max="4" width="36.109375" customWidth="1"/>
    <col min="5" max="5" width="26.88671875" customWidth="1"/>
  </cols>
  <sheetData>
    <row r="1" spans="1:5" x14ac:dyDescent="0.3">
      <c r="A1" s="5" t="s">
        <v>37</v>
      </c>
      <c r="B1" s="5" t="s">
        <v>38</v>
      </c>
    </row>
    <row r="2" spans="1:5" ht="49.8" customHeight="1" x14ac:dyDescent="0.3">
      <c r="A2" s="18" t="s">
        <v>25</v>
      </c>
      <c r="B2" s="18" t="s">
        <v>75</v>
      </c>
      <c r="C2" s="34" t="s">
        <v>77</v>
      </c>
      <c r="D2" s="34" t="s">
        <v>163</v>
      </c>
      <c r="E2" s="34" t="s">
        <v>76</v>
      </c>
    </row>
    <row r="3" spans="1:5" x14ac:dyDescent="0.3">
      <c r="A3" s="14" t="s">
        <v>36</v>
      </c>
      <c r="B3" s="35" t="s">
        <v>78</v>
      </c>
      <c r="C3" s="13" t="s">
        <v>30</v>
      </c>
      <c r="D3" s="49" t="s">
        <v>74</v>
      </c>
      <c r="E3" s="32" t="s">
        <v>92</v>
      </c>
    </row>
    <row r="4" spans="1:5" x14ac:dyDescent="0.3">
      <c r="A4" s="12">
        <v>1</v>
      </c>
      <c r="B4" s="11">
        <f>Cliente_D!G4</f>
        <v>3234528921</v>
      </c>
      <c r="C4" s="36">
        <v>45255</v>
      </c>
      <c r="D4" s="12" t="s">
        <v>62</v>
      </c>
      <c r="E4" s="12" t="str">
        <f>_xlfn.CONCAT(B4,"-",TEXT(C4,"dd/mm/yyyy"))</f>
        <v>3234528921-25/11/2023</v>
      </c>
    </row>
    <row r="5" spans="1:5" x14ac:dyDescent="0.3">
      <c r="A5" s="12">
        <v>2</v>
      </c>
      <c r="B5" s="11">
        <f>Cliente_D!G5</f>
        <v>3161657782</v>
      </c>
      <c r="C5" s="36">
        <v>45372</v>
      </c>
      <c r="D5" s="12" t="s">
        <v>62</v>
      </c>
      <c r="E5" s="12" t="str">
        <f t="shared" ref="E5:E7" si="0">_xlfn.CONCAT(B5,"-",TEXT(C5,"dd/mm/yyyy"))</f>
        <v>3161657782-21/03/2024</v>
      </c>
    </row>
    <row r="6" spans="1:5" x14ac:dyDescent="0.3">
      <c r="A6" s="12">
        <v>3</v>
      </c>
      <c r="B6" s="11">
        <f>Cliente_D!G6</f>
        <v>3119884321</v>
      </c>
      <c r="C6" s="36">
        <v>45556</v>
      </c>
      <c r="D6" s="12" t="s">
        <v>61</v>
      </c>
      <c r="E6" s="12" t="str">
        <f t="shared" si="0"/>
        <v>3119884321-21/09/2024</v>
      </c>
    </row>
    <row r="7" spans="1:5" x14ac:dyDescent="0.3">
      <c r="A7" s="12">
        <v>4</v>
      </c>
      <c r="B7" s="11">
        <f>Cliente_D!G7</f>
        <v>4127359182</v>
      </c>
      <c r="C7" s="36">
        <v>46002</v>
      </c>
      <c r="D7" s="12" t="s">
        <v>61</v>
      </c>
      <c r="E7" s="12" t="str">
        <f t="shared" si="0"/>
        <v>4127359182-11/12/2025</v>
      </c>
    </row>
    <row r="8" spans="1:5" x14ac:dyDescent="0.3">
      <c r="C8" s="33"/>
      <c r="D8" s="33"/>
    </row>
    <row r="11" spans="1:5" x14ac:dyDescent="0.3">
      <c r="C11" s="50"/>
    </row>
  </sheetData>
  <hyperlinks>
    <hyperlink ref="A1" location="'Modelo de Dominio'!A1" display="&lt;&lt;&lt;&lt; Ir al modulo de dominio" xr:uid="{F755F618-0A40-4479-913F-8F6060E94F5B}"/>
    <hyperlink ref="B1" location="'Objetos de Dominio'!A1" display="&lt;&lt;&lt;&lt; Ir a objetos de dominio" xr:uid="{C5748D80-5E29-4CD8-BA51-198180E61202}"/>
    <hyperlink ref="B3" location="Cliente_D!A1" display="cliente" xr:uid="{F7C47FD3-2FEB-4E40-8CE8-9FEC66E905E0}"/>
    <hyperlink ref="B4" location="Cliente_D!A4" display="Cliente_D!A4" xr:uid="{7F6CACFC-57C0-447E-811A-802403EBA0AC}"/>
    <hyperlink ref="B5" location="Cliente_D!A5" display="Cliente_D!A5" xr:uid="{EE87A799-0DAD-412E-8BF4-24089411596B}"/>
    <hyperlink ref="B6" location="Cliente_D!A6" display="Cliente_D!A6" xr:uid="{D95F6EBA-51E7-42CB-9EFD-6676C5924513}"/>
    <hyperlink ref="B7" location="Cliente_D!A7" display="Cliente_D!A7" xr:uid="{9BA1680E-A8A5-4CE9-866D-EC3B5A4F5B9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A074A-5C83-448D-978C-7C1005CE378E}">
  <dimension ref="A1:D7"/>
  <sheetViews>
    <sheetView zoomScale="130" zoomScaleNormal="130" workbookViewId="0">
      <selection activeCell="C11" sqref="C11"/>
    </sheetView>
  </sheetViews>
  <sheetFormatPr baseColWidth="10" defaultRowHeight="14.4" x14ac:dyDescent="0.3"/>
  <cols>
    <col min="1" max="1" width="29.109375" customWidth="1"/>
    <col min="2" max="2" width="30" customWidth="1"/>
    <col min="3" max="3" width="41.88671875" bestFit="1" customWidth="1"/>
    <col min="4" max="4" width="61.109375" bestFit="1" customWidth="1"/>
  </cols>
  <sheetData>
    <row r="1" spans="1:4" x14ac:dyDescent="0.3">
      <c r="A1" s="5" t="s">
        <v>37</v>
      </c>
      <c r="B1" s="5" t="s">
        <v>38</v>
      </c>
    </row>
    <row r="2" spans="1:4" ht="36.75" customHeight="1" x14ac:dyDescent="0.3">
      <c r="A2" s="18" t="s">
        <v>25</v>
      </c>
      <c r="B2" s="37" t="s">
        <v>80</v>
      </c>
      <c r="C2" s="34" t="s">
        <v>81</v>
      </c>
      <c r="D2" s="47" t="s">
        <v>129</v>
      </c>
    </row>
    <row r="3" spans="1:4" x14ac:dyDescent="0.3">
      <c r="A3" s="14" t="s">
        <v>36</v>
      </c>
      <c r="B3" s="35" t="s">
        <v>51</v>
      </c>
      <c r="C3" s="35" t="s">
        <v>52</v>
      </c>
      <c r="D3" s="39" t="s">
        <v>89</v>
      </c>
    </row>
    <row r="4" spans="1:4" x14ac:dyDescent="0.3">
      <c r="A4" s="12">
        <v>1</v>
      </c>
      <c r="B4" s="11" t="str">
        <f>_xlfn.CONCAT(Barbero_D!B4," ",Barbero_D!D4)</f>
        <v>Juan Fernando García Lopez</v>
      </c>
      <c r="C4" s="11" t="str">
        <f>Servicio_D!C4</f>
        <v>Motilada</v>
      </c>
      <c r="D4" s="12" t="str">
        <f>_xlfn.CONCAT(B4,"-",C4)</f>
        <v>Juan Fernando García Lopez-Motilada</v>
      </c>
    </row>
    <row r="5" spans="1:4" x14ac:dyDescent="0.3">
      <c r="A5" s="12">
        <v>2</v>
      </c>
      <c r="B5" s="11" t="str">
        <f>_xlfn.CONCAT(Barbero_D!B5," ",Barbero_D!D5)</f>
        <v>Juan David Ortiz Sanchez</v>
      </c>
      <c r="C5" s="11" t="str">
        <f>Servicio_D!C5</f>
        <v>Corte de barba</v>
      </c>
      <c r="D5" s="12" t="str">
        <f t="shared" ref="D5:D7" si="0">_xlfn.CONCAT(B5,"-",C5)</f>
        <v>Juan David Ortiz Sanchez-Corte de barba</v>
      </c>
    </row>
    <row r="6" spans="1:4" x14ac:dyDescent="0.3">
      <c r="A6" s="12">
        <v>3</v>
      </c>
      <c r="B6" s="11" t="str">
        <f>_xlfn.CONCAT(Barbero_D!B6," ",Barbero_D!D6)</f>
        <v>Carlos Arbeladez</v>
      </c>
      <c r="C6" s="11" t="str">
        <f>Servicio_D!C6</f>
        <v>Perfilada de barba</v>
      </c>
      <c r="D6" s="12" t="str">
        <f t="shared" si="0"/>
        <v>Carlos Arbeladez-Perfilada de barba</v>
      </c>
    </row>
    <row r="7" spans="1:4" x14ac:dyDescent="0.3">
      <c r="A7" s="12">
        <v>4</v>
      </c>
      <c r="B7" s="11" t="str">
        <f>_xlfn.CONCAT(Barbero_D!B7," ",Barbero_D!D7)</f>
        <v>Andres Ramirez Patiño</v>
      </c>
      <c r="C7" s="11" t="str">
        <f>Servicio_D!C7</f>
        <v>Arreglo completo de barba con toalla caliente</v>
      </c>
      <c r="D7" s="12" t="str">
        <f t="shared" si="0"/>
        <v>Andres Ramirez Patiño-Arreglo completo de barba con toalla caliente</v>
      </c>
    </row>
  </sheetData>
  <hyperlinks>
    <hyperlink ref="A1" location="'Modelo de Dominio'!A1" display="&lt;&lt;&lt;&lt; Ir al modulo de dominio" xr:uid="{FFA03467-D9E8-4922-8DD1-EB697146AC1B}"/>
    <hyperlink ref="B1" location="'Objetos de Dominio'!A1" display="&lt;&lt;&lt;&lt; Ir a objetos de dominio" xr:uid="{971E0EFC-60C0-48A1-B837-6AAF98E7514B}"/>
    <hyperlink ref="B3" location="Barbero_D!A1" display="barbero" xr:uid="{2B1F71D8-0AF1-4D91-BFA5-2A3B7EB9586C}"/>
    <hyperlink ref="B4" location="Barbero_D!A4" display="Barbero_D!A4" xr:uid="{90A93270-6BCA-45C6-9C51-0A233F33C1FE}"/>
    <hyperlink ref="B5" location="Barbero_D!A5" display="Barbero_D!A5" xr:uid="{9B9AF364-956C-4298-B942-23CF41E9C500}"/>
    <hyperlink ref="B6" location="Barbero_D!A6" display="Barbero_D!A6" xr:uid="{7CFAFC24-7106-416B-9DEA-F3CE7DB5FAF0}"/>
    <hyperlink ref="B7" location="Barbero_D!A7" display="Barbero_D!A7" xr:uid="{5A52E689-B50B-4B39-BCED-F285C67610A6}"/>
    <hyperlink ref="C3" location="Servicio_D!A1" display="servicio" xr:uid="{3B633903-C90E-4327-9B6F-B81E5AB13AC3}"/>
    <hyperlink ref="C4" location="Servicio_D!A4" display="Servicio_D!A4" xr:uid="{0ACF3FBE-22F7-4729-A945-C7090D251150}"/>
    <hyperlink ref="C5:C7" location="Servicio_D!A4" display="Servicio_D!A4" xr:uid="{A364E05C-8245-427B-B12C-5EB06B6F7E09}"/>
    <hyperlink ref="C5" location="Servicio_D!A5" display="Servicio_D!A5" xr:uid="{EDDED9CD-6F42-4E97-8ABD-42AD5859FB71}"/>
    <hyperlink ref="C6" location="Servicio_D!A6" display="Servicio_D!A6" xr:uid="{300EB704-D5DD-4403-88AD-48D12812E3C0}"/>
    <hyperlink ref="C7" location="Servicio_D!A7" display="Servicio_D!A7" xr:uid="{F311C539-AD0A-4F0D-A372-FDDEC6AB11F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1A3C4-B96A-49A7-8353-9FD37D2F2B74}">
  <dimension ref="A1:C7"/>
  <sheetViews>
    <sheetView zoomScale="130" zoomScaleNormal="130" workbookViewId="0">
      <selection activeCell="A6" sqref="A6"/>
    </sheetView>
  </sheetViews>
  <sheetFormatPr baseColWidth="10" defaultRowHeight="14.4" x14ac:dyDescent="0.3"/>
  <cols>
    <col min="1" max="1" width="30" customWidth="1"/>
    <col min="2" max="2" width="42.33203125" customWidth="1"/>
    <col min="3" max="3" width="37.44140625" customWidth="1"/>
  </cols>
  <sheetData>
    <row r="1" spans="1:3" x14ac:dyDescent="0.3">
      <c r="A1" s="5" t="s">
        <v>37</v>
      </c>
      <c r="B1" s="5" t="s">
        <v>38</v>
      </c>
    </row>
    <row r="2" spans="1:3" ht="30" x14ac:dyDescent="0.3">
      <c r="A2" s="18" t="s">
        <v>25</v>
      </c>
      <c r="B2" s="18" t="s">
        <v>162</v>
      </c>
      <c r="C2" s="19" t="s">
        <v>108</v>
      </c>
    </row>
    <row r="3" spans="1:3" x14ac:dyDescent="0.3">
      <c r="A3" s="14" t="s">
        <v>36</v>
      </c>
      <c r="B3" s="35" t="s">
        <v>51</v>
      </c>
      <c r="C3" s="32" t="s">
        <v>89</v>
      </c>
    </row>
    <row r="4" spans="1:3" x14ac:dyDescent="0.3">
      <c r="A4" s="12">
        <v>1</v>
      </c>
      <c r="B4" s="11" t="str">
        <f>_xlfn.CONCAT(Barbero_D!B4," ",Barbero_D!D4)</f>
        <v>Juan Fernando García Lopez</v>
      </c>
      <c r="C4" s="12" t="str">
        <f>B4</f>
        <v>Juan Fernando García Lopez</v>
      </c>
    </row>
    <row r="5" spans="1:3" x14ac:dyDescent="0.3">
      <c r="A5" s="12">
        <v>2</v>
      </c>
      <c r="B5" s="11" t="str">
        <f>_xlfn.CONCAT(Barbero_D!B5," ",Barbero_D!D5)</f>
        <v>Juan David Ortiz Sanchez</v>
      </c>
      <c r="C5" s="12" t="str">
        <f t="shared" ref="C5:C7" si="0">B5</f>
        <v>Juan David Ortiz Sanchez</v>
      </c>
    </row>
    <row r="6" spans="1:3" x14ac:dyDescent="0.3">
      <c r="A6" s="12">
        <v>3</v>
      </c>
      <c r="B6" s="11" t="str">
        <f>_xlfn.CONCAT(Barbero_D!B6," ",Barbero_D!D6)</f>
        <v>Carlos Arbeladez</v>
      </c>
      <c r="C6" s="12" t="str">
        <f t="shared" si="0"/>
        <v>Carlos Arbeladez</v>
      </c>
    </row>
    <row r="7" spans="1:3" x14ac:dyDescent="0.3">
      <c r="A7" s="12">
        <v>4</v>
      </c>
      <c r="B7" s="11" t="str">
        <f>_xlfn.CONCAT(Barbero_D!B7," ",Barbero_D!D7)</f>
        <v>Andres Ramirez Patiño</v>
      </c>
      <c r="C7" s="12" t="str">
        <f t="shared" si="0"/>
        <v>Andres Ramirez Patiño</v>
      </c>
    </row>
  </sheetData>
  <hyperlinks>
    <hyperlink ref="A1" location="'Modelo de Dominio'!A1" display="&lt;&lt;&lt;&lt; Ir al modulo de dominio" xr:uid="{191A55C7-DA59-4C30-B63B-B024057DDC68}"/>
    <hyperlink ref="B1" location="'Objetos de Dominio'!A1" display="&lt;&lt;&lt;&lt; Ir a objetos de dominio" xr:uid="{E53BAB0A-E3EB-4977-AC9C-BE8955CDE77C}"/>
    <hyperlink ref="B3" location="Barbero_D!A1" display="barbero" xr:uid="{8AB66071-F172-4034-9805-A5EF83FBCC22}"/>
    <hyperlink ref="B4" location="Barbero_D!A4" display="Barbero_D!A4" xr:uid="{176DDD43-C9FD-44BE-A602-B883D3DF046C}"/>
    <hyperlink ref="B5:B7" location="Barbero_D!A4" display="Barbero_D!A4" xr:uid="{D4DBD4BD-CFE4-4DF9-A88D-520026FCCCF2}"/>
    <hyperlink ref="B5" location="Barbero_D!A5" display="Barbero_D!A5" xr:uid="{095BCBC5-A9C0-42E2-AF18-87E3049FBEDA}"/>
    <hyperlink ref="B6" location="Barbero_D!A6" display="Barbero_D!A6" xr:uid="{EA02F355-6C5D-4955-BCCD-7B0C9569DCED}"/>
    <hyperlink ref="B7" location="Barbero_D!A7" display="Barbero_D!A7" xr:uid="{979F9DA9-740D-4B06-AD22-BE8F66BD100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E76D0-FBB4-4C81-85CC-F644057A8847}">
  <dimension ref="A1:F7"/>
  <sheetViews>
    <sheetView topLeftCell="B1" zoomScale="145" zoomScaleNormal="145" workbookViewId="0">
      <selection activeCell="B7" sqref="B7"/>
    </sheetView>
  </sheetViews>
  <sheetFormatPr baseColWidth="10" defaultRowHeight="14.4" x14ac:dyDescent="0.3"/>
  <cols>
    <col min="1" max="1" width="27" bestFit="1" customWidth="1"/>
    <col min="2" max="2" width="37.109375" customWidth="1"/>
    <col min="3" max="3" width="28" customWidth="1"/>
    <col min="4" max="4" width="18.6640625" customWidth="1"/>
    <col min="5" max="5" width="31.6640625" customWidth="1"/>
    <col min="6" max="6" width="37.6640625" bestFit="1" customWidth="1"/>
  </cols>
  <sheetData>
    <row r="1" spans="1:6" x14ac:dyDescent="0.3">
      <c r="A1" s="5" t="s">
        <v>37</v>
      </c>
      <c r="B1" s="5" t="s">
        <v>38</v>
      </c>
    </row>
    <row r="2" spans="1:6" ht="40.5" customHeight="1" x14ac:dyDescent="0.3">
      <c r="A2" s="19" t="s">
        <v>25</v>
      </c>
      <c r="B2" s="19" t="s">
        <v>110</v>
      </c>
      <c r="C2" s="19" t="s">
        <v>111</v>
      </c>
      <c r="D2" s="19" t="s">
        <v>112</v>
      </c>
      <c r="E2" s="19" t="s">
        <v>113</v>
      </c>
      <c r="F2" s="19" t="s">
        <v>114</v>
      </c>
    </row>
    <row r="3" spans="1:6" x14ac:dyDescent="0.3">
      <c r="A3" s="14" t="s">
        <v>36</v>
      </c>
      <c r="B3" s="35" t="s">
        <v>79</v>
      </c>
      <c r="C3" s="42" t="s">
        <v>99</v>
      </c>
      <c r="D3" s="13" t="s">
        <v>82</v>
      </c>
      <c r="E3" s="13" t="s">
        <v>109</v>
      </c>
      <c r="F3" s="32" t="s">
        <v>89</v>
      </c>
    </row>
    <row r="4" spans="1:6" x14ac:dyDescent="0.3">
      <c r="A4" s="12">
        <v>1</v>
      </c>
      <c r="B4" s="55" t="str">
        <f>Agenda_D!C4</f>
        <v>Juan Fernando García Lopez</v>
      </c>
      <c r="C4" s="41" t="s">
        <v>102</v>
      </c>
      <c r="D4" s="41">
        <v>0.41666666666666669</v>
      </c>
      <c r="E4" s="41">
        <v>0.66666666666666663</v>
      </c>
      <c r="F4" s="12" t="str">
        <f>_xlfn.CONCAT(B4,"-",C4,"-",TEXT(D4,"hh;mm"),"-",TEXT(E4,"hh;mm"))</f>
        <v>Juan Fernando García Lopez-Lunes-10-16</v>
      </c>
    </row>
    <row r="5" spans="1:6" x14ac:dyDescent="0.3">
      <c r="A5" s="12">
        <v>2</v>
      </c>
      <c r="B5" s="55" t="str">
        <f>Agenda_D!C5</f>
        <v>Juan David Ortiz Sanchez</v>
      </c>
      <c r="C5" s="12" t="s">
        <v>103</v>
      </c>
      <c r="D5" s="41">
        <v>0.375</v>
      </c>
      <c r="E5" s="41">
        <v>0.625</v>
      </c>
      <c r="F5" s="12" t="str">
        <f t="shared" ref="F5:F7" si="0">_xlfn.CONCAT(B5,"-",C5,"-",TEXT(D5,"hh;mm"),"-",TEXT(E5,"hh;mm"))</f>
        <v>Juan David Ortiz Sanchez-Martes-09-15</v>
      </c>
    </row>
    <row r="6" spans="1:6" x14ac:dyDescent="0.3">
      <c r="A6" s="12">
        <v>3</v>
      </c>
      <c r="B6" s="55" t="str">
        <f>Agenda_D!C6</f>
        <v>Carlos Arbeladez</v>
      </c>
      <c r="C6" s="12" t="s">
        <v>105</v>
      </c>
      <c r="D6" s="41">
        <v>0.54166666666666663</v>
      </c>
      <c r="E6" s="41">
        <v>0.79166666666666663</v>
      </c>
      <c r="F6" s="12" t="str">
        <f t="shared" si="0"/>
        <v>Carlos Arbeladez-Jueves-13-19</v>
      </c>
    </row>
    <row r="7" spans="1:6" x14ac:dyDescent="0.3">
      <c r="A7" s="12">
        <v>4</v>
      </c>
      <c r="B7" s="55" t="str">
        <f>Agenda_D!C7</f>
        <v>Andres Ramirez Patiño</v>
      </c>
      <c r="C7" s="12" t="s">
        <v>107</v>
      </c>
      <c r="D7" s="41">
        <v>0.33333333333333331</v>
      </c>
      <c r="E7" s="41">
        <v>0.58333333333333337</v>
      </c>
      <c r="F7" s="12" t="str">
        <f t="shared" si="0"/>
        <v>Andres Ramirez Patiño-Sábado-08-14</v>
      </c>
    </row>
  </sheetData>
  <hyperlinks>
    <hyperlink ref="A1" location="'Modelo de Dominio'!A1" display="&lt;&lt;&lt;&lt; Ir al modulo de dominio" xr:uid="{98F427D6-B9F6-42D5-A84C-3F68DE3A5B6E}"/>
    <hyperlink ref="B1" location="'Objetos de Dominio'!A1" display="&lt;&lt;&lt;&lt; Ir a objetos de dominio" xr:uid="{9EA36EAB-A0B6-4F6C-A61D-44A86E61BF9F}"/>
    <hyperlink ref="B3" location="Agenda_D!A1" display="agenda" xr:uid="{4824C529-638F-4299-AEE0-9730B3BC73C9}"/>
    <hyperlink ref="B4" location="Agenda_D!A4" display="Agenda_D!A4" xr:uid="{4DA17190-FFA5-47EF-8FD3-54EA9F7DF58B}"/>
    <hyperlink ref="B5:B7" location="Agenda_D!A4" display="Agenda_D!A4" xr:uid="{6001330A-45FA-467D-82F2-97DD807F947F}"/>
    <hyperlink ref="B5" location="Agenda_D!A5" display="Agenda_D!A5" xr:uid="{22BB4167-53C0-4D10-9F76-560F79FADE86}"/>
    <hyperlink ref="B6" location="Agenda_D!A6" display="Agenda_D!A6" xr:uid="{36B092FB-CBA5-4E3A-9127-52EA641442EA}"/>
    <hyperlink ref="B7" location="Agenda_D!A7" display="Agenda_D!A7" xr:uid="{59DFEC77-AF33-433C-99D6-F82241ADA5F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9879F-6697-4F1F-AF5D-52C4860B7B3E}">
  <dimension ref="A1:H15"/>
  <sheetViews>
    <sheetView topLeftCell="B1" zoomScale="130" zoomScaleNormal="130" workbookViewId="0">
      <selection activeCell="E11" sqref="E11"/>
    </sheetView>
  </sheetViews>
  <sheetFormatPr baseColWidth="10" defaultRowHeight="14.4" x14ac:dyDescent="0.3"/>
  <cols>
    <col min="1" max="1" width="28" customWidth="1"/>
    <col min="2" max="2" width="26.5546875" customWidth="1"/>
    <col min="3" max="3" width="30.44140625" customWidth="1"/>
    <col min="4" max="4" width="27.5546875" customWidth="1"/>
    <col min="5" max="5" width="36.5546875" customWidth="1"/>
    <col min="6" max="6" width="60.21875" bestFit="1" customWidth="1"/>
    <col min="7" max="7" width="39.33203125" bestFit="1" customWidth="1"/>
    <col min="8" max="8" width="22" customWidth="1"/>
  </cols>
  <sheetData>
    <row r="1" spans="1:8" x14ac:dyDescent="0.3">
      <c r="A1" s="5" t="s">
        <v>37</v>
      </c>
      <c r="B1" s="5" t="s">
        <v>38</v>
      </c>
    </row>
    <row r="2" spans="1:8" ht="36.75" customHeight="1" x14ac:dyDescent="0.3">
      <c r="A2" s="18" t="s">
        <v>25</v>
      </c>
      <c r="B2" s="18" t="s">
        <v>83</v>
      </c>
      <c r="C2" s="34" t="s">
        <v>187</v>
      </c>
      <c r="D2" s="34" t="s">
        <v>179</v>
      </c>
      <c r="E2" s="34" t="s">
        <v>184</v>
      </c>
      <c r="F2" s="34" t="s">
        <v>188</v>
      </c>
      <c r="G2" s="34" t="s">
        <v>180</v>
      </c>
    </row>
    <row r="3" spans="1:8" x14ac:dyDescent="0.3">
      <c r="A3" s="14" t="s">
        <v>36</v>
      </c>
      <c r="B3" s="35" t="s">
        <v>55</v>
      </c>
      <c r="C3" s="35" t="s">
        <v>79</v>
      </c>
      <c r="D3" s="13" t="s">
        <v>178</v>
      </c>
      <c r="E3" s="49" t="s">
        <v>109</v>
      </c>
      <c r="F3" s="13" t="s">
        <v>31</v>
      </c>
      <c r="G3" s="32" t="s">
        <v>89</v>
      </c>
    </row>
    <row r="4" spans="1:8" x14ac:dyDescent="0.3">
      <c r="A4" s="12">
        <v>1</v>
      </c>
      <c r="B4" s="11" t="str">
        <f>_xlfn.CONCAT(Cliente_D!B4," ",Cliente_D!C4," ", Cliente_D!D4," ",Cliente_D!E4)</f>
        <v xml:space="preserve">Juan  Gómez </v>
      </c>
      <c r="C4" s="11" t="str">
        <f>Agenda_D!C4</f>
        <v>Juan Fernando García Lopez</v>
      </c>
      <c r="D4" s="57">
        <v>46295.416666666664</v>
      </c>
      <c r="E4" s="41">
        <v>0.44791666666666669</v>
      </c>
      <c r="F4" s="12" t="s">
        <v>84</v>
      </c>
      <c r="G4" s="12" t="str">
        <f>_xlfn.CONCAT(C4,"-",TEXT(D4,"dd/mm/yyyy/hh:mm"))</f>
        <v>Juan Fernando García Lopez-30/09/2026/10:00</v>
      </c>
    </row>
    <row r="5" spans="1:8" x14ac:dyDescent="0.3">
      <c r="A5" s="12">
        <v>2</v>
      </c>
      <c r="B5" s="11" t="str">
        <f>_xlfn.CONCAT(Cliente_D!B5," ",Cliente_D!C5," ", Cliente_D!D5," ",Cliente_D!E5)</f>
        <v>Jose Miguel Ramirez Perez</v>
      </c>
      <c r="C5" s="11" t="str">
        <f>Agenda_D!C5</f>
        <v>Juan David Ortiz Sanchez</v>
      </c>
      <c r="D5" s="57">
        <v>45983.458333333336</v>
      </c>
      <c r="E5" s="41">
        <v>0.48958333333333331</v>
      </c>
      <c r="F5" s="12" t="s">
        <v>115</v>
      </c>
      <c r="G5" s="12" t="str">
        <f t="shared" ref="G5:G8" si="0">_xlfn.CONCAT(C5,"-",TEXT(D5,"dd/mm/yyyy/hh:mm"))</f>
        <v>Juan David Ortiz Sanchez-22/11/2025/11:00</v>
      </c>
    </row>
    <row r="6" spans="1:8" x14ac:dyDescent="0.3">
      <c r="A6" s="12">
        <v>3</v>
      </c>
      <c r="B6" s="11" t="str">
        <f>_xlfn.CONCAT(Cliente_D!B6," ",Cliente_D!C6," ", Cliente_D!D6," ",Cliente_D!E6)</f>
        <v>Simon  Ochoa Ramirez</v>
      </c>
      <c r="C6" s="11" t="str">
        <f>Agenda_D!C6</f>
        <v>Carlos Arbeladez</v>
      </c>
      <c r="D6" s="57">
        <v>45514.583333333336</v>
      </c>
      <c r="E6" s="41">
        <v>0.59375</v>
      </c>
      <c r="F6" s="12" t="s">
        <v>181</v>
      </c>
      <c r="G6" s="12" t="str">
        <f t="shared" si="0"/>
        <v>Carlos Arbeladez-10/08/2024/14:00</v>
      </c>
    </row>
    <row r="7" spans="1:8" x14ac:dyDescent="0.3">
      <c r="A7" s="12">
        <v>4</v>
      </c>
      <c r="B7" s="11" t="str">
        <f>_xlfn.CONCAT(Cliente_D!B7," ",Cliente_D!C7," ", Cliente_D!D7," ",Cliente_D!E7)</f>
        <v xml:space="preserve">Alexis  Gallego </v>
      </c>
      <c r="C7" s="11" t="str">
        <f>Agenda_D!C7</f>
        <v>Andres Ramirez Patiño</v>
      </c>
      <c r="D7" s="57">
        <v>46289.541666666664</v>
      </c>
      <c r="E7" s="41">
        <v>0.5625</v>
      </c>
      <c r="F7" s="12" t="s">
        <v>116</v>
      </c>
      <c r="G7" s="12" t="str">
        <f t="shared" si="0"/>
        <v>Andres Ramirez Patiño-24/09/2026/13:00</v>
      </c>
    </row>
    <row r="8" spans="1:8" x14ac:dyDescent="0.3">
      <c r="A8" s="12">
        <v>5</v>
      </c>
      <c r="B8" s="11" t="str">
        <f>_xlfn.CONCAT(Cliente_D!B7," ",Cliente_D!C7," ", Cliente_D!D7," ",Cliente_D!E7)</f>
        <v xml:space="preserve">Alexis  Gallego </v>
      </c>
      <c r="C8" s="11" t="str">
        <f>Agenda_D!C6</f>
        <v>Carlos Arbeladez</v>
      </c>
      <c r="D8" s="57">
        <v>46240.75</v>
      </c>
      <c r="E8" s="41">
        <v>0.75694444444444442</v>
      </c>
      <c r="F8" s="12" t="s">
        <v>117</v>
      </c>
      <c r="G8" s="12" t="str">
        <f t="shared" si="0"/>
        <v>Carlos Arbeladez-06/08/2026/18:00</v>
      </c>
      <c r="H8" s="54"/>
    </row>
    <row r="10" spans="1:8" x14ac:dyDescent="0.3">
      <c r="H10" s="56"/>
    </row>
    <row r="12" spans="1:8" x14ac:dyDescent="0.3">
      <c r="D12" s="58"/>
    </row>
    <row r="13" spans="1:8" x14ac:dyDescent="0.3">
      <c r="D13" s="58"/>
    </row>
    <row r="14" spans="1:8" x14ac:dyDescent="0.3">
      <c r="D14" s="58"/>
    </row>
    <row r="15" spans="1:8" x14ac:dyDescent="0.3">
      <c r="D15" s="58"/>
    </row>
  </sheetData>
  <hyperlinks>
    <hyperlink ref="A1" location="'Modelo de Dominio'!A1" display="&lt;&lt;&lt;&lt; Ir al modulo de dominio" xr:uid="{B207C97C-275D-464D-907D-12CA92F31351}"/>
    <hyperlink ref="B1" location="'Objetos de Dominio'!A1" display="&lt;&lt;&lt;&lt; Ir a objetos de dominio" xr:uid="{A9A9D2FC-8663-43BF-ACCB-9C70C189E293}"/>
    <hyperlink ref="B3" location="Cliente_D!A1" display="cliente" xr:uid="{06CEF340-54E4-4B28-B31C-ABF377C5D505}"/>
    <hyperlink ref="B4" location="Cliente_D!A4" display="Cliente_D!A4" xr:uid="{2D6C3DE1-D9AA-441D-BD33-C130F6514BD7}"/>
    <hyperlink ref="B5:B7" location="Cliente_D!A4" display="Cliente_D!A4" xr:uid="{6F1163D6-DDFB-4008-9A38-BB6A2A795269}"/>
    <hyperlink ref="B5" location="Cliente_D!A5" display="Cliente_D!A5" xr:uid="{B8BD4E6D-1663-4D3D-A889-64D68A3A2A58}"/>
    <hyperlink ref="B6" location="Cliente_D!A6" display="Cliente_D!A6" xr:uid="{02BF914F-1130-4B28-AF19-0EE4E8BC2456}"/>
    <hyperlink ref="B7" location="Cliente_D!A7" display="Cliente_D!A7" xr:uid="{280602B1-AD7B-40F9-BC4D-6BE99B538582}"/>
    <hyperlink ref="B8" location="Cliente_D!A7" display="Cliente_D!A7" xr:uid="{6F7F8AF3-8E6D-4437-BBCD-93B99146262C}"/>
    <hyperlink ref="C3" location="Agenda_D!A1" display="agenda" xr:uid="{60744912-F7D2-4529-A199-58D08DC9D936}"/>
    <hyperlink ref="C4" location="Agenda_D!A4" display="Agenda_D!A4" xr:uid="{73B1783E-C87F-4875-A3AB-4B093DF06CAD}"/>
    <hyperlink ref="C5:C7" location="Agenda_D!A4" display="Agenda_D!A4" xr:uid="{373C7337-4CE5-4724-898C-CE3C5F8B88DE}"/>
    <hyperlink ref="C5" location="Agenda_D!A5" display="Agenda_D!A5" xr:uid="{2ADE8D46-19A8-4C2B-B93D-1A18A42B1A35}"/>
    <hyperlink ref="C6" location="Agenda_D!A6" display="Agenda_D!A6" xr:uid="{E39E814B-9CEA-41B3-BCB7-2A1A5D74E096}"/>
    <hyperlink ref="C7" location="Agenda_D!A7" display="Agenda_D!A7" xr:uid="{D8FF0774-9504-41FE-A66F-DFB70F6325C9}"/>
    <hyperlink ref="C8" location="Agenda_D!A6" display="Agenda_D!A6" xr:uid="{2783384A-2FE4-4E4A-8BF8-EC161634EA19}"/>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573FB-AAA2-4254-B83C-7C7505540365}">
  <dimension ref="A1:G7"/>
  <sheetViews>
    <sheetView topLeftCell="D1" zoomScale="130" zoomScaleNormal="130" workbookViewId="0">
      <selection activeCell="E3" sqref="E3"/>
    </sheetView>
  </sheetViews>
  <sheetFormatPr baseColWidth="10" defaultRowHeight="14.4" x14ac:dyDescent="0.3"/>
  <cols>
    <col min="1" max="1" width="26.6640625" customWidth="1"/>
    <col min="2" max="2" width="38.5546875" customWidth="1"/>
    <col min="3" max="3" width="39.33203125" bestFit="1" customWidth="1"/>
    <col min="4" max="5" width="39.6640625" customWidth="1"/>
    <col min="6" max="6" width="34.21875" bestFit="1" customWidth="1"/>
    <col min="7" max="7" width="39.33203125" bestFit="1" customWidth="1"/>
  </cols>
  <sheetData>
    <row r="1" spans="1:7" x14ac:dyDescent="0.3">
      <c r="A1" s="5" t="s">
        <v>37</v>
      </c>
      <c r="B1" s="5" t="s">
        <v>38</v>
      </c>
    </row>
    <row r="2" spans="1:7" ht="31.5" customHeight="1" x14ac:dyDescent="0.3">
      <c r="A2" s="18" t="s">
        <v>25</v>
      </c>
      <c r="B2" s="18" t="s">
        <v>119</v>
      </c>
      <c r="C2" s="34" t="s">
        <v>120</v>
      </c>
      <c r="D2" s="34" t="s">
        <v>182</v>
      </c>
      <c r="E2" s="34" t="s">
        <v>190</v>
      </c>
      <c r="F2" s="34" t="s">
        <v>121</v>
      </c>
      <c r="G2" s="34" t="s">
        <v>122</v>
      </c>
    </row>
    <row r="3" spans="1:7" x14ac:dyDescent="0.3">
      <c r="A3" s="14" t="s">
        <v>36</v>
      </c>
      <c r="B3" s="35" t="s">
        <v>55</v>
      </c>
      <c r="C3" s="35" t="s">
        <v>118</v>
      </c>
      <c r="D3" s="38" t="s">
        <v>32</v>
      </c>
      <c r="E3" s="62" t="s">
        <v>189</v>
      </c>
      <c r="F3" s="49" t="s">
        <v>33</v>
      </c>
      <c r="G3" s="32" t="s">
        <v>89</v>
      </c>
    </row>
    <row r="4" spans="1:7" x14ac:dyDescent="0.3">
      <c r="A4" s="12">
        <v>1</v>
      </c>
      <c r="B4" s="11" t="str">
        <f>Cliente_D!H6</f>
        <v>Simon--Ochoa-Ramirez-+57-3119884321</v>
      </c>
      <c r="C4" s="11" t="str">
        <f>Cita_D!G6</f>
        <v>Carlos Arbeladez-10/08/2024/14:00</v>
      </c>
      <c r="D4" s="12">
        <f>Regla_D!C4</f>
        <v>10000</v>
      </c>
      <c r="E4" s="12" t="s">
        <v>181</v>
      </c>
      <c r="F4" s="12" t="s">
        <v>61</v>
      </c>
      <c r="G4" s="12" t="str">
        <f>C4</f>
        <v>Carlos Arbeladez-10/08/2024/14:00</v>
      </c>
    </row>
    <row r="5" spans="1:7" x14ac:dyDescent="0.3">
      <c r="A5" s="12">
        <v>2</v>
      </c>
      <c r="B5" s="11" t="str">
        <f>Cliente_D!H7</f>
        <v>Alexis--Gallego--+58-4127359182</v>
      </c>
      <c r="C5" s="11" t="str">
        <f>Cita_D!G7</f>
        <v>Andres Ramirez Patiño-24/09/2026/13:00</v>
      </c>
      <c r="D5" s="12">
        <f>CitaServicio_D!D7</f>
        <v>35000</v>
      </c>
      <c r="E5" s="12" t="s">
        <v>116</v>
      </c>
      <c r="F5" s="12" t="s">
        <v>62</v>
      </c>
      <c r="G5" s="12" t="str">
        <f>C5</f>
        <v>Andres Ramirez Patiño-24/09/2026/13:00</v>
      </c>
    </row>
    <row r="6" spans="1:7" x14ac:dyDescent="0.3">
      <c r="A6" s="10"/>
      <c r="B6" s="10"/>
      <c r="C6" s="10"/>
      <c r="D6" s="10"/>
      <c r="E6" s="10"/>
      <c r="F6" s="10"/>
      <c r="G6" s="10"/>
    </row>
    <row r="7" spans="1:7" x14ac:dyDescent="0.3">
      <c r="A7" s="10"/>
      <c r="B7" s="10"/>
      <c r="C7" s="10"/>
      <c r="D7" s="10"/>
      <c r="E7" s="10"/>
      <c r="F7" s="10"/>
      <c r="G7" s="10"/>
    </row>
  </sheetData>
  <hyperlinks>
    <hyperlink ref="A1" location="'Modelo de Dominio'!A1" display="&lt;&lt;&lt;&lt; Ir al modulo de dominio" xr:uid="{9F0C7EDD-9274-48A2-A738-083239FDA7C6}"/>
    <hyperlink ref="B1" location="'Objetos de Dominio'!A1" display="&lt;&lt;&lt;&lt; Ir a objetos de dominio" xr:uid="{0C771B16-6597-49B8-8E4B-7C7FF5DA8BF5}"/>
    <hyperlink ref="B3" location="Cliente_D!A1" display="cliente" xr:uid="{25A756FB-4C6E-4DEC-B1F0-39B61B456159}"/>
    <hyperlink ref="B4" location="Cliente_D!A6" display="Cliente_D!A6" xr:uid="{04DD592F-405E-41B2-A74B-A27DC1B151DB}"/>
    <hyperlink ref="B5" location="Cliente_D!A7" display="Cliente_D!A7" xr:uid="{8977D7CB-DE4B-483D-AE43-AF4CAAF7DABC}"/>
    <hyperlink ref="C3" location="Cita_D!A1" display="cita" xr:uid="{8D994A8D-0DEB-42E2-9882-162D0FABC119}"/>
    <hyperlink ref="C4" location="Cita_D!A6" display="Cita_D!A6" xr:uid="{96DA50FB-FF8E-47E8-A0CF-7BB6384478FA}"/>
    <hyperlink ref="C5" location="Cita_D!A7" display="Cita_D!A7" xr:uid="{54D436A3-2C3E-4CC7-B15B-7C4DEF2A214D}"/>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0C5A4-8D15-43DA-95FC-91C9614E5EEA}">
  <dimension ref="A1:F8"/>
  <sheetViews>
    <sheetView zoomScale="130" zoomScaleNormal="130" workbookViewId="0">
      <selection activeCell="C8" sqref="C8"/>
    </sheetView>
  </sheetViews>
  <sheetFormatPr baseColWidth="10" defaultRowHeight="14.4" x14ac:dyDescent="0.3"/>
  <cols>
    <col min="1" max="1" width="26.44140625" customWidth="1"/>
    <col min="2" max="2" width="39.33203125" bestFit="1" customWidth="1"/>
    <col min="3" max="3" width="21.88671875" customWidth="1"/>
    <col min="4" max="4" width="41.88671875" customWidth="1"/>
    <col min="5" max="5" width="32.109375" customWidth="1"/>
    <col min="6" max="6" width="54.88671875" bestFit="1" customWidth="1"/>
  </cols>
  <sheetData>
    <row r="1" spans="1:6" x14ac:dyDescent="0.3">
      <c r="A1" s="5" t="s">
        <v>37</v>
      </c>
      <c r="B1" s="5" t="s">
        <v>38</v>
      </c>
    </row>
    <row r="2" spans="1:6" ht="33" customHeight="1" x14ac:dyDescent="0.3">
      <c r="A2" s="18" t="s">
        <v>25</v>
      </c>
      <c r="B2" s="18" t="s">
        <v>123</v>
      </c>
      <c r="C2" s="34" t="s">
        <v>124</v>
      </c>
      <c r="D2" s="34" t="s">
        <v>125</v>
      </c>
      <c r="E2" s="34" t="s">
        <v>126</v>
      </c>
      <c r="F2" s="34" t="s">
        <v>127</v>
      </c>
    </row>
    <row r="3" spans="1:6" x14ac:dyDescent="0.3">
      <c r="A3" s="45" t="s">
        <v>36</v>
      </c>
      <c r="B3" s="35" t="s">
        <v>118</v>
      </c>
      <c r="C3" s="35" t="s">
        <v>52</v>
      </c>
      <c r="D3" s="13" t="s">
        <v>34</v>
      </c>
      <c r="E3" s="13" t="s">
        <v>35</v>
      </c>
      <c r="F3" s="32" t="s">
        <v>89</v>
      </c>
    </row>
    <row r="4" spans="1:6" x14ac:dyDescent="0.3">
      <c r="A4" s="12">
        <v>1</v>
      </c>
      <c r="B4" s="11" t="str">
        <f>Cita_D!G4</f>
        <v>Juan Fernando García Lopez-30/09/2026/10:00</v>
      </c>
      <c r="C4" s="11" t="str">
        <f>Servicio_D!F4</f>
        <v>Motilada</v>
      </c>
      <c r="D4" s="12">
        <v>22000</v>
      </c>
      <c r="E4" s="12">
        <v>45</v>
      </c>
      <c r="F4" s="12" t="str">
        <f>_xlfn.CONCAT(B4,"-",C4)</f>
        <v>Juan Fernando García Lopez-30/09/2026/10:00-Motilada</v>
      </c>
    </row>
    <row r="5" spans="1:6" x14ac:dyDescent="0.3">
      <c r="A5" s="12">
        <v>2</v>
      </c>
      <c r="B5" s="11" t="str">
        <f>Cita_D!G5</f>
        <v>Juan David Ortiz Sanchez-22/11/2025/11:00</v>
      </c>
      <c r="C5" s="11" t="str">
        <f>Servicio_D!F4</f>
        <v>Motilada</v>
      </c>
      <c r="D5" s="12">
        <v>22000</v>
      </c>
      <c r="E5" s="12">
        <v>45</v>
      </c>
      <c r="F5" s="12" t="str">
        <f t="shared" ref="F5:F8" si="0">_xlfn.CONCAT(B5,"-",C5)</f>
        <v>Juan David Ortiz Sanchez-22/11/2025/11:00-Motilada</v>
      </c>
    </row>
    <row r="6" spans="1:6" x14ac:dyDescent="0.3">
      <c r="A6" s="12">
        <v>3</v>
      </c>
      <c r="B6" s="11" t="str">
        <f>Cita_D!G6</f>
        <v>Carlos Arbeladez-10/08/2024/14:00</v>
      </c>
      <c r="C6" s="11" t="str">
        <f>Servicio_D!F6</f>
        <v>Perfilada de barba</v>
      </c>
      <c r="D6" s="12">
        <v>15000</v>
      </c>
      <c r="E6" s="12">
        <v>15</v>
      </c>
      <c r="F6" s="12" t="str">
        <f t="shared" si="0"/>
        <v>Carlos Arbeladez-10/08/2024/14:00-Perfilada de barba</v>
      </c>
    </row>
    <row r="7" spans="1:6" ht="28.8" x14ac:dyDescent="0.3">
      <c r="A7" s="12">
        <v>4</v>
      </c>
      <c r="B7" s="11" t="str">
        <f>Cita_D!G7</f>
        <v>Andres Ramirez Patiño-24/09/2026/13:00</v>
      </c>
      <c r="C7" s="59" t="str">
        <f>Servicio_D!F7</f>
        <v>Arreglo completo de barba con toalla caliente</v>
      </c>
      <c r="D7" s="12">
        <v>35000</v>
      </c>
      <c r="E7" s="12">
        <v>30</v>
      </c>
      <c r="F7" s="28" t="str">
        <f t="shared" si="0"/>
        <v>Andres Ramirez Patiño-24/09/2026/13:00-Arreglo completo de barba con toalla caliente</v>
      </c>
    </row>
    <row r="8" spans="1:6" x14ac:dyDescent="0.3">
      <c r="A8" s="12">
        <v>5</v>
      </c>
      <c r="B8" s="11" t="str">
        <f>Cita_D!G8</f>
        <v>Carlos Arbeladez-06/08/2026/18:00</v>
      </c>
      <c r="C8" s="11" t="s">
        <v>57</v>
      </c>
      <c r="D8" s="12">
        <v>12000</v>
      </c>
      <c r="E8" s="12">
        <v>10</v>
      </c>
      <c r="F8" s="28" t="str">
        <f t="shared" si="0"/>
        <v>Carlos Arbeladez-06/08/2026/18:00-Corte de barba</v>
      </c>
    </row>
  </sheetData>
  <hyperlinks>
    <hyperlink ref="A1" location="'Modelo de Dominio'!A1" display="&lt;&lt;&lt;&lt; Ir al modulo de dominio" xr:uid="{0CE4CBFB-2016-4FF6-924A-B49B8392B10B}"/>
    <hyperlink ref="B1" location="'Objetos de Dominio'!A1" display="&lt;&lt;&lt;&lt; Ir a objetos de dominio" xr:uid="{57379F34-219A-4662-8198-09F584C326D5}"/>
    <hyperlink ref="B3" location="Cita_D!A1" display="cita" xr:uid="{E89AB6B9-F364-4BAD-BFEA-CAA2C102229E}"/>
    <hyperlink ref="B4" location="Cita_D!A4" display="Cita_D!A4" xr:uid="{0CF27EF5-B7FA-41F5-B712-E18CF914FB99}"/>
    <hyperlink ref="B5:B8" location="Cita_D!A4" display="Cita_D!A4" xr:uid="{24E1B3F9-C1C3-4AC0-83CF-93AC9D358E4F}"/>
    <hyperlink ref="B5" location="Cita_D!A5" display="Cita_D!A5" xr:uid="{54C06FE5-3D1C-4E02-B80F-F52398660735}"/>
    <hyperlink ref="B6" location="Cita_D!A6" display="Cita_D!A6" xr:uid="{7C3F9E66-FC63-4CC5-A67C-8604702403F0}"/>
    <hyperlink ref="B7" location="Cita_D!A7" display="Cita_D!A7" xr:uid="{B03F3CEB-2FAE-4C17-B421-BB7244341FF9}"/>
    <hyperlink ref="B8" location="Cita_D!A8" display="Cita_D!A8" xr:uid="{FA20FBDC-E2C6-44CF-B98E-C85818BE6D1B}"/>
    <hyperlink ref="C3" location="Servicio_D!A1" display="servicio" xr:uid="{46A59B94-B463-41EF-A1B6-2B1BD97218B9}"/>
    <hyperlink ref="C4" location="Servicio_D!A4" display="Servicio_D!A4" xr:uid="{E5D47101-7002-491C-A64F-9E08C0E5E166}"/>
    <hyperlink ref="C5" location="Servicio_D!A4" display="Servicio_D!A4" xr:uid="{EC363894-A006-45A1-A451-8A105D143020}"/>
    <hyperlink ref="C6" location="Servicio_D!A6" display="Servicio_D!A6" xr:uid="{2F70A83F-4454-46E6-A1E5-B359824AA24F}"/>
    <hyperlink ref="C7" location="Servicio_D!A7" display="Servicio_D!A7" xr:uid="{36945D0D-E1EC-4BD2-A67D-287FB73A0E8D}"/>
    <hyperlink ref="C8" location="Servicio_D!A5" display="Corte de barba" xr:uid="{52D089FF-955D-405E-BFF7-8EABA1516B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Modelo de Dominio</vt:lpstr>
      <vt:lpstr>Objetos de Dominio</vt:lpstr>
      <vt:lpstr>Barberia_D</vt:lpstr>
      <vt:lpstr>Cliente_D</vt:lpstr>
      <vt:lpstr>Regla_D</vt:lpstr>
      <vt:lpstr>HorarioBarberia_D</vt:lpstr>
      <vt:lpstr>Servicio_D</vt:lpstr>
      <vt:lpstr>Barbero_D</vt:lpstr>
      <vt:lpstr>Veto_D</vt:lpstr>
      <vt:lpstr>BarberoServicio_D</vt:lpstr>
      <vt:lpstr>Agenda_D</vt:lpstr>
      <vt:lpstr>HorarioBarbero_D</vt:lpstr>
      <vt:lpstr>Cita_D</vt:lpstr>
      <vt:lpstr>Multa_D</vt:lpstr>
      <vt:lpstr>CitaServicio_D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 1000</dc:creator>
  <cp:lastModifiedBy>Leo 1000</cp:lastModifiedBy>
  <dcterms:created xsi:type="dcterms:W3CDTF">2026-08-03T17:50:17Z</dcterms:created>
  <dcterms:modified xsi:type="dcterms:W3CDTF">2026-08-08T23:00:08Z</dcterms:modified>
</cp:coreProperties>
</file>