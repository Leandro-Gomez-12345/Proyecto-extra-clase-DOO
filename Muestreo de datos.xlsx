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jesus\OneDrive\Escritorio\leo\Doo\Barberia proyecto\"/>
    </mc:Choice>
  </mc:AlternateContent>
  <xr:revisionPtr revIDLastSave="0" documentId="13_ncr:1_{6884477C-7AFB-4EA2-A1F3-CB639B29ADD1}" xr6:coauthVersionLast="47" xr6:coauthVersionMax="47" xr10:uidLastSave="{00000000-0000-0000-0000-000000000000}"/>
  <bookViews>
    <workbookView xWindow="-120" yWindow="-120" windowWidth="29040" windowHeight="15840" firstSheet="1" activeTab="7" xr2:uid="{09A6C7D7-663F-4C06-9D71-8A4E97495CF9}"/>
  </bookViews>
  <sheets>
    <sheet name="Modelo de Dominio" sheetId="1" r:id="rId1"/>
    <sheet name="Objetos de Dominio" sheetId="4" r:id="rId2"/>
    <sheet name="Barberia_D" sheetId="5" r:id="rId3"/>
    <sheet name="Cliente_D" sheetId="6" r:id="rId4"/>
    <sheet name="Regla_D" sheetId="7" r:id="rId5"/>
    <sheet name="HorarioBarberia_D" sheetId="18" r:id="rId6"/>
    <sheet name="Servicio_D" sheetId="8" r:id="rId7"/>
    <sheet name="Barbero_D" sheetId="9" r:id="rId8"/>
    <sheet name="Veto_D" sheetId="10" r:id="rId9"/>
    <sheet name="BarberoServicio_D" sheetId="11" r:id="rId10"/>
    <sheet name="Agenda_D" sheetId="12" r:id="rId11"/>
    <sheet name="HorarioBarbero_D" sheetId="20" r:id="rId12"/>
    <sheet name="Cita_D" sheetId="13" r:id="rId13"/>
    <sheet name="Multa_D" sheetId="16" r:id="rId14"/>
    <sheet name="CitaServicio_D" sheetId="17"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8" i="9" l="1"/>
  <c r="K8" i="9"/>
  <c r="K7" i="9"/>
  <c r="K6" i="9"/>
  <c r="K5" i="9"/>
  <c r="K4" i="9"/>
  <c r="B5" i="8"/>
  <c r="B6" i="8"/>
  <c r="B7" i="8"/>
  <c r="B4" i="8"/>
  <c r="H5" i="6"/>
  <c r="H6" i="6"/>
  <c r="H7" i="6"/>
  <c r="B5" i="16" s="1"/>
  <c r="H4" i="6"/>
  <c r="B5" i="13"/>
  <c r="B6" i="13"/>
  <c r="B7" i="13"/>
  <c r="B8" i="13"/>
  <c r="B5" i="12"/>
  <c r="B6" i="12"/>
  <c r="C6" i="12" s="1"/>
  <c r="B7" i="12"/>
  <c r="C7" i="12" s="1"/>
  <c r="C5" i="11"/>
  <c r="C6" i="11"/>
  <c r="C7" i="11"/>
  <c r="B6" i="11"/>
  <c r="D6" i="11" s="1"/>
  <c r="B5" i="11"/>
  <c r="D5" i="11" s="1"/>
  <c r="B7" i="11"/>
  <c r="D7" i="11" s="1"/>
  <c r="B4" i="11"/>
  <c r="D4" i="11" s="1"/>
  <c r="D5" i="16"/>
  <c r="D4" i="16"/>
  <c r="B4" i="16"/>
  <c r="B4" i="13"/>
  <c r="B7" i="18"/>
  <c r="B8" i="18"/>
  <c r="B9" i="18"/>
  <c r="B5" i="18"/>
  <c r="B6" i="18"/>
  <c r="L5" i="9"/>
  <c r="L6" i="9"/>
  <c r="L7" i="9"/>
  <c r="L4" i="9"/>
  <c r="C6" i="17"/>
  <c r="B4" i="12"/>
  <c r="C4" i="12" s="1"/>
  <c r="B4" i="20" s="1"/>
  <c r="F4" i="20" s="1"/>
  <c r="F5" i="18"/>
  <c r="F6" i="18"/>
  <c r="F7" i="18"/>
  <c r="F8" i="18"/>
  <c r="F9" i="18"/>
  <c r="F4" i="18"/>
  <c r="B4" i="18"/>
  <c r="F4" i="7"/>
  <c r="E4" i="7"/>
  <c r="C4" i="11"/>
  <c r="B7" i="10"/>
  <c r="E7" i="10" s="1"/>
  <c r="B6" i="10"/>
  <c r="E6" i="10" s="1"/>
  <c r="B5" i="10"/>
  <c r="E5" i="10" s="1"/>
  <c r="B4" i="10"/>
  <c r="E4" i="10" s="1"/>
  <c r="F5" i="8"/>
  <c r="F6" i="8"/>
  <c r="F7" i="8"/>
  <c r="C7" i="17" s="1"/>
  <c r="F4" i="8"/>
  <c r="C5" i="17" s="1"/>
  <c r="B7" i="20" l="1"/>
  <c r="C7" i="13"/>
  <c r="F6" i="20"/>
  <c r="B6" i="20"/>
  <c r="C6" i="13"/>
  <c r="C4" i="17"/>
  <c r="C8" i="13"/>
  <c r="G8" i="13" s="1"/>
  <c r="F7" i="20"/>
  <c r="G7" i="13"/>
  <c r="C4" i="13"/>
  <c r="G4" i="13" s="1"/>
  <c r="G6" i="13"/>
  <c r="C5" i="12"/>
  <c r="C4" i="16" l="1"/>
  <c r="G4" i="16" s="1"/>
  <c r="B6" i="17"/>
  <c r="C5" i="16"/>
  <c r="G5" i="16" s="1"/>
  <c r="B7" i="17"/>
  <c r="F7" i="17" s="1"/>
  <c r="B8" i="17"/>
  <c r="F8" i="17" s="1"/>
  <c r="C5" i="13"/>
  <c r="B5" i="20"/>
  <c r="F6" i="17"/>
  <c r="B4" i="17"/>
  <c r="F4" i="17" s="1"/>
  <c r="F5" i="20"/>
  <c r="G5" i="13"/>
  <c r="B5" i="17" s="1"/>
  <c r="F5" i="17" l="1"/>
</calcChain>
</file>

<file path=xl/sharedStrings.xml><?xml version="1.0" encoding="utf-8"?>
<sst xmlns="http://schemas.openxmlformats.org/spreadsheetml/2006/main" count="306" uniqueCount="194">
  <si>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</si>
  <si>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</si>
  <si>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</si>
  <si>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</si>
  <si>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</si>
  <si>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</si>
  <si>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</si>
  <si>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</si>
  <si>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</si>
  <si>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</si>
  <si>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</si>
  <si>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</si>
  <si>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</si>
  <si>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</si>
  <si>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</si>
  <si>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</si>
  <si>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</si>
  <si>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</si>
  <si>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</si>
  <si>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</si>
  <si>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</si>
  <si>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</si>
  <si>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</si>
  <si>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</si>
  <si>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</si>
  <si>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</si>
  <si>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</si>
  <si>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</si>
  <si>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</si>
  <si>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</si>
  <si>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</si>
  <si>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</si>
  <si>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</si>
  <si>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</si>
  <si>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</si>
  <si>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</si>
  <si>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</si>
  <si>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</si>
  <si>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</si>
  <si>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</si>
  <si>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</si>
  <si>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</si>
  <si>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</si>
  <si>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</si>
  <si>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</si>
  <si>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</si>
  <si>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</si>
  <si>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</si>
  <si>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</si>
  <si>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Representa el numero de celular del barbero</t>
  </si>
  <si>
    <t>si</t>
  </si>
  <si>
    <t>no</t>
  </si>
  <si>
    <t>Carlos</t>
  </si>
  <si>
    <t>Andres</t>
  </si>
  <si>
    <t>juanfer234535@gmail.com</t>
  </si>
  <si>
    <t>juandaviddd2525@gmail.com</t>
  </si>
  <si>
    <t>carlosbeladez@gmail.com</t>
  </si>
  <si>
    <t>andresramirezpatino123@gmail.com</t>
  </si>
  <si>
    <t>activo</t>
  </si>
  <si>
    <t>Representa el numero de celular del cliente al que se veto, es decir al que no se le podra agendar más citas</t>
  </si>
  <si>
    <t>Combinacion única que indica que no puede existir más de un veto con el mismo cliente y la misma fecha</t>
  </si>
  <si>
    <t>Representa la fecha en el que se veto al cliente, por acomular y no pagar las multas, el numero para que se de el veto lo define la regla de la barbería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</si>
  <si>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</si>
  <si>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</si>
  <si>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</si>
  <si>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</si>
  <si>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</si>
  <si>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</si>
  <si>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</si>
  <si>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</si>
  <si>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</si>
  <si>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</si>
  <si>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</si>
  <si>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combinacion única </t>
  </si>
  <si>
    <t xml:space="preserve">Combinación única </t>
  </si>
  <si>
    <t>Combinacion única</t>
  </si>
  <si>
    <t>HorarioBarberia</t>
  </si>
  <si>
    <t>HorarioBarbero</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</si>
  <si>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</si>
  <si>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</si>
  <si>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</si>
  <si>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</si>
  <si>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</si>
  <si>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</si>
  <si>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</si>
  <si>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</si>
  <si>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</si>
  <si>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</si>
  <si>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</si>
  <si>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</si>
  <si>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</si>
  <si>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Representa el día de la semana en que aplica este horario, es necesario porque un barbero puede trabajar unos días sí y otros no</t>
  </si>
  <si>
    <t>Representa la hora en la que el barbero empieza a estar disponible ese dia</t>
  </si>
  <si>
    <t>Representa la hora en la que el barbero deja de estar disponible ese día, junto con horaInicio, es lo que la aplicación usa para saber si hay campo para agendar una cita nueva</t>
  </si>
  <si>
    <t>Combinación única que indica que una misma agenda no puede tener dos horarios distintos para el mismo día</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</si>
  <si>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</si>
  <si>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</si>
  <si>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</si>
  <si>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</si>
  <si>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</si>
  <si>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</si>
  <si>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</si>
  <si>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</si>
  <si>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</si>
  <si>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</si>
  <si>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valía el servicio en el momento exacto en que se agendó la cita, se guarda aparte del precio del catalogo por si el precio de ese servicio cambia después, las citas ya registradas no se vean afectadas</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</si>
  <si>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</si>
  <si>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</si>
  <si>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</si>
  <si>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</si>
  <si>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</si>
  <si>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</si>
  <si>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</si>
  <si>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</si>
  <si>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</si>
  <si>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</si>
  <si>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</si>
  <si>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</si>
  <si>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</si>
  <si>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</si>
  <si>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</si>
  <si>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</si>
  <si>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</si>
  <si>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</si>
  <si>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</si>
  <si>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</si>
  <si>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</si>
  <si>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</si>
  <si>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</si>
  <si>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Representa el día de la semana en que aplica este horario, es necesario para saber que días abrira la barberia</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</si>
  <si>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</si>
  <si>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</si>
  <si>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</si>
  <si>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</si>
  <si>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Carlos.1995</t>
  </si>
  <si>
    <t>Juan.sanchez2342</t>
  </si>
  <si>
    <t>ramirezpatinio23121</t>
  </si>
  <si>
    <t>prefijo</t>
  </si>
  <si>
    <t>+57</t>
  </si>
  <si>
    <t>+58</t>
  </si>
  <si>
    <t>+91</t>
  </si>
  <si>
    <t>Representa si el barbero sigue o no trabajando en la barberia, es un dato calculado cuando el barbero tiene en su agenda un horario de trabajo si es vigente y si no tiene horario de trabajo dice no es vigente</t>
  </si>
  <si>
    <t>fechaHora</t>
  </si>
  <si>
    <t>Representa la fecha y la hora en el que se va a realizar la cita al cliente</t>
  </si>
  <si>
    <t xml:space="preserve">
Combinación única que indica que una cita no puede existir dentro de una agenda con la misma fecha y hora de inicio para la cita</t>
  </si>
  <si>
    <t>retraso</t>
  </si>
  <si>
    <t xml:space="preserve">Representa cuanto dinero en pesos colombianos debe pagar el cliente la multa, si es por retraso se el monto es el que dice en regla y si es por incumplida el monto es del o los servicios que pidio </t>
  </si>
  <si>
    <t>Combinacion única que indica que no puede existir más de un cliente con un mismo nombre, apellidos, prefijo de celular y número de celular</t>
  </si>
  <si>
    <t>Representa la hora prevista a la que finaliza una cita, es un dato calculado a partir de la hora en que empieza la cita y la duración del servicio, sumándole la duración del servicio a la hora de inicio</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</si>
  <si>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</si>
  <si>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</si>
  <si>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</si>
  <si>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</si>
  <si>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</si>
  <si>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</si>
  <si>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</si>
  <si>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</si>
  <si>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</si>
  <si>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</si>
  <si>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</si>
  <si>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</si>
  <si>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</si>
  <si>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</si>
  <si>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</si>
  <si>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</si>
  <si>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</si>
  <si>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</si>
  <si>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cada día de la semana, hora en el que entra, hora a la que sale, para que la agenda del barbero sepa que días trabaja el</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</si>
  <si>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</si>
  <si>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Representa el nombre de como se llama la barberia en donde trabajan los barberos. El tipo de dato es alfanumérico, su valor por defecto es el vacio y es permitido</t>
  </si>
  <si>
    <t>Representa el primer nombre de la persona, que va a estar llendo a la barberia para las citas. Su tipo de dato es texto, su valor por defecto es el vacío y no es permitido</t>
  </si>
  <si>
    <t>Representa el segundo nombre de la persona, que va a estar llendo a la barberia para las citas. Su tipo de dato es texto, su valor por defecto es el vacío y es permitido</t>
  </si>
  <si>
    <t>Representa el primer apellido de la persona, que va a estar llendo a la barberia para las citas. Su tipo de dato es texto, su valor por defecto es el vacío y no es permitido</t>
  </si>
  <si>
    <t>Representa el primer apellido de la persona, que va a estar llendo a la barberia para las citas. Su tipo de dato es texto, su valor por defecto es el vacío y es permitido</t>
  </si>
  <si>
    <t>prefijoCelular</t>
  </si>
  <si>
    <t>Representa de que pais es el numero de celular del cliente. Su tipo de dato es alfanumérico, su valor por defecto es +0 (este prefijo no referencia a ningún país) y no es permitido</t>
  </si>
  <si>
    <t>Representa el numero de celular de la persona que le va a escribir al barbero por WhatsApp para pedirle una cita. Su tipo de dato es alfanumérico, su valor por defecto es el 0 y no es permitido</t>
  </si>
  <si>
    <t>Representa la cantidad de minutos que el cliente puede llegarle tarde un cliente a la cita establecida con el barbero, despues de eso el barbero lo podrá multar. Su tipo de dato es numerico, debe de ser mayor o igual a 0, su valor por defecto es el 0 y es permitido</t>
  </si>
  <si>
    <t>Representa la cantidad de dinero que el cliente debe de pagar en pesos colombianos, por superar la toleranciaTardanza. Su tipo de dato es numerico, debe de ser mayor a cero, su valor por defecto es 0 y no es permitido</t>
  </si>
  <si>
    <t>Representa la maxima de multas que pueda tener un cliente sin pagar, a partir de esta cantidad se le hace un veto al cliente. Su tipo de dato es numerico, debe de ser mayor o igual a cero, su valor por defecto es 0 y es permitido</t>
  </si>
  <si>
    <t>Este dato lo tengo pensado como si fuera una lista</t>
  </si>
  <si>
    <t>Representa la hora a la que abre la barbería. Su tipo de dato es hora, su valor por defecto es 00:00 am y es permitido</t>
  </si>
  <si>
    <t>Representa la hora a la que cierra la barbería. Su tipo de dato es hora, su valor por defecto es 00:00 am y es permitido</t>
  </si>
  <si>
    <t>Representa el nombre del servicio que va estar en la barberia, que el barbero ofrece y en las citas que esta. Su tipo de dato es alfanumérico, su valor por defecto es el vacio y no es permitido</t>
  </si>
  <si>
    <t>Representa lo que va durar en minutos el servicio. Su tipo de dato es entero, debe de ser mayor a cero, su valor por defecto es 0 y no es permitido</t>
  </si>
  <si>
    <t>Representa cuanto va a valer el servicio en pesos colombianos. Su tipo de dato es entero, debe de ser mayor a cero, su valor por defecto es 0 y no esta permitido</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</si>
  <si>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</si>
  <si>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</si>
  <si>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</si>
  <si>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</si>
  <si>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Realmente se necesita saber el numero del barbero</t>
  </si>
  <si>
    <t>Representa de que pais es el numero de celular del barbero. Su tipo de dato es alfanumérico, su valor por defecto es +0 y no es permitido</t>
  </si>
  <si>
    <t>Representa el correo electronico del barbero, con el que se va a registrar o iniciar seción. Su tipo de dato es alfanumérico, su valor por defecto es el vacio y no es permitido</t>
  </si>
  <si>
    <t>Representa la contraseña del barbebro, con el que se va a registrar o iniciar sesión. Su tipo de dato es alfanumérico, su valor por defecto es el vacio y no esta permitido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</si>
</sst>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0">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62">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5" fillId="0" borderId="1" xfId="0" applyFont="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1" fillId="6" borderId="1" xfId="0"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0" fontId="5" fillId="0" borderId="1" xfId="0" applyFont="1" applyBorder="1" applyAlignment="1">
      <alignment horizontal="center"/>
    </xf>
    <xf numFmtId="18" fontId="0" fillId="0" borderId="0" xfId="0" applyNumberFormat="1" applyAlignment="1">
      <alignment horizontal="center"/>
    </xf>
    <xf numFmtId="18" fontId="0" fillId="0" borderId="1" xfId="0" applyNumberFormat="1" applyBorder="1" applyAlignment="1">
      <alignment horizontal="center" vertical="top"/>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0" borderId="1" xfId="0" applyFont="1" applyBorder="1" applyAlignment="1">
      <alignment horizontal="center" wrapText="1"/>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0" fillId="0" borderId="0" xfId="0" applyFill="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202045</xdr:colOff>
      <xdr:row>2</xdr:row>
      <xdr:rowOff>192423</xdr:rowOff>
    </xdr:from>
    <xdr:to>
      <xdr:col>18</xdr:col>
      <xdr:colOff>329247</xdr:colOff>
      <xdr:row>31</xdr:row>
      <xdr:rowOff>163560</xdr:rowOff>
    </xdr:to>
    <xdr:pic>
      <xdr:nvPicPr>
        <xdr:cNvPr id="2" name="Imagen 1">
          <a:extLst>
            <a:ext uri="{FF2B5EF4-FFF2-40B4-BE49-F238E27FC236}">
              <a16:creationId xmlns:a16="http://schemas.microsoft.com/office/drawing/2014/main" id="{ABE419C4-ED6D-F2DD-03E4-99972CEE0E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045" y="577271"/>
          <a:ext cx="14799550" cy="5551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zoomScale="99" workbookViewId="0"/>
  </sheetViews>
  <sheetFormatPr baseColWidth="10" defaultRowHeight="15" x14ac:dyDescent="0.25"/>
  <cols>
    <col min="1" max="1" width="26.28515625" bestFit="1" customWidth="1"/>
  </cols>
  <sheetData>
    <row r="1" spans="1:30" x14ac:dyDescent="0.25">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25">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25">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25">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25">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25">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25">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5"/>
  <sheetViews>
    <sheetView workbookViewId="0">
      <selection activeCell="K10" sqref="K10"/>
    </sheetView>
  </sheetViews>
  <sheetFormatPr baseColWidth="10" defaultRowHeight="15" x14ac:dyDescent="0.25"/>
  <cols>
    <col min="1" max="1" width="27" bestFit="1" customWidth="1"/>
    <col min="2" max="2" width="63.7109375" customWidth="1"/>
    <col min="3" max="3" width="14.42578125" customWidth="1"/>
    <col min="4" max="4" width="7.7109375" customWidth="1"/>
  </cols>
  <sheetData>
    <row r="1" spans="1:4" x14ac:dyDescent="0.25">
      <c r="A1" s="5" t="s">
        <v>32</v>
      </c>
    </row>
    <row r="2" spans="1:4" x14ac:dyDescent="0.25">
      <c r="A2" s="6" t="s">
        <v>0</v>
      </c>
      <c r="B2" s="6" t="s">
        <v>1</v>
      </c>
      <c r="C2" s="6" t="s">
        <v>2</v>
      </c>
      <c r="D2" s="6" t="s">
        <v>3</v>
      </c>
    </row>
    <row r="3" spans="1:4" ht="45" x14ac:dyDescent="0.25">
      <c r="A3" s="7" t="s">
        <v>4</v>
      </c>
      <c r="B3" s="8" t="s">
        <v>15</v>
      </c>
      <c r="C3" s="7">
        <v>1</v>
      </c>
      <c r="D3" s="9" t="s">
        <v>34</v>
      </c>
    </row>
    <row r="4" spans="1:4" ht="75" x14ac:dyDescent="0.25">
      <c r="A4" s="7" t="s">
        <v>11</v>
      </c>
      <c r="B4" s="8" t="s">
        <v>161</v>
      </c>
      <c r="C4" s="7">
        <v>1</v>
      </c>
      <c r="D4" s="9" t="s">
        <v>34</v>
      </c>
    </row>
    <row r="5" spans="1:4" ht="60" x14ac:dyDescent="0.25">
      <c r="A5" s="7" t="s">
        <v>5</v>
      </c>
      <c r="B5" s="8" t="s">
        <v>162</v>
      </c>
      <c r="C5" s="7">
        <v>2</v>
      </c>
      <c r="D5" s="9" t="s">
        <v>34</v>
      </c>
    </row>
    <row r="6" spans="1:4" ht="45" x14ac:dyDescent="0.25">
      <c r="A6" s="7" t="s">
        <v>76</v>
      </c>
      <c r="B6" s="8" t="s">
        <v>163</v>
      </c>
      <c r="C6" s="7">
        <v>2</v>
      </c>
      <c r="D6" s="9" t="s">
        <v>34</v>
      </c>
    </row>
    <row r="7" spans="1:4" ht="60" x14ac:dyDescent="0.25">
      <c r="A7" s="7" t="s">
        <v>6</v>
      </c>
      <c r="B7" s="8" t="s">
        <v>164</v>
      </c>
      <c r="C7" s="7">
        <v>2</v>
      </c>
      <c r="D7" s="9" t="s">
        <v>34</v>
      </c>
    </row>
    <row r="8" spans="1:4" ht="45" x14ac:dyDescent="0.25">
      <c r="A8" s="7" t="s">
        <v>7</v>
      </c>
      <c r="B8" s="8" t="s">
        <v>16</v>
      </c>
      <c r="C8" s="7">
        <v>2</v>
      </c>
      <c r="D8" s="9" t="s">
        <v>34</v>
      </c>
    </row>
    <row r="9" spans="1:4" ht="75" x14ac:dyDescent="0.25">
      <c r="A9" s="7" t="s">
        <v>13</v>
      </c>
      <c r="B9" s="8" t="s">
        <v>165</v>
      </c>
      <c r="C9" s="7">
        <v>2</v>
      </c>
      <c r="D9" s="9" t="s">
        <v>34</v>
      </c>
    </row>
    <row r="10" spans="1:4" ht="30" x14ac:dyDescent="0.25">
      <c r="A10" s="7" t="s">
        <v>8</v>
      </c>
      <c r="B10" s="8" t="s">
        <v>17</v>
      </c>
      <c r="C10" s="7">
        <v>3</v>
      </c>
      <c r="D10" s="9" t="s">
        <v>34</v>
      </c>
    </row>
    <row r="11" spans="1:4" ht="45" x14ac:dyDescent="0.25">
      <c r="A11" s="7" t="s">
        <v>9</v>
      </c>
      <c r="B11" s="8" t="s">
        <v>166</v>
      </c>
      <c r="C11" s="7">
        <v>3</v>
      </c>
      <c r="D11" s="9" t="s">
        <v>34</v>
      </c>
    </row>
    <row r="12" spans="1:4" ht="30" x14ac:dyDescent="0.25">
      <c r="A12" s="7" t="s">
        <v>77</v>
      </c>
      <c r="B12" s="8" t="s">
        <v>167</v>
      </c>
      <c r="C12" s="7">
        <v>4</v>
      </c>
      <c r="D12" s="9" t="s">
        <v>34</v>
      </c>
    </row>
    <row r="13" spans="1:4" ht="90" x14ac:dyDescent="0.25">
      <c r="A13" s="7" t="s">
        <v>10</v>
      </c>
      <c r="B13" s="8" t="s">
        <v>168</v>
      </c>
      <c r="C13" s="7">
        <v>4</v>
      </c>
      <c r="D13" s="9" t="s">
        <v>34</v>
      </c>
    </row>
    <row r="14" spans="1:4" ht="45" x14ac:dyDescent="0.25">
      <c r="A14" s="7" t="s">
        <v>12</v>
      </c>
      <c r="B14" s="8" t="s">
        <v>18</v>
      </c>
      <c r="C14" s="7">
        <v>5</v>
      </c>
      <c r="D14" s="9" t="s">
        <v>34</v>
      </c>
    </row>
    <row r="15" spans="1:4" ht="60" x14ac:dyDescent="0.25">
      <c r="A15" s="7" t="s">
        <v>14</v>
      </c>
      <c r="B15" s="8" t="s">
        <v>19</v>
      </c>
      <c r="C15" s="7">
        <v>5</v>
      </c>
      <c r="D15"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3" location="Cita_D!A1" display="aquí" xr:uid="{3BDFED20-FFB7-4345-9356-B30AC1240BDC}"/>
    <hyperlink ref="D14" location="Multa_D!A1" display="aquí" xr:uid="{5D100657-ADBE-4AA9-A971-9C9D942C9DAD}"/>
    <hyperlink ref="D15"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2" location="HorarioBarbero_D!A1" display="aquí" xr:uid="{3B048927-BA4F-418A-BCDC-3E65406B8F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0" zoomScaleNormal="160" workbookViewId="0">
      <selection activeCell="D7" sqref="D7"/>
    </sheetView>
  </sheetViews>
  <sheetFormatPr baseColWidth="10" defaultRowHeight="15" x14ac:dyDescent="0.25"/>
  <cols>
    <col min="1" max="1" width="33.85546875" customWidth="1"/>
    <col min="2" max="2" width="34.7109375" customWidth="1"/>
    <col min="3" max="3" width="21" customWidth="1"/>
  </cols>
  <sheetData>
    <row r="1" spans="1:3" x14ac:dyDescent="0.25">
      <c r="A1" s="5" t="s">
        <v>32</v>
      </c>
      <c r="B1" s="5" t="s">
        <v>33</v>
      </c>
    </row>
    <row r="2" spans="1:3" ht="30.75" customHeight="1" x14ac:dyDescent="0.25">
      <c r="A2" s="19" t="s">
        <v>20</v>
      </c>
      <c r="B2" s="19" t="s">
        <v>169</v>
      </c>
    </row>
    <row r="3" spans="1:3" x14ac:dyDescent="0.25">
      <c r="A3" s="14" t="s">
        <v>31</v>
      </c>
      <c r="B3" s="13" t="s">
        <v>21</v>
      </c>
      <c r="C3" s="38"/>
    </row>
    <row r="4" spans="1:3" x14ac:dyDescent="0.25">
      <c r="A4" s="12">
        <v>1</v>
      </c>
      <c r="B4" s="39" t="s">
        <v>69</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topLeftCell="B1" zoomScale="145" zoomScaleNormal="145" workbookViewId="0">
      <selection activeCell="G13" sqref="G13"/>
    </sheetView>
  </sheetViews>
  <sheetFormatPr baseColWidth="10" defaultRowHeight="15" x14ac:dyDescent="0.25"/>
  <cols>
    <col min="1" max="1" width="26.85546875" style="10" customWidth="1"/>
    <col min="2" max="6" width="26.28515625" style="10" customWidth="1"/>
    <col min="7" max="7" width="23.140625" style="10" customWidth="1"/>
    <col min="8" max="8" width="38.5703125" style="10" bestFit="1" customWidth="1"/>
  </cols>
  <sheetData>
    <row r="1" spans="1:8" x14ac:dyDescent="0.25">
      <c r="A1" s="11" t="s">
        <v>32</v>
      </c>
      <c r="B1" s="11" t="s">
        <v>33</v>
      </c>
      <c r="C1" s="11"/>
      <c r="D1" s="11"/>
      <c r="E1" s="11"/>
      <c r="F1" s="11"/>
      <c r="G1" s="12"/>
      <c r="H1" s="12"/>
    </row>
    <row r="2" spans="1:8" ht="55.5" x14ac:dyDescent="0.25">
      <c r="A2" s="18" t="s">
        <v>20</v>
      </c>
      <c r="B2" s="18" t="s">
        <v>170</v>
      </c>
      <c r="C2" s="18" t="s">
        <v>171</v>
      </c>
      <c r="D2" s="18" t="s">
        <v>172</v>
      </c>
      <c r="E2" s="18" t="s">
        <v>173</v>
      </c>
      <c r="F2" s="18" t="s">
        <v>175</v>
      </c>
      <c r="G2" s="19" t="s">
        <v>176</v>
      </c>
      <c r="H2" s="20" t="s">
        <v>147</v>
      </c>
    </row>
    <row r="3" spans="1:8" x14ac:dyDescent="0.25">
      <c r="A3" s="14" t="s">
        <v>31</v>
      </c>
      <c r="B3" s="13" t="s">
        <v>109</v>
      </c>
      <c r="C3" s="13" t="s">
        <v>111</v>
      </c>
      <c r="D3" s="13" t="s">
        <v>110</v>
      </c>
      <c r="E3" s="13" t="s">
        <v>112</v>
      </c>
      <c r="F3" s="13" t="s">
        <v>174</v>
      </c>
      <c r="G3" s="13" t="s">
        <v>22</v>
      </c>
      <c r="H3" s="15" t="s">
        <v>72</v>
      </c>
    </row>
    <row r="4" spans="1:8" x14ac:dyDescent="0.25">
      <c r="A4" s="12">
        <v>1</v>
      </c>
      <c r="B4" s="12" t="s">
        <v>126</v>
      </c>
      <c r="C4" s="12"/>
      <c r="D4" s="12" t="s">
        <v>119</v>
      </c>
      <c r="E4" s="12"/>
      <c r="F4" s="51" t="s">
        <v>138</v>
      </c>
      <c r="G4" s="12">
        <v>3234528921</v>
      </c>
      <c r="H4" s="12" t="str">
        <f>_xlfn.CONCAT(B4,"-",C4,"-",D4,"-",E4,"-",F4,"-",G4)</f>
        <v>Juan--Gómez--+57-3234528921</v>
      </c>
    </row>
    <row r="5" spans="1:8" x14ac:dyDescent="0.25">
      <c r="A5" s="12">
        <v>2</v>
      </c>
      <c r="B5" s="12" t="s">
        <v>124</v>
      </c>
      <c r="C5" s="12" t="s">
        <v>125</v>
      </c>
      <c r="D5" s="12" t="s">
        <v>121</v>
      </c>
      <c r="E5" s="12" t="s">
        <v>120</v>
      </c>
      <c r="F5" s="51" t="s">
        <v>138</v>
      </c>
      <c r="G5" s="12">
        <v>3161657782</v>
      </c>
      <c r="H5" s="12" t="str">
        <f t="shared" ref="H5:H7" si="0">_xlfn.CONCAT(B5,"-",C5,"-",D5,"-",E5,"-",F5,"-",G5)</f>
        <v>Jose-Miguel-Ramirez-Perez-+57-3161657782</v>
      </c>
    </row>
    <row r="6" spans="1:8" x14ac:dyDescent="0.25">
      <c r="A6" s="12">
        <v>3</v>
      </c>
      <c r="B6" s="12" t="s">
        <v>127</v>
      </c>
      <c r="C6" s="12"/>
      <c r="D6" s="12" t="s">
        <v>123</v>
      </c>
      <c r="E6" s="12" t="s">
        <v>121</v>
      </c>
      <c r="F6" s="51" t="s">
        <v>138</v>
      </c>
      <c r="G6" s="12">
        <v>3119884321</v>
      </c>
      <c r="H6" s="12" t="str">
        <f t="shared" si="0"/>
        <v>Simon--Ochoa-Ramirez-+57-3119884321</v>
      </c>
    </row>
    <row r="7" spans="1:8" x14ac:dyDescent="0.25">
      <c r="A7" s="12">
        <v>4</v>
      </c>
      <c r="B7" s="12" t="s">
        <v>128</v>
      </c>
      <c r="C7" s="12"/>
      <c r="D7" s="12" t="s">
        <v>122</v>
      </c>
      <c r="E7" s="12"/>
      <c r="F7" s="51" t="s">
        <v>139</v>
      </c>
      <c r="G7" s="12">
        <v>4127359182</v>
      </c>
      <c r="H7" s="12" t="str">
        <f t="shared" si="0"/>
        <v>Alexis--Gallego--+58-4127359182</v>
      </c>
    </row>
    <row r="11" spans="1:8" x14ac:dyDescent="0.25">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F3" sqref="F3"/>
    </sheetView>
  </sheetViews>
  <sheetFormatPr baseColWidth="10" defaultRowHeight="15" x14ac:dyDescent="0.25"/>
  <cols>
    <col min="1" max="1" width="26.85546875" customWidth="1"/>
    <col min="2" max="2" width="32.5703125" customWidth="1"/>
    <col min="3" max="3" width="28" customWidth="1"/>
    <col min="4" max="4" width="26.7109375" customWidth="1"/>
    <col min="5" max="5" width="16.28515625" bestFit="1" customWidth="1"/>
    <col min="6" max="6" width="18.42578125" bestFit="1" customWidth="1"/>
  </cols>
  <sheetData>
    <row r="1" spans="1:6" x14ac:dyDescent="0.25">
      <c r="A1" s="5" t="s">
        <v>32</v>
      </c>
      <c r="B1" s="5" t="s">
        <v>33</v>
      </c>
    </row>
    <row r="2" spans="1:6" ht="57" customHeight="1" x14ac:dyDescent="0.25">
      <c r="A2" s="18" t="s">
        <v>20</v>
      </c>
      <c r="B2" s="19" t="s">
        <v>177</v>
      </c>
      <c r="C2" s="19" t="s">
        <v>178</v>
      </c>
      <c r="D2" s="19" t="s">
        <v>179</v>
      </c>
      <c r="E2" s="19" t="s">
        <v>71</v>
      </c>
    </row>
    <row r="3" spans="1:6" x14ac:dyDescent="0.25">
      <c r="A3" s="14" t="s">
        <v>31</v>
      </c>
      <c r="B3" s="13" t="s">
        <v>35</v>
      </c>
      <c r="C3" s="13" t="s">
        <v>23</v>
      </c>
      <c r="D3" s="13" t="s">
        <v>70</v>
      </c>
      <c r="E3" s="33" t="s">
        <v>36</v>
      </c>
      <c r="F3" s="3"/>
    </row>
    <row r="4" spans="1:6" x14ac:dyDescent="0.25">
      <c r="A4" s="12">
        <v>1</v>
      </c>
      <c r="B4" s="12">
        <v>10</v>
      </c>
      <c r="C4" s="44">
        <v>10000</v>
      </c>
      <c r="D4" s="12">
        <v>3</v>
      </c>
      <c r="E4" s="53" t="str">
        <f>Barberia_D!B4</f>
        <v>Barbería Oriental</v>
      </c>
      <c r="F4" t="str">
        <f>_xlfn.CONCAT(D9)</f>
        <v/>
      </c>
    </row>
    <row r="5" spans="1:6" x14ac:dyDescent="0.25">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1"/>
  <sheetViews>
    <sheetView zoomScale="145" zoomScaleNormal="145" workbookViewId="0">
      <selection activeCell="E17" sqref="E17"/>
    </sheetView>
  </sheetViews>
  <sheetFormatPr baseColWidth="10" defaultRowHeight="15" x14ac:dyDescent="0.25"/>
  <cols>
    <col min="1" max="1" width="27" bestFit="1" customWidth="1"/>
    <col min="2" max="2" width="26" bestFit="1" customWidth="1"/>
    <col min="3" max="3" width="21.28515625" bestFit="1" customWidth="1"/>
    <col min="4" max="4" width="19.28515625" customWidth="1"/>
    <col min="5" max="5" width="20.28515625" bestFit="1" customWidth="1"/>
    <col min="6" max="6" width="34.85546875" customWidth="1"/>
  </cols>
  <sheetData>
    <row r="1" spans="1:6" x14ac:dyDescent="0.25">
      <c r="A1" s="5" t="s">
        <v>32</v>
      </c>
      <c r="B1" s="5" t="s">
        <v>33</v>
      </c>
    </row>
    <row r="2" spans="1:6" ht="37.5" customHeight="1" x14ac:dyDescent="0.25">
      <c r="A2" s="19" t="s">
        <v>20</v>
      </c>
      <c r="B2" s="19" t="s">
        <v>78</v>
      </c>
      <c r="C2" s="19" t="s">
        <v>129</v>
      </c>
      <c r="D2" s="19" t="s">
        <v>181</v>
      </c>
      <c r="E2" s="19" t="s">
        <v>182</v>
      </c>
      <c r="F2" s="19" t="s">
        <v>130</v>
      </c>
    </row>
    <row r="3" spans="1:6" x14ac:dyDescent="0.25">
      <c r="A3" s="14" t="s">
        <v>31</v>
      </c>
      <c r="B3" s="33" t="s">
        <v>36</v>
      </c>
      <c r="C3" s="40" t="s">
        <v>79</v>
      </c>
      <c r="D3" s="46" t="s">
        <v>80</v>
      </c>
      <c r="E3" s="13" t="s">
        <v>81</v>
      </c>
      <c r="F3" s="37" t="s">
        <v>72</v>
      </c>
    </row>
    <row r="4" spans="1:6" x14ac:dyDescent="0.25">
      <c r="A4" s="12">
        <v>1</v>
      </c>
      <c r="B4" s="53" t="str">
        <f>Barberia_D!B4</f>
        <v>Barbería Oriental</v>
      </c>
      <c r="C4" s="39" t="s">
        <v>82</v>
      </c>
      <c r="D4" s="39">
        <v>0.375</v>
      </c>
      <c r="E4" s="39">
        <v>0.79166666666666663</v>
      </c>
      <c r="F4" s="12" t="str">
        <f>_xlfn.CONCAT(B4,"-",C4,"-",TEXT(D4,"hh:mm"),"-",TEXT(E4,"hh:mm"))</f>
        <v>Barbería Oriental-Lunes-09:00-19:00</v>
      </c>
    </row>
    <row r="5" spans="1:6" x14ac:dyDescent="0.25">
      <c r="A5" s="12">
        <v>2</v>
      </c>
      <c r="B5" s="53" t="str">
        <f>Barberia_D!B4</f>
        <v>Barbería Oriental</v>
      </c>
      <c r="C5" s="12" t="s">
        <v>83</v>
      </c>
      <c r="D5" s="39">
        <v>0.375</v>
      </c>
      <c r="E5" s="39">
        <v>0.79166666666666663</v>
      </c>
      <c r="F5" s="12" t="str">
        <f t="shared" ref="F5:F9" si="0">_xlfn.CONCAT(B5,"-",C5,"-",TEXT(D5,"hh:mm"),"-",TEXT(E5,"hh:mm"))</f>
        <v>Barbería Oriental-Martes-09:00-19:00</v>
      </c>
    </row>
    <row r="6" spans="1:6" x14ac:dyDescent="0.25">
      <c r="A6" s="12">
        <v>3</v>
      </c>
      <c r="B6" s="53" t="str">
        <f>Barberia_D!B4</f>
        <v>Barbería Oriental</v>
      </c>
      <c r="C6" s="39" t="s">
        <v>84</v>
      </c>
      <c r="D6" s="39">
        <v>0.375</v>
      </c>
      <c r="E6" s="39">
        <v>0.79166666666666696</v>
      </c>
      <c r="F6" s="12" t="str">
        <f t="shared" si="0"/>
        <v>Barbería Oriental-Miércoles-09:00-19:00</v>
      </c>
    </row>
    <row r="7" spans="1:6" x14ac:dyDescent="0.25">
      <c r="A7" s="12">
        <v>4</v>
      </c>
      <c r="B7" s="53" t="str">
        <f>Barberia_D!B4</f>
        <v>Barbería Oriental</v>
      </c>
      <c r="C7" s="12" t="s">
        <v>85</v>
      </c>
      <c r="D7" s="39">
        <v>0.375</v>
      </c>
      <c r="E7" s="39">
        <v>0.79166666666666696</v>
      </c>
      <c r="F7" s="12" t="str">
        <f t="shared" si="0"/>
        <v>Barbería Oriental-Jueves-09:00-19:00</v>
      </c>
    </row>
    <row r="8" spans="1:6" x14ac:dyDescent="0.25">
      <c r="A8" s="12">
        <v>5</v>
      </c>
      <c r="B8" s="53" t="str">
        <f>Barberia_D!B4</f>
        <v>Barbería Oriental</v>
      </c>
      <c r="C8" s="39" t="s">
        <v>86</v>
      </c>
      <c r="D8" s="39">
        <v>0.375</v>
      </c>
      <c r="E8" s="39">
        <v>0.79166666666666696</v>
      </c>
      <c r="F8" s="12" t="str">
        <f t="shared" si="0"/>
        <v>Barbería Oriental-Viernes-09:00-19:00</v>
      </c>
    </row>
    <row r="9" spans="1:6" x14ac:dyDescent="0.25">
      <c r="A9" s="12">
        <v>6</v>
      </c>
      <c r="B9" s="53" t="str">
        <f>Barberia_D!B4</f>
        <v>Barbería Oriental</v>
      </c>
      <c r="C9" s="12" t="s">
        <v>87</v>
      </c>
      <c r="D9" s="42">
        <v>0.33333333333333331</v>
      </c>
      <c r="E9" s="39">
        <v>0.875</v>
      </c>
      <c r="F9" s="12" t="str">
        <f t="shared" si="0"/>
        <v>Barbería Oriental-Sábado-08:00-21:00</v>
      </c>
    </row>
    <row r="10" spans="1:6" x14ac:dyDescent="0.25">
      <c r="A10" s="10"/>
      <c r="B10" s="41"/>
      <c r="C10" s="41"/>
    </row>
    <row r="11" spans="1:6" x14ac:dyDescent="0.25">
      <c r="C11" s="61" t="s">
        <v>180</v>
      </c>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zoomScale="130" zoomScaleNormal="130" workbookViewId="0">
      <selection activeCell="B9" sqref="B9"/>
    </sheetView>
  </sheetViews>
  <sheetFormatPr baseColWidth="10" defaultRowHeight="15" x14ac:dyDescent="0.25"/>
  <cols>
    <col min="1" max="2" width="28.140625" customWidth="1"/>
    <col min="3" max="3" width="26.5703125" customWidth="1"/>
    <col min="4" max="4" width="24.42578125" customWidth="1"/>
    <col min="5" max="5" width="25.28515625" customWidth="1"/>
    <col min="6" max="6" width="26.5703125" customWidth="1"/>
  </cols>
  <sheetData>
    <row r="1" spans="1:6" x14ac:dyDescent="0.25">
      <c r="A1" s="16" t="s">
        <v>32</v>
      </c>
      <c r="B1" s="16" t="s">
        <v>33</v>
      </c>
      <c r="D1" s="17"/>
      <c r="E1" s="17"/>
      <c r="F1" s="10"/>
    </row>
    <row r="2" spans="1:6" ht="45.75" customHeight="1" x14ac:dyDescent="0.25">
      <c r="A2" s="18" t="s">
        <v>20</v>
      </c>
      <c r="B2" s="18" t="s">
        <v>149</v>
      </c>
      <c r="C2" s="18" t="s">
        <v>183</v>
      </c>
      <c r="D2" s="32" t="s">
        <v>184</v>
      </c>
      <c r="E2" s="32" t="s">
        <v>185</v>
      </c>
      <c r="F2" s="19" t="s">
        <v>45</v>
      </c>
    </row>
    <row r="3" spans="1:6" x14ac:dyDescent="0.25">
      <c r="A3" s="21" t="s">
        <v>31</v>
      </c>
      <c r="B3" s="58" t="s">
        <v>36</v>
      </c>
      <c r="C3" s="22" t="s">
        <v>21</v>
      </c>
      <c r="D3" s="22" t="s">
        <v>37</v>
      </c>
      <c r="E3" s="22" t="s">
        <v>24</v>
      </c>
      <c r="F3" s="15" t="s">
        <v>73</v>
      </c>
    </row>
    <row r="4" spans="1:6" x14ac:dyDescent="0.25">
      <c r="A4" s="23">
        <v>1</v>
      </c>
      <c r="B4" s="59" t="str">
        <f>Barberia_D!B4</f>
        <v>Barbería Oriental</v>
      </c>
      <c r="C4" s="23" t="s">
        <v>38</v>
      </c>
      <c r="D4" s="23">
        <v>45</v>
      </c>
      <c r="E4" s="24">
        <v>22000</v>
      </c>
      <c r="F4" s="12" t="str">
        <f>C4</f>
        <v>Motilada</v>
      </c>
    </row>
    <row r="5" spans="1:6" x14ac:dyDescent="0.25">
      <c r="A5" s="23">
        <v>2</v>
      </c>
      <c r="B5" s="59" t="str">
        <f>Barberia_D!B4</f>
        <v>Barbería Oriental</v>
      </c>
      <c r="C5" s="23" t="s">
        <v>46</v>
      </c>
      <c r="D5" s="23">
        <v>10</v>
      </c>
      <c r="E5" s="24">
        <v>12000</v>
      </c>
      <c r="F5" s="12" t="str">
        <f t="shared" ref="F5:F7" si="0">C5</f>
        <v>Corte de barba</v>
      </c>
    </row>
    <row r="6" spans="1:6" x14ac:dyDescent="0.25">
      <c r="A6" s="23">
        <v>3</v>
      </c>
      <c r="B6" s="59" t="str">
        <f>Barberia_D!B4</f>
        <v>Barbería Oriental</v>
      </c>
      <c r="C6" s="23" t="s">
        <v>47</v>
      </c>
      <c r="D6" s="23">
        <v>15</v>
      </c>
      <c r="E6" s="24">
        <v>15000</v>
      </c>
      <c r="F6" s="12" t="str">
        <f t="shared" si="0"/>
        <v>Perfilada de barba</v>
      </c>
    </row>
    <row r="7" spans="1:6" ht="30" x14ac:dyDescent="0.25">
      <c r="A7" s="23">
        <v>4</v>
      </c>
      <c r="B7" s="59" t="str">
        <f>Barberia_D!B4</f>
        <v>Barbería Oriental</v>
      </c>
      <c r="C7" s="25" t="s">
        <v>48</v>
      </c>
      <c r="D7" s="23">
        <v>30</v>
      </c>
      <c r="E7" s="24">
        <v>35000</v>
      </c>
      <c r="F7" s="26" t="str">
        <f t="shared" si="0"/>
        <v>Arreglo completo de barba con toalla caliente</v>
      </c>
    </row>
    <row r="8" spans="1:6" x14ac:dyDescent="0.25">
      <c r="A8" s="17"/>
      <c r="B8" s="17"/>
      <c r="C8" s="17"/>
      <c r="D8" s="17"/>
      <c r="E8" s="17"/>
    </row>
    <row r="9" spans="1:6" x14ac:dyDescent="0.25">
      <c r="A9" s="17"/>
      <c r="B9" s="17"/>
      <c r="C9" s="17"/>
      <c r="D9" s="17"/>
      <c r="E9" s="17"/>
    </row>
    <row r="10" spans="1:6" x14ac:dyDescent="0.25">
      <c r="A10" s="17"/>
      <c r="B10" s="17"/>
      <c r="C10" s="17"/>
      <c r="D10" s="17"/>
      <c r="E10" s="17"/>
    </row>
    <row r="11" spans="1:6" x14ac:dyDescent="0.25">
      <c r="A11" s="17"/>
      <c r="B11" s="17"/>
      <c r="C11" s="17"/>
      <c r="D11" s="17"/>
      <c r="E11" s="17"/>
    </row>
    <row r="12" spans="1:6" x14ac:dyDescent="0.25">
      <c r="A12" s="17"/>
      <c r="B12" s="17"/>
      <c r="C12" s="17"/>
      <c r="D12" s="17"/>
      <c r="E12" s="17"/>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4"/>
  <sheetViews>
    <sheetView tabSelected="1" topLeftCell="D1" zoomScale="130" zoomScaleNormal="130" workbookViewId="0">
      <selection activeCell="I3" sqref="I3"/>
    </sheetView>
  </sheetViews>
  <sheetFormatPr baseColWidth="10" defaultRowHeight="15" x14ac:dyDescent="0.25"/>
  <cols>
    <col min="1" max="1" width="27" bestFit="1" customWidth="1"/>
    <col min="2" max="6" width="26.7109375" customWidth="1"/>
    <col min="7" max="7" width="16.28515625" customWidth="1"/>
    <col min="8" max="9" width="40.7109375" customWidth="1"/>
    <col min="10" max="10" width="30.28515625" customWidth="1"/>
    <col min="11" max="11" width="21" customWidth="1"/>
    <col min="12" max="12" width="53.140625" bestFit="1" customWidth="1"/>
  </cols>
  <sheetData>
    <row r="1" spans="1:12" x14ac:dyDescent="0.25">
      <c r="A1" s="5" t="s">
        <v>32</v>
      </c>
      <c r="B1" s="5" t="s">
        <v>33</v>
      </c>
      <c r="C1" s="5"/>
      <c r="D1" s="5"/>
      <c r="E1" s="5"/>
      <c r="F1" s="5"/>
    </row>
    <row r="2" spans="1:12" ht="45.6" customHeight="1" x14ac:dyDescent="0.25">
      <c r="A2" s="27" t="s">
        <v>20</v>
      </c>
      <c r="B2" s="27" t="s">
        <v>186</v>
      </c>
      <c r="C2" s="27" t="s">
        <v>187</v>
      </c>
      <c r="D2" s="27" t="s">
        <v>188</v>
      </c>
      <c r="E2" s="27" t="s">
        <v>189</v>
      </c>
      <c r="F2" s="27" t="s">
        <v>191</v>
      </c>
      <c r="G2" s="28" t="s">
        <v>49</v>
      </c>
      <c r="H2" s="28" t="s">
        <v>192</v>
      </c>
      <c r="I2" s="28" t="s">
        <v>193</v>
      </c>
      <c r="J2" s="28" t="s">
        <v>141</v>
      </c>
      <c r="K2" s="28" t="s">
        <v>150</v>
      </c>
      <c r="L2" s="29" t="s">
        <v>160</v>
      </c>
    </row>
    <row r="3" spans="1:12" x14ac:dyDescent="0.25">
      <c r="A3" s="14" t="s">
        <v>31</v>
      </c>
      <c r="B3" s="13" t="s">
        <v>109</v>
      </c>
      <c r="C3" s="13" t="s">
        <v>111</v>
      </c>
      <c r="D3" s="13" t="s">
        <v>110</v>
      </c>
      <c r="E3" s="13" t="s">
        <v>112</v>
      </c>
      <c r="F3" s="13" t="s">
        <v>137</v>
      </c>
      <c r="G3" s="13" t="s">
        <v>22</v>
      </c>
      <c r="H3" s="13" t="s">
        <v>42</v>
      </c>
      <c r="I3" s="13" t="s">
        <v>133</v>
      </c>
      <c r="J3" s="47" t="s">
        <v>43</v>
      </c>
      <c r="K3" s="33" t="s">
        <v>36</v>
      </c>
      <c r="L3" s="30" t="s">
        <v>74</v>
      </c>
    </row>
    <row r="4" spans="1:12" x14ac:dyDescent="0.25">
      <c r="A4" s="12">
        <v>1</v>
      </c>
      <c r="B4" s="12" t="s">
        <v>126</v>
      </c>
      <c r="C4" s="12" t="s">
        <v>113</v>
      </c>
      <c r="D4" s="12" t="s">
        <v>156</v>
      </c>
      <c r="E4" s="12" t="s">
        <v>115</v>
      </c>
      <c r="F4" s="51" t="s">
        <v>138</v>
      </c>
      <c r="G4" s="12">
        <v>3245627890</v>
      </c>
      <c r="H4" s="11" t="s">
        <v>54</v>
      </c>
      <c r="I4" s="49">
        <v>1264267821</v>
      </c>
      <c r="J4" s="12" t="s">
        <v>50</v>
      </c>
      <c r="K4" s="53" t="str">
        <f>Barberia_D!B4</f>
        <v>Barbería Oriental</v>
      </c>
      <c r="L4" s="12" t="str">
        <f>_xlfn.CONCAT(B4,"-",C4,"-",D4,"-",E4,"-",F4,"-",G4)</f>
        <v>Juan-Fernando-García-Lopez-+57-3245627890</v>
      </c>
    </row>
    <row r="5" spans="1:12" x14ac:dyDescent="0.25">
      <c r="A5" s="12">
        <v>2</v>
      </c>
      <c r="B5" s="12" t="s">
        <v>126</v>
      </c>
      <c r="C5" s="12" t="s">
        <v>114</v>
      </c>
      <c r="D5" s="12" t="s">
        <v>155</v>
      </c>
      <c r="E5" s="12" t="s">
        <v>116</v>
      </c>
      <c r="F5" s="51" t="s">
        <v>138</v>
      </c>
      <c r="G5" s="12">
        <v>3124518923</v>
      </c>
      <c r="H5" s="11" t="s">
        <v>55</v>
      </c>
      <c r="I5" s="49" t="s">
        <v>135</v>
      </c>
      <c r="J5" s="12" t="s">
        <v>50</v>
      </c>
      <c r="K5" s="53" t="str">
        <f>Barberia_D!B4</f>
        <v>Barbería Oriental</v>
      </c>
      <c r="L5" s="12" t="str">
        <f t="shared" ref="L5:L8" si="0">_xlfn.CONCAT(B5,"-",C5,"-",D5,"-",E5,"-",F5,"-",G5)</f>
        <v>Juan-David-Ortiz-Sanchez-+57-3124518923</v>
      </c>
    </row>
    <row r="6" spans="1:12" x14ac:dyDescent="0.25">
      <c r="A6" s="12">
        <v>3</v>
      </c>
      <c r="B6" s="12" t="s">
        <v>52</v>
      </c>
      <c r="C6" s="12"/>
      <c r="D6" s="12" t="s">
        <v>118</v>
      </c>
      <c r="E6" s="12"/>
      <c r="F6" s="51" t="s">
        <v>138</v>
      </c>
      <c r="G6" s="12">
        <v>3214533321</v>
      </c>
      <c r="H6" s="11" t="s">
        <v>56</v>
      </c>
      <c r="I6" s="50" t="s">
        <v>134</v>
      </c>
      <c r="J6" s="12" t="s">
        <v>50</v>
      </c>
      <c r="K6" s="53" t="str">
        <f>Barberia_D!B4</f>
        <v>Barbería Oriental</v>
      </c>
      <c r="L6" s="12" t="str">
        <f t="shared" si="0"/>
        <v>Carlos--Arbeladez--+57-3214533321</v>
      </c>
    </row>
    <row r="7" spans="1:12" x14ac:dyDescent="0.25">
      <c r="A7" s="12">
        <v>4</v>
      </c>
      <c r="B7" s="12" t="s">
        <v>53</v>
      </c>
      <c r="C7" s="12"/>
      <c r="D7" s="12" t="s">
        <v>121</v>
      </c>
      <c r="E7" s="12" t="s">
        <v>117</v>
      </c>
      <c r="F7" s="51" t="s">
        <v>140</v>
      </c>
      <c r="G7" s="12">
        <v>9876543210</v>
      </c>
      <c r="H7" s="11" t="s">
        <v>57</v>
      </c>
      <c r="I7" s="49" t="s">
        <v>136</v>
      </c>
      <c r="J7" s="12" t="s">
        <v>50</v>
      </c>
      <c r="K7" s="53" t="str">
        <f>Barberia_D!B4</f>
        <v>Barbería Oriental</v>
      </c>
      <c r="L7" s="12" t="str">
        <f t="shared" si="0"/>
        <v>Andres--Ramirez-Patiño-+91-9876543210</v>
      </c>
    </row>
    <row r="8" spans="1:12" x14ac:dyDescent="0.25">
      <c r="A8" s="12">
        <v>5</v>
      </c>
      <c r="B8" s="12" t="s">
        <v>126</v>
      </c>
      <c r="C8" s="12" t="s">
        <v>52</v>
      </c>
      <c r="D8" s="12" t="s">
        <v>157</v>
      </c>
      <c r="E8" s="12" t="s">
        <v>120</v>
      </c>
      <c r="F8" s="51" t="s">
        <v>158</v>
      </c>
      <c r="G8" s="12">
        <v>998765432</v>
      </c>
      <c r="H8" s="11" t="s">
        <v>159</v>
      </c>
      <c r="I8" s="12">
        <v>312334342</v>
      </c>
      <c r="J8" s="12" t="s">
        <v>51</v>
      </c>
      <c r="K8" s="53" t="str">
        <f>Barberia_D!B4</f>
        <v>Barbería Oriental</v>
      </c>
      <c r="L8" s="12" t="str">
        <f t="shared" si="0"/>
        <v>Juan-Carlos-Zambrano-Perez-+593-998765432</v>
      </c>
    </row>
    <row r="10" spans="1:12" x14ac:dyDescent="0.25">
      <c r="B10" s="10"/>
      <c r="C10" s="10"/>
    </row>
    <row r="14" spans="1:12" x14ac:dyDescent="0.25">
      <c r="F14" t="s">
        <v>190</v>
      </c>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E11"/>
  <sheetViews>
    <sheetView zoomScale="130" zoomScaleNormal="130" workbookViewId="0">
      <selection activeCell="C10" sqref="C10"/>
    </sheetView>
  </sheetViews>
  <sheetFormatPr baseColWidth="10" defaultRowHeight="15" x14ac:dyDescent="0.25"/>
  <cols>
    <col min="1" max="1" width="27" customWidth="1"/>
    <col min="2" max="2" width="28.85546875" customWidth="1"/>
    <col min="3" max="3" width="41" customWidth="1"/>
    <col min="4" max="4" width="36.140625" customWidth="1"/>
    <col min="5" max="5" width="26.85546875" customWidth="1"/>
  </cols>
  <sheetData>
    <row r="1" spans="1:5" x14ac:dyDescent="0.25">
      <c r="A1" s="5" t="s">
        <v>32</v>
      </c>
      <c r="B1" s="5" t="s">
        <v>33</v>
      </c>
    </row>
    <row r="2" spans="1:5" ht="49.9" customHeight="1" x14ac:dyDescent="0.25">
      <c r="A2" s="18" t="s">
        <v>20</v>
      </c>
      <c r="B2" s="18" t="s">
        <v>59</v>
      </c>
      <c r="C2" s="32" t="s">
        <v>61</v>
      </c>
      <c r="D2" s="32" t="s">
        <v>132</v>
      </c>
      <c r="E2" s="32" t="s">
        <v>60</v>
      </c>
    </row>
    <row r="3" spans="1:5" x14ac:dyDescent="0.25">
      <c r="A3" s="14" t="s">
        <v>31</v>
      </c>
      <c r="B3" s="33" t="s">
        <v>62</v>
      </c>
      <c r="C3" s="13" t="s">
        <v>25</v>
      </c>
      <c r="D3" s="47" t="s">
        <v>58</v>
      </c>
      <c r="E3" s="30" t="s">
        <v>75</v>
      </c>
    </row>
    <row r="4" spans="1:5" x14ac:dyDescent="0.25">
      <c r="A4" s="12">
        <v>1</v>
      </c>
      <c r="B4" s="11">
        <f>Cliente_D!G4</f>
        <v>3234528921</v>
      </c>
      <c r="C4" s="34">
        <v>45255</v>
      </c>
      <c r="D4" s="12" t="s">
        <v>51</v>
      </c>
      <c r="E4" s="12" t="str">
        <f>_xlfn.CONCAT(B4,"-",TEXT(C4,"dd/mm/yyyy"))</f>
        <v>3234528921-25/11/2023</v>
      </c>
    </row>
    <row r="5" spans="1:5" x14ac:dyDescent="0.25">
      <c r="A5" s="12">
        <v>2</v>
      </c>
      <c r="B5" s="11">
        <f>Cliente_D!G5</f>
        <v>3161657782</v>
      </c>
      <c r="C5" s="34">
        <v>45372</v>
      </c>
      <c r="D5" s="12" t="s">
        <v>51</v>
      </c>
      <c r="E5" s="12" t="str">
        <f t="shared" ref="E5:E7" si="0">_xlfn.CONCAT(B5,"-",TEXT(C5,"dd/mm/yyyy"))</f>
        <v>3161657782-21/03/2024</v>
      </c>
    </row>
    <row r="6" spans="1:5" x14ac:dyDescent="0.25">
      <c r="A6" s="12">
        <v>3</v>
      </c>
      <c r="B6" s="11">
        <f>Cliente_D!G6</f>
        <v>3119884321</v>
      </c>
      <c r="C6" s="34">
        <v>45556</v>
      </c>
      <c r="D6" s="12" t="s">
        <v>50</v>
      </c>
      <c r="E6" s="12" t="str">
        <f t="shared" si="0"/>
        <v>3119884321-21/09/2024</v>
      </c>
    </row>
    <row r="7" spans="1:5" x14ac:dyDescent="0.25">
      <c r="A7" s="12">
        <v>4</v>
      </c>
      <c r="B7" s="11">
        <f>Cliente_D!G7</f>
        <v>4127359182</v>
      </c>
      <c r="C7" s="34">
        <v>46002</v>
      </c>
      <c r="D7" s="12" t="s">
        <v>50</v>
      </c>
      <c r="E7" s="12" t="str">
        <f t="shared" si="0"/>
        <v>4127359182-11/12/2025</v>
      </c>
    </row>
    <row r="8" spans="1:5" x14ac:dyDescent="0.25">
      <c r="C8" s="31"/>
      <c r="D8" s="31"/>
    </row>
    <row r="11" spans="1:5" x14ac:dyDescent="0.25">
      <c r="C11" s="48"/>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B3" location="Cliente_D!A1" display="cliente" xr:uid="{F7C47FD3-2FEB-4E40-8CE8-9FEC66E905E0}"/>
    <hyperlink ref="B4" location="Cliente_D!A4" display="Cliente_D!A4" xr:uid="{7F6CACFC-57C0-447E-811A-802403EBA0AC}"/>
    <hyperlink ref="B5" location="Cliente_D!A5" display="Cliente_D!A5" xr:uid="{EE87A799-0DAD-412E-8BF4-24089411596B}"/>
    <hyperlink ref="B6" location="Cliente_D!A6" display="Cliente_D!A6" xr:uid="{D95F6EBA-51E7-42CB-9EFD-6676C5924513}"/>
    <hyperlink ref="B7" location="Cliente_D!A7" display="Cliente_D!A7" xr:uid="{9BA1680E-A8A5-4CE9-866D-EC3B5A4F5B91}"/>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C11" sqref="C11"/>
    </sheetView>
  </sheetViews>
  <sheetFormatPr baseColWidth="10" defaultRowHeight="15" x14ac:dyDescent="0.25"/>
  <cols>
    <col min="1" max="1" width="29.140625" customWidth="1"/>
    <col min="2" max="2" width="30" customWidth="1"/>
    <col min="3" max="3" width="41.85546875" bestFit="1" customWidth="1"/>
    <col min="4" max="4" width="61.140625" bestFit="1" customWidth="1"/>
  </cols>
  <sheetData>
    <row r="1" spans="1:4" x14ac:dyDescent="0.25">
      <c r="A1" s="5" t="s">
        <v>32</v>
      </c>
      <c r="B1" s="5" t="s">
        <v>33</v>
      </c>
    </row>
    <row r="2" spans="1:4" ht="36.75" customHeight="1" x14ac:dyDescent="0.25">
      <c r="A2" s="18" t="s">
        <v>20</v>
      </c>
      <c r="B2" s="35" t="s">
        <v>64</v>
      </c>
      <c r="C2" s="32" t="s">
        <v>65</v>
      </c>
      <c r="D2" s="45" t="s">
        <v>108</v>
      </c>
    </row>
    <row r="3" spans="1:4" x14ac:dyDescent="0.25">
      <c r="A3" s="14" t="s">
        <v>31</v>
      </c>
      <c r="B3" s="33" t="s">
        <v>40</v>
      </c>
      <c r="C3" s="33" t="s">
        <v>41</v>
      </c>
      <c r="D3" s="37" t="s">
        <v>72</v>
      </c>
    </row>
    <row r="4" spans="1:4" x14ac:dyDescent="0.25">
      <c r="A4" s="12">
        <v>1</v>
      </c>
      <c r="B4" s="11" t="str">
        <f>_xlfn.CONCAT(Barbero_D!B4," ",Barbero_D!D4)</f>
        <v>Juan García</v>
      </c>
      <c r="C4" s="11" t="str">
        <f>Servicio_D!C4</f>
        <v>Motilada</v>
      </c>
      <c r="D4" s="12" t="str">
        <f>_xlfn.CONCAT(B4,"-",C4)</f>
        <v>Juan García-Motilada</v>
      </c>
    </row>
    <row r="5" spans="1:4" x14ac:dyDescent="0.25">
      <c r="A5" s="12">
        <v>2</v>
      </c>
      <c r="B5" s="11" t="str">
        <f>_xlfn.CONCAT(Barbero_D!B5," ",Barbero_D!D5)</f>
        <v>Juan Ortiz</v>
      </c>
      <c r="C5" s="11" t="str">
        <f>Servicio_D!C5</f>
        <v>Corte de barba</v>
      </c>
      <c r="D5" s="12" t="str">
        <f t="shared" ref="D5:D7" si="0">_xlfn.CONCAT(B5,"-",C5)</f>
        <v>Juan Ortiz-Corte de barba</v>
      </c>
    </row>
    <row r="6" spans="1:4" x14ac:dyDescent="0.25">
      <c r="A6" s="12">
        <v>3</v>
      </c>
      <c r="B6" s="11" t="str">
        <f>_xlfn.CONCAT(Barbero_D!B6," ",Barbero_D!D6)</f>
        <v>Carlos Arbeladez</v>
      </c>
      <c r="C6" s="11" t="str">
        <f>Servicio_D!C6</f>
        <v>Perfilada de barba</v>
      </c>
      <c r="D6" s="12" t="str">
        <f t="shared" si="0"/>
        <v>Carlos Arbeladez-Perfilada de barba</v>
      </c>
    </row>
    <row r="7" spans="1:4" x14ac:dyDescent="0.25">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7"/>
  <sheetViews>
    <sheetView zoomScale="130" zoomScaleNormal="130" workbookViewId="0">
      <selection activeCell="A6" sqref="A6"/>
    </sheetView>
  </sheetViews>
  <sheetFormatPr baseColWidth="10" defaultRowHeight="15" x14ac:dyDescent="0.25"/>
  <cols>
    <col min="1" max="1" width="30" customWidth="1"/>
    <col min="2" max="2" width="42.28515625" customWidth="1"/>
    <col min="3" max="3" width="37.42578125" customWidth="1"/>
  </cols>
  <sheetData>
    <row r="1" spans="1:3" x14ac:dyDescent="0.25">
      <c r="A1" s="5" t="s">
        <v>32</v>
      </c>
      <c r="B1" s="5" t="s">
        <v>33</v>
      </c>
    </row>
    <row r="2" spans="1:3" ht="28.5" x14ac:dyDescent="0.25">
      <c r="A2" s="18" t="s">
        <v>20</v>
      </c>
      <c r="B2" s="18" t="s">
        <v>131</v>
      </c>
      <c r="C2" s="19" t="s">
        <v>88</v>
      </c>
    </row>
    <row r="3" spans="1:3" x14ac:dyDescent="0.25">
      <c r="A3" s="14" t="s">
        <v>31</v>
      </c>
      <c r="B3" s="33" t="s">
        <v>40</v>
      </c>
      <c r="C3" s="30" t="s">
        <v>72</v>
      </c>
    </row>
    <row r="4" spans="1:3" x14ac:dyDescent="0.25">
      <c r="A4" s="12">
        <v>1</v>
      </c>
      <c r="B4" s="11" t="str">
        <f>_xlfn.CONCAT(Barbero_D!B4," ",Barbero_D!D4)</f>
        <v>Juan García</v>
      </c>
      <c r="C4" s="12" t="str">
        <f>B4</f>
        <v>Juan García</v>
      </c>
    </row>
    <row r="5" spans="1:3" x14ac:dyDescent="0.25">
      <c r="A5" s="12">
        <v>2</v>
      </c>
      <c r="B5" s="11" t="str">
        <f>_xlfn.CONCAT(Barbero_D!B5," ",Barbero_D!D5)</f>
        <v>Juan Ortiz</v>
      </c>
      <c r="C5" s="12" t="str">
        <f t="shared" ref="C5:C7" si="0">B5</f>
        <v>Juan Ortiz</v>
      </c>
    </row>
    <row r="6" spans="1:3" x14ac:dyDescent="0.25">
      <c r="A6" s="12">
        <v>3</v>
      </c>
      <c r="B6" s="11" t="str">
        <f>_xlfn.CONCAT(Barbero_D!B6," ",Barbero_D!D6)</f>
        <v>Carlos Arbeladez</v>
      </c>
      <c r="C6" s="12" t="str">
        <f t="shared" si="0"/>
        <v>Carlos Arbeladez</v>
      </c>
    </row>
    <row r="7" spans="1:3" x14ac:dyDescent="0.25">
      <c r="A7" s="12">
        <v>4</v>
      </c>
      <c r="B7" s="11" t="str">
        <f>_xlfn.CONCAT(Barbero_D!B7," ",Barbero_D!D7)</f>
        <v>Andres Ramirez</v>
      </c>
      <c r="C7" s="12" t="str">
        <f t="shared" si="0"/>
        <v>Andres Ramirez</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7"/>
  <sheetViews>
    <sheetView zoomScale="145" zoomScaleNormal="145" workbookViewId="0">
      <selection activeCell="B7" sqref="B7"/>
    </sheetView>
  </sheetViews>
  <sheetFormatPr baseColWidth="10" defaultRowHeight="15" x14ac:dyDescent="0.25"/>
  <cols>
    <col min="1" max="1" width="27" bestFit="1" customWidth="1"/>
    <col min="2" max="2" width="37.140625" customWidth="1"/>
    <col min="3" max="3" width="28" customWidth="1"/>
    <col min="4" max="4" width="18.7109375" customWidth="1"/>
    <col min="5" max="5" width="31.7109375" customWidth="1"/>
    <col min="6" max="6" width="37.7109375" bestFit="1" customWidth="1"/>
  </cols>
  <sheetData>
    <row r="1" spans="1:6" x14ac:dyDescent="0.25">
      <c r="A1" s="5" t="s">
        <v>32</v>
      </c>
      <c r="B1" s="5" t="s">
        <v>33</v>
      </c>
    </row>
    <row r="2" spans="1:6" ht="40.5" customHeight="1" x14ac:dyDescent="0.25">
      <c r="A2" s="19" t="s">
        <v>20</v>
      </c>
      <c r="B2" s="19" t="s">
        <v>90</v>
      </c>
      <c r="C2" s="19" t="s">
        <v>91</v>
      </c>
      <c r="D2" s="19" t="s">
        <v>92</v>
      </c>
      <c r="E2" s="19" t="s">
        <v>93</v>
      </c>
      <c r="F2" s="19" t="s">
        <v>94</v>
      </c>
    </row>
    <row r="3" spans="1:6" x14ac:dyDescent="0.25">
      <c r="A3" s="14" t="s">
        <v>31</v>
      </c>
      <c r="B3" s="33" t="s">
        <v>63</v>
      </c>
      <c r="C3" s="40" t="s">
        <v>79</v>
      </c>
      <c r="D3" s="13" t="s">
        <v>66</v>
      </c>
      <c r="E3" s="13" t="s">
        <v>89</v>
      </c>
      <c r="F3" s="30" t="s">
        <v>72</v>
      </c>
    </row>
    <row r="4" spans="1:6" x14ac:dyDescent="0.25">
      <c r="A4" s="12">
        <v>1</v>
      </c>
      <c r="B4" s="53" t="str">
        <f>Agenda_D!C4</f>
        <v>Juan García</v>
      </c>
      <c r="C4" s="39" t="s">
        <v>82</v>
      </c>
      <c r="D4" s="39">
        <v>0.41666666666666669</v>
      </c>
      <c r="E4" s="39">
        <v>0.66666666666666663</v>
      </c>
      <c r="F4" s="12" t="str">
        <f>_xlfn.CONCAT(B4,"-",C4,"-",TEXT(D4,"hh;mm"),"-",TEXT(E4,"hh;mm"))</f>
        <v>Juan García-Lunes-10-16</v>
      </c>
    </row>
    <row r="5" spans="1:6" x14ac:dyDescent="0.25">
      <c r="A5" s="12">
        <v>2</v>
      </c>
      <c r="B5" s="53" t="str">
        <f>Agenda_D!C5</f>
        <v>Juan Ortiz</v>
      </c>
      <c r="C5" s="12" t="s">
        <v>83</v>
      </c>
      <c r="D5" s="39">
        <v>0.375</v>
      </c>
      <c r="E5" s="39">
        <v>0.625</v>
      </c>
      <c r="F5" s="12" t="str">
        <f t="shared" ref="F5:F7" si="0">_xlfn.CONCAT(B5,"-",C5,"-",TEXT(D5,"hh;mm"),"-",TEXT(E5,"hh;mm"))</f>
        <v>Juan Ortiz-Martes-09-15</v>
      </c>
    </row>
    <row r="6" spans="1:6" x14ac:dyDescent="0.25">
      <c r="A6" s="12">
        <v>3</v>
      </c>
      <c r="B6" s="53" t="str">
        <f>Agenda_D!C6</f>
        <v>Carlos Arbeladez</v>
      </c>
      <c r="C6" s="12" t="s">
        <v>85</v>
      </c>
      <c r="D6" s="39">
        <v>0.54166666666666663</v>
      </c>
      <c r="E6" s="39">
        <v>0.79166666666666663</v>
      </c>
      <c r="F6" s="12" t="str">
        <f t="shared" si="0"/>
        <v>Carlos Arbeladez-Jueves-13-19</v>
      </c>
    </row>
    <row r="7" spans="1:6" x14ac:dyDescent="0.25">
      <c r="A7" s="12">
        <v>4</v>
      </c>
      <c r="B7" s="53" t="str">
        <f>Agenda_D!C7</f>
        <v>Andres Ramirez</v>
      </c>
      <c r="C7" s="12" t="s">
        <v>87</v>
      </c>
      <c r="D7" s="39">
        <v>0.33333333333333331</v>
      </c>
      <c r="E7" s="39">
        <v>0.58333333333333337</v>
      </c>
      <c r="F7" s="12" t="str">
        <f t="shared" si="0"/>
        <v>Andres Ramirez-Sábado-08-14</v>
      </c>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 ref="B3" location="Agenda_D!A1" display="agenda" xr:uid="{4824C529-638F-4299-AEE0-9730B3BC73C9}"/>
    <hyperlink ref="B4" location="Agenda_D!A4" display="Agenda_D!A4" xr:uid="{4DA17190-FFA5-47EF-8FD3-54EA9F7DF58B}"/>
    <hyperlink ref="B5:B7" location="Agenda_D!A4" display="Agenda_D!A4" xr:uid="{6001330A-45FA-467D-82F2-97DD807F947F}"/>
    <hyperlink ref="B5" location="Agenda_D!A5" display="Agenda_D!A5" xr:uid="{22BB4167-53C0-4D10-9F76-560F79FADE86}"/>
    <hyperlink ref="B6" location="Agenda_D!A6" display="Agenda_D!A6" xr:uid="{36B092FB-CBA5-4E3A-9127-52EA641442EA}"/>
    <hyperlink ref="B7" location="Agenda_D!A7" display="Agenda_D!A7" xr:uid="{59DFEC77-AF33-433C-99D6-F82241ADA5F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zoomScale="130" zoomScaleNormal="130" workbookViewId="0">
      <selection activeCell="E11" sqref="E11"/>
    </sheetView>
  </sheetViews>
  <sheetFormatPr baseColWidth="10" defaultRowHeight="15" x14ac:dyDescent="0.25"/>
  <cols>
    <col min="1" max="1" width="28" customWidth="1"/>
    <col min="2" max="2" width="26.5703125" customWidth="1"/>
    <col min="3" max="3" width="30.42578125" customWidth="1"/>
    <col min="4" max="4" width="27.5703125" customWidth="1"/>
    <col min="5" max="5" width="36.5703125" customWidth="1"/>
    <col min="6" max="6" width="60.28515625" bestFit="1" customWidth="1"/>
    <col min="7" max="7" width="39.28515625" bestFit="1" customWidth="1"/>
    <col min="8" max="8" width="22" customWidth="1"/>
  </cols>
  <sheetData>
    <row r="1" spans="1:8" x14ac:dyDescent="0.25">
      <c r="A1" s="5" t="s">
        <v>32</v>
      </c>
      <c r="B1" s="5" t="s">
        <v>33</v>
      </c>
    </row>
    <row r="2" spans="1:8" ht="36.75" customHeight="1" x14ac:dyDescent="0.25">
      <c r="A2" s="18" t="s">
        <v>20</v>
      </c>
      <c r="B2" s="18" t="s">
        <v>67</v>
      </c>
      <c r="C2" s="32" t="s">
        <v>151</v>
      </c>
      <c r="D2" s="32" t="s">
        <v>143</v>
      </c>
      <c r="E2" s="32" t="s">
        <v>148</v>
      </c>
      <c r="F2" s="32" t="s">
        <v>152</v>
      </c>
      <c r="G2" s="32" t="s">
        <v>144</v>
      </c>
    </row>
    <row r="3" spans="1:8" x14ac:dyDescent="0.25">
      <c r="A3" s="14" t="s">
        <v>31</v>
      </c>
      <c r="B3" s="33" t="s">
        <v>44</v>
      </c>
      <c r="C3" s="33" t="s">
        <v>63</v>
      </c>
      <c r="D3" s="13" t="s">
        <v>142</v>
      </c>
      <c r="E3" s="47" t="s">
        <v>89</v>
      </c>
      <c r="F3" s="13" t="s">
        <v>26</v>
      </c>
      <c r="G3" s="30" t="s">
        <v>72</v>
      </c>
    </row>
    <row r="4" spans="1:8" x14ac:dyDescent="0.25">
      <c r="A4" s="12">
        <v>1</v>
      </c>
      <c r="B4" s="11" t="str">
        <f>_xlfn.CONCAT(Cliente_D!B4," ",Cliente_D!C4," ", Cliente_D!D4," ",Cliente_D!E4)</f>
        <v xml:space="preserve">Juan  Gómez </v>
      </c>
      <c r="C4" s="11" t="str">
        <f>Agenda_D!C4</f>
        <v>Juan García</v>
      </c>
      <c r="D4" s="55">
        <v>46295.416666666664</v>
      </c>
      <c r="E4" s="39">
        <v>0.44791666666666669</v>
      </c>
      <c r="F4" s="12" t="s">
        <v>68</v>
      </c>
      <c r="G4" s="12" t="str">
        <f>_xlfn.CONCAT(C4,"-",TEXT(D4,"dd/mm/yyyy/hh:mm"))</f>
        <v>Juan García-30/09/2026/10:00</v>
      </c>
    </row>
    <row r="5" spans="1:8" x14ac:dyDescent="0.25">
      <c r="A5" s="12">
        <v>2</v>
      </c>
      <c r="B5" s="11" t="str">
        <f>_xlfn.CONCAT(Cliente_D!B5," ",Cliente_D!C5," ", Cliente_D!D5," ",Cliente_D!E5)</f>
        <v>Jose Miguel Ramirez Perez</v>
      </c>
      <c r="C5" s="11" t="str">
        <f>Agenda_D!C5</f>
        <v>Juan Ortiz</v>
      </c>
      <c r="D5" s="55">
        <v>45983.458333333336</v>
      </c>
      <c r="E5" s="39">
        <v>0.48958333333333331</v>
      </c>
      <c r="F5" s="12" t="s">
        <v>95</v>
      </c>
      <c r="G5" s="12" t="str">
        <f t="shared" ref="G5:G8" si="0">_xlfn.CONCAT(C5,"-",TEXT(D5,"dd/mm/yyyy/hh:mm"))</f>
        <v>Juan Ortiz-22/11/2025/11:00</v>
      </c>
    </row>
    <row r="6" spans="1:8" x14ac:dyDescent="0.25">
      <c r="A6" s="12">
        <v>3</v>
      </c>
      <c r="B6" s="11" t="str">
        <f>_xlfn.CONCAT(Cliente_D!B6," ",Cliente_D!C6," ", Cliente_D!D6," ",Cliente_D!E6)</f>
        <v>Simon  Ochoa Ramirez</v>
      </c>
      <c r="C6" s="11" t="str">
        <f>Agenda_D!C6</f>
        <v>Carlos Arbeladez</v>
      </c>
      <c r="D6" s="55">
        <v>45514.583333333336</v>
      </c>
      <c r="E6" s="39">
        <v>0.59375</v>
      </c>
      <c r="F6" s="12" t="s">
        <v>145</v>
      </c>
      <c r="G6" s="12" t="str">
        <f t="shared" si="0"/>
        <v>Carlos Arbeladez-10/08/2024/14:00</v>
      </c>
    </row>
    <row r="7" spans="1:8" x14ac:dyDescent="0.25">
      <c r="A7" s="12">
        <v>4</v>
      </c>
      <c r="B7" s="11" t="str">
        <f>_xlfn.CONCAT(Cliente_D!B7," ",Cliente_D!C7," ", Cliente_D!D7," ",Cliente_D!E7)</f>
        <v xml:space="preserve">Alexis  Gallego </v>
      </c>
      <c r="C7" s="11" t="str">
        <f>Agenda_D!C7</f>
        <v>Andres Ramirez</v>
      </c>
      <c r="D7" s="55">
        <v>46289.541666666664</v>
      </c>
      <c r="E7" s="39">
        <v>0.5625</v>
      </c>
      <c r="F7" s="12" t="s">
        <v>96</v>
      </c>
      <c r="G7" s="12" t="str">
        <f t="shared" si="0"/>
        <v>Andres Ramirez-24/09/2026/13:00</v>
      </c>
    </row>
    <row r="8" spans="1:8" x14ac:dyDescent="0.25">
      <c r="A8" s="12">
        <v>5</v>
      </c>
      <c r="B8" s="11" t="str">
        <f>_xlfn.CONCAT(Cliente_D!B7," ",Cliente_D!C7," ", Cliente_D!D7," ",Cliente_D!E7)</f>
        <v xml:space="preserve">Alexis  Gallego </v>
      </c>
      <c r="C8" s="11" t="str">
        <f>Agenda_D!C6</f>
        <v>Carlos Arbeladez</v>
      </c>
      <c r="D8" s="55">
        <v>46240.75</v>
      </c>
      <c r="E8" s="39">
        <v>0.75694444444444442</v>
      </c>
      <c r="F8" s="12" t="s">
        <v>97</v>
      </c>
      <c r="G8" s="12" t="str">
        <f t="shared" si="0"/>
        <v>Carlos Arbeladez-06/08/2026/18:00</v>
      </c>
      <c r="H8" s="52"/>
    </row>
    <row r="10" spans="1:8" x14ac:dyDescent="0.25">
      <c r="H10" s="54"/>
    </row>
    <row r="12" spans="1:8" x14ac:dyDescent="0.25">
      <c r="D12" s="56"/>
    </row>
    <row r="13" spans="1:8" x14ac:dyDescent="0.25">
      <c r="D13" s="56"/>
    </row>
    <row r="14" spans="1:8" x14ac:dyDescent="0.25">
      <c r="D14" s="56"/>
    </row>
    <row r="15" spans="1:8" x14ac:dyDescent="0.25">
      <c r="D15" s="56"/>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topLeftCell="D1" zoomScale="130" zoomScaleNormal="130" workbookViewId="0">
      <selection activeCell="E3" sqref="E3"/>
    </sheetView>
  </sheetViews>
  <sheetFormatPr baseColWidth="10" defaultRowHeight="15" x14ac:dyDescent="0.25"/>
  <cols>
    <col min="1" max="1" width="26.7109375" customWidth="1"/>
    <col min="2" max="2" width="38.5703125" customWidth="1"/>
    <col min="3" max="3" width="39.28515625" bestFit="1" customWidth="1"/>
    <col min="4" max="5" width="39.7109375" customWidth="1"/>
    <col min="6" max="6" width="34.28515625" bestFit="1" customWidth="1"/>
    <col min="7" max="7" width="39.28515625" bestFit="1" customWidth="1"/>
  </cols>
  <sheetData>
    <row r="1" spans="1:7" x14ac:dyDescent="0.25">
      <c r="A1" s="5" t="s">
        <v>32</v>
      </c>
      <c r="B1" s="5" t="s">
        <v>33</v>
      </c>
    </row>
    <row r="2" spans="1:7" ht="31.5" customHeight="1" x14ac:dyDescent="0.25">
      <c r="A2" s="18" t="s">
        <v>20</v>
      </c>
      <c r="B2" s="18" t="s">
        <v>99</v>
      </c>
      <c r="C2" s="32" t="s">
        <v>100</v>
      </c>
      <c r="D2" s="32" t="s">
        <v>146</v>
      </c>
      <c r="E2" s="32" t="s">
        <v>154</v>
      </c>
      <c r="F2" s="32" t="s">
        <v>101</v>
      </c>
      <c r="G2" s="32" t="s">
        <v>102</v>
      </c>
    </row>
    <row r="3" spans="1:7" x14ac:dyDescent="0.25">
      <c r="A3" s="14" t="s">
        <v>31</v>
      </c>
      <c r="B3" s="33" t="s">
        <v>44</v>
      </c>
      <c r="C3" s="33" t="s">
        <v>98</v>
      </c>
      <c r="D3" s="36" t="s">
        <v>27</v>
      </c>
      <c r="E3" s="60" t="s">
        <v>153</v>
      </c>
      <c r="F3" s="47" t="s">
        <v>28</v>
      </c>
      <c r="G3" s="30" t="s">
        <v>72</v>
      </c>
    </row>
    <row r="4" spans="1:7" x14ac:dyDescent="0.25">
      <c r="A4" s="12">
        <v>1</v>
      </c>
      <c r="B4" s="11" t="str">
        <f>Cliente_D!H6</f>
        <v>Simon--Ochoa-Ramirez-+57-3119884321</v>
      </c>
      <c r="C4" s="11" t="str">
        <f>Cita_D!G6</f>
        <v>Carlos Arbeladez-10/08/2024/14:00</v>
      </c>
      <c r="D4" s="12">
        <f>Regla_D!C4</f>
        <v>10000</v>
      </c>
      <c r="E4" s="12" t="s">
        <v>145</v>
      </c>
      <c r="F4" s="12" t="s">
        <v>50</v>
      </c>
      <c r="G4" s="12" t="str">
        <f>C4</f>
        <v>Carlos Arbeladez-10/08/2024/14:00</v>
      </c>
    </row>
    <row r="5" spans="1:7" x14ac:dyDescent="0.25">
      <c r="A5" s="12">
        <v>2</v>
      </c>
      <c r="B5" s="11" t="str">
        <f>Cliente_D!H7</f>
        <v>Alexis--Gallego--+58-4127359182</v>
      </c>
      <c r="C5" s="11" t="str">
        <f>Cita_D!G7</f>
        <v>Andres Ramirez-24/09/2026/13:00</v>
      </c>
      <c r="D5" s="12">
        <f>CitaServicio_D!D7</f>
        <v>35000</v>
      </c>
      <c r="E5" s="12" t="s">
        <v>96</v>
      </c>
      <c r="F5" s="12" t="s">
        <v>51</v>
      </c>
      <c r="G5" s="12" t="str">
        <f>C5</f>
        <v>Andres Ramirez-24/09/2026/13:00</v>
      </c>
    </row>
    <row r="6" spans="1:7" x14ac:dyDescent="0.25">
      <c r="A6" s="10"/>
      <c r="B6" s="10"/>
      <c r="C6" s="10"/>
      <c r="D6" s="10"/>
      <c r="E6" s="10"/>
      <c r="F6" s="10"/>
      <c r="G6" s="10"/>
    </row>
    <row r="7" spans="1:7" x14ac:dyDescent="0.25">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8"/>
  <sheetViews>
    <sheetView topLeftCell="B1" zoomScale="130" zoomScaleNormal="130" workbookViewId="0">
      <selection activeCell="F8" sqref="F8"/>
    </sheetView>
  </sheetViews>
  <sheetFormatPr baseColWidth="10" defaultRowHeight="15" x14ac:dyDescent="0.25"/>
  <cols>
    <col min="1" max="1" width="26.42578125" customWidth="1"/>
    <col min="2" max="2" width="39.28515625" bestFit="1" customWidth="1"/>
    <col min="3" max="3" width="21.85546875" customWidth="1"/>
    <col min="4" max="4" width="41.85546875" customWidth="1"/>
    <col min="5" max="5" width="32.140625" customWidth="1"/>
    <col min="6" max="6" width="55.85546875" customWidth="1"/>
  </cols>
  <sheetData>
    <row r="1" spans="1:6" x14ac:dyDescent="0.25">
      <c r="A1" s="5" t="s">
        <v>32</v>
      </c>
      <c r="B1" s="5" t="s">
        <v>33</v>
      </c>
    </row>
    <row r="2" spans="1:6" ht="33" customHeight="1" x14ac:dyDescent="0.25">
      <c r="A2" s="18" t="s">
        <v>20</v>
      </c>
      <c r="B2" s="18" t="s">
        <v>103</v>
      </c>
      <c r="C2" s="32" t="s">
        <v>104</v>
      </c>
      <c r="D2" s="32" t="s">
        <v>105</v>
      </c>
      <c r="E2" s="32" t="s">
        <v>106</v>
      </c>
      <c r="F2" s="32" t="s">
        <v>107</v>
      </c>
    </row>
    <row r="3" spans="1:6" x14ac:dyDescent="0.25">
      <c r="A3" s="43" t="s">
        <v>31</v>
      </c>
      <c r="B3" s="33" t="s">
        <v>98</v>
      </c>
      <c r="C3" s="33" t="s">
        <v>41</v>
      </c>
      <c r="D3" s="13" t="s">
        <v>29</v>
      </c>
      <c r="E3" s="13" t="s">
        <v>30</v>
      </c>
      <c r="F3" s="30" t="s">
        <v>72</v>
      </c>
    </row>
    <row r="4" spans="1:6" x14ac:dyDescent="0.25">
      <c r="A4" s="12">
        <v>1</v>
      </c>
      <c r="B4" s="11" t="str">
        <f>Cita_D!G4</f>
        <v>Juan García-30/09/2026/10:00</v>
      </c>
      <c r="C4" s="11" t="str">
        <f>Servicio_D!F4</f>
        <v>Motilada</v>
      </c>
      <c r="D4" s="12">
        <v>22000</v>
      </c>
      <c r="E4" s="12">
        <v>45</v>
      </c>
      <c r="F4" s="12" t="str">
        <f>_xlfn.CONCAT(B4,"-",C4)</f>
        <v>Juan García-30/09/2026/10:00-Motilada</v>
      </c>
    </row>
    <row r="5" spans="1:6" x14ac:dyDescent="0.25">
      <c r="A5" s="12">
        <v>2</v>
      </c>
      <c r="B5" s="11" t="str">
        <f>Cita_D!G5</f>
        <v>Juan Ortiz-22/11/2025/11:00</v>
      </c>
      <c r="C5" s="11" t="str">
        <f>Servicio_D!F4</f>
        <v>Motilada</v>
      </c>
      <c r="D5" s="12">
        <v>22000</v>
      </c>
      <c r="E5" s="12">
        <v>45</v>
      </c>
      <c r="F5" s="12" t="str">
        <f t="shared" ref="F5:F8" si="0">_xlfn.CONCAT(B5,"-",C5)</f>
        <v>Juan Ortiz-22/11/2025/11:00-Motilada</v>
      </c>
    </row>
    <row r="6" spans="1:6" x14ac:dyDescent="0.25">
      <c r="A6" s="12">
        <v>3</v>
      </c>
      <c r="B6" s="11" t="str">
        <f>Cita_D!G6</f>
        <v>Carlos Arbeladez-10/08/2024/14:00</v>
      </c>
      <c r="C6" s="11" t="str">
        <f>Servicio_D!F6</f>
        <v>Perfilada de barba</v>
      </c>
      <c r="D6" s="12">
        <v>15000</v>
      </c>
      <c r="E6" s="12">
        <v>15</v>
      </c>
      <c r="F6" s="12" t="str">
        <f t="shared" si="0"/>
        <v>Carlos Arbeladez-10/08/2024/14:00-Perfilada de barba</v>
      </c>
    </row>
    <row r="7" spans="1:6" ht="45" x14ac:dyDescent="0.25">
      <c r="A7" s="12">
        <v>4</v>
      </c>
      <c r="B7" s="11" t="str">
        <f>Cita_D!G7</f>
        <v>Andres Ramirez-24/09/2026/13:00</v>
      </c>
      <c r="C7" s="57" t="str">
        <f>Servicio_D!F7</f>
        <v>Arreglo completo de barba con toalla caliente</v>
      </c>
      <c r="D7" s="12">
        <v>35000</v>
      </c>
      <c r="E7" s="12">
        <v>30</v>
      </c>
      <c r="F7" s="26" t="str">
        <f t="shared" si="0"/>
        <v>Andres Ramirez-24/09/2026/13:00-Arreglo completo de barba con toalla caliente</v>
      </c>
    </row>
    <row r="8" spans="1:6" x14ac:dyDescent="0.25">
      <c r="A8" s="12">
        <v>5</v>
      </c>
      <c r="B8" s="11" t="str">
        <f>Cita_D!G8</f>
        <v>Carlos Arbeladez-06/08/2026/18:00</v>
      </c>
      <c r="C8" s="11" t="s">
        <v>46</v>
      </c>
      <c r="D8" s="12">
        <v>12000</v>
      </c>
      <c r="E8" s="12">
        <v>10</v>
      </c>
      <c r="F8" s="26" t="str">
        <f t="shared" si="0"/>
        <v>Carlos Arbeladez-06/08/2026/18:00-Corte de barba</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5:B8" location="Cita_D!A4" display="Cita_D!A4" xr:uid="{24E1B3F9-C1C3-4AC0-83CF-93AC9D358E4F}"/>
    <hyperlink ref="B5" location="Cita_D!A5" display="Cita_D!A5" xr:uid="{54C06FE5-3D1C-4E02-B80F-F52398660735}"/>
    <hyperlink ref="B6" location="Cita_D!A6" display="Cita_D!A6" xr:uid="{7C3F9E66-FC63-4CC5-A67C-8604702403F0}"/>
    <hyperlink ref="B7" location="Cita_D!A7" display="Cita_D!A7" xr:uid="{B03F3CEB-2FAE-4C17-B421-BB7244341FF9}"/>
    <hyperlink ref="B8" location="Cita_D!A8" display="Cita_D!A8" xr:uid="{FA20FBDC-E2C6-44CF-B98E-C85818BE6D1B}"/>
    <hyperlink ref="C3" location="Servicio_D!A1" display="servicio" xr:uid="{46A59B94-B463-41EF-A1B6-2B1BD97218B9}"/>
    <hyperlink ref="C4" location="Servicio_D!A4" display="Servicio_D!A4" xr:uid="{E5D47101-7002-491C-A64F-9E08C0E5E166}"/>
    <hyperlink ref="C5" location="Servicio_D!A4" display="Servicio_D!A4" xr:uid="{EC363894-A006-45A1-A451-8A105D143020}"/>
    <hyperlink ref="C6" location="Servicio_D!A6" display="Servicio_D!A6" xr:uid="{2F70A83F-4454-46E6-A1E5-B359824AA24F}"/>
    <hyperlink ref="C7" location="Servicio_D!A7" display="Servicio_D!A7" xr:uid="{36945D0D-E1EC-4BD2-A67D-287FB73A0E8D}"/>
    <hyperlink ref="C8" location="Servicio_D!A5" display="Corte de barba" xr:uid="{52D089FF-955D-405E-BFF7-8EABA1516B8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Modelo de Dominio</vt:lpstr>
      <vt:lpstr>Objetos de Dominio</vt:lpstr>
      <vt:lpstr>Barberia_D</vt:lpstr>
      <vt:lpstr>Cliente_D</vt:lpstr>
      <vt:lpstr>Regla_D</vt:lpstr>
      <vt:lpstr>HorarioBarberia_D</vt:lpstr>
      <vt:lpstr>Servicio_D</vt:lpstr>
      <vt:lpstr>Barbero_D</vt:lpstr>
      <vt:lpstr>Veto_D</vt:lpstr>
      <vt:lpstr>BarberoServicio_D</vt:lpstr>
      <vt:lpstr>Agenda_D</vt:lpstr>
      <vt:lpstr>HorarioBarbero_D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Leandro Gomez Garcia</cp:lastModifiedBy>
  <dcterms:created xsi:type="dcterms:W3CDTF">2026-08-03T17:50:17Z</dcterms:created>
  <dcterms:modified xsi:type="dcterms:W3CDTF">2026-08-10T03:10:49Z</dcterms:modified>
</cp:coreProperties>
</file>