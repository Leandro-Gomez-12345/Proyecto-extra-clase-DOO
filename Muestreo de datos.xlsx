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407" documentId="13_ncr:1_{7D2C82A5-CE11-488F-916B-C5EEB7B95CE2}" xr6:coauthVersionLast="47" xr6:coauthVersionMax="47" xr10:uidLastSave="{84D6F366-4DCB-4DED-829F-90BD42E34150}"/>
  <bookViews>
    <workbookView xWindow="-120" yWindow="-120" windowWidth="29040" windowHeight="15840"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HorarioBarberia_D" sheetId="18" r:id="rId7"/>
    <sheet name="Servicio_D" sheetId="8" r:id="rId8"/>
    <sheet name="Barbero_D" sheetId="9" r:id="rId9"/>
    <sheet name="Veto_D" sheetId="10" r:id="rId10"/>
    <sheet name="BarberoServicio_D" sheetId="11" r:id="rId11"/>
    <sheet name="Agenda_D" sheetId="12" r:id="rId12"/>
    <sheet name="Bloqueo_D" sheetId="22" r:id="rId13"/>
    <sheet name="HorarioBarbero_D" sheetId="20" r:id="rId14"/>
    <sheet name="Descanso_D" sheetId="23" r:id="rId15"/>
    <sheet name="Cita_D" sheetId="13" r:id="rId16"/>
    <sheet name="Multa_D" sheetId="16" r:id="rId17"/>
    <sheet name="CitaServicio_D" sheetId="17"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5" i="22" l="1"/>
  <c r="G6" i="22"/>
  <c r="G7" i="22"/>
  <c r="G4" i="22"/>
  <c r="B5" i="10"/>
  <c r="B6" i="10"/>
  <c r="B7" i="10"/>
  <c r="B4" i="10"/>
  <c r="D5" i="10"/>
  <c r="D6" i="10"/>
  <c r="D7" i="10"/>
  <c r="D4" i="10"/>
  <c r="G5" i="23"/>
  <c r="G6" i="23"/>
  <c r="G4" i="23"/>
  <c r="B5" i="23"/>
  <c r="B6" i="23"/>
  <c r="B4" i="23"/>
  <c r="B5" i="22"/>
  <c r="B6" i="22"/>
  <c r="B7" i="22"/>
  <c r="B4" i="22"/>
  <c r="L8" i="9"/>
  <c r="K8" i="9"/>
  <c r="K7" i="9"/>
  <c r="K6" i="9"/>
  <c r="K5" i="9"/>
  <c r="K4" i="9"/>
  <c r="B5" i="8"/>
  <c r="B6" i="8"/>
  <c r="B7" i="8"/>
  <c r="B4" i="8"/>
  <c r="H5" i="6"/>
  <c r="H6" i="6"/>
  <c r="H7" i="6"/>
  <c r="B5" i="16" s="1"/>
  <c r="H4" i="6"/>
  <c r="B5" i="13"/>
  <c r="B6" i="13"/>
  <c r="B7" i="13"/>
  <c r="B8" i="13"/>
  <c r="B5" i="12"/>
  <c r="B6" i="12"/>
  <c r="C6" i="12" s="1"/>
  <c r="B7" i="12"/>
  <c r="C7" i="12" s="1"/>
  <c r="C5" i="11"/>
  <c r="C6" i="11"/>
  <c r="C7" i="11"/>
  <c r="B6" i="11"/>
  <c r="D6" i="11" s="1"/>
  <c r="B5" i="11"/>
  <c r="D5" i="11" s="1"/>
  <c r="B7" i="11"/>
  <c r="D7" i="11" s="1"/>
  <c r="B4" i="11"/>
  <c r="D4" i="11" s="1"/>
  <c r="D5" i="16"/>
  <c r="D4" i="16"/>
  <c r="B4" i="16"/>
  <c r="B4" i="13"/>
  <c r="B7" i="18"/>
  <c r="B8" i="18"/>
  <c r="B9" i="18"/>
  <c r="B5" i="18"/>
  <c r="B6" i="18"/>
  <c r="L5" i="9"/>
  <c r="L6" i="9"/>
  <c r="L7" i="9"/>
  <c r="L4" i="9"/>
  <c r="C6" i="17"/>
  <c r="B4" i="12"/>
  <c r="C4" i="12" s="1"/>
  <c r="B4" i="20" s="1"/>
  <c r="F4" i="20" s="1"/>
  <c r="F5" i="18"/>
  <c r="F6" i="18"/>
  <c r="F7" i="18"/>
  <c r="F8" i="18"/>
  <c r="F9" i="18"/>
  <c r="F4" i="18"/>
  <c r="B4" i="18"/>
  <c r="F4" i="7"/>
  <c r="E4" i="7"/>
  <c r="C4" i="11"/>
  <c r="C7" i="10"/>
  <c r="G7" i="10" s="1"/>
  <c r="C6" i="10"/>
  <c r="G6" i="10" s="1"/>
  <c r="C5" i="10"/>
  <c r="G5" i="10" s="1"/>
  <c r="C4" i="10"/>
  <c r="G4" i="10" s="1"/>
  <c r="F5" i="8"/>
  <c r="F6" i="8"/>
  <c r="F7" i="8"/>
  <c r="C7" i="17" s="1"/>
  <c r="F4" i="8"/>
  <c r="C5" i="17" s="1"/>
  <c r="B7" i="20" l="1"/>
  <c r="C7" i="13"/>
  <c r="F6" i="20"/>
  <c r="B6" i="20"/>
  <c r="C6" i="13"/>
  <c r="C4" i="17"/>
  <c r="C8" i="13"/>
  <c r="G8" i="13" s="1"/>
  <c r="F7" i="20"/>
  <c r="B7" i="23" s="1"/>
  <c r="G7" i="23" s="1"/>
  <c r="G7" i="13"/>
  <c r="C4" i="13"/>
  <c r="G4" i="13" s="1"/>
  <c r="G6" i="13"/>
  <c r="C5" i="12"/>
  <c r="C4" i="16" l="1"/>
  <c r="G4" i="16" s="1"/>
  <c r="B6" i="17"/>
  <c r="C5" i="16"/>
  <c r="G5" i="16" s="1"/>
  <c r="B7" i="17"/>
  <c r="F7" i="17" s="1"/>
  <c r="B8" i="17"/>
  <c r="F8" i="17" s="1"/>
  <c r="C5" i="13"/>
  <c r="B5" i="20"/>
  <c r="F6" i="17"/>
  <c r="B4" i="17"/>
  <c r="F4" i="17" s="1"/>
  <c r="F5" i="20"/>
  <c r="G5" i="13"/>
  <c r="B5" i="17" s="1"/>
  <c r="F5" i="17" l="1"/>
</calcChain>
</file>

<file path=xl/sharedStrings.xml><?xml version="1.0" encoding="utf-8"?>
<sst xmlns="http://schemas.openxmlformats.org/spreadsheetml/2006/main" count="376" uniqueCount="244">
  <si>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</si>
  <si>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</si>
  <si>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</si>
  <si>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</si>
  <si>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</si>
  <si>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</si>
  <si>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</si>
  <si>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</si>
  <si>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</si>
  <si>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</si>
  <si>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</si>
  <si>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</si>
  <si>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</si>
  <si>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</si>
  <si>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</si>
  <si>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</si>
  <si>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</si>
  <si>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</si>
  <si>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</si>
  <si>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</si>
  <si>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</si>
  <si>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</si>
  <si>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</si>
  <si>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</si>
  <si>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</si>
  <si>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</si>
  <si>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</si>
  <si>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</si>
  <si>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</si>
  <si>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</si>
  <si>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</si>
  <si>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</si>
  <si>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</si>
  <si>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</si>
  <si>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</si>
  <si>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</si>
  <si>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</si>
  <si>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</si>
  <si>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</si>
  <si>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</si>
  <si>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</si>
  <si>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</si>
  <si>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</si>
  <si>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</si>
  <si>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</si>
  <si>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</si>
  <si>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</si>
  <si>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</si>
  <si>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</si>
  <si>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</si>
  <si>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</si>
  <si>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</si>
  <si>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</si>
  <si>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</si>
  <si>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</si>
  <si>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</si>
  <si>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</si>
  <si>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</si>
  <si>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Combinacion única que indica que no puede existir más de un veto con el mismo cliente y la misma fecha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</si>
  <si>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</si>
  <si>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</si>
  <si>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</si>
  <si>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</si>
  <si>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</si>
  <si>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</si>
  <si>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</si>
  <si>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</si>
  <si>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</si>
  <si>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</si>
  <si>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</si>
  <si>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</si>
  <si>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</si>
  <si>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</si>
  <si>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HorarioBarbero</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</si>
  <si>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</si>
  <si>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</si>
  <si>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</si>
  <si>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</si>
  <si>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</si>
  <si>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</si>
  <si>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</si>
  <si>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</si>
  <si>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</si>
  <si>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</si>
  <si>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</si>
  <si>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</si>
  <si>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</si>
  <si>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Combinación única que indica que una misma agenda no puede tener dos horarios distintos para el mismo día</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</si>
  <si>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</si>
  <si>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</si>
  <si>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</si>
  <si>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</si>
  <si>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</si>
  <si>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</si>
  <si>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</si>
  <si>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</si>
  <si>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</si>
  <si>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</si>
  <si>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</si>
  <si>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</si>
  <si>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</si>
  <si>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</si>
  <si>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</si>
  <si>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</si>
  <si>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</si>
  <si>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</si>
  <si>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</si>
  <si>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</si>
  <si>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</si>
  <si>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</si>
  <si>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</si>
  <si>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</si>
  <si>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</si>
  <si>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</si>
  <si>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</si>
  <si>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</si>
  <si>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</si>
  <si>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</si>
  <si>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</si>
  <si>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</si>
  <si>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</si>
  <si>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</si>
  <si>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</si>
  <si>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</si>
  <si>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</si>
  <si>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Carlos.1995</t>
  </si>
  <si>
    <t>Juan.sanchez2342</t>
  </si>
  <si>
    <t>ramirezpatinio23121</t>
  </si>
  <si>
    <t>prefijo</t>
  </si>
  <si>
    <t>+57</t>
  </si>
  <si>
    <t>+58</t>
  </si>
  <si>
    <t>+91</t>
  </si>
  <si>
    <t>fechaHora</t>
  </si>
  <si>
    <t xml:space="preserve">
Combinación única que indica que una cita no puede existir dentro de una agenda con la misma fecha y hora de inicio para la cita</t>
  </si>
  <si>
    <t>retraso</t>
  </si>
  <si>
    <t>Combinacion única que indica que no puede existir más de un cliente con un mismo nombre, apellidos, prefijo de celular y número de celular</t>
  </si>
  <si>
    <t>Representa la hora prevista a la que finaliza una cita, es un dato calculado a partir de la hora en que empieza la cita y la duración del servicio, sumándole la duración del servicio a la hora de inicio</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</si>
  <si>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</si>
  <si>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</si>
  <si>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</si>
  <si>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</si>
  <si>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</si>
  <si>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</si>
  <si>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</si>
  <si>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</si>
  <si>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</si>
  <si>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</si>
  <si>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</si>
  <si>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</si>
  <si>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</si>
  <si>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</si>
  <si>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</si>
  <si>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</si>
  <si>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</si>
  <si>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cada día de la semana, hora en el que entra, hora a la que sale, para que la agenda del barbero sepa que días trabaja el</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</si>
  <si>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</si>
  <si>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</si>
  <si>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</si>
  <si>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</si>
  <si>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</si>
  <si>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</si>
  <si>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</si>
  <si>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Representa la contraseña del barbebro, con el que se va a registrar o iniciar sesión. Su tipo de dato es alfanumérico, su valor por defecto es el vacio y no esta permitido</t>
  </si>
  <si>
    <t>Tipo de dato</t>
  </si>
  <si>
    <t>Texto</t>
  </si>
  <si>
    <t>Alfanumerico</t>
  </si>
  <si>
    <t>Entero</t>
  </si>
  <si>
    <t>FechaHora</t>
  </si>
  <si>
    <t>Hora</t>
  </si>
  <si>
    <t>Identificador unico</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</si>
  <si>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</si>
  <si>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</si>
  <si>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</si>
  <si>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</si>
  <si>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</si>
  <si>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</si>
  <si>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</si>
  <si>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</si>
  <si>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</si>
  <si>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</si>
  <si>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</si>
  <si>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</si>
  <si>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</si>
  <si>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</si>
  <si>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</si>
  <si>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el numero de celular de la persona que le va a escribir al barbero por WhatsApp para pedirle una cita. Su valor por defecto es el 0 y no es permitido</t>
  </si>
  <si>
    <t>Representa la cantidad de dinero que el cliente debe de pagar en pesos colombianos, por superar la toleranciaTardanza. Debe de ser mayor a cero, su valor por defecto es 0 y no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</si>
  <si>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</si>
  <si>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</si>
  <si>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</si>
  <si>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</si>
  <si>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</si>
  <si>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</si>
  <si>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Fecha</t>
  </si>
  <si>
    <t>Tipo de dato que contiene el día, mes y el año.</t>
  </si>
  <si>
    <t>Representa la fecha y la hora en el que se va a realizar la cita al cliente. Su valor por defecto es 01/01/1000 00:00 y no es permitido</t>
  </si>
  <si>
    <t>Bloqueo</t>
  </si>
  <si>
    <t>Descanso</t>
  </si>
  <si>
    <t>Representa los momentos dentro del horario semanal de un barbero en los que no está disponible para atender, aunque ese día sí trabaje (por ejemplo, la hora del almuerzo). Se repite cada semana junto con el HorarioBarbero al que pertenece</t>
  </si>
  <si>
    <t xml:space="preserve">
Hace referencia a la agenda (y por lo tanto al barbero) a la que pertenece este bloqueo, permite saber en cual agenda se va agregar el bloqueo</t>
  </si>
  <si>
    <t>horaFinal</t>
  </si>
  <si>
    <t>Combinación única que indica que una misma agenda no puede tener dos bloqueos en una misma fecha, horaInicio y horaFinal</t>
  </si>
  <si>
    <t>horarioDelBarbero</t>
  </si>
  <si>
    <t>Hace referencia al dia y las horas que trabaja el barbero</t>
  </si>
  <si>
    <t>Hora de almuerzo</t>
  </si>
  <si>
    <t>Hora en la que almuezo</t>
  </si>
  <si>
    <t>Descansito</t>
  </si>
  <si>
    <t>Hora de descanso</t>
  </si>
  <si>
    <t>Cita medica</t>
  </si>
  <si>
    <t>Vueltas que voy a hacer</t>
  </si>
  <si>
    <t>Incoveniente</t>
  </si>
  <si>
    <t>Compromiso</t>
  </si>
  <si>
    <t>Combinación única que indica que un mismo horario no puede tener dos mismas horas en la que empieze y termine</t>
  </si>
  <si>
    <t>Representa el nombre de como se llama la barberia en donde trabajan los barberos. El tipo de dato es alfanumérico, su valor por defecto es el vacio y es no es permitido</t>
  </si>
  <si>
    <t>Representa el día de la semana en que aplica este horario, es necesario para saber que días abrirá la barberia. Su valor por defecto es el vacio y no es permitido, el barbero solo podra seleccionar los días de la semana</t>
  </si>
  <si>
    <t>Representa la cantidad de minutos que el cliente puede llegarle tarde un cliente a la cita establecida con el barbero, despues de eso el barbero lo podrá multar. Debe de ser mayor o igual a 0, su valor por defecto es el 0 y no es permitido</t>
  </si>
  <si>
    <t>Representa la maxima de multas que pueda tener un cliente sin pagar, a partir de esta cantidad se le hace un veto al cliente. Debe de ser mayor o igual a cero, su valor por defecto es 0 y es no es permitido</t>
  </si>
  <si>
    <t>Representa si el barbero sigue o no trabajando en la barberia. Es un dato calculado, si el barbero tiene en su agenda un horario de trabajo si es vigente y si no tiene horario de trabajo dice no es vigente</t>
  </si>
  <si>
    <t>Representa la fecha en el que se veto al cliente, por acomular y no pagar las multas, el numero para que se de el veto lo define la regla de la barbería. Es un dato calculado, el sistema lo genra cuando detecta que un cliente acaba de tener el numero de multas maximas sin pagar</t>
  </si>
  <si>
    <t>Representa como el barbero va a llamar este bloqueo para su agenda. Su valor por defecto es el vacio y no es permitido</t>
  </si>
  <si>
    <t>Representa cuanto valía el servicio en el momento exacto en que se agendó la cita, se guarda aparte del precio del catalogo por si el precio de ese servicio cambia después, las citas ya registradas no se vean afectadas</t>
  </si>
  <si>
    <t>Representa de que pais es el numero de celular del cliente. Su valor por defecto es +0 (este prefijo no representa a ningún país) y no es permitido</t>
  </si>
  <si>
    <t>nombreCliente</t>
  </si>
  <si>
    <t>Representa el nombre completo del cliente con lo que lo registró el barbero</t>
  </si>
  <si>
    <t>prefijoCelularCliente</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</si>
  <si>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</si>
  <si>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</si>
  <si>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 y es permitido</t>
  </si>
  <si>
    <t>Representa cuanto dinero en pesos colombianos debe pagar el cliente la multa. Es un dato calculado si es por retraso el monto es el que dice en regla y si es por incumplida el monto es del o los servicios que pidió</t>
  </si>
  <si>
    <t>fechaHoraInicio</t>
  </si>
  <si>
    <t>fechaHoraFinal</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</si>
  <si>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</si>
  <si>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</si>
  <si>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</si>
  <si>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la cantidad de minutos dura el bloqueo de la agenda. Es un dato calculado a partir de la fechaHoraInicio y fechaHoraFinal</t>
  </si>
  <si>
    <t>Representa la hora a la que abre la barbería. Su valor por defecto es 00:00 y es permitido</t>
  </si>
  <si>
    <t>Representa el prefijo del celular del cliente, para que los barberos sepan el prefijo del cliente</t>
  </si>
  <si>
    <t>Representa el numero de celular del cliente al que se veto, es decir al que no se le podrá agendar más citas. De modo que sepan los barberos el número del cliente que no van a agendar</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</si>
  <si>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</si>
  <si>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</si>
  <si>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a la que cierra la barbería. Su valor por defecto es 00:00 y no es permitido</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</si>
  <si>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</si>
  <si>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hora en que el barbero termina su descanso de trabajo. Su valor por defecto es 00:00 no es permitido. La hora debe de ser mayor a la horaInicio y debe estar dentro del horario barbero</t>
  </si>
  <si>
    <t>Representa la hora en que el barbero empieza su descanso de trabajo. Su valor por defecto es 00:00 y es permitido. La hora debe de estar dentro del horario del barbero, es decir que no se puede salir del horario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</si>
</sst>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95">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18" fontId="0" fillId="0" borderId="0" xfId="0" applyNumberFormat="1" applyAlignment="1">
      <alignment horizontal="center"/>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4" borderId="1" xfId="0" applyFont="1" applyFill="1" applyBorder="1" applyAlignment="1">
      <alignment horizontal="center"/>
    </xf>
    <xf numFmtId="0" fontId="3" fillId="0" borderId="1" xfId="1" applyFill="1" applyBorder="1" applyAlignment="1">
      <alignment horizontal="center"/>
    </xf>
    <xf numFmtId="18" fontId="8" fillId="0" borderId="1" xfId="1" applyNumberFormat="1" applyFont="1" applyBorder="1" applyAlignment="1">
      <alignment horizontal="center"/>
    </xf>
    <xf numFmtId="18" fontId="0" fillId="0" borderId="1" xfId="0" applyNumberFormat="1" applyBorder="1" applyAlignment="1">
      <alignment horizontal="center" wrapText="1"/>
    </xf>
    <xf numFmtId="18" fontId="8" fillId="0" borderId="1" xfId="0" applyNumberFormat="1" applyFont="1" applyBorder="1" applyAlignment="1">
      <alignment horizontal="center"/>
    </xf>
    <xf numFmtId="0" fontId="5" fillId="9" borderId="1" xfId="1" applyFont="1" applyFill="1" applyBorder="1" applyAlignment="1">
      <alignment horizontal="center"/>
    </xf>
    <xf numFmtId="0" fontId="8" fillId="0" borderId="1" xfId="1" applyNumberFormat="1" applyFont="1" applyBorder="1" applyAlignment="1">
      <alignment horizontal="center"/>
    </xf>
    <xf numFmtId="0" fontId="5" fillId="10" borderId="1" xfId="0" applyFont="1" applyFill="1" applyBorder="1" applyAlignment="1">
      <alignment horizontal="center"/>
    </xf>
    <xf numFmtId="0" fontId="5" fillId="10" borderId="1" xfId="1" applyFont="1" applyFill="1" applyBorder="1" applyAlignment="1">
      <alignment horizontal="center"/>
    </xf>
    <xf numFmtId="0" fontId="5" fillId="14" borderId="1" xfId="1" applyFont="1" applyFill="1" applyBorder="1" applyAlignment="1">
      <alignment horizontal="center"/>
    </xf>
    <xf numFmtId="22" fontId="8" fillId="0" borderId="1" xfId="1" applyNumberFormat="1" applyFont="1" applyBorder="1" applyAlignment="1">
      <alignment horizontal="center"/>
    </xf>
    <xf numFmtId="22" fontId="8" fillId="0" borderId="1" xfId="1" applyNumberFormat="1" applyFont="1" applyFill="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49" fontId="3" fillId="0" borderId="1" xfId="1" applyNumberFormat="1" applyBorder="1" applyAlignment="1">
      <alignment horizontal="center"/>
    </xf>
    <xf numFmtId="0" fontId="0" fillId="0" borderId="0" xfId="0" applyNumberFormat="1"/>
    <xf numFmtId="0" fontId="0" fillId="0" borderId="0" xfId="0" applyNumberFormat="1"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259773</xdr:colOff>
      <xdr:row>3</xdr:row>
      <xdr:rowOff>67347</xdr:rowOff>
    </xdr:from>
    <xdr:to>
      <xdr:col>16</xdr:col>
      <xdr:colOff>752223</xdr:colOff>
      <xdr:row>33</xdr:row>
      <xdr:rowOff>48106</xdr:rowOff>
    </xdr:to>
    <xdr:pic>
      <xdr:nvPicPr>
        <xdr:cNvPr id="3" name="Imagen 2">
          <a:extLst>
            <a:ext uri="{FF2B5EF4-FFF2-40B4-BE49-F238E27FC236}">
              <a16:creationId xmlns:a16="http://schemas.microsoft.com/office/drawing/2014/main" id="{7B8920B4-D75C-E415-61FF-DF31117E7B3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9773" y="644620"/>
          <a:ext cx="13644647" cy="5753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tabSelected="1" zoomScale="99" workbookViewId="0">
      <selection activeCell="T26" sqref="T26"/>
    </sheetView>
  </sheetViews>
  <sheetFormatPr baseColWidth="10" defaultRowHeight="15" x14ac:dyDescent="0.25"/>
  <cols>
    <col min="1" max="1" width="26.28515625" bestFit="1" customWidth="1"/>
  </cols>
  <sheetData>
    <row r="1" spans="1:30" x14ac:dyDescent="0.25">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7"/>
  <sheetViews>
    <sheetView topLeftCell="A9" workbookViewId="0">
      <selection activeCell="D12" sqref="D12"/>
    </sheetView>
  </sheetViews>
  <sheetFormatPr baseColWidth="10" defaultRowHeight="15" x14ac:dyDescent="0.25"/>
  <cols>
    <col min="1" max="1" width="27" bestFit="1" customWidth="1"/>
    <col min="2" max="2" width="63.7109375" customWidth="1"/>
    <col min="3" max="3" width="14.42578125" customWidth="1"/>
    <col min="4" max="4" width="7.7109375" customWidth="1"/>
  </cols>
  <sheetData>
    <row r="1" spans="1:4" x14ac:dyDescent="0.25">
      <c r="A1" s="5" t="s">
        <v>32</v>
      </c>
    </row>
    <row r="2" spans="1:4" x14ac:dyDescent="0.25">
      <c r="A2" s="6" t="s">
        <v>0</v>
      </c>
      <c r="B2" s="6" t="s">
        <v>1</v>
      </c>
      <c r="C2" s="6" t="s">
        <v>2</v>
      </c>
      <c r="D2" s="6" t="s">
        <v>3</v>
      </c>
    </row>
    <row r="3" spans="1:4" ht="45" x14ac:dyDescent="0.25">
      <c r="A3" s="7" t="s">
        <v>4</v>
      </c>
      <c r="B3" s="8" t="s">
        <v>15</v>
      </c>
      <c r="C3" s="7">
        <v>1</v>
      </c>
      <c r="D3" s="9" t="s">
        <v>34</v>
      </c>
    </row>
    <row r="4" spans="1:4" ht="75" x14ac:dyDescent="0.25">
      <c r="A4" s="7" t="s">
        <v>11</v>
      </c>
      <c r="B4" s="8" t="s">
        <v>148</v>
      </c>
      <c r="C4" s="7">
        <v>1</v>
      </c>
      <c r="D4" s="9" t="s">
        <v>34</v>
      </c>
    </row>
    <row r="5" spans="1:4" ht="60" x14ac:dyDescent="0.25">
      <c r="A5" s="7" t="s">
        <v>5</v>
      </c>
      <c r="B5" s="8" t="s">
        <v>149</v>
      </c>
      <c r="C5" s="7">
        <v>2</v>
      </c>
      <c r="D5" s="9" t="s">
        <v>34</v>
      </c>
    </row>
    <row r="6" spans="1:4" ht="45" x14ac:dyDescent="0.25">
      <c r="A6" s="7" t="s">
        <v>72</v>
      </c>
      <c r="B6" s="8" t="s">
        <v>150</v>
      </c>
      <c r="C6" s="7">
        <v>2</v>
      </c>
      <c r="D6" s="9" t="s">
        <v>34</v>
      </c>
    </row>
    <row r="7" spans="1:4" ht="60" x14ac:dyDescent="0.25">
      <c r="A7" s="7" t="s">
        <v>6</v>
      </c>
      <c r="B7" s="8" t="s">
        <v>151</v>
      </c>
      <c r="C7" s="7">
        <v>2</v>
      </c>
      <c r="D7" s="9" t="s">
        <v>34</v>
      </c>
    </row>
    <row r="8" spans="1:4" ht="45" x14ac:dyDescent="0.25">
      <c r="A8" s="7" t="s">
        <v>7</v>
      </c>
      <c r="B8" s="8" t="s">
        <v>16</v>
      </c>
      <c r="C8" s="7">
        <v>2</v>
      </c>
      <c r="D8" s="9" t="s">
        <v>34</v>
      </c>
    </row>
    <row r="9" spans="1:4" ht="75" x14ac:dyDescent="0.25">
      <c r="A9" s="7" t="s">
        <v>13</v>
      </c>
      <c r="B9" s="8" t="s">
        <v>152</v>
      </c>
      <c r="C9" s="7">
        <v>2</v>
      </c>
      <c r="D9" s="9" t="s">
        <v>34</v>
      </c>
    </row>
    <row r="10" spans="1:4" ht="30" x14ac:dyDescent="0.25">
      <c r="A10" s="7" t="s">
        <v>8</v>
      </c>
      <c r="B10" s="8" t="s">
        <v>17</v>
      </c>
      <c r="C10" s="7">
        <v>3</v>
      </c>
      <c r="D10" s="9" t="s">
        <v>34</v>
      </c>
    </row>
    <row r="11" spans="1:4" ht="45" x14ac:dyDescent="0.25">
      <c r="A11" s="7" t="s">
        <v>9</v>
      </c>
      <c r="B11" s="8" t="s">
        <v>153</v>
      </c>
      <c r="C11" s="7">
        <v>3</v>
      </c>
      <c r="D11" s="9" t="s">
        <v>34</v>
      </c>
    </row>
    <row r="12" spans="1:4" ht="90" x14ac:dyDescent="0.25">
      <c r="A12" s="7" t="s">
        <v>196</v>
      </c>
      <c r="B12" s="8" t="s">
        <v>231</v>
      </c>
      <c r="C12" s="7">
        <v>4</v>
      </c>
      <c r="D12" s="9" t="s">
        <v>34</v>
      </c>
    </row>
    <row r="13" spans="1:4" ht="30" x14ac:dyDescent="0.25">
      <c r="A13" s="7" t="s">
        <v>73</v>
      </c>
      <c r="B13" s="8" t="s">
        <v>154</v>
      </c>
      <c r="C13" s="7">
        <v>4</v>
      </c>
      <c r="D13" s="9" t="s">
        <v>34</v>
      </c>
    </row>
    <row r="14" spans="1:4" ht="90" x14ac:dyDescent="0.25">
      <c r="A14" s="7" t="s">
        <v>10</v>
      </c>
      <c r="B14" s="8" t="s">
        <v>155</v>
      </c>
      <c r="C14" s="7">
        <v>4</v>
      </c>
      <c r="D14" s="9" t="s">
        <v>34</v>
      </c>
    </row>
    <row r="15" spans="1:4" ht="60" x14ac:dyDescent="0.25">
      <c r="A15" s="7" t="s">
        <v>197</v>
      </c>
      <c r="B15" s="8" t="s">
        <v>198</v>
      </c>
      <c r="C15" s="7">
        <v>5</v>
      </c>
      <c r="D15" s="9" t="s">
        <v>34</v>
      </c>
    </row>
    <row r="16" spans="1:4" ht="45" x14ac:dyDescent="0.25">
      <c r="A16" s="7" t="s">
        <v>12</v>
      </c>
      <c r="B16" s="8" t="s">
        <v>18</v>
      </c>
      <c r="C16" s="7">
        <v>5</v>
      </c>
      <c r="D16" s="9" t="s">
        <v>34</v>
      </c>
    </row>
    <row r="17" spans="1:4" ht="60" x14ac:dyDescent="0.25">
      <c r="A17" s="7" t="s">
        <v>14</v>
      </c>
      <c r="B17" s="8" t="s">
        <v>19</v>
      </c>
      <c r="C17" s="7">
        <v>5</v>
      </c>
      <c r="D17"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4" location="Cita_D!A1" display="aquí" xr:uid="{3BDFED20-FFB7-4345-9356-B30AC1240BDC}"/>
    <hyperlink ref="D16" location="Multa_D!A1" display="aquí" xr:uid="{5D100657-ADBE-4AA9-A971-9C9D942C9DAD}"/>
    <hyperlink ref="D17"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3" location="HorarioBarbero_D!A1" display="aquí" xr:uid="{3B048927-BA4F-418A-BCDC-3E65406B8FD1}"/>
    <hyperlink ref="D12" location="Bloqueo_D!A1" display="aquí" xr:uid="{C19EA470-C149-4E7D-B95C-B02B73C07975}"/>
    <hyperlink ref="D15" location="Descanso_D!A1" display="aquí" xr:uid="{BA11B464-44BB-488E-84C7-707437A187F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E4" sqref="E4"/>
    </sheetView>
  </sheetViews>
  <sheetFormatPr baseColWidth="10" defaultRowHeight="15" x14ac:dyDescent="0.25"/>
  <cols>
    <col min="1" max="1" width="18.42578125" customWidth="1"/>
    <col min="2" max="2" width="69.42578125" bestFit="1" customWidth="1"/>
  </cols>
  <sheetData>
    <row r="1" spans="1:2" x14ac:dyDescent="0.25">
      <c r="A1" s="7" t="s">
        <v>163</v>
      </c>
      <c r="B1" s="7" t="s">
        <v>1</v>
      </c>
    </row>
    <row r="2" spans="1:2" x14ac:dyDescent="0.25">
      <c r="A2" s="56" t="s">
        <v>164</v>
      </c>
      <c r="B2" s="56" t="s">
        <v>172</v>
      </c>
    </row>
    <row r="3" spans="1:2" ht="30" x14ac:dyDescent="0.25">
      <c r="A3" s="57" t="s">
        <v>165</v>
      </c>
      <c r="B3" s="66" t="s">
        <v>173</v>
      </c>
    </row>
    <row r="4" spans="1:2" x14ac:dyDescent="0.25">
      <c r="A4" s="59" t="s">
        <v>166</v>
      </c>
      <c r="B4" s="59" t="s">
        <v>174</v>
      </c>
    </row>
    <row r="5" spans="1:2" x14ac:dyDescent="0.25">
      <c r="A5" s="58" t="s">
        <v>193</v>
      </c>
      <c r="B5" s="67" t="s">
        <v>194</v>
      </c>
    </row>
    <row r="6" spans="1:2" x14ac:dyDescent="0.25">
      <c r="A6" s="60" t="s">
        <v>167</v>
      </c>
      <c r="B6" s="60" t="s">
        <v>178</v>
      </c>
    </row>
    <row r="7" spans="1:2" ht="30" x14ac:dyDescent="0.25">
      <c r="A7" s="61" t="s">
        <v>168</v>
      </c>
      <c r="B7" s="68" t="s">
        <v>175</v>
      </c>
    </row>
    <row r="8" spans="1:2" ht="30" x14ac:dyDescent="0.25">
      <c r="A8" s="62" t="s">
        <v>169</v>
      </c>
      <c r="B8" s="69" t="s">
        <v>176</v>
      </c>
    </row>
    <row r="9" spans="1:2" ht="45" x14ac:dyDescent="0.25">
      <c r="A9" s="63" t="s">
        <v>69</v>
      </c>
      <c r="B9" s="70" t="s">
        <v>177</v>
      </c>
    </row>
    <row r="10" spans="1:2" ht="45" x14ac:dyDescent="0.25">
      <c r="A10" s="64" t="s">
        <v>170</v>
      </c>
      <c r="B10" s="64" t="s">
        <v>179</v>
      </c>
    </row>
    <row r="11" spans="1:2" ht="75" x14ac:dyDescent="0.25">
      <c r="A11" s="65" t="s">
        <v>171</v>
      </c>
      <c r="B11" s="71"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0" zoomScaleNormal="160" workbookViewId="0">
      <selection activeCell="B6" sqref="B6"/>
    </sheetView>
  </sheetViews>
  <sheetFormatPr baseColWidth="10" defaultRowHeight="15" x14ac:dyDescent="0.25"/>
  <cols>
    <col min="1" max="1" width="33.85546875" customWidth="1"/>
    <col min="2" max="2" width="34.7109375" customWidth="1"/>
    <col min="3" max="3" width="21" customWidth="1"/>
  </cols>
  <sheetData>
    <row r="1" spans="1:3" x14ac:dyDescent="0.25">
      <c r="A1" s="5" t="s">
        <v>32</v>
      </c>
      <c r="B1" s="5" t="s">
        <v>33</v>
      </c>
    </row>
    <row r="2" spans="1:3" ht="30.75" customHeight="1" x14ac:dyDescent="0.25">
      <c r="A2" s="18" t="s">
        <v>20</v>
      </c>
      <c r="B2" s="18" t="s">
        <v>213</v>
      </c>
    </row>
    <row r="3" spans="1:3" x14ac:dyDescent="0.25">
      <c r="A3" s="13" t="s">
        <v>31</v>
      </c>
      <c r="B3" s="72" t="s">
        <v>21</v>
      </c>
      <c r="C3" s="35"/>
    </row>
    <row r="4" spans="1:3" x14ac:dyDescent="0.25">
      <c r="A4" s="12">
        <v>1</v>
      </c>
      <c r="B4" s="36" t="s">
        <v>66</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zoomScale="145" zoomScaleNormal="145" workbookViewId="0">
      <selection activeCell="E11" sqref="E11"/>
    </sheetView>
  </sheetViews>
  <sheetFormatPr baseColWidth="10" defaultRowHeight="15" x14ac:dyDescent="0.25"/>
  <cols>
    <col min="1" max="1" width="26.85546875" style="10" customWidth="1"/>
    <col min="2" max="6" width="26.28515625" style="10" customWidth="1"/>
    <col min="7" max="7" width="23.140625" style="10" customWidth="1"/>
    <col min="8" max="8" width="38.5703125" style="10" bestFit="1" customWidth="1"/>
  </cols>
  <sheetData>
    <row r="1" spans="1:8" x14ac:dyDescent="0.25">
      <c r="A1" s="11" t="s">
        <v>32</v>
      </c>
      <c r="B1" s="11" t="s">
        <v>33</v>
      </c>
      <c r="C1" s="11"/>
      <c r="D1" s="11"/>
      <c r="E1" s="11"/>
      <c r="F1" s="11"/>
      <c r="G1" s="12"/>
      <c r="H1" s="12"/>
    </row>
    <row r="2" spans="1:8" ht="46.5" x14ac:dyDescent="0.25">
      <c r="A2" s="17" t="s">
        <v>20</v>
      </c>
      <c r="B2" s="17" t="s">
        <v>181</v>
      </c>
      <c r="C2" s="17" t="s">
        <v>182</v>
      </c>
      <c r="D2" s="17" t="s">
        <v>183</v>
      </c>
      <c r="E2" s="17" t="s">
        <v>184</v>
      </c>
      <c r="F2" s="17" t="s">
        <v>221</v>
      </c>
      <c r="G2" s="18" t="s">
        <v>185</v>
      </c>
      <c r="H2" s="19" t="s">
        <v>135</v>
      </c>
    </row>
    <row r="3" spans="1:8" x14ac:dyDescent="0.25">
      <c r="A3" s="13" t="s">
        <v>31</v>
      </c>
      <c r="B3" s="55" t="s">
        <v>101</v>
      </c>
      <c r="C3" s="55" t="s">
        <v>103</v>
      </c>
      <c r="D3" s="55" t="s">
        <v>102</v>
      </c>
      <c r="E3" s="55" t="s">
        <v>104</v>
      </c>
      <c r="F3" s="72" t="s">
        <v>156</v>
      </c>
      <c r="G3" s="72" t="s">
        <v>22</v>
      </c>
      <c r="H3" s="14" t="s">
        <v>69</v>
      </c>
    </row>
    <row r="4" spans="1:8" x14ac:dyDescent="0.25">
      <c r="A4" s="12">
        <v>1</v>
      </c>
      <c r="B4" s="12" t="s">
        <v>118</v>
      </c>
      <c r="C4" s="12"/>
      <c r="D4" s="12" t="s">
        <v>111</v>
      </c>
      <c r="E4" s="12"/>
      <c r="F4" s="45" t="s">
        <v>129</v>
      </c>
      <c r="G4" s="12">
        <v>3234528921</v>
      </c>
      <c r="H4" s="12" t="str">
        <f>_xlfn.CONCAT(B4,"-",C4,"-",D4,"-",E4,"-",F4,"-",G4)</f>
        <v>Juan--Gómez--+57-3234528921</v>
      </c>
    </row>
    <row r="5" spans="1:8" x14ac:dyDescent="0.25">
      <c r="A5" s="12">
        <v>2</v>
      </c>
      <c r="B5" s="12" t="s">
        <v>116</v>
      </c>
      <c r="C5" s="12" t="s">
        <v>117</v>
      </c>
      <c r="D5" s="12" t="s">
        <v>113</v>
      </c>
      <c r="E5" s="12" t="s">
        <v>112</v>
      </c>
      <c r="F5" s="45" t="s">
        <v>129</v>
      </c>
      <c r="G5" s="12">
        <v>3161657782</v>
      </c>
      <c r="H5" s="12" t="str">
        <f t="shared" ref="H5:H7" si="0">_xlfn.CONCAT(B5,"-",C5,"-",D5,"-",E5,"-",F5,"-",G5)</f>
        <v>Jose-Miguel-Ramirez-Perez-+57-3161657782</v>
      </c>
    </row>
    <row r="6" spans="1:8" x14ac:dyDescent="0.25">
      <c r="A6" s="12">
        <v>3</v>
      </c>
      <c r="B6" s="12" t="s">
        <v>119</v>
      </c>
      <c r="C6" s="12"/>
      <c r="D6" s="12" t="s">
        <v>115</v>
      </c>
      <c r="E6" s="12" t="s">
        <v>113</v>
      </c>
      <c r="F6" s="45" t="s">
        <v>129</v>
      </c>
      <c r="G6" s="12">
        <v>3119884321</v>
      </c>
      <c r="H6" s="12" t="str">
        <f t="shared" si="0"/>
        <v>Simon--Ochoa-Ramirez-+57-3119884321</v>
      </c>
    </row>
    <row r="7" spans="1:8" x14ac:dyDescent="0.25">
      <c r="A7" s="12">
        <v>4</v>
      </c>
      <c r="B7" s="12" t="s">
        <v>120</v>
      </c>
      <c r="C7" s="12"/>
      <c r="D7" s="12" t="s">
        <v>114</v>
      </c>
      <c r="E7" s="12"/>
      <c r="F7" s="45" t="s">
        <v>130</v>
      </c>
      <c r="G7" s="12">
        <v>4127359182</v>
      </c>
      <c r="H7" s="12" t="str">
        <f t="shared" si="0"/>
        <v>Alexis--Gallego--+58-4127359182</v>
      </c>
    </row>
    <row r="11" spans="1:8" x14ac:dyDescent="0.25">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D3" sqref="D3"/>
    </sheetView>
  </sheetViews>
  <sheetFormatPr baseColWidth="10" defaultRowHeight="15" x14ac:dyDescent="0.25"/>
  <cols>
    <col min="1" max="1" width="26.85546875" customWidth="1"/>
    <col min="2" max="2" width="32.5703125" customWidth="1"/>
    <col min="3" max="3" width="28" customWidth="1"/>
    <col min="4" max="4" width="26.7109375" customWidth="1"/>
    <col min="5" max="5" width="16.28515625" bestFit="1" customWidth="1"/>
    <col min="6" max="6" width="18.42578125" bestFit="1" customWidth="1"/>
  </cols>
  <sheetData>
    <row r="1" spans="1:6" x14ac:dyDescent="0.25">
      <c r="A1" s="5" t="s">
        <v>32</v>
      </c>
      <c r="B1" s="5" t="s">
        <v>33</v>
      </c>
    </row>
    <row r="2" spans="1:6" ht="46.5" x14ac:dyDescent="0.25">
      <c r="A2" s="17" t="s">
        <v>20</v>
      </c>
      <c r="B2" s="18" t="s">
        <v>215</v>
      </c>
      <c r="C2" s="18" t="s">
        <v>186</v>
      </c>
      <c r="D2" s="18" t="s">
        <v>216</v>
      </c>
      <c r="E2" s="18" t="s">
        <v>68</v>
      </c>
    </row>
    <row r="3" spans="1:6" x14ac:dyDescent="0.25">
      <c r="A3" s="13" t="s">
        <v>31</v>
      </c>
      <c r="B3" s="73" t="s">
        <v>35</v>
      </c>
      <c r="C3" s="73" t="s">
        <v>23</v>
      </c>
      <c r="D3" s="73" t="s">
        <v>67</v>
      </c>
      <c r="E3" s="31" t="s">
        <v>36</v>
      </c>
      <c r="F3" s="3"/>
    </row>
    <row r="4" spans="1:6" x14ac:dyDescent="0.25">
      <c r="A4" s="12">
        <v>1</v>
      </c>
      <c r="B4" s="12">
        <v>10</v>
      </c>
      <c r="C4" s="39">
        <v>10000</v>
      </c>
      <c r="D4" s="12">
        <v>3</v>
      </c>
      <c r="E4" s="47" t="str">
        <f>Barberia_D!B4</f>
        <v>Barbería Oriental</v>
      </c>
      <c r="F4" t="str">
        <f>_xlfn.CONCAT(D9)</f>
        <v/>
      </c>
    </row>
    <row r="5" spans="1:6" x14ac:dyDescent="0.25">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1"/>
  <sheetViews>
    <sheetView zoomScale="145" zoomScaleNormal="145" workbookViewId="0">
      <selection activeCell="E3" sqref="E3"/>
    </sheetView>
  </sheetViews>
  <sheetFormatPr baseColWidth="10" defaultRowHeight="15" x14ac:dyDescent="0.25"/>
  <cols>
    <col min="1" max="1" width="27" bestFit="1" customWidth="1"/>
    <col min="2" max="2" width="26" bestFit="1" customWidth="1"/>
    <col min="3" max="3" width="34.42578125" customWidth="1"/>
    <col min="4" max="4" width="23.5703125" customWidth="1"/>
    <col min="5" max="5" width="23.7109375" customWidth="1"/>
    <col min="6" max="6" width="34.85546875" customWidth="1"/>
  </cols>
  <sheetData>
    <row r="1" spans="1:6" x14ac:dyDescent="0.25">
      <c r="A1" s="5" t="s">
        <v>32</v>
      </c>
      <c r="B1" s="5" t="s">
        <v>33</v>
      </c>
    </row>
    <row r="2" spans="1:6" ht="44.45" customHeight="1" x14ac:dyDescent="0.25">
      <c r="A2" s="18" t="s">
        <v>20</v>
      </c>
      <c r="B2" s="18" t="s">
        <v>74</v>
      </c>
      <c r="C2" s="18" t="s">
        <v>214</v>
      </c>
      <c r="D2" s="18" t="s">
        <v>235</v>
      </c>
      <c r="E2" s="18" t="s">
        <v>240</v>
      </c>
      <c r="F2" s="18" t="s">
        <v>121</v>
      </c>
    </row>
    <row r="3" spans="1:6" x14ac:dyDescent="0.25">
      <c r="A3" s="13" t="s">
        <v>31</v>
      </c>
      <c r="B3" s="31" t="s">
        <v>36</v>
      </c>
      <c r="C3" s="85" t="s">
        <v>75</v>
      </c>
      <c r="D3" s="74" t="s">
        <v>76</v>
      </c>
      <c r="E3" s="75" t="s">
        <v>77</v>
      </c>
      <c r="F3" s="34" t="s">
        <v>69</v>
      </c>
    </row>
    <row r="4" spans="1:6" x14ac:dyDescent="0.25">
      <c r="A4" s="12">
        <v>1</v>
      </c>
      <c r="B4" s="47" t="str">
        <f>Barberia_D!B4</f>
        <v>Barbería Oriental</v>
      </c>
      <c r="C4" s="36" t="s">
        <v>78</v>
      </c>
      <c r="D4" s="90">
        <v>0.375</v>
      </c>
      <c r="E4" s="90">
        <v>0.79166666666666663</v>
      </c>
      <c r="F4" s="12" t="str">
        <f>_xlfn.CONCAT(B4,"-",C4,"-",TEXT(D4,"hh:mm"),"-",TEXT(E4,"hh:mm"))</f>
        <v>Barbería Oriental-Lunes-09:00-19:00</v>
      </c>
    </row>
    <row r="5" spans="1:6" x14ac:dyDescent="0.25">
      <c r="A5" s="12">
        <v>2</v>
      </c>
      <c r="B5" s="47" t="str">
        <f>Barberia_D!B4</f>
        <v>Barbería Oriental</v>
      </c>
      <c r="C5" s="12" t="s">
        <v>79</v>
      </c>
      <c r="D5" s="90">
        <v>0.375</v>
      </c>
      <c r="E5" s="90">
        <v>0.79166666666666663</v>
      </c>
      <c r="F5" s="12" t="str">
        <f t="shared" ref="F5:F9" si="0">_xlfn.CONCAT(B5,"-",C5,"-",TEXT(D5,"hh:mm"),"-",TEXT(E5,"hh:mm"))</f>
        <v>Barbería Oriental-Martes-09:00-19:00</v>
      </c>
    </row>
    <row r="6" spans="1:6" x14ac:dyDescent="0.25">
      <c r="A6" s="12">
        <v>3</v>
      </c>
      <c r="B6" s="47" t="str">
        <f>Barberia_D!B4</f>
        <v>Barbería Oriental</v>
      </c>
      <c r="C6" s="36" t="s">
        <v>80</v>
      </c>
      <c r="D6" s="90">
        <v>0.375</v>
      </c>
      <c r="E6" s="90">
        <v>0.79166666666666696</v>
      </c>
      <c r="F6" s="12" t="str">
        <f t="shared" si="0"/>
        <v>Barbería Oriental-Miércoles-09:00-19:00</v>
      </c>
    </row>
    <row r="7" spans="1:6" x14ac:dyDescent="0.25">
      <c r="A7" s="12">
        <v>4</v>
      </c>
      <c r="B7" s="47" t="str">
        <f>Barberia_D!B4</f>
        <v>Barbería Oriental</v>
      </c>
      <c r="C7" s="12" t="s">
        <v>81</v>
      </c>
      <c r="D7" s="90">
        <v>0.375</v>
      </c>
      <c r="E7" s="90">
        <v>0.79166666666666696</v>
      </c>
      <c r="F7" s="12" t="str">
        <f t="shared" si="0"/>
        <v>Barbería Oriental-Jueves-09:00-19:00</v>
      </c>
    </row>
    <row r="8" spans="1:6" x14ac:dyDescent="0.25">
      <c r="A8" s="12">
        <v>5</v>
      </c>
      <c r="B8" s="47" t="str">
        <f>Barberia_D!B4</f>
        <v>Barbería Oriental</v>
      </c>
      <c r="C8" s="36" t="s">
        <v>82</v>
      </c>
      <c r="D8" s="90">
        <v>0.375</v>
      </c>
      <c r="E8" s="90">
        <v>0.79166666666666696</v>
      </c>
      <c r="F8" s="12" t="str">
        <f t="shared" si="0"/>
        <v>Barbería Oriental-Viernes-09:00-19:00</v>
      </c>
    </row>
    <row r="9" spans="1:6" x14ac:dyDescent="0.25">
      <c r="A9" s="12">
        <v>6</v>
      </c>
      <c r="B9" s="47" t="str">
        <f>Barberia_D!B4</f>
        <v>Barbería Oriental</v>
      </c>
      <c r="C9" s="12" t="s">
        <v>83</v>
      </c>
      <c r="D9" s="91">
        <v>0.33333333333333331</v>
      </c>
      <c r="E9" s="90">
        <v>0.875</v>
      </c>
      <c r="F9" s="12" t="str">
        <f t="shared" si="0"/>
        <v>Barbería Oriental-Sábado-08:00-21:00</v>
      </c>
    </row>
    <row r="10" spans="1:6" x14ac:dyDescent="0.25">
      <c r="A10" s="10"/>
      <c r="B10" s="37"/>
      <c r="C10" s="37"/>
    </row>
    <row r="11" spans="1:6" x14ac:dyDescent="0.25">
      <c r="C11" s="10"/>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zoomScale="130" zoomScaleNormal="130" workbookViewId="0">
      <selection activeCell="B1" sqref="B1"/>
    </sheetView>
  </sheetViews>
  <sheetFormatPr baseColWidth="10" defaultRowHeight="15" x14ac:dyDescent="0.25"/>
  <cols>
    <col min="1" max="2" width="28.140625" customWidth="1"/>
    <col min="3" max="3" width="26.5703125" customWidth="1"/>
    <col min="4" max="4" width="24.42578125" customWidth="1"/>
    <col min="5" max="5" width="25.28515625" customWidth="1"/>
    <col min="6" max="6" width="26.5703125" customWidth="1"/>
  </cols>
  <sheetData>
    <row r="1" spans="1:6" x14ac:dyDescent="0.25">
      <c r="A1" s="15" t="s">
        <v>32</v>
      </c>
      <c r="B1" s="15" t="s">
        <v>33</v>
      </c>
      <c r="D1" s="16"/>
      <c r="E1" s="16"/>
      <c r="F1" s="10"/>
    </row>
    <row r="2" spans="1:6" ht="45.75" customHeight="1" x14ac:dyDescent="0.25">
      <c r="A2" s="17" t="s">
        <v>20</v>
      </c>
      <c r="B2" s="17" t="s">
        <v>137</v>
      </c>
      <c r="C2" s="17" t="s">
        <v>187</v>
      </c>
      <c r="D2" s="30" t="s">
        <v>189</v>
      </c>
      <c r="E2" s="30" t="s">
        <v>190</v>
      </c>
      <c r="F2" s="18" t="s">
        <v>45</v>
      </c>
    </row>
    <row r="3" spans="1:6" x14ac:dyDescent="0.25">
      <c r="A3" s="20" t="s">
        <v>31</v>
      </c>
      <c r="B3" s="52" t="s">
        <v>36</v>
      </c>
      <c r="C3" s="76" t="s">
        <v>21</v>
      </c>
      <c r="D3" s="77" t="s">
        <v>37</v>
      </c>
      <c r="E3" s="77" t="s">
        <v>24</v>
      </c>
      <c r="F3" s="14" t="s">
        <v>188</v>
      </c>
    </row>
    <row r="4" spans="1:6" x14ac:dyDescent="0.25">
      <c r="A4" s="21">
        <v>1</v>
      </c>
      <c r="B4" s="53" t="str">
        <f>Barberia_D!B4</f>
        <v>Barbería Oriental</v>
      </c>
      <c r="C4" s="21" t="s">
        <v>38</v>
      </c>
      <c r="D4" s="21">
        <v>45</v>
      </c>
      <c r="E4" s="22">
        <v>22000</v>
      </c>
      <c r="F4" s="12" t="str">
        <f>C4</f>
        <v>Motilada</v>
      </c>
    </row>
    <row r="5" spans="1:6" x14ac:dyDescent="0.25">
      <c r="A5" s="21">
        <v>2</v>
      </c>
      <c r="B5" s="53" t="str">
        <f>Barberia_D!B4</f>
        <v>Barbería Oriental</v>
      </c>
      <c r="C5" s="21" t="s">
        <v>46</v>
      </c>
      <c r="D5" s="21">
        <v>10</v>
      </c>
      <c r="E5" s="22">
        <v>12000</v>
      </c>
      <c r="F5" s="12" t="str">
        <f t="shared" ref="F5:F7" si="0">C5</f>
        <v>Corte de barba</v>
      </c>
    </row>
    <row r="6" spans="1:6" x14ac:dyDescent="0.25">
      <c r="A6" s="21">
        <v>3</v>
      </c>
      <c r="B6" s="53" t="str">
        <f>Barberia_D!B4</f>
        <v>Barbería Oriental</v>
      </c>
      <c r="C6" s="21" t="s">
        <v>47</v>
      </c>
      <c r="D6" s="21">
        <v>15</v>
      </c>
      <c r="E6" s="22">
        <v>15000</v>
      </c>
      <c r="F6" s="12" t="str">
        <f t="shared" si="0"/>
        <v>Perfilada de barba</v>
      </c>
    </row>
    <row r="7" spans="1:6" ht="30" x14ac:dyDescent="0.25">
      <c r="A7" s="21">
        <v>4</v>
      </c>
      <c r="B7" s="53" t="str">
        <f>Barberia_D!B4</f>
        <v>Barbería Oriental</v>
      </c>
      <c r="C7" s="23" t="s">
        <v>48</v>
      </c>
      <c r="D7" s="21">
        <v>30</v>
      </c>
      <c r="E7" s="22">
        <v>35000</v>
      </c>
      <c r="F7" s="24" t="str">
        <f t="shared" si="0"/>
        <v>Arreglo completo de barba con toalla caliente</v>
      </c>
    </row>
    <row r="8" spans="1:6" x14ac:dyDescent="0.25">
      <c r="A8" s="16"/>
      <c r="B8" s="16"/>
      <c r="C8" s="16"/>
      <c r="D8" s="16"/>
      <c r="E8" s="16"/>
    </row>
    <row r="9" spans="1:6" x14ac:dyDescent="0.25">
      <c r="A9" s="16"/>
      <c r="B9" s="16"/>
      <c r="C9" s="16"/>
      <c r="D9" s="16"/>
      <c r="E9" s="16"/>
    </row>
    <row r="10" spans="1:6" x14ac:dyDescent="0.25">
      <c r="A10" s="16"/>
      <c r="B10" s="16"/>
      <c r="C10" s="16"/>
      <c r="D10" s="16"/>
      <c r="E10" s="16"/>
    </row>
    <row r="11" spans="1:6" x14ac:dyDescent="0.25">
      <c r="A11" s="16"/>
      <c r="B11" s="16"/>
      <c r="C11" s="16"/>
      <c r="D11" s="16"/>
      <c r="E11" s="16"/>
    </row>
    <row r="12" spans="1:6" x14ac:dyDescent="0.25">
      <c r="A12" s="16"/>
      <c r="B12" s="16"/>
      <c r="C12" s="16"/>
      <c r="D12" s="16"/>
      <c r="E12" s="16"/>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0"/>
  <sheetViews>
    <sheetView zoomScale="130" zoomScaleNormal="130" workbookViewId="0">
      <selection activeCell="A11" sqref="A11"/>
    </sheetView>
  </sheetViews>
  <sheetFormatPr baseColWidth="10" defaultRowHeight="15" x14ac:dyDescent="0.25"/>
  <cols>
    <col min="1" max="1" width="27" bestFit="1" customWidth="1"/>
    <col min="2" max="6" width="26.7109375" customWidth="1"/>
    <col min="7" max="7" width="16.28515625" customWidth="1"/>
    <col min="8" max="9" width="40.7109375" customWidth="1"/>
    <col min="10" max="10" width="30.28515625" customWidth="1"/>
    <col min="11" max="11" width="21" customWidth="1"/>
    <col min="12" max="12" width="53.140625" bestFit="1" customWidth="1"/>
  </cols>
  <sheetData>
    <row r="1" spans="1:12" x14ac:dyDescent="0.25">
      <c r="A1" s="5" t="s">
        <v>32</v>
      </c>
      <c r="B1" s="5" t="s">
        <v>33</v>
      </c>
      <c r="C1" s="5"/>
      <c r="D1" s="5"/>
      <c r="E1" s="5"/>
      <c r="F1" s="5"/>
    </row>
    <row r="2" spans="1:12" ht="45.6" customHeight="1" x14ac:dyDescent="0.25">
      <c r="A2" s="25" t="s">
        <v>20</v>
      </c>
      <c r="B2" s="25" t="s">
        <v>157</v>
      </c>
      <c r="C2" s="25" t="s">
        <v>158</v>
      </c>
      <c r="D2" s="25" t="s">
        <v>159</v>
      </c>
      <c r="E2" s="25" t="s">
        <v>160</v>
      </c>
      <c r="F2" s="25" t="s">
        <v>161</v>
      </c>
      <c r="G2" s="26" t="s">
        <v>191</v>
      </c>
      <c r="H2" s="26" t="s">
        <v>192</v>
      </c>
      <c r="I2" s="26" t="s">
        <v>162</v>
      </c>
      <c r="J2" s="26" t="s">
        <v>217</v>
      </c>
      <c r="K2" s="26" t="s">
        <v>138</v>
      </c>
      <c r="L2" s="27" t="s">
        <v>147</v>
      </c>
    </row>
    <row r="3" spans="1:12" x14ac:dyDescent="0.25">
      <c r="A3" s="13" t="s">
        <v>31</v>
      </c>
      <c r="B3" s="55" t="s">
        <v>101</v>
      </c>
      <c r="C3" s="55" t="s">
        <v>103</v>
      </c>
      <c r="D3" s="55" t="s">
        <v>102</v>
      </c>
      <c r="E3" s="55" t="s">
        <v>104</v>
      </c>
      <c r="F3" s="72" t="s">
        <v>128</v>
      </c>
      <c r="G3" s="72" t="s">
        <v>22</v>
      </c>
      <c r="H3" s="72" t="s">
        <v>42</v>
      </c>
      <c r="I3" s="72" t="s">
        <v>124</v>
      </c>
      <c r="J3" s="41" t="s">
        <v>43</v>
      </c>
      <c r="K3" s="31" t="s">
        <v>36</v>
      </c>
      <c r="L3" s="28" t="s">
        <v>70</v>
      </c>
    </row>
    <row r="4" spans="1:12" x14ac:dyDescent="0.25">
      <c r="A4" s="12">
        <v>1</v>
      </c>
      <c r="B4" s="12" t="s">
        <v>118</v>
      </c>
      <c r="C4" s="12" t="s">
        <v>105</v>
      </c>
      <c r="D4" s="12" t="s">
        <v>143</v>
      </c>
      <c r="E4" s="12" t="s">
        <v>107</v>
      </c>
      <c r="F4" s="45" t="s">
        <v>129</v>
      </c>
      <c r="G4" s="12">
        <v>3245627890</v>
      </c>
      <c r="H4" s="11" t="s">
        <v>53</v>
      </c>
      <c r="I4" s="43">
        <v>1264267821</v>
      </c>
      <c r="J4" s="12" t="s">
        <v>49</v>
      </c>
      <c r="K4" s="47" t="str">
        <f>Barberia_D!B4</f>
        <v>Barbería Oriental</v>
      </c>
      <c r="L4" s="12" t="str">
        <f>_xlfn.CONCAT(B4,"-",C4,"-",D4,"-",E4,"-",F4,"-",G4)</f>
        <v>Juan-Fernando-García-Lopez-+57-3245627890</v>
      </c>
    </row>
    <row r="5" spans="1:12" x14ac:dyDescent="0.25">
      <c r="A5" s="12">
        <v>2</v>
      </c>
      <c r="B5" s="12" t="s">
        <v>118</v>
      </c>
      <c r="C5" s="12" t="s">
        <v>106</v>
      </c>
      <c r="D5" s="12" t="s">
        <v>142</v>
      </c>
      <c r="E5" s="12" t="s">
        <v>108</v>
      </c>
      <c r="F5" s="45" t="s">
        <v>129</v>
      </c>
      <c r="G5" s="12">
        <v>3124518923</v>
      </c>
      <c r="H5" s="11" t="s">
        <v>54</v>
      </c>
      <c r="I5" s="43" t="s">
        <v>126</v>
      </c>
      <c r="J5" s="12" t="s">
        <v>49</v>
      </c>
      <c r="K5" s="47" t="str">
        <f>Barberia_D!B4</f>
        <v>Barbería Oriental</v>
      </c>
      <c r="L5" s="12" t="str">
        <f t="shared" ref="L5:L8" si="0">_xlfn.CONCAT(B5,"-",C5,"-",D5,"-",E5,"-",F5,"-",G5)</f>
        <v>Juan-David-Ortiz-Sanchez-+57-3124518923</v>
      </c>
    </row>
    <row r="6" spans="1:12" x14ac:dyDescent="0.25">
      <c r="A6" s="12">
        <v>3</v>
      </c>
      <c r="B6" s="12" t="s">
        <v>51</v>
      </c>
      <c r="C6" s="12"/>
      <c r="D6" s="12" t="s">
        <v>110</v>
      </c>
      <c r="E6" s="12"/>
      <c r="F6" s="45" t="s">
        <v>129</v>
      </c>
      <c r="G6" s="12">
        <v>3214533321</v>
      </c>
      <c r="H6" s="11" t="s">
        <v>55</v>
      </c>
      <c r="I6" s="44" t="s">
        <v>125</v>
      </c>
      <c r="J6" s="12" t="s">
        <v>49</v>
      </c>
      <c r="K6" s="47" t="str">
        <f>Barberia_D!B4</f>
        <v>Barbería Oriental</v>
      </c>
      <c r="L6" s="12" t="str">
        <f t="shared" si="0"/>
        <v>Carlos--Arbeladez--+57-3214533321</v>
      </c>
    </row>
    <row r="7" spans="1:12" x14ac:dyDescent="0.25">
      <c r="A7" s="12">
        <v>4</v>
      </c>
      <c r="B7" s="12" t="s">
        <v>52</v>
      </c>
      <c r="C7" s="12"/>
      <c r="D7" s="12" t="s">
        <v>113</v>
      </c>
      <c r="E7" s="12" t="s">
        <v>109</v>
      </c>
      <c r="F7" s="45" t="s">
        <v>131</v>
      </c>
      <c r="G7" s="12">
        <v>9876543210</v>
      </c>
      <c r="H7" s="11" t="s">
        <v>56</v>
      </c>
      <c r="I7" s="43" t="s">
        <v>127</v>
      </c>
      <c r="J7" s="12" t="s">
        <v>49</v>
      </c>
      <c r="K7" s="47" t="str">
        <f>Barberia_D!B4</f>
        <v>Barbería Oriental</v>
      </c>
      <c r="L7" s="12" t="str">
        <f t="shared" si="0"/>
        <v>Andres--Ramirez-Patiño-+91-9876543210</v>
      </c>
    </row>
    <row r="8" spans="1:12" x14ac:dyDescent="0.25">
      <c r="A8" s="12">
        <v>5</v>
      </c>
      <c r="B8" s="12" t="s">
        <v>118</v>
      </c>
      <c r="C8" s="12" t="s">
        <v>51</v>
      </c>
      <c r="D8" s="12" t="s">
        <v>144</v>
      </c>
      <c r="E8" s="12" t="s">
        <v>112</v>
      </c>
      <c r="F8" s="45" t="s">
        <v>145</v>
      </c>
      <c r="G8" s="12">
        <v>998765432</v>
      </c>
      <c r="H8" s="11" t="s">
        <v>146</v>
      </c>
      <c r="I8" s="12">
        <v>312334342</v>
      </c>
      <c r="J8" s="12" t="s">
        <v>50</v>
      </c>
      <c r="K8" s="47" t="str">
        <f>Barberia_D!B4</f>
        <v>Barbería Oriental</v>
      </c>
      <c r="L8" s="12" t="str">
        <f t="shared" si="0"/>
        <v>Juan-Carlos-Zambrano-Perez-+593-998765432</v>
      </c>
    </row>
    <row r="10" spans="1:12" x14ac:dyDescent="0.25">
      <c r="B10" s="10"/>
      <c r="C10" s="10"/>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G11"/>
  <sheetViews>
    <sheetView zoomScale="130" zoomScaleNormal="130" workbookViewId="0">
      <selection activeCell="E3" sqref="E3"/>
    </sheetView>
  </sheetViews>
  <sheetFormatPr baseColWidth="10" defaultRowHeight="15" x14ac:dyDescent="0.25"/>
  <cols>
    <col min="1" max="2" width="27" customWidth="1"/>
    <col min="3" max="4" width="28.85546875" customWidth="1"/>
    <col min="5" max="5" width="41" customWidth="1"/>
    <col min="6" max="6" width="36.140625" customWidth="1"/>
    <col min="7" max="7" width="26.85546875" customWidth="1"/>
  </cols>
  <sheetData>
    <row r="1" spans="1:7" x14ac:dyDescent="0.25">
      <c r="A1" s="5" t="s">
        <v>32</v>
      </c>
      <c r="B1" s="5" t="s">
        <v>33</v>
      </c>
      <c r="D1" s="5"/>
    </row>
    <row r="2" spans="1:7" ht="49.9" customHeight="1" x14ac:dyDescent="0.25">
      <c r="A2" s="17" t="s">
        <v>20</v>
      </c>
      <c r="B2" s="17" t="s">
        <v>236</v>
      </c>
      <c r="C2" s="17" t="s">
        <v>237</v>
      </c>
      <c r="D2" s="17" t="s">
        <v>223</v>
      </c>
      <c r="E2" s="30" t="s">
        <v>218</v>
      </c>
      <c r="F2" s="30" t="s">
        <v>123</v>
      </c>
      <c r="G2" s="30" t="s">
        <v>58</v>
      </c>
    </row>
    <row r="3" spans="1:7" x14ac:dyDescent="0.25">
      <c r="A3" s="13" t="s">
        <v>31</v>
      </c>
      <c r="B3" s="31" t="s">
        <v>224</v>
      </c>
      <c r="C3" s="31" t="s">
        <v>59</v>
      </c>
      <c r="D3" s="31" t="s">
        <v>222</v>
      </c>
      <c r="E3" s="41" t="s">
        <v>25</v>
      </c>
      <c r="F3" s="41" t="s">
        <v>57</v>
      </c>
      <c r="G3" s="28" t="s">
        <v>71</v>
      </c>
    </row>
    <row r="4" spans="1:7" x14ac:dyDescent="0.25">
      <c r="A4" s="12">
        <v>1</v>
      </c>
      <c r="B4" s="92" t="str">
        <f>Cliente_D!F4</f>
        <v>+57</v>
      </c>
      <c r="C4" s="11">
        <f>Cliente_D!G4</f>
        <v>3234528921</v>
      </c>
      <c r="D4" s="11" t="str">
        <f>_xlfn.CONCAT(Cliente_D!B4," ",Cliente_D!C4," ",Cliente_D!D4," ",Cliente_D!E4)</f>
        <v xml:space="preserve">Juan  Gómez </v>
      </c>
      <c r="E4" s="32">
        <v>45255</v>
      </c>
      <c r="F4" s="12" t="s">
        <v>50</v>
      </c>
      <c r="G4" s="12" t="str">
        <f>_xlfn.CONCAT(C4,"-",TEXT(E4,"dd/mm/yyyy"))</f>
        <v>3234528921-25/11/2023</v>
      </c>
    </row>
    <row r="5" spans="1:7" x14ac:dyDescent="0.25">
      <c r="A5" s="12">
        <v>2</v>
      </c>
      <c r="B5" s="92" t="str">
        <f>Cliente_D!F5</f>
        <v>+57</v>
      </c>
      <c r="C5" s="11">
        <f>Cliente_D!G5</f>
        <v>3161657782</v>
      </c>
      <c r="D5" s="11" t="str">
        <f>_xlfn.CONCAT(Cliente_D!B5," ",Cliente_D!C5," ",Cliente_D!D5," ",Cliente_D!E5)</f>
        <v>Jose Miguel Ramirez Perez</v>
      </c>
      <c r="E5" s="32">
        <v>45372</v>
      </c>
      <c r="F5" s="12" t="s">
        <v>50</v>
      </c>
      <c r="G5" s="12" t="str">
        <f t="shared" ref="G5:G7" si="0">_xlfn.CONCAT(C5,"-",TEXT(E5,"dd/mm/yyyy"))</f>
        <v>3161657782-21/03/2024</v>
      </c>
    </row>
    <row r="6" spans="1:7" x14ac:dyDescent="0.25">
      <c r="A6" s="12">
        <v>3</v>
      </c>
      <c r="B6" s="92" t="str">
        <f>Cliente_D!F6</f>
        <v>+57</v>
      </c>
      <c r="C6" s="11">
        <f>Cliente_D!G6</f>
        <v>3119884321</v>
      </c>
      <c r="D6" s="11" t="str">
        <f>_xlfn.CONCAT(Cliente_D!B6," ",Cliente_D!C6," ",Cliente_D!D6," ",Cliente_D!E6)</f>
        <v>Simon  Ochoa Ramirez</v>
      </c>
      <c r="E6" s="32">
        <v>45556</v>
      </c>
      <c r="F6" s="12" t="s">
        <v>49</v>
      </c>
      <c r="G6" s="12" t="str">
        <f t="shared" si="0"/>
        <v>3119884321-21/09/2024</v>
      </c>
    </row>
    <row r="7" spans="1:7" x14ac:dyDescent="0.25">
      <c r="A7" s="12">
        <v>4</v>
      </c>
      <c r="B7" s="92" t="str">
        <f>Cliente_D!F7</f>
        <v>+58</v>
      </c>
      <c r="C7" s="11">
        <f>Cliente_D!G7</f>
        <v>4127359182</v>
      </c>
      <c r="D7" s="11" t="str">
        <f>_xlfn.CONCAT(Cliente_D!B7," ",Cliente_D!C7," ",Cliente_D!D7," ",Cliente_D!E7)</f>
        <v xml:space="preserve">Alexis  Gallego </v>
      </c>
      <c r="E7" s="32">
        <v>46002</v>
      </c>
      <c r="F7" s="12" t="s">
        <v>49</v>
      </c>
      <c r="G7" s="12" t="str">
        <f t="shared" si="0"/>
        <v>4127359182-11/12/2025</v>
      </c>
    </row>
    <row r="8" spans="1:7" x14ac:dyDescent="0.25">
      <c r="E8" s="29"/>
      <c r="F8" s="29"/>
    </row>
    <row r="11" spans="1:7" x14ac:dyDescent="0.25">
      <c r="E11" s="42"/>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C3" location="Cliente_D!A1" display="cliente" xr:uid="{F7C47FD3-2FEB-4E40-8CE8-9FEC66E905E0}"/>
    <hyperlink ref="C4" location="Cliente_D!A4" display="Cliente_D!A4" xr:uid="{7F6CACFC-57C0-447E-811A-802403EBA0AC}"/>
    <hyperlink ref="C5" location="Cliente_D!A5" display="Cliente_D!A5" xr:uid="{EE87A799-0DAD-412E-8BF4-24089411596B}"/>
    <hyperlink ref="C6" location="Cliente_D!A6" display="Cliente_D!A6" xr:uid="{D95F6EBA-51E7-42CB-9EFD-6676C5924513}"/>
    <hyperlink ref="C7" location="Cliente_D!A7" display="Cliente_D!A7" xr:uid="{9BA1680E-A8A5-4CE9-866D-EC3B5A4F5B91}"/>
    <hyperlink ref="D3" location="Cliente_D!A1" display="nombreCliente" xr:uid="{68430887-3CDA-4C9D-A9B6-DD494CC66E80}"/>
    <hyperlink ref="D4" location="Cliente_D!A4" display="Cliente_D!A4" xr:uid="{DC10FACA-52DE-4612-881C-57BC4CBD25A5}"/>
    <hyperlink ref="D5" location="Veto_D!A5" display="Veto_D!A5" xr:uid="{69A54058-DDEF-478F-92C9-1D0A036ECD17}"/>
    <hyperlink ref="D6" location="Veto_D!A6" display="Veto_D!A6" xr:uid="{3A9B5D93-9BFF-419B-8463-90BD464EE14C}"/>
    <hyperlink ref="D7" location="Veto_D!A7" display="Veto_D!A7" xr:uid="{DD180C3F-CB53-4CD4-BF38-5DA49CDF6A7A}"/>
    <hyperlink ref="B3" location="Cliente_D!A1" display="prefijoCelularCliente" xr:uid="{95163A37-51BA-42CF-9077-5A2663E258C4}"/>
    <hyperlink ref="B4" location="Cliente_D!A4" display="Cliente_D!A4" xr:uid="{F91463B6-23BA-47C1-BDE5-CE760AFC5378}"/>
    <hyperlink ref="B5" location="Cliente_D!A5" display="Cliente_D!A5" xr:uid="{63234F4D-EF9A-4729-8EBD-7241705C09B7}"/>
    <hyperlink ref="B6" location="Cliente_D!A6" display="Cliente_D!A6" xr:uid="{8618DC09-780E-4CC7-8513-BFB56E4EC06C}"/>
    <hyperlink ref="B7" location="Cliente_D!A7" display="Cliente_D!A7" xr:uid="{0B51C16B-0BF1-41D9-8A51-AF1E29A8056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C11" sqref="C11"/>
    </sheetView>
  </sheetViews>
  <sheetFormatPr baseColWidth="10" defaultRowHeight="15" x14ac:dyDescent="0.25"/>
  <cols>
    <col min="1" max="1" width="29.140625" customWidth="1"/>
    <col min="2" max="2" width="30" customWidth="1"/>
    <col min="3" max="3" width="41.85546875" bestFit="1" customWidth="1"/>
    <col min="4" max="4" width="61.140625" bestFit="1" customWidth="1"/>
  </cols>
  <sheetData>
    <row r="1" spans="1:4" x14ac:dyDescent="0.25">
      <c r="A1" s="5" t="s">
        <v>32</v>
      </c>
      <c r="B1" s="5" t="s">
        <v>33</v>
      </c>
    </row>
    <row r="2" spans="1:4" ht="36.75" customHeight="1" x14ac:dyDescent="0.25">
      <c r="A2" s="17" t="s">
        <v>20</v>
      </c>
      <c r="B2" s="33" t="s">
        <v>61</v>
      </c>
      <c r="C2" s="30" t="s">
        <v>62</v>
      </c>
      <c r="D2" s="40" t="s">
        <v>100</v>
      </c>
    </row>
    <row r="3" spans="1:4" x14ac:dyDescent="0.25">
      <c r="A3" s="13" t="s">
        <v>31</v>
      </c>
      <c r="B3" s="31" t="s">
        <v>40</v>
      </c>
      <c r="C3" s="31" t="s">
        <v>41</v>
      </c>
      <c r="D3" s="34" t="s">
        <v>69</v>
      </c>
    </row>
    <row r="4" spans="1:4" x14ac:dyDescent="0.25">
      <c r="A4" s="12">
        <v>1</v>
      </c>
      <c r="B4" s="11" t="str">
        <f>_xlfn.CONCAT(Barbero_D!B4," ",Barbero_D!D4)</f>
        <v>Juan García</v>
      </c>
      <c r="C4" s="11" t="str">
        <f>Servicio_D!C4</f>
        <v>Motilada</v>
      </c>
      <c r="D4" s="12" t="str">
        <f>_xlfn.CONCAT(B4,"-",C4)</f>
        <v>Juan García-Motilada</v>
      </c>
    </row>
    <row r="5" spans="1:4" x14ac:dyDescent="0.25">
      <c r="A5" s="12">
        <v>2</v>
      </c>
      <c r="B5" s="11" t="str">
        <f>_xlfn.CONCAT(Barbero_D!B5," ",Barbero_D!D5)</f>
        <v>Juan Ortiz</v>
      </c>
      <c r="C5" s="11" t="str">
        <f>Servicio_D!C5</f>
        <v>Corte de barba</v>
      </c>
      <c r="D5" s="12" t="str">
        <f t="shared" ref="D5:D7" si="0">_xlfn.CONCAT(B5,"-",C5)</f>
        <v>Juan Ortiz-Corte de barba</v>
      </c>
    </row>
    <row r="6" spans="1:4" x14ac:dyDescent="0.25">
      <c r="A6" s="12">
        <v>3</v>
      </c>
      <c r="B6" s="11" t="str">
        <f>_xlfn.CONCAT(Barbero_D!B6," ",Barbero_D!D6)</f>
        <v>Carlos Arbeladez</v>
      </c>
      <c r="C6" s="11" t="str">
        <f>Servicio_D!C6</f>
        <v>Perfilada de barba</v>
      </c>
      <c r="D6" s="12" t="str">
        <f t="shared" si="0"/>
        <v>Carlos Arbeladez-Perfilada de barba</v>
      </c>
    </row>
    <row r="7" spans="1:4" x14ac:dyDescent="0.25">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A7" sqref="A7"/>
    </sheetView>
  </sheetViews>
  <sheetFormatPr baseColWidth="10" defaultRowHeight="15" x14ac:dyDescent="0.25"/>
  <cols>
    <col min="1" max="1" width="30" customWidth="1"/>
    <col min="2" max="2" width="42.28515625" customWidth="1"/>
    <col min="3" max="3" width="37.42578125" customWidth="1"/>
  </cols>
  <sheetData>
    <row r="1" spans="1:3" x14ac:dyDescent="0.25">
      <c r="A1" s="5" t="s">
        <v>32</v>
      </c>
      <c r="B1" s="5" t="s">
        <v>33</v>
      </c>
    </row>
    <row r="2" spans="1:3" ht="28.5" x14ac:dyDescent="0.25">
      <c r="A2" s="17" t="s">
        <v>20</v>
      </c>
      <c r="B2" s="17" t="s">
        <v>122</v>
      </c>
      <c r="C2" s="18" t="s">
        <v>84</v>
      </c>
    </row>
    <row r="3" spans="1:3" x14ac:dyDescent="0.25">
      <c r="A3" s="13" t="s">
        <v>31</v>
      </c>
      <c r="B3" s="31" t="s">
        <v>40</v>
      </c>
      <c r="C3" s="28" t="s">
        <v>69</v>
      </c>
    </row>
    <row r="4" spans="1:3" x14ac:dyDescent="0.25">
      <c r="A4" s="12">
        <v>1</v>
      </c>
      <c r="B4" s="11" t="str">
        <f>_xlfn.CONCAT(Barbero_D!B4," ",Barbero_D!D4)</f>
        <v>Juan García</v>
      </c>
      <c r="C4" s="12" t="str">
        <f>B4</f>
        <v>Juan García</v>
      </c>
    </row>
    <row r="5" spans="1:3" x14ac:dyDescent="0.25">
      <c r="A5" s="12">
        <v>2</v>
      </c>
      <c r="B5" s="11" t="str">
        <f>_xlfn.CONCAT(Barbero_D!B5," ",Barbero_D!D5)</f>
        <v>Juan Ortiz</v>
      </c>
      <c r="C5" s="12" t="str">
        <f t="shared" ref="C5:C7" si="0">B5</f>
        <v>Juan Ortiz</v>
      </c>
    </row>
    <row r="6" spans="1:3" x14ac:dyDescent="0.25">
      <c r="A6" s="12">
        <v>3</v>
      </c>
      <c r="B6" s="11" t="str">
        <f>_xlfn.CONCAT(Barbero_D!B6," ",Barbero_D!D6)</f>
        <v>Carlos Arbeladez</v>
      </c>
      <c r="C6" s="12" t="str">
        <f t="shared" si="0"/>
        <v>Carlos Arbeladez</v>
      </c>
    </row>
    <row r="7" spans="1:3" x14ac:dyDescent="0.25">
      <c r="A7" s="12">
        <v>4</v>
      </c>
      <c r="B7" s="11" t="str">
        <f>_xlfn.CONCAT(Barbero_D!B7," ",Barbero_D!D7)</f>
        <v>Andres Ramirez</v>
      </c>
      <c r="C7" s="12" t="str">
        <f t="shared" si="0"/>
        <v>Andres Ramirez</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E141B-6E6C-47BF-9B70-297A81AC9A72}">
  <dimension ref="A1:G7"/>
  <sheetViews>
    <sheetView zoomScale="145" zoomScaleNormal="145" workbookViewId="0">
      <selection activeCell="F14" sqref="F14"/>
    </sheetView>
  </sheetViews>
  <sheetFormatPr baseColWidth="10" defaultRowHeight="15" x14ac:dyDescent="0.25"/>
  <cols>
    <col min="1" max="1" width="26.85546875" customWidth="1"/>
    <col min="2" max="2" width="32.5703125" customWidth="1"/>
    <col min="3" max="3" width="34.5703125" customWidth="1"/>
    <col min="4" max="4" width="32.5703125" customWidth="1"/>
    <col min="5" max="5" width="21.85546875" bestFit="1" customWidth="1"/>
    <col min="6" max="6" width="20.140625" customWidth="1"/>
    <col min="7" max="7" width="47.140625" bestFit="1" customWidth="1"/>
  </cols>
  <sheetData>
    <row r="1" spans="1:7" x14ac:dyDescent="0.25">
      <c r="A1" s="5" t="s">
        <v>32</v>
      </c>
      <c r="B1" s="5" t="s">
        <v>33</v>
      </c>
      <c r="C1" s="5"/>
      <c r="D1" s="5"/>
    </row>
    <row r="2" spans="1:7" ht="46.5" x14ac:dyDescent="0.25">
      <c r="A2" s="17" t="s">
        <v>20</v>
      </c>
      <c r="B2" s="18" t="s">
        <v>199</v>
      </c>
      <c r="C2" s="30" t="s">
        <v>232</v>
      </c>
      <c r="D2" s="30" t="s">
        <v>233</v>
      </c>
      <c r="E2" s="18" t="s">
        <v>219</v>
      </c>
      <c r="F2" s="18" t="s">
        <v>234</v>
      </c>
      <c r="G2" s="18" t="s">
        <v>201</v>
      </c>
    </row>
    <row r="3" spans="1:7" x14ac:dyDescent="0.25">
      <c r="A3" s="13" t="s">
        <v>31</v>
      </c>
      <c r="B3" s="31" t="s">
        <v>60</v>
      </c>
      <c r="C3" s="87" t="s">
        <v>229</v>
      </c>
      <c r="D3" s="87" t="s">
        <v>230</v>
      </c>
      <c r="E3" s="86" t="s">
        <v>21</v>
      </c>
      <c r="F3" s="41" t="s">
        <v>37</v>
      </c>
      <c r="G3" s="28" t="s">
        <v>69</v>
      </c>
    </row>
    <row r="4" spans="1:7" x14ac:dyDescent="0.25">
      <c r="A4" s="12">
        <v>1</v>
      </c>
      <c r="B4" s="11" t="str">
        <f>Agenda_D!C4</f>
        <v>Juan García</v>
      </c>
      <c r="C4" s="88">
        <v>46047.458333333336</v>
      </c>
      <c r="D4" s="88">
        <v>46047.541666666664</v>
      </c>
      <c r="E4" s="80" t="s">
        <v>208</v>
      </c>
      <c r="F4" s="12">
        <v>120</v>
      </c>
      <c r="G4" s="12" t="str">
        <f>_xlfn.CONCAT(B4,"-",TEXT(C4,"dd/mm/yyyy hh:mm"),"-",TEXT(D4,"dd/mm/yyyy hh:mm"))</f>
        <v>Juan García-25/01/2026 11:00-25/01/2026 13:00</v>
      </c>
    </row>
    <row r="5" spans="1:7" x14ac:dyDescent="0.25">
      <c r="A5" s="12">
        <v>2</v>
      </c>
      <c r="B5" s="11" t="str">
        <f>Agenda_D!C5</f>
        <v>Juan Ortiz</v>
      </c>
      <c r="C5" s="88">
        <v>45362.5</v>
      </c>
      <c r="D5" s="88">
        <v>45362.645833333336</v>
      </c>
      <c r="E5" s="82" t="s">
        <v>209</v>
      </c>
      <c r="F5" s="12">
        <v>210</v>
      </c>
      <c r="G5" s="12" t="str">
        <f t="shared" ref="G5:G7" si="0">_xlfn.CONCAT(B5,"-",TEXT(C5,"dd/mm/yyyy hh:mm"),"-",TEXT(D5,"dd/mm/yyyy hh:mm"))</f>
        <v>Juan Ortiz-11/03/2024 12:00-11/03/2024 15:30</v>
      </c>
    </row>
    <row r="6" spans="1:7" x14ac:dyDescent="0.25">
      <c r="A6" s="12">
        <v>3</v>
      </c>
      <c r="B6" s="11" t="str">
        <f>Agenda_D!C6</f>
        <v>Carlos Arbeladez</v>
      </c>
      <c r="C6" s="88">
        <v>46013.541666666664</v>
      </c>
      <c r="D6" s="88">
        <v>46013.583333333336</v>
      </c>
      <c r="E6" s="82" t="s">
        <v>210</v>
      </c>
      <c r="F6" s="12">
        <v>60</v>
      </c>
      <c r="G6" s="12" t="str">
        <f t="shared" si="0"/>
        <v>Carlos Arbeladez-22/12/2025 13:00-22/12/2025 14:00</v>
      </c>
    </row>
    <row r="7" spans="1:7" x14ac:dyDescent="0.25">
      <c r="A7" s="12">
        <v>4</v>
      </c>
      <c r="B7" s="79" t="str">
        <f>Agenda_D!C7</f>
        <v>Andres Ramirez</v>
      </c>
      <c r="C7" s="89">
        <v>46241.375</v>
      </c>
      <c r="D7" s="89">
        <v>46241.5</v>
      </c>
      <c r="E7" s="82" t="s">
        <v>211</v>
      </c>
      <c r="F7" s="12">
        <v>180</v>
      </c>
      <c r="G7" s="12" t="str">
        <f t="shared" si="0"/>
        <v>Andres Ramirez-07/08/2026 09:00-07/08/2026 12:00</v>
      </c>
    </row>
  </sheetData>
  <hyperlinks>
    <hyperlink ref="A1" location="'Modelo de Dominio'!A1" display="&lt;&lt;&lt;&lt; Ir al modulo de dominio" xr:uid="{B428C070-F6EA-4693-9030-AA54AF833423}"/>
    <hyperlink ref="B1" location="'Objetos de Dominio'!A1" display="&lt;&lt;&lt;&lt; Ir a objetos de dominio" xr:uid="{907D0986-51A3-4C83-A3D9-42BF086C4E3E}"/>
    <hyperlink ref="B3" location="Agenda_D!A1" display="agenda" xr:uid="{ADF6E864-3D66-491F-9B59-46E28FAAD6DA}"/>
    <hyperlink ref="B4" location="Agenda_D!A4" display="Agenda_D!A4" xr:uid="{780EF3D8-7585-4C31-B2AA-FC1B8C5006F7}"/>
    <hyperlink ref="B5" location="Agenda_D!A5" display="Agenda_D!A5" xr:uid="{78210E4E-E975-4398-935F-2D4F77890E65}"/>
    <hyperlink ref="B6" location="Agenda_D!A6" display="Agenda_D!A6" xr:uid="{1994F7F3-CFB6-4C90-85C0-8ADD22510C50}"/>
    <hyperlink ref="B7" location="Agenda_D!A7" display="Agenda_D!A7" xr:uid="{D0080FB0-93CA-45FC-86C9-19C5C8A9714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16"/>
  <sheetViews>
    <sheetView topLeftCell="B1" zoomScale="145" zoomScaleNormal="145" workbookViewId="0">
      <selection activeCell="E10" sqref="E10"/>
    </sheetView>
  </sheetViews>
  <sheetFormatPr baseColWidth="10" defaultRowHeight="15" x14ac:dyDescent="0.25"/>
  <cols>
    <col min="1" max="1" width="27" bestFit="1" customWidth="1"/>
    <col min="2" max="2" width="37.140625" customWidth="1"/>
    <col min="3" max="3" width="46.5703125" bestFit="1" customWidth="1"/>
    <col min="4" max="4" width="26.85546875" bestFit="1" customWidth="1"/>
    <col min="5" max="5" width="48.5703125" bestFit="1" customWidth="1"/>
    <col min="6" max="6" width="37.7109375" bestFit="1" customWidth="1"/>
  </cols>
  <sheetData>
    <row r="1" spans="1:6" x14ac:dyDescent="0.25">
      <c r="A1" s="5" t="s">
        <v>32</v>
      </c>
      <c r="B1" s="5" t="s">
        <v>33</v>
      </c>
    </row>
    <row r="2" spans="1:6" ht="40.5" customHeight="1" x14ac:dyDescent="0.25">
      <c r="A2" s="18" t="s">
        <v>20</v>
      </c>
      <c r="B2" s="18" t="s">
        <v>86</v>
      </c>
      <c r="C2" s="18" t="s">
        <v>238</v>
      </c>
      <c r="D2" s="18" t="s">
        <v>239</v>
      </c>
      <c r="E2" s="18" t="s">
        <v>241</v>
      </c>
      <c r="F2" s="18" t="s">
        <v>87</v>
      </c>
    </row>
    <row r="3" spans="1:6" x14ac:dyDescent="0.25">
      <c r="A3" s="13" t="s">
        <v>31</v>
      </c>
      <c r="B3" s="31" t="s">
        <v>60</v>
      </c>
      <c r="C3" s="85" t="s">
        <v>75</v>
      </c>
      <c r="D3" s="75" t="s">
        <v>63</v>
      </c>
      <c r="E3" s="75" t="s">
        <v>85</v>
      </c>
      <c r="F3" s="28" t="s">
        <v>69</v>
      </c>
    </row>
    <row r="4" spans="1:6" x14ac:dyDescent="0.25">
      <c r="A4" s="12">
        <v>1</v>
      </c>
      <c r="B4" s="47" t="str">
        <f>Agenda_D!C4</f>
        <v>Juan García</v>
      </c>
      <c r="C4" s="36" t="s">
        <v>78</v>
      </c>
      <c r="D4" s="90">
        <v>0.41666666666666669</v>
      </c>
      <c r="E4" s="90">
        <v>0.66666666666666663</v>
      </c>
      <c r="F4" s="12" t="str">
        <f>_xlfn.CONCAT(B4,"-",C4,"-",TEXT(D4,"hh;mm"),"-",TEXT(E4,"hh;mm"))</f>
        <v>Juan García-Lunes-10-16</v>
      </c>
    </row>
    <row r="5" spans="1:6" x14ac:dyDescent="0.25">
      <c r="A5" s="12">
        <v>2</v>
      </c>
      <c r="B5" s="47" t="str">
        <f>Agenda_D!C5</f>
        <v>Juan Ortiz</v>
      </c>
      <c r="C5" s="12" t="s">
        <v>79</v>
      </c>
      <c r="D5" s="90">
        <v>0.375</v>
      </c>
      <c r="E5" s="90">
        <v>0.625</v>
      </c>
      <c r="F5" s="12" t="str">
        <f t="shared" ref="F5:F7" si="0">_xlfn.CONCAT(B5,"-",C5,"-",TEXT(D5,"hh;mm"),"-",TEXT(E5,"hh;mm"))</f>
        <v>Juan Ortiz-Martes-09-15</v>
      </c>
    </row>
    <row r="6" spans="1:6" x14ac:dyDescent="0.25">
      <c r="A6" s="12">
        <v>3</v>
      </c>
      <c r="B6" s="47" t="str">
        <f>Agenda_D!C6</f>
        <v>Carlos Arbeladez</v>
      </c>
      <c r="C6" s="12" t="s">
        <v>81</v>
      </c>
      <c r="D6" s="90">
        <v>0.54166666666666663</v>
      </c>
      <c r="E6" s="90">
        <v>0.79166666666666663</v>
      </c>
      <c r="F6" s="12" t="str">
        <f t="shared" si="0"/>
        <v>Carlos Arbeladez-Jueves-13-19</v>
      </c>
    </row>
    <row r="7" spans="1:6" x14ac:dyDescent="0.25">
      <c r="A7" s="12">
        <v>4</v>
      </c>
      <c r="B7" s="47" t="str">
        <f>Agenda_D!C7</f>
        <v>Andres Ramirez</v>
      </c>
      <c r="C7" s="12" t="s">
        <v>83</v>
      </c>
      <c r="D7" s="90">
        <v>0.33333333333333331</v>
      </c>
      <c r="E7" s="90">
        <v>0.58333333333333337</v>
      </c>
      <c r="F7" s="12" t="str">
        <f t="shared" si="0"/>
        <v>Andres Ramirez-Sábado-08-14</v>
      </c>
    </row>
    <row r="8" spans="1:6" x14ac:dyDescent="0.25">
      <c r="E8" s="93"/>
    </row>
    <row r="9" spans="1:6" x14ac:dyDescent="0.25">
      <c r="E9" s="93"/>
    </row>
    <row r="10" spans="1:6" x14ac:dyDescent="0.25">
      <c r="C10" s="10"/>
      <c r="E10" s="94"/>
    </row>
    <row r="11" spans="1:6" x14ac:dyDescent="0.25">
      <c r="E11" s="94"/>
    </row>
    <row r="12" spans="1:6" x14ac:dyDescent="0.25">
      <c r="E12" s="93"/>
    </row>
    <row r="13" spans="1:6" x14ac:dyDescent="0.25">
      <c r="E13" s="93"/>
    </row>
    <row r="14" spans="1:6" x14ac:dyDescent="0.25">
      <c r="E14" s="93"/>
    </row>
    <row r="15" spans="1:6" x14ac:dyDescent="0.25">
      <c r="E15" s="93"/>
    </row>
    <row r="16" spans="1:6" x14ac:dyDescent="0.25">
      <c r="E16" s="93"/>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8530B-FD95-4EEF-8F76-78E045637369}">
  <dimension ref="A1:G7"/>
  <sheetViews>
    <sheetView zoomScale="145" zoomScaleNormal="145" workbookViewId="0">
      <selection activeCell="C3" sqref="C3"/>
    </sheetView>
  </sheetViews>
  <sheetFormatPr baseColWidth="10" defaultRowHeight="15" x14ac:dyDescent="0.25"/>
  <cols>
    <col min="1" max="1" width="26.85546875" customWidth="1"/>
    <col min="2" max="2" width="32.5703125" customWidth="1"/>
    <col min="3" max="3" width="32.7109375" bestFit="1" customWidth="1"/>
    <col min="4" max="4" width="31.140625" bestFit="1" customWidth="1"/>
    <col min="5" max="5" width="26.7109375" customWidth="1"/>
    <col min="6" max="6" width="29.140625" customWidth="1"/>
    <col min="7" max="7" width="33.7109375" bestFit="1" customWidth="1"/>
  </cols>
  <sheetData>
    <row r="1" spans="1:7" x14ac:dyDescent="0.25">
      <c r="A1" s="5" t="s">
        <v>32</v>
      </c>
      <c r="B1" s="5" t="s">
        <v>33</v>
      </c>
    </row>
    <row r="2" spans="1:7" ht="40.5" customHeight="1" x14ac:dyDescent="0.25">
      <c r="A2" s="17" t="s">
        <v>20</v>
      </c>
      <c r="B2" s="18" t="s">
        <v>203</v>
      </c>
      <c r="C2" s="18" t="s">
        <v>243</v>
      </c>
      <c r="D2" s="18" t="s">
        <v>242</v>
      </c>
      <c r="E2" s="18" t="s">
        <v>225</v>
      </c>
      <c r="F2" s="30" t="s">
        <v>226</v>
      </c>
      <c r="G2" s="18" t="s">
        <v>212</v>
      </c>
    </row>
    <row r="3" spans="1:7" x14ac:dyDescent="0.25">
      <c r="A3" s="13" t="s">
        <v>31</v>
      </c>
      <c r="B3" s="31" t="s">
        <v>202</v>
      </c>
      <c r="C3" s="75" t="s">
        <v>63</v>
      </c>
      <c r="D3" s="75" t="s">
        <v>200</v>
      </c>
      <c r="E3" s="72" t="s">
        <v>21</v>
      </c>
      <c r="F3" s="83" t="s">
        <v>37</v>
      </c>
      <c r="G3" s="28" t="s">
        <v>69</v>
      </c>
    </row>
    <row r="4" spans="1:7" x14ac:dyDescent="0.25">
      <c r="A4" s="12">
        <v>1</v>
      </c>
      <c r="B4" s="11" t="str">
        <f>HorarioBarbero_D!F4</f>
        <v>Juan García-Lunes-10-16</v>
      </c>
      <c r="C4" s="36">
        <v>0.5</v>
      </c>
      <c r="D4" s="36">
        <v>0.58333333333333337</v>
      </c>
      <c r="E4" s="36" t="s">
        <v>204</v>
      </c>
      <c r="F4" s="84">
        <v>120</v>
      </c>
      <c r="G4" s="12" t="str">
        <f>_xlfn.CONCAT(B4,"-",TEXT(C4,"hh;mm"),"-",TEXT(D4,"hh;mm"))</f>
        <v>Juan García-Lunes-10-16-12-14</v>
      </c>
    </row>
    <row r="5" spans="1:7" x14ac:dyDescent="0.25">
      <c r="A5" s="12">
        <v>2</v>
      </c>
      <c r="B5" s="11" t="str">
        <f>HorarioBarbero_D!F5</f>
        <v>Juan Ortiz-Martes-09-15</v>
      </c>
      <c r="C5" s="36">
        <v>0.54166666666666663</v>
      </c>
      <c r="D5" s="81">
        <v>0.625</v>
      </c>
      <c r="E5" s="24" t="s">
        <v>207</v>
      </c>
      <c r="F5" s="12">
        <v>120</v>
      </c>
      <c r="G5" s="12" t="str">
        <f t="shared" ref="G5:G7" si="0">_xlfn.CONCAT(B5,"-",TEXT(C5,"hh;mm"),"-",TEXT(D5,"hh;mm"))</f>
        <v>Juan Ortiz-Martes-09-15-13-15</v>
      </c>
    </row>
    <row r="6" spans="1:7" x14ac:dyDescent="0.25">
      <c r="A6" s="12">
        <v>3</v>
      </c>
      <c r="B6" s="11" t="str">
        <f>HorarioBarbero_D!F6</f>
        <v>Carlos Arbeladez-Jueves-13-19</v>
      </c>
      <c r="C6" s="36">
        <v>0.70833333333333337</v>
      </c>
      <c r="D6" s="36">
        <v>0.75</v>
      </c>
      <c r="E6" s="12" t="s">
        <v>206</v>
      </c>
      <c r="F6" s="12">
        <v>60</v>
      </c>
      <c r="G6" s="12" t="str">
        <f t="shared" si="0"/>
        <v>Carlos Arbeladez-Jueves-13-19-17-18</v>
      </c>
    </row>
    <row r="7" spans="1:7" x14ac:dyDescent="0.25">
      <c r="A7" s="12">
        <v>4</v>
      </c>
      <c r="B7" s="11" t="str">
        <f>HorarioBarbero_D!F7</f>
        <v>Andres Ramirez-Sábado-08-14</v>
      </c>
      <c r="C7" s="36">
        <v>0.47916666666666669</v>
      </c>
      <c r="D7" s="36">
        <v>0.54166666666666663</v>
      </c>
      <c r="E7" s="12" t="s">
        <v>205</v>
      </c>
      <c r="F7" s="12">
        <v>90</v>
      </c>
      <c r="G7" s="12" t="str">
        <f t="shared" si="0"/>
        <v>Andres Ramirez-Sábado-08-14-11-13</v>
      </c>
    </row>
  </sheetData>
  <hyperlinks>
    <hyperlink ref="A1" location="'Modelo de Dominio'!A1" display="&lt;&lt;&lt;&lt; Ir al modulo de dominio" xr:uid="{28D494EF-6E9C-4926-913D-1C222BAE912F}"/>
    <hyperlink ref="B1" location="'Objetos de Dominio'!A1" display="&lt;&lt;&lt;&lt; Ir a objetos de dominio" xr:uid="{E603E2D9-858F-4FFA-8815-5567364FE382}"/>
    <hyperlink ref="B3" location="HorarioBarbero_D!A1" display="horarioDelBarbero" xr:uid="{E895F830-FA04-42C5-BF65-9170EC8A6C40}"/>
    <hyperlink ref="B4" location="HorarioBarbero_D!A4" display="HorarioBarbero_D!A4" xr:uid="{8EE0E36C-8BF0-4BBA-8EAF-59B76141C41B}"/>
    <hyperlink ref="B5" location="HorarioBarbero_D!A5" display="HorarioBarbero_D!A5" xr:uid="{B5E52511-94A7-4409-8D8A-54A2A651A3ED}"/>
    <hyperlink ref="B6" location="HorarioBarbero_D!A6" display="HorarioBarbero_D!A6" xr:uid="{70BE22C1-3690-4C31-BFB5-A4A0D08A8829}"/>
    <hyperlink ref="B7" location="HorarioBarbero_D!A7" display="HorarioBarbero_D!A7" xr:uid="{8717ACB0-7EC3-4D5F-95F4-D0AF5B38DBF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8"/>
  <sheetViews>
    <sheetView topLeftCell="C1" zoomScale="145" zoomScaleNormal="145" workbookViewId="0">
      <selection activeCell="E13" sqref="E13"/>
    </sheetView>
  </sheetViews>
  <sheetFormatPr baseColWidth="10" defaultRowHeight="15" x14ac:dyDescent="0.25"/>
  <cols>
    <col min="1" max="1" width="28" customWidth="1"/>
    <col min="2" max="2" width="26.5703125" customWidth="1"/>
    <col min="3" max="3" width="30.42578125" customWidth="1"/>
    <col min="4" max="4" width="27.5703125" customWidth="1"/>
    <col min="5" max="5" width="36.5703125" customWidth="1"/>
    <col min="6" max="6" width="60.28515625" bestFit="1" customWidth="1"/>
    <col min="7" max="7" width="39.28515625" bestFit="1" customWidth="1"/>
    <col min="8" max="8" width="22" customWidth="1"/>
  </cols>
  <sheetData>
    <row r="1" spans="1:8" x14ac:dyDescent="0.25">
      <c r="A1" s="5" t="s">
        <v>32</v>
      </c>
      <c r="B1" s="5" t="s">
        <v>33</v>
      </c>
    </row>
    <row r="2" spans="1:8" ht="44.25" customHeight="1" x14ac:dyDescent="0.25">
      <c r="A2" s="17" t="s">
        <v>20</v>
      </c>
      <c r="B2" s="17" t="s">
        <v>64</v>
      </c>
      <c r="C2" s="30" t="s">
        <v>139</v>
      </c>
      <c r="D2" s="30" t="s">
        <v>195</v>
      </c>
      <c r="E2" s="30" t="s">
        <v>136</v>
      </c>
      <c r="F2" s="30" t="s">
        <v>227</v>
      </c>
      <c r="G2" s="30" t="s">
        <v>133</v>
      </c>
    </row>
    <row r="3" spans="1:8" x14ac:dyDescent="0.25">
      <c r="A3" s="13" t="s">
        <v>31</v>
      </c>
      <c r="B3" s="31" t="s">
        <v>44</v>
      </c>
      <c r="C3" s="31" t="s">
        <v>60</v>
      </c>
      <c r="D3" s="78" t="s">
        <v>132</v>
      </c>
      <c r="E3" s="41" t="s">
        <v>85</v>
      </c>
      <c r="F3" s="55" t="s">
        <v>26</v>
      </c>
      <c r="G3" s="28" t="s">
        <v>69</v>
      </c>
    </row>
    <row r="4" spans="1:8" x14ac:dyDescent="0.25">
      <c r="A4" s="12">
        <v>1</v>
      </c>
      <c r="B4" s="11" t="str">
        <f>_xlfn.CONCAT(Cliente_D!B4," ",Cliente_D!C4," ", Cliente_D!D4," ",Cliente_D!E4)</f>
        <v xml:space="preserve">Juan  Gómez </v>
      </c>
      <c r="C4" s="11" t="str">
        <f>Agenda_D!C4</f>
        <v>Juan García</v>
      </c>
      <c r="D4" s="49">
        <v>46295.416666666664</v>
      </c>
      <c r="E4" s="90">
        <v>0.44791666666666669</v>
      </c>
      <c r="F4" s="12" t="s">
        <v>65</v>
      </c>
      <c r="G4" s="12" t="str">
        <f>_xlfn.CONCAT(C4,"-",TEXT(D4,"dd/mm/yyyy/hh:mm"))</f>
        <v>Juan García-30/09/2026/10:00</v>
      </c>
    </row>
    <row r="5" spans="1:8" x14ac:dyDescent="0.25">
      <c r="A5" s="12">
        <v>2</v>
      </c>
      <c r="B5" s="11" t="str">
        <f>_xlfn.CONCAT(Cliente_D!B5," ",Cliente_D!C5," ", Cliente_D!D5," ",Cliente_D!E5)</f>
        <v>Jose Miguel Ramirez Perez</v>
      </c>
      <c r="C5" s="11" t="str">
        <f>Agenda_D!C5</f>
        <v>Juan Ortiz</v>
      </c>
      <c r="D5" s="49">
        <v>45983.458333333336</v>
      </c>
      <c r="E5" s="90">
        <v>0.48958333333333331</v>
      </c>
      <c r="F5" s="12" t="s">
        <v>88</v>
      </c>
      <c r="G5" s="12" t="str">
        <f t="shared" ref="G5:G8" si="0">_xlfn.CONCAT(C5,"-",TEXT(D5,"dd/mm/yyyy/hh:mm"))</f>
        <v>Juan Ortiz-22/11/2025/11:00</v>
      </c>
    </row>
    <row r="6" spans="1:8" x14ac:dyDescent="0.25">
      <c r="A6" s="12">
        <v>3</v>
      </c>
      <c r="B6" s="11" t="str">
        <f>_xlfn.CONCAT(Cliente_D!B6," ",Cliente_D!C6," ", Cliente_D!D6," ",Cliente_D!E6)</f>
        <v>Simon  Ochoa Ramirez</v>
      </c>
      <c r="C6" s="11" t="str">
        <f>Agenda_D!C6</f>
        <v>Carlos Arbeladez</v>
      </c>
      <c r="D6" s="49">
        <v>45514.583333333336</v>
      </c>
      <c r="E6" s="90">
        <v>0.59375</v>
      </c>
      <c r="F6" s="12" t="s">
        <v>134</v>
      </c>
      <c r="G6" s="12" t="str">
        <f t="shared" si="0"/>
        <v>Carlos Arbeladez-10/08/2024/14:00</v>
      </c>
    </row>
    <row r="7" spans="1:8" x14ac:dyDescent="0.25">
      <c r="A7" s="12">
        <v>4</v>
      </c>
      <c r="B7" s="11" t="str">
        <f>_xlfn.CONCAT(Cliente_D!B7," ",Cliente_D!C7," ", Cliente_D!D7," ",Cliente_D!E7)</f>
        <v xml:space="preserve">Alexis  Gallego </v>
      </c>
      <c r="C7" s="11" t="str">
        <f>Agenda_D!C7</f>
        <v>Andres Ramirez</v>
      </c>
      <c r="D7" s="49">
        <v>46289.541666666664</v>
      </c>
      <c r="E7" s="90">
        <v>0.5625</v>
      </c>
      <c r="F7" s="12" t="s">
        <v>89</v>
      </c>
      <c r="G7" s="12" t="str">
        <f t="shared" si="0"/>
        <v>Andres Ramirez-24/09/2026/13:00</v>
      </c>
    </row>
    <row r="8" spans="1:8" x14ac:dyDescent="0.25">
      <c r="A8" s="12">
        <v>5</v>
      </c>
      <c r="B8" s="11" t="str">
        <f>_xlfn.CONCAT(Cliente_D!B7," ",Cliente_D!C7," ", Cliente_D!D7," ",Cliente_D!E7)</f>
        <v xml:space="preserve">Alexis  Gallego </v>
      </c>
      <c r="C8" s="11" t="str">
        <f>Agenda_D!C6</f>
        <v>Carlos Arbeladez</v>
      </c>
      <c r="D8" s="49">
        <v>46240.75</v>
      </c>
      <c r="E8" s="90">
        <v>0.75694444444444442</v>
      </c>
      <c r="F8" s="12" t="s">
        <v>90</v>
      </c>
      <c r="G8" s="12" t="str">
        <f t="shared" si="0"/>
        <v>Carlos Arbeladez-06/08/2026/18:00</v>
      </c>
      <c r="H8" s="46"/>
    </row>
    <row r="10" spans="1:8" x14ac:dyDescent="0.25">
      <c r="H10" s="48"/>
    </row>
    <row r="11" spans="1:8" x14ac:dyDescent="0.25">
      <c r="F11" s="10"/>
    </row>
    <row r="12" spans="1:8" x14ac:dyDescent="0.25">
      <c r="D12" s="50"/>
    </row>
    <row r="13" spans="1:8" x14ac:dyDescent="0.25">
      <c r="D13" s="50"/>
    </row>
    <row r="14" spans="1:8" x14ac:dyDescent="0.25">
      <c r="D14" s="50"/>
    </row>
    <row r="15" spans="1:8" x14ac:dyDescent="0.25">
      <c r="D15" s="50"/>
    </row>
    <row r="16" spans="1:8" x14ac:dyDescent="0.25">
      <c r="E16" s="93"/>
    </row>
    <row r="17" spans="5:5" x14ac:dyDescent="0.25">
      <c r="E17" s="93"/>
    </row>
    <row r="18" spans="5:5" x14ac:dyDescent="0.25">
      <c r="E18" s="93"/>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zoomScale="130" zoomScaleNormal="130" workbookViewId="0">
      <selection activeCell="D9" sqref="D9"/>
    </sheetView>
  </sheetViews>
  <sheetFormatPr baseColWidth="10" defaultRowHeight="15" x14ac:dyDescent="0.25"/>
  <cols>
    <col min="1" max="1" width="26.7109375" customWidth="1"/>
    <col min="2" max="2" width="38.5703125" customWidth="1"/>
    <col min="3" max="3" width="39.28515625" bestFit="1" customWidth="1"/>
    <col min="4" max="5" width="39.7109375" customWidth="1"/>
    <col min="6" max="6" width="34.28515625" bestFit="1" customWidth="1"/>
    <col min="7" max="7" width="39.28515625" bestFit="1" customWidth="1"/>
  </cols>
  <sheetData>
    <row r="1" spans="1:7" x14ac:dyDescent="0.25">
      <c r="A1" s="5" t="s">
        <v>32</v>
      </c>
      <c r="B1" s="5" t="s">
        <v>33</v>
      </c>
    </row>
    <row r="2" spans="1:7" ht="31.5" customHeight="1" x14ac:dyDescent="0.25">
      <c r="A2" s="17" t="s">
        <v>20</v>
      </c>
      <c r="B2" s="17" t="s">
        <v>92</v>
      </c>
      <c r="C2" s="30" t="s">
        <v>93</v>
      </c>
      <c r="D2" s="30" t="s">
        <v>228</v>
      </c>
      <c r="E2" s="30" t="s">
        <v>141</v>
      </c>
      <c r="F2" s="30" t="s">
        <v>94</v>
      </c>
      <c r="G2" s="30" t="s">
        <v>95</v>
      </c>
    </row>
    <row r="3" spans="1:7" x14ac:dyDescent="0.25">
      <c r="A3" s="13" t="s">
        <v>31</v>
      </c>
      <c r="B3" s="31" t="s">
        <v>44</v>
      </c>
      <c r="C3" s="31" t="s">
        <v>91</v>
      </c>
      <c r="D3" s="41" t="s">
        <v>27</v>
      </c>
      <c r="E3" s="54" t="s">
        <v>140</v>
      </c>
      <c r="F3" s="41" t="s">
        <v>28</v>
      </c>
      <c r="G3" s="28" t="s">
        <v>69</v>
      </c>
    </row>
    <row r="4" spans="1:7" x14ac:dyDescent="0.25">
      <c r="A4" s="12">
        <v>1</v>
      </c>
      <c r="B4" s="11" t="str">
        <f>Cliente_D!H6</f>
        <v>Simon--Ochoa-Ramirez-+57-3119884321</v>
      </c>
      <c r="C4" s="11" t="str">
        <f>Cita_D!G6</f>
        <v>Carlos Arbeladez-10/08/2024/14:00</v>
      </c>
      <c r="D4" s="12">
        <f>Regla_D!C4</f>
        <v>10000</v>
      </c>
      <c r="E4" s="12" t="s">
        <v>134</v>
      </c>
      <c r="F4" s="12" t="s">
        <v>49</v>
      </c>
      <c r="G4" s="12" t="str">
        <f>C4</f>
        <v>Carlos Arbeladez-10/08/2024/14:00</v>
      </c>
    </row>
    <row r="5" spans="1:7" x14ac:dyDescent="0.25">
      <c r="A5" s="12">
        <v>2</v>
      </c>
      <c r="B5" s="11" t="str">
        <f>Cliente_D!H7</f>
        <v>Alexis--Gallego--+58-4127359182</v>
      </c>
      <c r="C5" s="11" t="str">
        <f>Cita_D!G7</f>
        <v>Andres Ramirez-24/09/2026/13:00</v>
      </c>
      <c r="D5" s="12">
        <f>CitaServicio_D!D7</f>
        <v>35000</v>
      </c>
      <c r="E5" s="12" t="s">
        <v>89</v>
      </c>
      <c r="F5" s="12" t="s">
        <v>50</v>
      </c>
      <c r="G5" s="12" t="str">
        <f>C5</f>
        <v>Andres Ramirez-24/09/2026/13:00</v>
      </c>
    </row>
    <row r="6" spans="1:7" x14ac:dyDescent="0.25">
      <c r="A6" s="10"/>
      <c r="B6" s="10"/>
      <c r="C6" s="10"/>
      <c r="D6" s="10"/>
      <c r="E6" s="10"/>
      <c r="F6" s="10"/>
      <c r="G6" s="10"/>
    </row>
    <row r="7" spans="1:7" x14ac:dyDescent="0.25">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8"/>
  <sheetViews>
    <sheetView zoomScale="130" zoomScaleNormal="130" workbookViewId="0">
      <selection activeCell="B1" sqref="B1"/>
    </sheetView>
  </sheetViews>
  <sheetFormatPr baseColWidth="10" defaultRowHeight="15" x14ac:dyDescent="0.25"/>
  <cols>
    <col min="1" max="1" width="26.42578125" customWidth="1"/>
    <col min="2" max="2" width="39.28515625" bestFit="1" customWidth="1"/>
    <col min="3" max="3" width="21.85546875" customWidth="1"/>
    <col min="4" max="4" width="41.85546875" customWidth="1"/>
    <col min="5" max="5" width="32.140625" customWidth="1"/>
    <col min="6" max="6" width="55.85546875" customWidth="1"/>
  </cols>
  <sheetData>
    <row r="1" spans="1:6" x14ac:dyDescent="0.25">
      <c r="A1" s="5" t="s">
        <v>32</v>
      </c>
      <c r="B1" s="5" t="s">
        <v>33</v>
      </c>
    </row>
    <row r="2" spans="1:6" ht="33" customHeight="1" x14ac:dyDescent="0.25">
      <c r="A2" s="17" t="s">
        <v>20</v>
      </c>
      <c r="B2" s="17" t="s">
        <v>96</v>
      </c>
      <c r="C2" s="30" t="s">
        <v>97</v>
      </c>
      <c r="D2" s="30" t="s">
        <v>220</v>
      </c>
      <c r="E2" s="30" t="s">
        <v>98</v>
      </c>
      <c r="F2" s="30" t="s">
        <v>99</v>
      </c>
    </row>
    <row r="3" spans="1:6" x14ac:dyDescent="0.25">
      <c r="A3" s="38" t="s">
        <v>31</v>
      </c>
      <c r="B3" s="31" t="s">
        <v>91</v>
      </c>
      <c r="C3" s="31" t="s">
        <v>41</v>
      </c>
      <c r="D3" s="73" t="s">
        <v>29</v>
      </c>
      <c r="E3" s="73" t="s">
        <v>30</v>
      </c>
      <c r="F3" s="28" t="s">
        <v>69</v>
      </c>
    </row>
    <row r="4" spans="1:6" x14ac:dyDescent="0.25">
      <c r="A4" s="12">
        <v>1</v>
      </c>
      <c r="B4" s="11" t="str">
        <f>Cita_D!G4</f>
        <v>Juan García-30/09/2026/10:00</v>
      </c>
      <c r="C4" s="11" t="str">
        <f>Servicio_D!F4</f>
        <v>Motilada</v>
      </c>
      <c r="D4" s="12">
        <v>22000</v>
      </c>
      <c r="E4" s="12">
        <v>45</v>
      </c>
      <c r="F4" s="12" t="str">
        <f>_xlfn.CONCAT(B4,"-",C4)</f>
        <v>Juan García-30/09/2026/10:00-Motilada</v>
      </c>
    </row>
    <row r="5" spans="1:6" x14ac:dyDescent="0.25">
      <c r="A5" s="12">
        <v>2</v>
      </c>
      <c r="B5" s="11" t="str">
        <f>Cita_D!G5</f>
        <v>Juan Ortiz-22/11/2025/11:00</v>
      </c>
      <c r="C5" s="11" t="str">
        <f>Servicio_D!F4</f>
        <v>Motilada</v>
      </c>
      <c r="D5" s="12">
        <v>22000</v>
      </c>
      <c r="E5" s="12">
        <v>45</v>
      </c>
      <c r="F5" s="12" t="str">
        <f t="shared" ref="F5:F8" si="0">_xlfn.CONCAT(B5,"-",C5)</f>
        <v>Juan Ortiz-22/11/2025/11:00-Motilada</v>
      </c>
    </row>
    <row r="6" spans="1:6" x14ac:dyDescent="0.25">
      <c r="A6" s="12">
        <v>3</v>
      </c>
      <c r="B6" s="11" t="str">
        <f>Cita_D!G6</f>
        <v>Carlos Arbeladez-10/08/2024/14:00</v>
      </c>
      <c r="C6" s="11" t="str">
        <f>Servicio_D!F6</f>
        <v>Perfilada de barba</v>
      </c>
      <c r="D6" s="12">
        <v>15000</v>
      </c>
      <c r="E6" s="12">
        <v>15</v>
      </c>
      <c r="F6" s="12" t="str">
        <f t="shared" si="0"/>
        <v>Carlos Arbeladez-10/08/2024/14:00-Perfilada de barba</v>
      </c>
    </row>
    <row r="7" spans="1:6" ht="45" x14ac:dyDescent="0.25">
      <c r="A7" s="12">
        <v>4</v>
      </c>
      <c r="B7" s="11" t="str">
        <f>Cita_D!G7</f>
        <v>Andres Ramirez-24/09/2026/13:00</v>
      </c>
      <c r="C7" s="51" t="str">
        <f>Servicio_D!F7</f>
        <v>Arreglo completo de barba con toalla caliente</v>
      </c>
      <c r="D7" s="12">
        <v>35000</v>
      </c>
      <c r="E7" s="12">
        <v>30</v>
      </c>
      <c r="F7" s="24" t="str">
        <f t="shared" si="0"/>
        <v>Andres Ramirez-24/09/2026/13:00-Arreglo completo de barba con toalla caliente</v>
      </c>
    </row>
    <row r="8" spans="1:6" x14ac:dyDescent="0.25">
      <c r="A8" s="12">
        <v>5</v>
      </c>
      <c r="B8" s="11" t="str">
        <f>Cita_D!G8</f>
        <v>Carlos Arbeladez-06/08/2026/18:00</v>
      </c>
      <c r="C8" s="11" t="s">
        <v>46</v>
      </c>
      <c r="D8" s="12">
        <v>12000</v>
      </c>
      <c r="E8" s="12">
        <v>10</v>
      </c>
      <c r="F8" s="24" t="str">
        <f t="shared" si="0"/>
        <v>Carlos Arbeladez-06/08/2026/18:00-Corte de barba</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5:B8" location="Cita_D!A4" display="Cita_D!A4" xr:uid="{24E1B3F9-C1C3-4AC0-83CF-93AC9D358E4F}"/>
    <hyperlink ref="B5" location="Cita_D!A5" display="Cita_D!A5" xr:uid="{54C06FE5-3D1C-4E02-B80F-F52398660735}"/>
    <hyperlink ref="B6" location="Cita_D!A6" display="Cita_D!A6" xr:uid="{7C3F9E66-FC63-4CC5-A67C-8604702403F0}"/>
    <hyperlink ref="B7" location="Cita_D!A7" display="Cita_D!A7" xr:uid="{B03F3CEB-2FAE-4C17-B421-BB7244341FF9}"/>
    <hyperlink ref="B8" location="Cita_D!A8" display="Cita_D!A8" xr:uid="{FA20FBDC-E2C6-44CF-B98E-C85818BE6D1B}"/>
    <hyperlink ref="C3" location="Servicio_D!A1" display="servicio" xr:uid="{46A59B94-B463-41EF-A1B6-2B1BD97218B9}"/>
    <hyperlink ref="C4" location="Servicio_D!A4" display="Servicio_D!A4" xr:uid="{E5D47101-7002-491C-A64F-9E08C0E5E166}"/>
    <hyperlink ref="C5" location="Servicio_D!A4" display="Servicio_D!A4" xr:uid="{EC363894-A006-45A1-A451-8A105D143020}"/>
    <hyperlink ref="C6" location="Servicio_D!A6" display="Servicio_D!A6" xr:uid="{2F70A83F-4454-46E6-A1E5-B359824AA24F}"/>
    <hyperlink ref="C7" location="Servicio_D!A7" display="Servicio_D!A7" xr:uid="{36945D0D-E1EC-4BD2-A67D-287FB73A0E8D}"/>
    <hyperlink ref="C8" location="Servicio_D!A5" display="Corte de barba" xr:uid="{52D089FF-955D-405E-BFF7-8EABA1516B8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Modelo de Dominio</vt:lpstr>
      <vt:lpstr>Objetos de Dominio</vt:lpstr>
      <vt:lpstr>Tipo de datos</vt:lpstr>
      <vt:lpstr>Barberia_D</vt:lpstr>
      <vt:lpstr>Cliente_D</vt:lpstr>
      <vt:lpstr>Regla_D</vt:lpstr>
      <vt:lpstr>HorarioBarberia_D</vt:lpstr>
      <vt:lpstr>Servicio_D</vt:lpstr>
      <vt:lpstr>Barbero_D</vt:lpstr>
      <vt:lpstr>Veto_D</vt:lpstr>
      <vt:lpstr>BarberoServicio_D</vt:lpstr>
      <vt:lpstr>Agenda_D</vt:lpstr>
      <vt:lpstr>Bloqueo_D</vt:lpstr>
      <vt:lpstr>HorarioBarbero_D</vt:lpstr>
      <vt:lpstr>Descanso_D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Edilio Gomez</cp:lastModifiedBy>
  <dcterms:created xsi:type="dcterms:W3CDTF">2026-08-03T17:50:17Z</dcterms:created>
  <dcterms:modified xsi:type="dcterms:W3CDTF">2026-08-13T17:50:32Z</dcterms:modified>
</cp:coreProperties>
</file>