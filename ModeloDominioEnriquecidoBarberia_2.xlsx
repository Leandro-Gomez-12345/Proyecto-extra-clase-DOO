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219" documentId="13_ncr:1_{25BE9354-9D73-4C0A-8586-54C3D030F813}" xr6:coauthVersionLast="47" xr6:coauthVersionMax="47" xr10:uidLastSave="{1D8C39F5-F706-4E61-B326-C6548790DECE}"/>
  <bookViews>
    <workbookView xWindow="-120" yWindow="-120" windowWidth="29040" windowHeight="15840" tabRatio="500" firstSheet="71" activeTab="78" xr2:uid="{00000000-000D-0000-FFFF-FFFF00000000}"/>
  </bookViews>
  <sheets>
    <sheet name="Modelo de Dominio" sheetId="1" r:id="rId1"/>
    <sheet name="Objetos de Dominio" sheetId="2" r:id="rId2"/>
    <sheet name="C-Barberia" sheetId="3" r:id="rId3"/>
    <sheet name="P-Barberia" sheetId="4" r:id="rId4"/>
    <sheet name="E-Barberia" sheetId="5" r:id="rId5"/>
    <sheet name="M-Barberia" sheetId="6" r:id="rId6"/>
    <sheet name="C-DiaSemana" sheetId="7" r:id="rId7"/>
    <sheet name="P-DiaSemana" sheetId="8" r:id="rId8"/>
    <sheet name="E-DiaSemana" sheetId="9" r:id="rId9"/>
    <sheet name="M-DiaSemana" sheetId="10" r:id="rId10"/>
    <sheet name="C-Departamento" sheetId="11" r:id="rId11"/>
    <sheet name="P-Departamento" sheetId="12" r:id="rId12"/>
    <sheet name="E-Departamento" sheetId="13" r:id="rId13"/>
    <sheet name="M-Departamento" sheetId="14" r:id="rId14"/>
    <sheet name="C-Estado" sheetId="15" r:id="rId15"/>
    <sheet name="P-Estado" sheetId="16" r:id="rId16"/>
    <sheet name="E-Estado" sheetId="17" r:id="rId17"/>
    <sheet name="M-Estado" sheetId="18" r:id="rId18"/>
    <sheet name="C-PrefijoCelular" sheetId="19" r:id="rId19"/>
    <sheet name="P-PrefijoCelular" sheetId="20" r:id="rId20"/>
    <sheet name="E-PrefijoCelular" sheetId="21" r:id="rId21"/>
    <sheet name="M-PrefijoCelular" sheetId="22" r:id="rId22"/>
    <sheet name="C-TipoMulta" sheetId="23" r:id="rId23"/>
    <sheet name="P-TipoMulta" sheetId="24" r:id="rId24"/>
    <sheet name="E-TipoMulta" sheetId="25" r:id="rId25"/>
    <sheet name="M-TipoMulta" sheetId="26" r:id="rId26"/>
    <sheet name="C-TipoRegistroHora" sheetId="27" r:id="rId27"/>
    <sheet name="P-TipoRegistroHora" sheetId="28" r:id="rId28"/>
    <sheet name="E-TipoRegistroHora" sheetId="29" r:id="rId29"/>
    <sheet name="M-TipoRegistroHora" sheetId="30" r:id="rId30"/>
    <sheet name="C-Cliente" sheetId="31" r:id="rId31"/>
    <sheet name="P-Cliente" sheetId="32" r:id="rId32"/>
    <sheet name="E-Cliente" sheetId="33" r:id="rId33"/>
    <sheet name="M-Cliente" sheetId="34" r:id="rId34"/>
    <sheet name="C-Ciudad" sheetId="35" r:id="rId35"/>
    <sheet name="P-Ciudad" sheetId="36" r:id="rId36"/>
    <sheet name="E-Ciudad" sheetId="37" r:id="rId37"/>
    <sheet name="M-Ciudad" sheetId="38" r:id="rId38"/>
    <sheet name="C-Sede" sheetId="39" r:id="rId39"/>
    <sheet name="P-Sede" sheetId="40" r:id="rId40"/>
    <sheet name="E-Sede" sheetId="41" r:id="rId41"/>
    <sheet name="M-Sede" sheetId="42" r:id="rId42"/>
    <sheet name="C-Barbero" sheetId="43" r:id="rId43"/>
    <sheet name="P-Barbero" sheetId="44" r:id="rId44"/>
    <sheet name="E-Barbero" sheetId="45" r:id="rId45"/>
    <sheet name="M-Barbero" sheetId="46" r:id="rId46"/>
    <sheet name="C-HorarioBarberia" sheetId="47" r:id="rId47"/>
    <sheet name="P-HorarioBarberia" sheetId="48" r:id="rId48"/>
    <sheet name="E-HorarioBarberia" sheetId="49" r:id="rId49"/>
    <sheet name="M-HorarioBarberia" sheetId="50" r:id="rId50"/>
    <sheet name="C-Servicio" sheetId="51" r:id="rId51"/>
    <sheet name="P-Servicio" sheetId="52" r:id="rId52"/>
    <sheet name="E-Servicio" sheetId="53" r:id="rId53"/>
    <sheet name="M-Servicio" sheetId="54" r:id="rId54"/>
    <sheet name="C-BarberoServicio" sheetId="55" r:id="rId55"/>
    <sheet name="P-BarberoServicio" sheetId="56" r:id="rId56"/>
    <sheet name="E-BarberoServicio" sheetId="57" r:id="rId57"/>
    <sheet name="M-BarberoServicio" sheetId="58" r:id="rId58"/>
    <sheet name="C-Bloqueo" sheetId="59" r:id="rId59"/>
    <sheet name="P-Bloqueo" sheetId="60" r:id="rId60"/>
    <sheet name="E-Bloqueo" sheetId="61" r:id="rId61"/>
    <sheet name="M-Bloqueo" sheetId="62" r:id="rId62"/>
    <sheet name="C-HorarioBarbero" sheetId="63" r:id="rId63"/>
    <sheet name="P-HorarioBarbero" sheetId="64" r:id="rId64"/>
    <sheet name="E-HorarioBarbero" sheetId="65" r:id="rId65"/>
    <sheet name="M-HorarioBarbero" sheetId="66" r:id="rId66"/>
    <sheet name="C-Agenda" sheetId="67" r:id="rId67"/>
    <sheet name="P-Agenda" sheetId="68" r:id="rId68"/>
    <sheet name="E-Agenda" sheetId="69" r:id="rId69"/>
    <sheet name="M-Agenda" sheetId="70" r:id="rId70"/>
    <sheet name="C-Cita" sheetId="71" r:id="rId71"/>
    <sheet name="P-Cita" sheetId="72" r:id="rId72"/>
    <sheet name="E-Cita" sheetId="73" r:id="rId73"/>
    <sheet name="M-Cita" sheetId="74" r:id="rId74"/>
    <sheet name="C-CitaServicio" sheetId="75" r:id="rId75"/>
    <sheet name="P-CitaServicio" sheetId="76" r:id="rId76"/>
    <sheet name="E-CitaServicio" sheetId="77" r:id="rId77"/>
    <sheet name="M-CitaServicio" sheetId="78" r:id="rId78"/>
    <sheet name="C-Multa" sheetId="79" r:id="rId79"/>
    <sheet name="P-Multa" sheetId="80" r:id="rId80"/>
    <sheet name="E-Multa" sheetId="81" r:id="rId81"/>
    <sheet name="M-Multa" sheetId="82" r:id="rId82"/>
    <sheet name="C-RegistroHoraCita" sheetId="83" r:id="rId83"/>
    <sheet name="P-RegistroHoraCita" sheetId="84" r:id="rId84"/>
    <sheet name="E-RegistroHoraCita" sheetId="85" r:id="rId85"/>
    <sheet name="M-RegistroHoraCita" sheetId="86" r:id="rId8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53" l="1"/>
  <c r="D24" i="85"/>
  <c r="D23" i="85"/>
  <c r="D22" i="85"/>
  <c r="D21" i="85"/>
  <c r="D18" i="85"/>
  <c r="H16" i="85"/>
  <c r="G16" i="85"/>
  <c r="H15" i="85"/>
  <c r="G15" i="85"/>
  <c r="H14" i="85"/>
  <c r="G14" i="85"/>
  <c r="H13" i="85"/>
  <c r="G13" i="85"/>
  <c r="H12" i="85"/>
  <c r="G12" i="85"/>
  <c r="H11" i="85"/>
  <c r="G11" i="85"/>
  <c r="H10" i="85"/>
  <c r="G10" i="85"/>
  <c r="H9" i="85"/>
  <c r="G9" i="85"/>
  <c r="H8" i="85"/>
  <c r="G8" i="85"/>
  <c r="H7" i="85"/>
  <c r="G7" i="85"/>
  <c r="B3" i="85"/>
  <c r="B2" i="85"/>
  <c r="D20" i="85" s="1"/>
  <c r="B3" i="84"/>
  <c r="B2" i="84"/>
  <c r="P23" i="83"/>
  <c r="O23" i="83"/>
  <c r="P22" i="83"/>
  <c r="O22" i="83"/>
  <c r="P21" i="83"/>
  <c r="O21" i="83"/>
  <c r="P20" i="83"/>
  <c r="O20" i="83"/>
  <c r="P19" i="83"/>
  <c r="O19" i="83"/>
  <c r="P18" i="83"/>
  <c r="O18" i="83"/>
  <c r="P17" i="83"/>
  <c r="O17" i="83"/>
  <c r="P16" i="83"/>
  <c r="O16" i="83"/>
  <c r="P15" i="83"/>
  <c r="O15" i="83"/>
  <c r="P14" i="83"/>
  <c r="O14" i="83"/>
  <c r="C10" i="83"/>
  <c r="B9" i="83"/>
  <c r="A9" i="83"/>
  <c r="B6" i="83"/>
  <c r="A6" i="83"/>
  <c r="B5" i="83"/>
  <c r="A5" i="83"/>
  <c r="B4" i="83"/>
  <c r="A4" i="83"/>
  <c r="C9" i="83" s="1"/>
  <c r="B3" i="83"/>
  <c r="A3" i="83"/>
  <c r="AB2" i="83"/>
  <c r="AA2" i="83"/>
  <c r="Z2" i="83"/>
  <c r="Y2" i="83"/>
  <c r="W2" i="83"/>
  <c r="V2" i="83"/>
  <c r="D4" i="82"/>
  <c r="H10" i="81"/>
  <c r="G10" i="81"/>
  <c r="D10" i="81"/>
  <c r="D9" i="81"/>
  <c r="H8" i="81"/>
  <c r="G8" i="81"/>
  <c r="H7" i="81"/>
  <c r="G7" i="81"/>
  <c r="D7" i="81"/>
  <c r="B3" i="81"/>
  <c r="B2" i="81"/>
  <c r="B3" i="80"/>
  <c r="B2" i="80"/>
  <c r="P20" i="79"/>
  <c r="O20" i="79"/>
  <c r="P19" i="79"/>
  <c r="O19" i="79"/>
  <c r="P17" i="79"/>
  <c r="O17" i="79"/>
  <c r="P16" i="79"/>
  <c r="O16" i="79"/>
  <c r="B12" i="79"/>
  <c r="A12" i="79"/>
  <c r="B9" i="79"/>
  <c r="A9" i="79"/>
  <c r="B8" i="79"/>
  <c r="A8" i="79"/>
  <c r="B7" i="79"/>
  <c r="A7" i="79"/>
  <c r="B6" i="79"/>
  <c r="A6" i="79"/>
  <c r="B5" i="79"/>
  <c r="A5" i="79"/>
  <c r="B4" i="79"/>
  <c r="A4" i="79"/>
  <c r="C12" i="79" s="1"/>
  <c r="B3" i="79"/>
  <c r="A3" i="79"/>
  <c r="X2" i="79"/>
  <c r="W2" i="79"/>
  <c r="V2" i="79"/>
  <c r="G14" i="78"/>
  <c r="F14" i="78"/>
  <c r="E14" i="78"/>
  <c r="D14" i="78"/>
  <c r="G13" i="78"/>
  <c r="F13" i="78"/>
  <c r="E13" i="78"/>
  <c r="D13" i="78"/>
  <c r="G12" i="78"/>
  <c r="F12" i="78"/>
  <c r="E12" i="78"/>
  <c r="D12" i="78"/>
  <c r="G11" i="78"/>
  <c r="F11" i="78"/>
  <c r="E11" i="78"/>
  <c r="D11" i="78"/>
  <c r="G10" i="78"/>
  <c r="F10" i="78"/>
  <c r="E10" i="78"/>
  <c r="D10" i="78"/>
  <c r="G9" i="78"/>
  <c r="F9" i="78"/>
  <c r="E9" i="78"/>
  <c r="D9" i="78"/>
  <c r="G8" i="78"/>
  <c r="F8" i="78"/>
  <c r="E8" i="78"/>
  <c r="D8" i="78"/>
  <c r="G7" i="78"/>
  <c r="F7" i="78"/>
  <c r="E7" i="78"/>
  <c r="D7" i="78"/>
  <c r="G6" i="78"/>
  <c r="F6" i="78"/>
  <c r="E6" i="78"/>
  <c r="D6" i="78"/>
  <c r="G5" i="78"/>
  <c r="F5" i="78"/>
  <c r="E5" i="78"/>
  <c r="D5" i="78"/>
  <c r="G4" i="78"/>
  <c r="F4" i="78"/>
  <c r="E4" i="78"/>
  <c r="D4" i="78"/>
  <c r="H11" i="77"/>
  <c r="G11" i="77"/>
  <c r="D8" i="77"/>
  <c r="B3" i="77"/>
  <c r="B2" i="77"/>
  <c r="D9" i="77" s="1"/>
  <c r="B3" i="76"/>
  <c r="B2" i="76"/>
  <c r="P19" i="75"/>
  <c r="O19" i="75"/>
  <c r="C13" i="75"/>
  <c r="C12" i="75"/>
  <c r="B12" i="75"/>
  <c r="A12" i="75"/>
  <c r="B9" i="75"/>
  <c r="A9" i="75"/>
  <c r="B8" i="75"/>
  <c r="A8" i="75"/>
  <c r="B7" i="75"/>
  <c r="A7" i="75"/>
  <c r="B6" i="75"/>
  <c r="A6" i="75"/>
  <c r="B5" i="75"/>
  <c r="A5" i="75"/>
  <c r="B4" i="75"/>
  <c r="A4" i="75"/>
  <c r="B3" i="75"/>
  <c r="A3" i="75"/>
  <c r="X2" i="75"/>
  <c r="W2" i="75"/>
  <c r="V2" i="75"/>
  <c r="D13" i="74"/>
  <c r="D9" i="74"/>
  <c r="D5" i="74"/>
  <c r="H30" i="73"/>
  <c r="G30" i="73"/>
  <c r="H29" i="73"/>
  <c r="G29" i="73"/>
  <c r="H28" i="73"/>
  <c r="G28" i="73"/>
  <c r="H27" i="73"/>
  <c r="G27" i="73"/>
  <c r="H26" i="73"/>
  <c r="G26" i="73"/>
  <c r="H25" i="73"/>
  <c r="G25" i="73"/>
  <c r="H24" i="73"/>
  <c r="G24" i="73"/>
  <c r="H23" i="73"/>
  <c r="G23" i="73"/>
  <c r="H22" i="73"/>
  <c r="G22" i="73"/>
  <c r="H21" i="73"/>
  <c r="G21" i="73"/>
  <c r="H20" i="73"/>
  <c r="G20" i="73"/>
  <c r="H19" i="73"/>
  <c r="G19" i="73"/>
  <c r="H18" i="73"/>
  <c r="G18" i="73"/>
  <c r="H17" i="73"/>
  <c r="G17" i="73"/>
  <c r="H16" i="73"/>
  <c r="G16" i="73"/>
  <c r="H15" i="73"/>
  <c r="G15" i="73"/>
  <c r="H14" i="73"/>
  <c r="G14" i="73"/>
  <c r="H13" i="73"/>
  <c r="G13" i="73"/>
  <c r="H12" i="73"/>
  <c r="G12" i="73"/>
  <c r="H11" i="73"/>
  <c r="G11" i="73"/>
  <c r="H10" i="73"/>
  <c r="G10" i="73"/>
  <c r="H9" i="73"/>
  <c r="G9" i="73"/>
  <c r="H8" i="73"/>
  <c r="G8" i="73"/>
  <c r="H7" i="73"/>
  <c r="G7" i="73"/>
  <c r="B3" i="73"/>
  <c r="B2" i="73"/>
  <c r="D28" i="73" s="1"/>
  <c r="B3" i="72"/>
  <c r="B2" i="72"/>
  <c r="P44" i="71"/>
  <c r="O44" i="71"/>
  <c r="P43" i="71"/>
  <c r="O43" i="71"/>
  <c r="P42" i="71"/>
  <c r="O42" i="71"/>
  <c r="P41" i="71"/>
  <c r="O41" i="71"/>
  <c r="P40" i="71"/>
  <c r="O40" i="71"/>
  <c r="P39" i="71"/>
  <c r="O39" i="71"/>
  <c r="P38" i="71"/>
  <c r="O38" i="71"/>
  <c r="P37" i="71"/>
  <c r="O37" i="71"/>
  <c r="P36" i="71"/>
  <c r="O36" i="71"/>
  <c r="P35" i="71"/>
  <c r="O35" i="71"/>
  <c r="P34" i="71"/>
  <c r="O34" i="71"/>
  <c r="P33" i="71"/>
  <c r="O33" i="71"/>
  <c r="P32" i="71"/>
  <c r="O32" i="71"/>
  <c r="P31" i="71"/>
  <c r="O31" i="71"/>
  <c r="P30" i="71"/>
  <c r="O30" i="71"/>
  <c r="P29" i="71"/>
  <c r="O29" i="71"/>
  <c r="P28" i="71"/>
  <c r="O28" i="71"/>
  <c r="P27" i="71"/>
  <c r="O27" i="71"/>
  <c r="P26" i="71"/>
  <c r="O26" i="71"/>
  <c r="P25" i="71"/>
  <c r="O25" i="71"/>
  <c r="P24" i="71"/>
  <c r="O24" i="71"/>
  <c r="P23" i="71"/>
  <c r="O23" i="71"/>
  <c r="P22" i="71"/>
  <c r="O22" i="71"/>
  <c r="P21" i="71"/>
  <c r="O21" i="71"/>
  <c r="P20" i="71"/>
  <c r="O20" i="71"/>
  <c r="B15" i="71"/>
  <c r="A15" i="71"/>
  <c r="B12" i="71"/>
  <c r="A12" i="71"/>
  <c r="B11" i="71"/>
  <c r="A11" i="71"/>
  <c r="B10" i="71"/>
  <c r="A10" i="71"/>
  <c r="B9" i="71"/>
  <c r="A9" i="71"/>
  <c r="B8" i="71"/>
  <c r="A8" i="71"/>
  <c r="B7" i="71"/>
  <c r="A7" i="71"/>
  <c r="C16" i="71" s="1"/>
  <c r="B6" i="71"/>
  <c r="A6" i="71"/>
  <c r="B5" i="71"/>
  <c r="A5" i="71"/>
  <c r="C15" i="71" s="1"/>
  <c r="B4" i="71"/>
  <c r="A4" i="71"/>
  <c r="B3" i="71"/>
  <c r="A3" i="71"/>
  <c r="AC2" i="71"/>
  <c r="AA2" i="71"/>
  <c r="Y2" i="71"/>
  <c r="W2" i="71"/>
  <c r="V2" i="71"/>
  <c r="D12" i="69"/>
  <c r="D11" i="69"/>
  <c r="H9" i="69"/>
  <c r="G9" i="69"/>
  <c r="D9" i="69"/>
  <c r="H8" i="69"/>
  <c r="G8" i="69"/>
  <c r="H7" i="69"/>
  <c r="G7" i="69"/>
  <c r="D7" i="69"/>
  <c r="B3" i="69"/>
  <c r="B2" i="69"/>
  <c r="D13" i="69" s="1"/>
  <c r="B3" i="68"/>
  <c r="B2" i="68"/>
  <c r="P15" i="67"/>
  <c r="O15" i="67"/>
  <c r="P14" i="67"/>
  <c r="O14" i="67"/>
  <c r="P13" i="67"/>
  <c r="O13" i="67"/>
  <c r="B8" i="67"/>
  <c r="A8" i="67"/>
  <c r="B5" i="67"/>
  <c r="A5" i="67"/>
  <c r="C9" i="67" s="1"/>
  <c r="B4" i="67"/>
  <c r="A4" i="67"/>
  <c r="C8" i="67" s="1"/>
  <c r="B3" i="67"/>
  <c r="A3" i="67"/>
  <c r="X2" i="67"/>
  <c r="W2" i="67"/>
  <c r="V2" i="67"/>
  <c r="H14" i="65"/>
  <c r="G14" i="65"/>
  <c r="H13" i="65"/>
  <c r="G13" i="65"/>
  <c r="H11" i="65"/>
  <c r="G11" i="65"/>
  <c r="D11" i="65"/>
  <c r="H9" i="65"/>
  <c r="G9" i="65"/>
  <c r="H8" i="65"/>
  <c r="G8" i="65"/>
  <c r="H7" i="65"/>
  <c r="G7" i="65"/>
  <c r="D7" i="65"/>
  <c r="B3" i="65"/>
  <c r="B2" i="65"/>
  <c r="D10" i="65" s="1"/>
  <c r="B3" i="64"/>
  <c r="B2" i="64"/>
  <c r="P28" i="63"/>
  <c r="O28" i="63"/>
  <c r="P27" i="63"/>
  <c r="O27" i="63"/>
  <c r="P26" i="63"/>
  <c r="O26" i="63"/>
  <c r="P24" i="63"/>
  <c r="O24" i="63"/>
  <c r="P23" i="63"/>
  <c r="O23" i="63"/>
  <c r="P22" i="63"/>
  <c r="O22" i="63"/>
  <c r="C16" i="63"/>
  <c r="C13" i="63"/>
  <c r="B13" i="63"/>
  <c r="A13" i="63"/>
  <c r="B10" i="63"/>
  <c r="A10" i="63"/>
  <c r="B9" i="63"/>
  <c r="A9" i="63"/>
  <c r="C18" i="63" s="1"/>
  <c r="B8" i="63"/>
  <c r="A8" i="63"/>
  <c r="C17" i="63" s="1"/>
  <c r="B7" i="63"/>
  <c r="A7" i="63"/>
  <c r="B6" i="63"/>
  <c r="A6" i="63"/>
  <c r="C15" i="63" s="1"/>
  <c r="B5" i="63"/>
  <c r="A5" i="63"/>
  <c r="C14" i="63" s="1"/>
  <c r="B4" i="63"/>
  <c r="A4" i="63"/>
  <c r="B3" i="63"/>
  <c r="A3" i="63"/>
  <c r="Y2" i="63"/>
  <c r="X2" i="63"/>
  <c r="W2" i="63"/>
  <c r="V2" i="63"/>
  <c r="H17" i="61"/>
  <c r="G17" i="61"/>
  <c r="H15" i="61"/>
  <c r="G15" i="61"/>
  <c r="H11" i="61"/>
  <c r="G11" i="61"/>
  <c r="H10" i="61"/>
  <c r="G10" i="61"/>
  <c r="H9" i="61"/>
  <c r="G9" i="61"/>
  <c r="H8" i="61"/>
  <c r="G8" i="61"/>
  <c r="H7" i="61"/>
  <c r="G7" i="61"/>
  <c r="B3" i="61"/>
  <c r="B2" i="61"/>
  <c r="D11" i="61" s="1"/>
  <c r="B3" i="60"/>
  <c r="B2" i="60"/>
  <c r="P25" i="59"/>
  <c r="O25" i="59"/>
  <c r="P24" i="59"/>
  <c r="O24" i="59"/>
  <c r="P23" i="59"/>
  <c r="O23" i="59"/>
  <c r="P20" i="59"/>
  <c r="O20" i="59"/>
  <c r="P19" i="59"/>
  <c r="O19" i="59"/>
  <c r="P18" i="59"/>
  <c r="O18" i="59"/>
  <c r="P17" i="59"/>
  <c r="O17" i="59"/>
  <c r="P16" i="59"/>
  <c r="O16" i="59"/>
  <c r="P15" i="59"/>
  <c r="O15" i="59"/>
  <c r="C9" i="59"/>
  <c r="B9" i="59"/>
  <c r="A9" i="59"/>
  <c r="B6" i="59"/>
  <c r="A6" i="59"/>
  <c r="C11" i="59" s="1"/>
  <c r="B5" i="59"/>
  <c r="A5" i="59"/>
  <c r="C10" i="59" s="1"/>
  <c r="B4" i="59"/>
  <c r="A4" i="59"/>
  <c r="B3" i="59"/>
  <c r="A3" i="59"/>
  <c r="Z2" i="59"/>
  <c r="Y2" i="59"/>
  <c r="X2" i="59"/>
  <c r="W2" i="59"/>
  <c r="V2" i="59"/>
  <c r="H12" i="58"/>
  <c r="C12" i="58"/>
  <c r="B12" i="58"/>
  <c r="C11" i="58"/>
  <c r="B11" i="58"/>
  <c r="H11" i="58" s="1"/>
  <c r="H10" i="58"/>
  <c r="C10" i="58"/>
  <c r="B10" i="58"/>
  <c r="H9" i="58"/>
  <c r="C8" i="78" s="1"/>
  <c r="C9" i="58"/>
  <c r="B9" i="58"/>
  <c r="H8" i="58"/>
  <c r="C8" i="58"/>
  <c r="B8" i="58"/>
  <c r="C7" i="58"/>
  <c r="B7" i="58"/>
  <c r="H7" i="58" s="1"/>
  <c r="H6" i="58"/>
  <c r="C13" i="78" s="1"/>
  <c r="C6" i="58"/>
  <c r="B6" i="58"/>
  <c r="H5" i="58"/>
  <c r="C11" i="78" s="1"/>
  <c r="C5" i="58"/>
  <c r="B5" i="58"/>
  <c r="H4" i="58"/>
  <c r="C10" i="78" s="1"/>
  <c r="C4" i="58"/>
  <c r="B4" i="58"/>
  <c r="G15" i="57"/>
  <c r="G14" i="57"/>
  <c r="G11" i="57"/>
  <c r="G10" i="57"/>
  <c r="G9" i="57"/>
  <c r="G8" i="57"/>
  <c r="G7" i="57"/>
  <c r="B3" i="57"/>
  <c r="B2" i="57"/>
  <c r="D12" i="57" s="1"/>
  <c r="B3" i="56"/>
  <c r="B2" i="56"/>
  <c r="P28" i="55"/>
  <c r="O28" i="55"/>
  <c r="P27" i="55"/>
  <c r="O27" i="55"/>
  <c r="P26" i="55"/>
  <c r="O26" i="55"/>
  <c r="P25" i="55"/>
  <c r="O25" i="55"/>
  <c r="P22" i="55"/>
  <c r="O22" i="55"/>
  <c r="P21" i="55"/>
  <c r="O21" i="55"/>
  <c r="P20" i="55"/>
  <c r="O20" i="55"/>
  <c r="P19" i="55"/>
  <c r="O19" i="55"/>
  <c r="P18" i="55"/>
  <c r="O18" i="55"/>
  <c r="P17" i="55"/>
  <c r="O17" i="55"/>
  <c r="B12" i="55"/>
  <c r="A12" i="55"/>
  <c r="B9" i="55"/>
  <c r="A9" i="55"/>
  <c r="B8" i="55"/>
  <c r="A8" i="55"/>
  <c r="B7" i="55"/>
  <c r="A7" i="55"/>
  <c r="B6" i="55"/>
  <c r="A6" i="55"/>
  <c r="B5" i="55"/>
  <c r="A5" i="55"/>
  <c r="B4" i="55"/>
  <c r="A4" i="55"/>
  <c r="B3" i="55"/>
  <c r="A3" i="55"/>
  <c r="AB2" i="55"/>
  <c r="AA2" i="55"/>
  <c r="Z2" i="55"/>
  <c r="Y2" i="55"/>
  <c r="W2" i="55"/>
  <c r="V2" i="55"/>
  <c r="G18" i="53"/>
  <c r="D18" i="53"/>
  <c r="G16" i="53"/>
  <c r="G15" i="53"/>
  <c r="G14" i="53"/>
  <c r="D13" i="53"/>
  <c r="D12" i="53"/>
  <c r="D11" i="53"/>
  <c r="G10" i="53"/>
  <c r="G9" i="53"/>
  <c r="D9" i="53"/>
  <c r="G8" i="53"/>
  <c r="G7" i="53"/>
  <c r="D7" i="53"/>
  <c r="B3" i="53"/>
  <c r="B2" i="53"/>
  <c r="D19" i="53" s="1"/>
  <c r="B3" i="52"/>
  <c r="B2" i="52"/>
  <c r="P27" i="51"/>
  <c r="O27" i="51"/>
  <c r="P26" i="51"/>
  <c r="O26" i="51"/>
  <c r="P25" i="51"/>
  <c r="O25" i="51"/>
  <c r="P24" i="51"/>
  <c r="O24" i="51"/>
  <c r="P23" i="51"/>
  <c r="O23" i="51"/>
  <c r="P22" i="51"/>
  <c r="O22" i="51"/>
  <c r="P20" i="51"/>
  <c r="O20" i="51"/>
  <c r="P19" i="51"/>
  <c r="O19" i="51"/>
  <c r="P18" i="51"/>
  <c r="O18" i="51"/>
  <c r="P17" i="51"/>
  <c r="O17" i="51"/>
  <c r="P16" i="51"/>
  <c r="O16" i="51"/>
  <c r="C12" i="51"/>
  <c r="B11" i="51"/>
  <c r="A11" i="51"/>
  <c r="B8" i="51"/>
  <c r="A8" i="51"/>
  <c r="B7" i="51"/>
  <c r="A7" i="51"/>
  <c r="B6" i="51"/>
  <c r="A6" i="51"/>
  <c r="B5" i="51"/>
  <c r="A5" i="51"/>
  <c r="B4" i="51"/>
  <c r="A4" i="51"/>
  <c r="C11" i="51" s="1"/>
  <c r="B3" i="51"/>
  <c r="A3" i="51"/>
  <c r="AD2" i="51"/>
  <c r="AB2" i="51"/>
  <c r="Z2" i="51"/>
  <c r="Y2" i="51"/>
  <c r="W2" i="51"/>
  <c r="V2" i="51"/>
  <c r="H16" i="49"/>
  <c r="G16" i="49"/>
  <c r="H14" i="49"/>
  <c r="G14" i="49"/>
  <c r="H13" i="49"/>
  <c r="G13" i="49"/>
  <c r="D10" i="49"/>
  <c r="H9" i="49"/>
  <c r="G9" i="49"/>
  <c r="H8" i="49"/>
  <c r="G8" i="49"/>
  <c r="H7" i="49"/>
  <c r="G7" i="49"/>
  <c r="B3" i="49"/>
  <c r="B2" i="49"/>
  <c r="D11" i="49" s="1"/>
  <c r="B3" i="48"/>
  <c r="B2" i="48"/>
  <c r="P30" i="47"/>
  <c r="O30" i="47"/>
  <c r="P29" i="47"/>
  <c r="O29" i="47"/>
  <c r="P28" i="47"/>
  <c r="O28" i="47"/>
  <c r="P27" i="47"/>
  <c r="O27" i="47"/>
  <c r="P25" i="47"/>
  <c r="O25" i="47"/>
  <c r="P24" i="47"/>
  <c r="O24" i="47"/>
  <c r="P23" i="47"/>
  <c r="O23" i="47"/>
  <c r="C18" i="47"/>
  <c r="C15" i="47"/>
  <c r="B13" i="47"/>
  <c r="A13" i="47"/>
  <c r="B10" i="47"/>
  <c r="A10" i="47"/>
  <c r="B9" i="47"/>
  <c r="A9" i="47"/>
  <c r="B8" i="47"/>
  <c r="A8" i="47"/>
  <c r="C17" i="47" s="1"/>
  <c r="B7" i="47"/>
  <c r="A7" i="47"/>
  <c r="C16" i="47" s="1"/>
  <c r="B6" i="47"/>
  <c r="A6" i="47"/>
  <c r="B5" i="47"/>
  <c r="A5" i="47"/>
  <c r="C14" i="47" s="1"/>
  <c r="B4" i="47"/>
  <c r="A4" i="47"/>
  <c r="C13" i="47" s="1"/>
  <c r="B3" i="47"/>
  <c r="A3" i="47"/>
  <c r="X2" i="47"/>
  <c r="W2" i="47"/>
  <c r="V2" i="47"/>
  <c r="K6" i="46"/>
  <c r="B6" i="66" s="1"/>
  <c r="F6" i="46"/>
  <c r="K4" i="46"/>
  <c r="B4" i="62" s="1"/>
  <c r="E4" i="62" s="1"/>
  <c r="F4" i="46"/>
  <c r="G15" i="45"/>
  <c r="G12" i="45"/>
  <c r="G9" i="45"/>
  <c r="G8" i="45"/>
  <c r="G7" i="45"/>
  <c r="B3" i="45"/>
  <c r="B2" i="45"/>
  <c r="B3" i="44"/>
  <c r="B2" i="44"/>
  <c r="P33" i="43"/>
  <c r="O33" i="43"/>
  <c r="P32" i="43"/>
  <c r="O32" i="43"/>
  <c r="P31" i="43"/>
  <c r="O31" i="43"/>
  <c r="P30" i="43"/>
  <c r="O30" i="43"/>
  <c r="P29" i="43"/>
  <c r="O29" i="43"/>
  <c r="P28" i="43"/>
  <c r="O28" i="43"/>
  <c r="P27" i="43"/>
  <c r="O27" i="43"/>
  <c r="P26" i="43"/>
  <c r="O26" i="43"/>
  <c r="P24" i="43"/>
  <c r="O24" i="43"/>
  <c r="P23" i="43"/>
  <c r="O23" i="43"/>
  <c r="P22" i="43"/>
  <c r="O22" i="43"/>
  <c r="P21" i="43"/>
  <c r="O21" i="43"/>
  <c r="P20" i="43"/>
  <c r="O20" i="43"/>
  <c r="C16" i="43"/>
  <c r="B15" i="43"/>
  <c r="A15" i="43"/>
  <c r="B12" i="43"/>
  <c r="A12" i="43"/>
  <c r="B11" i="43"/>
  <c r="A11" i="43"/>
  <c r="B10" i="43"/>
  <c r="A10" i="43"/>
  <c r="B9" i="43"/>
  <c r="A9" i="43"/>
  <c r="B8" i="43"/>
  <c r="A8" i="43"/>
  <c r="C15" i="43" s="1"/>
  <c r="B7" i="43"/>
  <c r="A7" i="43"/>
  <c r="B6" i="43"/>
  <c r="A6" i="43"/>
  <c r="B5" i="43"/>
  <c r="A5" i="43"/>
  <c r="B4" i="43"/>
  <c r="A4" i="43"/>
  <c r="B3" i="43"/>
  <c r="A3" i="43"/>
  <c r="AF2" i="43"/>
  <c r="AD2" i="43"/>
  <c r="AB2" i="43"/>
  <c r="Z2" i="43"/>
  <c r="Y2" i="43"/>
  <c r="W2" i="43"/>
  <c r="V2" i="43"/>
  <c r="F5" i="42"/>
  <c r="C5" i="42"/>
  <c r="H19" i="41"/>
  <c r="G19" i="41"/>
  <c r="H18" i="41"/>
  <c r="G18" i="41"/>
  <c r="H17" i="41"/>
  <c r="G17" i="41"/>
  <c r="D17" i="41"/>
  <c r="H16" i="41"/>
  <c r="G16" i="41"/>
  <c r="H15" i="41"/>
  <c r="G15" i="41"/>
  <c r="D15" i="41"/>
  <c r="H14" i="41"/>
  <c r="G14" i="41"/>
  <c r="H13" i="41"/>
  <c r="G13" i="41"/>
  <c r="H12" i="41"/>
  <c r="G12" i="41"/>
  <c r="D12" i="41"/>
  <c r="D11" i="41"/>
  <c r="D10" i="41"/>
  <c r="D9" i="41"/>
  <c r="H8" i="41"/>
  <c r="G8" i="41"/>
  <c r="H7" i="41"/>
  <c r="G7" i="41"/>
  <c r="D7" i="41"/>
  <c r="B3" i="41"/>
  <c r="B2" i="41"/>
  <c r="B3" i="40"/>
  <c r="B2" i="40"/>
  <c r="P25" i="39"/>
  <c r="O25" i="39"/>
  <c r="P24" i="39"/>
  <c r="O24" i="39"/>
  <c r="P23" i="39"/>
  <c r="O23" i="39"/>
  <c r="P22" i="39"/>
  <c r="O22" i="39"/>
  <c r="P21" i="39"/>
  <c r="O21" i="39"/>
  <c r="P20" i="39"/>
  <c r="O20" i="39"/>
  <c r="P19" i="39"/>
  <c r="O19" i="39"/>
  <c r="P18" i="39"/>
  <c r="O18" i="39"/>
  <c r="P17" i="39"/>
  <c r="O17" i="39"/>
  <c r="P16" i="39"/>
  <c r="O16" i="39"/>
  <c r="P15" i="39"/>
  <c r="O15" i="39"/>
  <c r="C10" i="39"/>
  <c r="B10" i="39"/>
  <c r="A10" i="39"/>
  <c r="B7" i="39"/>
  <c r="A7" i="39"/>
  <c r="B6" i="39"/>
  <c r="A6" i="39"/>
  <c r="C11" i="39" s="1"/>
  <c r="B5" i="39"/>
  <c r="A5" i="39"/>
  <c r="B4" i="39"/>
  <c r="A4" i="39"/>
  <c r="B3" i="39"/>
  <c r="A3" i="39"/>
  <c r="AB2" i="39"/>
  <c r="Z2" i="39"/>
  <c r="X2" i="39"/>
  <c r="W2" i="39"/>
  <c r="V2" i="39"/>
  <c r="D5" i="38"/>
  <c r="B6" i="42" s="1"/>
  <c r="C5" i="38"/>
  <c r="C4" i="38"/>
  <c r="D4" i="38" s="1"/>
  <c r="B3" i="37"/>
  <c r="B2" i="37"/>
  <c r="D7" i="37" s="1"/>
  <c r="B3" i="36"/>
  <c r="B2" i="36"/>
  <c r="C8" i="35"/>
  <c r="B8" i="35"/>
  <c r="A8" i="35"/>
  <c r="B5" i="35"/>
  <c r="A5" i="35"/>
  <c r="C9" i="35" s="1"/>
  <c r="B4" i="35"/>
  <c r="A4" i="35"/>
  <c r="B3" i="35"/>
  <c r="A3" i="35"/>
  <c r="V2" i="35"/>
  <c r="F8" i="34"/>
  <c r="J8" i="34" s="1"/>
  <c r="F7" i="34"/>
  <c r="J7" i="34" s="1"/>
  <c r="J6" i="34"/>
  <c r="B6" i="74" s="1"/>
  <c r="F6" i="34"/>
  <c r="F5" i="34"/>
  <c r="J5" i="34" s="1"/>
  <c r="F4" i="34"/>
  <c r="J4" i="34" s="1"/>
  <c r="H14" i="33"/>
  <c r="G14" i="33"/>
  <c r="H13" i="33"/>
  <c r="G13" i="33"/>
  <c r="D11" i="33"/>
  <c r="D10" i="33"/>
  <c r="H9" i="33"/>
  <c r="G9" i="33"/>
  <c r="D9" i="33"/>
  <c r="H8" i="33"/>
  <c r="G8" i="33"/>
  <c r="H7" i="33"/>
  <c r="G7" i="33"/>
  <c r="D7" i="33"/>
  <c r="B3" i="33"/>
  <c r="B2" i="33"/>
  <c r="D12" i="33" s="1"/>
  <c r="B3" i="32"/>
  <c r="B2" i="32"/>
  <c r="P32" i="31"/>
  <c r="O32" i="31"/>
  <c r="P31" i="31"/>
  <c r="O31" i="31"/>
  <c r="P30" i="31"/>
  <c r="O30" i="31"/>
  <c r="P29" i="31"/>
  <c r="O29" i="31"/>
  <c r="P28" i="31"/>
  <c r="O28" i="31"/>
  <c r="P27" i="31"/>
  <c r="O27" i="31"/>
  <c r="P26" i="31"/>
  <c r="O26" i="31"/>
  <c r="P24" i="31"/>
  <c r="O24" i="31"/>
  <c r="P23" i="31"/>
  <c r="O23" i="31"/>
  <c r="P22" i="31"/>
  <c r="O22" i="31"/>
  <c r="P21" i="31"/>
  <c r="O21" i="31"/>
  <c r="C17" i="31"/>
  <c r="C14" i="31"/>
  <c r="B14" i="31"/>
  <c r="A14" i="31"/>
  <c r="B11" i="31"/>
  <c r="A11" i="31"/>
  <c r="B10" i="31"/>
  <c r="A10" i="31"/>
  <c r="B9" i="31"/>
  <c r="A9" i="31"/>
  <c r="B8" i="31"/>
  <c r="A8" i="31"/>
  <c r="B7" i="31"/>
  <c r="A7" i="31"/>
  <c r="B6" i="31"/>
  <c r="A6" i="31"/>
  <c r="B5" i="31"/>
  <c r="A5" i="31"/>
  <c r="B4" i="31"/>
  <c r="A4" i="31"/>
  <c r="B3" i="31"/>
  <c r="A3" i="31"/>
  <c r="AD2" i="31"/>
  <c r="AB2" i="31"/>
  <c r="AA2" i="31"/>
  <c r="Z2" i="31"/>
  <c r="Y2" i="31"/>
  <c r="W2" i="31"/>
  <c r="V2" i="31"/>
  <c r="C7" i="30"/>
  <c r="C6" i="86" s="1"/>
  <c r="C6" i="30"/>
  <c r="C5" i="86" s="1"/>
  <c r="C5" i="30"/>
  <c r="C10" i="86" s="1"/>
  <c r="C4" i="30"/>
  <c r="C9" i="86" s="1"/>
  <c r="B3" i="29"/>
  <c r="B2" i="29"/>
  <c r="D8" i="29" s="1"/>
  <c r="B3" i="28"/>
  <c r="B2" i="28"/>
  <c r="B7" i="27"/>
  <c r="A7" i="27"/>
  <c r="B4" i="27"/>
  <c r="A4" i="27"/>
  <c r="C7" i="27" s="1"/>
  <c r="B3" i="27"/>
  <c r="A3" i="27"/>
  <c r="V2" i="27"/>
  <c r="D5" i="26"/>
  <c r="C8" i="82" s="1"/>
  <c r="D4" i="26"/>
  <c r="C4" i="82" s="1"/>
  <c r="D9" i="25"/>
  <c r="D8" i="25"/>
  <c r="D7" i="25"/>
  <c r="B3" i="25"/>
  <c r="B2" i="25"/>
  <c r="B3" i="24"/>
  <c r="B2" i="24"/>
  <c r="B8" i="23"/>
  <c r="A8" i="23"/>
  <c r="B5" i="23"/>
  <c r="A5" i="23"/>
  <c r="B4" i="23"/>
  <c r="A4" i="23"/>
  <c r="B3" i="23"/>
  <c r="A3" i="23"/>
  <c r="V2" i="23"/>
  <c r="C7" i="22"/>
  <c r="C6" i="22"/>
  <c r="F8" i="46" s="1"/>
  <c r="K8" i="46" s="1"/>
  <c r="C5" i="22"/>
  <c r="F7" i="46" s="1"/>
  <c r="K7" i="46" s="1"/>
  <c r="C4" i="22"/>
  <c r="F5" i="46" s="1"/>
  <c r="K5" i="46" s="1"/>
  <c r="B3" i="21"/>
  <c r="B2" i="21"/>
  <c r="D9" i="21" s="1"/>
  <c r="B3" i="20"/>
  <c r="B2" i="20"/>
  <c r="B7" i="19"/>
  <c r="A7" i="19"/>
  <c r="B4" i="19"/>
  <c r="A4" i="19"/>
  <c r="B3" i="19"/>
  <c r="A3" i="19"/>
  <c r="V2" i="19"/>
  <c r="D11" i="18"/>
  <c r="D10" i="18"/>
  <c r="D12" i="74" s="1"/>
  <c r="D9" i="18"/>
  <c r="D8" i="74" s="1"/>
  <c r="D8" i="18"/>
  <c r="D6" i="74" s="1"/>
  <c r="D7" i="18"/>
  <c r="D6" i="18"/>
  <c r="D5" i="18"/>
  <c r="D4" i="18"/>
  <c r="D4" i="74" s="1"/>
  <c r="D13" i="17"/>
  <c r="D11" i="17"/>
  <c r="H10" i="17"/>
  <c r="G10" i="17"/>
  <c r="D10" i="17"/>
  <c r="D9" i="17"/>
  <c r="D8" i="17"/>
  <c r="D7" i="17"/>
  <c r="B3" i="17"/>
  <c r="B2" i="17"/>
  <c r="D12" i="17" s="1"/>
  <c r="B3" i="16"/>
  <c r="B2" i="16"/>
  <c r="P15" i="15"/>
  <c r="O15" i="15"/>
  <c r="P14" i="15"/>
  <c r="O14" i="15"/>
  <c r="P13" i="15"/>
  <c r="O13" i="15"/>
  <c r="B8" i="15"/>
  <c r="A8" i="15"/>
  <c r="B5" i="15"/>
  <c r="A5" i="15"/>
  <c r="B4" i="15"/>
  <c r="A4" i="15"/>
  <c r="B3" i="15"/>
  <c r="A3" i="15"/>
  <c r="Y2" i="15"/>
  <c r="W2" i="15"/>
  <c r="V2" i="15"/>
  <c r="C8" i="14"/>
  <c r="C7" i="14"/>
  <c r="C8" i="38" s="1"/>
  <c r="D8" i="38" s="1"/>
  <c r="C6" i="14"/>
  <c r="C7" i="38" s="1"/>
  <c r="D7" i="38" s="1"/>
  <c r="C5" i="14"/>
  <c r="C6" i="38" s="1"/>
  <c r="D6" i="38" s="1"/>
  <c r="B7" i="42" s="1"/>
  <c r="C4" i="14"/>
  <c r="D7" i="13"/>
  <c r="B3" i="13"/>
  <c r="B2" i="13"/>
  <c r="B3" i="12"/>
  <c r="B2" i="12"/>
  <c r="B7" i="11"/>
  <c r="A7" i="11"/>
  <c r="B4" i="11"/>
  <c r="A4" i="11"/>
  <c r="C7" i="11" s="1"/>
  <c r="B3" i="11"/>
  <c r="A3" i="11"/>
  <c r="V2" i="11"/>
  <c r="C11" i="10"/>
  <c r="C10" i="50" s="1"/>
  <c r="C10" i="10"/>
  <c r="C9" i="10"/>
  <c r="C9" i="50" s="1"/>
  <c r="C8" i="10"/>
  <c r="C8" i="50" s="1"/>
  <c r="C7" i="10"/>
  <c r="C7" i="50" s="1"/>
  <c r="C6" i="10"/>
  <c r="C6" i="50" s="1"/>
  <c r="C5" i="10"/>
  <c r="C5" i="50" s="1"/>
  <c r="C4" i="10"/>
  <c r="C4" i="50" s="1"/>
  <c r="D8" i="9"/>
  <c r="D7" i="9"/>
  <c r="B3" i="9"/>
  <c r="B2" i="9"/>
  <c r="B3" i="8"/>
  <c r="B2" i="8"/>
  <c r="B7" i="7"/>
  <c r="A7" i="7"/>
  <c r="B4" i="7"/>
  <c r="A4" i="7"/>
  <c r="B3" i="7"/>
  <c r="A3" i="7"/>
  <c r="V2" i="7"/>
  <c r="D5" i="6"/>
  <c r="C7" i="42" s="1"/>
  <c r="F7" i="42" s="1"/>
  <c r="D4" i="6"/>
  <c r="C4" i="42" s="1"/>
  <c r="F4" i="42" s="1"/>
  <c r="H13" i="5"/>
  <c r="G13" i="5"/>
  <c r="H12" i="5"/>
  <c r="G12" i="5"/>
  <c r="D11" i="5"/>
  <c r="H8" i="5"/>
  <c r="G8" i="5"/>
  <c r="H7" i="5"/>
  <c r="G7" i="5"/>
  <c r="B3" i="5"/>
  <c r="B2" i="5"/>
  <c r="D10" i="5" s="1"/>
  <c r="B3" i="4"/>
  <c r="B2" i="4"/>
  <c r="P18" i="3"/>
  <c r="O18" i="3"/>
  <c r="P17" i="3"/>
  <c r="O17" i="3"/>
  <c r="P16" i="3"/>
  <c r="O16" i="3"/>
  <c r="P15" i="3"/>
  <c r="O15" i="3"/>
  <c r="P14" i="3"/>
  <c r="O14" i="3"/>
  <c r="P13" i="3"/>
  <c r="O13" i="3"/>
  <c r="P12" i="3"/>
  <c r="O12" i="3"/>
  <c r="B8" i="3"/>
  <c r="A8" i="3"/>
  <c r="B5" i="3"/>
  <c r="A5" i="3"/>
  <c r="C8" i="3" s="1"/>
  <c r="B4" i="3"/>
  <c r="A4" i="3"/>
  <c r="B3" i="3"/>
  <c r="A3" i="3"/>
  <c r="AA2" i="3"/>
  <c r="Y2" i="3"/>
  <c r="X2" i="3"/>
  <c r="W2" i="3"/>
  <c r="V2" i="3"/>
  <c r="C9" i="78" l="1"/>
  <c r="C7" i="78"/>
  <c r="B9" i="50"/>
  <c r="I9" i="50" s="1"/>
  <c r="C7" i="66" s="1"/>
  <c r="B5" i="50"/>
  <c r="I5" i="50" s="1"/>
  <c r="C5" i="66" s="1"/>
  <c r="B4" i="54"/>
  <c r="G4" i="54" s="1"/>
  <c r="J5" i="46"/>
  <c r="B8" i="50"/>
  <c r="I8" i="50" s="1"/>
  <c r="B4" i="50"/>
  <c r="I4" i="50" s="1"/>
  <c r="C4" i="66" s="1"/>
  <c r="B7" i="50"/>
  <c r="I7" i="50" s="1"/>
  <c r="C6" i="66" s="1"/>
  <c r="I6" i="66" s="1"/>
  <c r="B6" i="54"/>
  <c r="G6" i="54" s="1"/>
  <c r="B10" i="50"/>
  <c r="I10" i="50" s="1"/>
  <c r="C8" i="66" s="1"/>
  <c r="B7" i="54"/>
  <c r="G7" i="54" s="1"/>
  <c r="J8" i="46"/>
  <c r="J4" i="46"/>
  <c r="B6" i="50"/>
  <c r="I6" i="50" s="1"/>
  <c r="J7" i="46"/>
  <c r="B5" i="54"/>
  <c r="G5" i="54" s="1"/>
  <c r="J6" i="46"/>
  <c r="B5" i="42"/>
  <c r="B4" i="42"/>
  <c r="B4" i="74"/>
  <c r="B9" i="74"/>
  <c r="B13" i="74"/>
  <c r="B5" i="74"/>
  <c r="B5" i="66"/>
  <c r="B5" i="62"/>
  <c r="E5" i="62" s="1"/>
  <c r="B8" i="66"/>
  <c r="B7" i="62"/>
  <c r="E7" i="62" s="1"/>
  <c r="B8" i="62"/>
  <c r="E8" i="62" s="1"/>
  <c r="B7" i="66"/>
  <c r="I7" i="66" s="1"/>
  <c r="B8" i="70" s="1"/>
  <c r="D8" i="70" s="1"/>
  <c r="C7" i="74" s="1"/>
  <c r="K7" i="74" s="1"/>
  <c r="B8" i="74"/>
  <c r="B7" i="74"/>
  <c r="B12" i="74"/>
  <c r="B10" i="74"/>
  <c r="B11" i="74"/>
  <c r="D12" i="5"/>
  <c r="D12" i="49"/>
  <c r="D13" i="57"/>
  <c r="D7" i="61"/>
  <c r="D12" i="61"/>
  <c r="B6" i="62"/>
  <c r="E6" i="62" s="1"/>
  <c r="D7" i="73"/>
  <c r="D10" i="77"/>
  <c r="C5" i="78"/>
  <c r="D14" i="57"/>
  <c r="D13" i="61"/>
  <c r="D11" i="77"/>
  <c r="C12" i="78"/>
  <c r="C6" i="82"/>
  <c r="C7" i="86"/>
  <c r="D13" i="49"/>
  <c r="D7" i="74"/>
  <c r="D11" i="74"/>
  <c r="D7" i="5"/>
  <c r="D7" i="21"/>
  <c r="C6" i="42"/>
  <c r="F6" i="42" s="1"/>
  <c r="D7" i="49"/>
  <c r="D14" i="53"/>
  <c r="D15" i="57"/>
  <c r="D15" i="61"/>
  <c r="C14" i="78"/>
  <c r="D14" i="61"/>
  <c r="D7" i="57"/>
  <c r="D25" i="73"/>
  <c r="C4" i="86"/>
  <c r="C8" i="86"/>
  <c r="D14" i="5"/>
  <c r="D8" i="21"/>
  <c r="D7" i="29"/>
  <c r="D15" i="65"/>
  <c r="C4" i="78"/>
  <c r="B4" i="66"/>
  <c r="I4" i="66" s="1"/>
  <c r="D21" i="73"/>
  <c r="C7" i="82"/>
  <c r="D17" i="85"/>
  <c r="D16" i="73"/>
  <c r="C6" i="78"/>
  <c r="D10" i="57"/>
  <c r="D10" i="74"/>
  <c r="C5" i="82"/>
  <c r="D9" i="5"/>
  <c r="D7" i="77"/>
  <c r="D7" i="85"/>
  <c r="D19" i="85"/>
  <c r="D13" i="85"/>
  <c r="D23" i="73"/>
  <c r="B12" i="70" l="1"/>
  <c r="D12" i="70" s="1"/>
  <c r="C12" i="74" s="1"/>
  <c r="K12" i="74" s="1"/>
  <c r="B6" i="70"/>
  <c r="D6" i="70" s="1"/>
  <c r="B9" i="70"/>
  <c r="D9" i="70" s="1"/>
  <c r="C8" i="74" s="1"/>
  <c r="K8" i="74" s="1"/>
  <c r="B5" i="82"/>
  <c r="H5" i="82" s="1"/>
  <c r="B7" i="78"/>
  <c r="H7" i="78" s="1"/>
  <c r="I8" i="66"/>
  <c r="B7" i="70" s="1"/>
  <c r="D7" i="70" s="1"/>
  <c r="C9" i="74" s="1"/>
  <c r="K9" i="74" s="1"/>
  <c r="B4" i="70"/>
  <c r="D4" i="70" s="1"/>
  <c r="C4" i="74" s="1"/>
  <c r="K4" i="74" s="1"/>
  <c r="B10" i="70"/>
  <c r="D10" i="70" s="1"/>
  <c r="C10" i="74" s="1"/>
  <c r="K10" i="74" s="1"/>
  <c r="I5" i="66"/>
  <c r="B4" i="78" l="1"/>
  <c r="B11" i="70"/>
  <c r="D11" i="70" s="1"/>
  <c r="C11" i="74" s="1"/>
  <c r="K11" i="74" s="1"/>
  <c r="B5" i="70"/>
  <c r="D5" i="70" s="1"/>
  <c r="C5" i="74" s="1"/>
  <c r="K5" i="74" s="1"/>
  <c r="B9" i="78"/>
  <c r="H9" i="78" s="1"/>
  <c r="B10" i="86"/>
  <c r="E10" i="86" s="1"/>
  <c r="B8" i="78"/>
  <c r="H8" i="78" s="1"/>
  <c r="B9" i="86"/>
  <c r="E9" i="86" s="1"/>
  <c r="B10" i="78"/>
  <c r="H10" i="78" s="1"/>
  <c r="B6" i="82"/>
  <c r="H6" i="82" s="1"/>
  <c r="C6" i="74"/>
  <c r="K6" i="74" s="1"/>
  <c r="C13" i="74"/>
  <c r="K13" i="74" s="1"/>
  <c r="B8" i="82"/>
  <c r="H8" i="82" s="1"/>
  <c r="B12" i="78"/>
  <c r="H12" i="78" s="1"/>
  <c r="B13" i="78" l="1"/>
  <c r="H13" i="78" s="1"/>
  <c r="B14" i="78"/>
  <c r="H14" i="78" s="1"/>
  <c r="B6" i="78"/>
  <c r="H6" i="78" s="1"/>
  <c r="B8" i="86"/>
  <c r="E8" i="86" s="1"/>
  <c r="B4" i="82"/>
  <c r="B7" i="86"/>
  <c r="E7" i="86" s="1"/>
  <c r="B5" i="78"/>
  <c r="F13" i="74" s="1"/>
  <c r="B6" i="86"/>
  <c r="E6" i="86" s="1"/>
  <c r="B5" i="86"/>
  <c r="E5" i="86" s="1"/>
  <c r="B4" i="86"/>
  <c r="E4" i="86" s="1"/>
  <c r="B7" i="82"/>
  <c r="H7" i="82" s="1"/>
  <c r="B11" i="78"/>
  <c r="H11" i="78" s="1"/>
  <c r="H4" i="78"/>
  <c r="F7" i="74"/>
  <c r="E5" i="82" s="1"/>
  <c r="J7" i="74"/>
  <c r="D5" i="82" s="1"/>
  <c r="J4" i="74"/>
  <c r="F11" i="74" l="1"/>
  <c r="E7" i="82" s="1"/>
  <c r="F6" i="74"/>
  <c r="J6" i="74"/>
  <c r="F5" i="74"/>
  <c r="J11" i="74"/>
  <c r="D7" i="82" s="1"/>
  <c r="H5" i="78"/>
  <c r="J10" i="74"/>
  <c r="D6" i="82" s="1"/>
  <c r="J8" i="74"/>
  <c r="F4" i="74"/>
  <c r="F10" i="74"/>
  <c r="E6" i="82" s="1"/>
  <c r="F12" i="74"/>
  <c r="E8" i="82" s="1"/>
  <c r="F8" i="74"/>
  <c r="J9" i="74"/>
  <c r="F9" i="74"/>
  <c r="J12" i="74"/>
  <c r="D8" i="82" s="1"/>
  <c r="H4" i="82"/>
  <c r="E4" i="82"/>
  <c r="J13" i="74"/>
  <c r="J5" i="74"/>
</calcChain>
</file>

<file path=xl/sharedStrings.xml><?xml version="1.0" encoding="utf-8"?>
<sst xmlns="http://schemas.openxmlformats.org/spreadsheetml/2006/main" count="6662" uniqueCount="1349">
  <si>
    <t>&lt;&lt;&lt;&lt; Ir al modulo de dominio</t>
  </si>
  <si>
    <t>Nombre</t>
  </si>
  <si>
    <t>Descripcion</t>
  </si>
  <si>
    <t>Linea de vida</t>
  </si>
  <si>
    <t>Muestreo</t>
  </si>
  <si>
    <t>Caracterización</t>
  </si>
  <si>
    <t>Event Storming</t>
  </si>
  <si>
    <t>Politicas</t>
  </si>
  <si>
    <t>Barberia</t>
  </si>
  <si>
    <t>Representa la cadena o marca comercial de barbería, dueña de una o varias sedes.</t>
  </si>
  <si>
    <t>Ir al muestreo</t>
  </si>
  <si>
    <t>Ir a la caracterización</t>
  </si>
  <si>
    <t>Ir al Event Storming</t>
  </si>
  <si>
    <t>Ir a las políticas</t>
  </si>
  <si>
    <t>DiaSemana</t>
  </si>
  <si>
    <t>Representa cada uno de los días de la semana, incluyendo festivo, que se usa como catálogo para definir los horarios de la barbería y de cada barbero.</t>
  </si>
  <si>
    <t>Departamento</t>
  </si>
  <si>
    <t>Representa cada uno de los departamentos del país en los que se encuentran las ciudades donde la barbería puede tener sedes.</t>
  </si>
  <si>
    <t>Estado</t>
  </si>
  <si>
    <t>Representa en qué situación puntual se encuentra una cita: agendada, finalizada, cancelada por alguna de las partes, con tardanza del cliente o del barbero, o con inasistencia del cliente.</t>
  </si>
  <si>
    <t>PrefijoCelular</t>
  </si>
  <si>
    <t>Representa el catálogo de prefijos telefónicos de país que el administrador habilita, y que son los únicos que barberos y clientes pueden usar en su número de celular.</t>
  </si>
  <si>
    <t>TipoMulta</t>
  </si>
  <si>
    <t>Representa los tipos de multa que puede recibir un cliente: por tardanza o por inasistencia.</t>
  </si>
  <si>
    <t>TipoRegistroHora</t>
  </si>
  <si>
    <t>Representa el catálogo de los distintos momentos en que se puede registrar una hora real durante una cita: llegada del cliente, barbero preparado, inicio y fin de la atención.</t>
  </si>
  <si>
    <t>Cliente</t>
  </si>
  <si>
    <t xml:space="preserve">Representa a la persona que solicita citas en la barbería. </t>
  </si>
  <si>
    <t>Ciudad</t>
  </si>
  <si>
    <t>Representa cada una de las ciudades, pertenecientes a un departamento, en las que puede estar ubicada una sede de la barbería.</t>
  </si>
  <si>
    <t>Sede</t>
  </si>
  <si>
    <t>Representa cada una de las sucursales físicas de una barbería, ubicada en una ciudad puntual, donde se ofrecen los servicios y trabajan los barberos.</t>
  </si>
  <si>
    <t>Barbero</t>
  </si>
  <si>
    <t>Representa a un trabajador de la barbería que atiende clientes según los servicios que sabe realizar, organiza su propio horario y tiene su agenda personal para atender todas las citas que valla teniendo.</t>
  </si>
  <si>
    <t>HorarioBarberia</t>
  </si>
  <si>
    <t>Representa, día por día, a qué hora abre y cierra el negocio; es el límite dentro del cual debe caber el horario de cualquier barbero.</t>
  </si>
  <si>
    <t>Servicio</t>
  </si>
  <si>
    <t>Representa cada tipo de corte o arreglo que ofrece la barbería, definido por el administrador, para que luego cada barbero decida cuáles sabe hacer.</t>
  </si>
  <si>
    <t>BarberoServicio</t>
  </si>
  <si>
    <t>Representa qué servicios sabe hacer cada barbero, cuánto se demora en realizarlos y cuánto tiempo extra usa de colchón, ya que no todos los barberos ofrecen los mismos servicios que están en la barbería.</t>
  </si>
  <si>
    <t>Bloqueo</t>
  </si>
  <si>
    <t>Representa los momentos en que el barbero no esta disponible para atender sus citas, el barbero establece la hora y la fecha en que empieza y termina ese estado de no disponible.</t>
  </si>
  <si>
    <t>HorarioBarbero</t>
  </si>
  <si>
    <t>Representa el día de la semana en que trabaja un barbero, junto con la hora en la que empieza y termina su jornada de trabajo.</t>
  </si>
  <si>
    <t>Agenda</t>
  </si>
  <si>
    <t>Representa una fecha puntual en donde el barbero ve todas las citas que debe de atender ese día.</t>
  </si>
  <si>
    <t>Cita</t>
  </si>
  <si>
    <t>Representa la reserva de un cliente con un barbero para un fecha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</si>
  <si>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</si>
  <si>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</si>
  <si>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</si>
  <si>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</si>
  <si>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RegistroHoraCita</t>
  </si>
  <si>
    <t>Representa cada hora real registrada durante una cita puntual, según el tipo de momento al que corresponde (llegada del cliente, barbero preparado, inicio o fin de la atención).</t>
  </si>
  <si>
    <t>Ir a objetos de dominio &gt;&gt;&gt;&gt;</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</si>
  <si>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</si>
  <si>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</si>
  <si>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</si>
  <si>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</si>
  <si>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</si>
  <si>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</si>
  <si>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</si>
  <si>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</si>
  <si>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</si>
  <si>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</si>
  <si>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</si>
  <si>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</si>
  <si>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</si>
  <si>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</si>
  <si>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</si>
  <si>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</si>
  <si>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</si>
  <si>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</si>
  <si>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</si>
  <si>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</si>
  <si>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</si>
  <si>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</si>
  <si>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</si>
  <si>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</si>
  <si>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</si>
  <si>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</si>
  <si>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</si>
  <si>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No requerido</t>
  </si>
  <si>
    <t>No mostrar</t>
  </si>
  <si>
    <t>Requerido</t>
  </si>
  <si>
    <t>No modificable</t>
  </si>
  <si>
    <t>Alfanumérico</t>
  </si>
  <si>
    <t>Se aceptan todos los caracterez</t>
  </si>
  <si>
    <t>Vacio</t>
  </si>
  <si>
    <t>Mostrar</t>
  </si>
  <si>
    <t>Modificable</t>
  </si>
  <si>
    <t>El usuario debe ingresar entre 8 y 10 dígitos, seguido de un guion (-), seguido de 1 dígito</t>
  </si>
  <si>
    <t>Solo se aceptan numeros del 0 al 9 y el '-'</t>
  </si>
  <si>
    <t>Nombre combinación única</t>
  </si>
  <si>
    <t>Descripción</t>
  </si>
  <si>
    <t>Atributos involucrados</t>
  </si>
  <si>
    <t>Responsabilidad</t>
  </si>
  <si>
    <t>Entradas</t>
  </si>
  <si>
    <t>Salida</t>
  </si>
  <si>
    <t>Políticas (Reglas de Negocio)</t>
  </si>
  <si>
    <t>Excepción</t>
  </si>
  <si>
    <t>Parámetro</t>
  </si>
  <si>
    <t>Tipo de Dato</t>
  </si>
  <si>
    <t>Política</t>
  </si>
  <si>
    <t>Detalle</t>
  </si>
  <si>
    <t>¿Qué hago?</t>
  </si>
  <si>
    <t>registrarBarberia</t>
  </si>
  <si>
    <t>Comando que permite registrar una nueva barbería con su nombre y nit</t>
  </si>
  <si>
    <t>datos{nombre, nit}</t>
  </si>
  <si>
    <t>Contiene la información requerida para registrar la barbería</t>
  </si>
  <si>
    <t>Contiene la información de la barbería registrada</t>
  </si>
  <si>
    <t>Generar una excepción indicándole al administrador cuáles datos de la barbería no cumplen con las reglas definidas</t>
  </si>
  <si>
    <t>Detener operación</t>
  </si>
  <si>
    <t>Generar una excepción indicándole al administrador que ya existe una barbería con ese nit</t>
  </si>
  <si>
    <t>consultarDatosBarberia</t>
  </si>
  <si>
    <t>Permite al administrador consultar el nombre y el nit de la barbería</t>
  </si>
  <si>
    <t>id</t>
  </si>
  <si>
    <t>UUID</t>
  </si>
  <si>
    <t>Corresponde al identificador de la barbería que se va a consultar</t>
  </si>
  <si>
    <t>Contiene el nombre y el nit de la barbería</t>
  </si>
  <si>
    <t>Informar con un mensaje que no existe una barbería con el identificador enviado y por lo tanto no se puede realizar la operación</t>
  </si>
  <si>
    <t>consultarNombreBarberia</t>
  </si>
  <si>
    <t>Permite al barbero y al cliente consultar el nombre de la barbería</t>
  </si>
  <si>
    <t>Contiene el nombre de la barbería</t>
  </si>
  <si>
    <t>cambiarNombreBarberia</t>
  </si>
  <si>
    <t>Permite al administrador cambiar el nombre comercial de la barbería</t>
  </si>
  <si>
    <t>Corresponde al identificador de la barbería</t>
  </si>
  <si>
    <t>Contiene la barbería con su nombre actualizado</t>
  </si>
  <si>
    <t>datos{nombre}</t>
  </si>
  <si>
    <t>Contiene el nuevo nombre de la barbería</t>
  </si>
  <si>
    <t>darDeBajaBarberia</t>
  </si>
  <si>
    <t>Permite al administrador eliminar la barbería del sistema cuando ya no tiene sedes registradas</t>
  </si>
  <si>
    <t>Corresponde al identificador de la barbería que se va a dar de baja</t>
  </si>
  <si>
    <t>No retorna ningún valor. En caso de error genera una excepción.</t>
  </si>
  <si>
    <t>&lt;&lt; Ir al modelo de dominio</t>
  </si>
  <si>
    <t>&lt;&lt; Ir al listado de objetos de dominio</t>
  </si>
  <si>
    <t>&lt;&lt; Ir a la caracterización del objeto de dominio</t>
  </si>
  <si>
    <t>Ir al muestreo de datos del objeto de dominio &gt;&gt;</t>
  </si>
  <si>
    <t>Ir al event storming del objeto de dominio &gt;&gt;</t>
  </si>
  <si>
    <t>Objeto de Dominio:</t>
  </si>
  <si>
    <t>Descripción:</t>
  </si>
  <si>
    <t>Numero politica</t>
  </si>
  <si>
    <t>Descripcion politica</t>
  </si>
  <si>
    <t>Objeto responsable</t>
  </si>
  <si>
    <t>Regla responsable</t>
  </si>
  <si>
    <t>P-BRA-0001</t>
  </si>
  <si>
    <t>Asegurar que los datos requeridos de la barbería (nombre, nit) sean válidos en tipo de dato, longitud, obligatoriedad, formato y rango</t>
  </si>
  <si>
    <t>P-BRA-0002</t>
  </si>
  <si>
    <t>Asegurar que no exista otra barbería registrada con el mismo nit</t>
  </si>
  <si>
    <t>P-BRA-0003</t>
  </si>
  <si>
    <t>Asegurar que exista la barbería con el id enviado</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</si>
  <si>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</si>
  <si>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</si>
  <si>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</si>
  <si>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</si>
  <si>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</si>
  <si>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</si>
  <si>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</si>
  <si>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</si>
  <si>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</si>
  <si>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</si>
  <si>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</si>
  <si>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</si>
  <si>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</si>
  <si>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</si>
  <si>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</si>
  <si>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</si>
  <si>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</si>
  <si>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Administrador</t>
  </si>
  <si>
    <t>Registrar barberia</t>
  </si>
  <si>
    <t>Comando que permite al administrador registrar una nueva barbería con su nombre y nit</t>
  </si>
  <si>
    <t>Barbería registrada</t>
  </si>
  <si>
    <t>Ver nombre y nit de la barberia</t>
  </si>
  <si>
    <t>Nombre y nit de barbería consultados</t>
  </si>
  <si>
    <t>Ver nombre de la barberia</t>
  </si>
  <si>
    <t>Permite al barbero consultar el nombre de la barbería</t>
  </si>
  <si>
    <t>Nombre de barbería consultado</t>
  </si>
  <si>
    <t>Permite al cliente consultar el nombre de la barbería</t>
  </si>
  <si>
    <t>Cambiar nombre de la barberia</t>
  </si>
  <si>
    <t>Nombre de barbería cambiado</t>
  </si>
  <si>
    <t>Dar de baja la barberia</t>
  </si>
  <si>
    <t>Permite al administrador eliminar la barbería del sistema, como si nunca hubiera existido, cuando ya no tiene sedes registradas</t>
  </si>
  <si>
    <t>Barbería eliminada</t>
  </si>
  <si>
    <t>Representa un identificador que hará unico cada objeto de dominio de este tipo, no se puede repetir</t>
  </si>
  <si>
    <t>Representa el nombre comercial de la cadena de barbería, dueña de una o varias sedes</t>
  </si>
  <si>
    <t>Representa el número de identificación tributaria (NIT) que identifica legalmente a la barbería como empresa</t>
  </si>
  <si>
    <t>Combinación única que indica que no puede existir más de una barbería con el mismo NIT</t>
  </si>
  <si>
    <t>nombre</t>
  </si>
  <si>
    <t>nit</t>
  </si>
  <si>
    <t>Combinación única</t>
  </si>
  <si>
    <t>BarberClub</t>
  </si>
  <si>
    <t>900123456-7</t>
  </si>
  <si>
    <t>Corte y Estilo</t>
  </si>
  <si>
    <t>900654321-9</t>
  </si>
  <si>
    <t>Corresponde a la descripcion de los atributos</t>
  </si>
  <si>
    <t>Corresponde al identificador unico del objeto de dominio</t>
  </si>
  <si>
    <t>Corresponde a los datos que ingresa el usuario</t>
  </si>
  <si>
    <t>Corresponde a la combinacion única</t>
  </si>
  <si>
    <t>Solo pueden ser los dias de la semana como Lunes, Martes, Miércoles, Jueves, Viernes, Sábado, Domingo y Festivo</t>
  </si>
  <si>
    <t>VerDiasDeLaSemana</t>
  </si>
  <si>
    <t>Permite consultar el catálogo de días de la semana, incluyendo festivo, para definir los horarios</t>
  </si>
  <si>
    <t>Lista&lt;DiaSemana&gt;</t>
  </si>
  <si>
    <t>Contiene todos los días de la semana</t>
  </si>
  <si>
    <t>No aplica: es un catálogo de solo lectura, sin comandos que impliquen políticas de negocio propias</t>
  </si>
  <si>
    <t>Ver los días de las semanas</t>
  </si>
  <si>
    <t>Permite consultar el catálogo de días de la semana, incluyendo festivo, disponibles para definir horarios</t>
  </si>
  <si>
    <t>Días de la semana consultados</t>
  </si>
  <si>
    <t>Representa como se llama el dia de la semana, para los horarios</t>
  </si>
  <si>
    <t>Combinacion única que indica que no puede existir más un dia de la semana con el mismo nombre</t>
  </si>
  <si>
    <t xml:space="preserve">Combinación única </t>
  </si>
  <si>
    <t>Lunes</t>
  </si>
  <si>
    <t>Martes</t>
  </si>
  <si>
    <t>Miércoles</t>
  </si>
  <si>
    <t>Jueves</t>
  </si>
  <si>
    <t>Viernes</t>
  </si>
  <si>
    <t>Sábado</t>
  </si>
  <si>
    <t>Domingo</t>
  </si>
  <si>
    <t>Festivo</t>
  </si>
  <si>
    <t>Permite caracterez de la 'a' a la 'z' minusculas y mayusculas, con espacios en blanco y esas letras pero con tilde</t>
  </si>
  <si>
    <t>consultarDepartamentos</t>
  </si>
  <si>
    <t>Permite consultar el catálogo de departamentos disponibles</t>
  </si>
  <si>
    <t>Lista&lt;Departamento&gt;</t>
  </si>
  <si>
    <t>Contiene todos los departamentos registrados</t>
  </si>
  <si>
    <t>Ver los departamentos</t>
  </si>
  <si>
    <t>Permite consultar el catálogo de departamentos en los que se pueden ubicar las ciudades de las sedes</t>
  </si>
  <si>
    <t>Departamentos consultados</t>
  </si>
  <si>
    <t>Representa el nombre del departamento en el que están ubicadas las ciudades donde la barbería puede tener sedes</t>
  </si>
  <si>
    <t>Combinación única que indica que no puede existir más de un departamento con el mismo nombre</t>
  </si>
  <si>
    <t>Antioquia</t>
  </si>
  <si>
    <t>Cundinamarca</t>
  </si>
  <si>
    <t>Valle del Cauca</t>
  </si>
  <si>
    <t>Atlántico</t>
  </si>
  <si>
    <t>Santander</t>
  </si>
  <si>
    <t>Corresponde a los datos de libre ingreso</t>
  </si>
  <si>
    <t>'C-Estado'!A13</t>
  </si>
  <si>
    <t>Solo se aceptan caracteres de letras de la 'a' a la 'z' y espacios en blanco</t>
  </si>
  <si>
    <t>Solo se aceptan caracteres de letras de la 'a' a la 'z', caracteres con tilde y espacios en blanco</t>
  </si>
  <si>
    <t>consultarTodosLosEstados</t>
  </si>
  <si>
    <t>Permite consultar los estados posibles que puede tener una cita</t>
  </si>
  <si>
    <t>Lista&lt;Estado&gt;</t>
  </si>
  <si>
    <t>Contiene todos los estados que cumplen con el filtro enviado</t>
  </si>
  <si>
    <t>editarDescripcion</t>
  </si>
  <si>
    <t>Permite ajustar el texto descriptivo de un estado ya creado, sin cambiar su significado en el flujo de la cita</t>
  </si>
  <si>
    <t>Corresponde al identificador del estado que se va a editar</t>
  </si>
  <si>
    <t>La descripcion del estado se editó</t>
  </si>
  <si>
    <t>Informar con un mensaje que no existe un estado con el identificador enviado y por lo tanto no es posible modificar la descripción</t>
  </si>
  <si>
    <t>Detener ejecución de la operación</t>
  </si>
  <si>
    <t>datos{descripcion}</t>
  </si>
  <si>
    <t>Contiene la nueva descripción del estado</t>
  </si>
  <si>
    <t>Generar una excepción indicándole al usuario cuáles datos de la descripción del estado no cumplen con las reglas definidas</t>
  </si>
  <si>
    <t>consultarDescripcion</t>
  </si>
  <si>
    <t>Permite consultar la descripcion de un estado en especifico</t>
  </si>
  <si>
    <t>Contiene el nombre del estado</t>
  </si>
  <si>
    <t>Contiene la información del estado consultado por su identificador</t>
  </si>
  <si>
    <t>Informar con un mensaje que no existe un Estado con el identificador enviado y por lo tanto no es posible modificar la descripción</t>
  </si>
  <si>
    <t>P-EST-0001</t>
  </si>
  <si>
    <t>Asegurar que los datos requeridos (descripción) sean válidos en tipo de dato, longitud, formato y rango</t>
  </si>
  <si>
    <t>P-EST-0002</t>
  </si>
  <si>
    <t>Asegurar que exista el estado con el id enviado</t>
  </si>
  <si>
    <t>Ver estados de las citas</t>
  </si>
  <si>
    <t>Estados consultados</t>
  </si>
  <si>
    <t>Editar descripción del estado</t>
  </si>
  <si>
    <t>Descripción de estado actualizada</t>
  </si>
  <si>
    <t>Ver descripcion de un estado</t>
  </si>
  <si>
    <t>Descripción del estado consultada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</si>
  <si>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</si>
  <si>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</si>
  <si>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</si>
  <si>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</si>
  <si>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</si>
  <si>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</si>
  <si>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 sin tener ninguna sanción.</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</si>
  <si>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</si>
  <si>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</si>
  <si>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</si>
  <si>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</si>
  <si>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</si>
  <si>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el tiempoEspera definido en la cita, lo que genera una multa de tipo Tardanza.</t>
  </si>
  <si>
    <t>El barbero se demoro</t>
  </si>
  <si>
    <t>El barbero se demoró más de lo previsto en una cita anterior y empezó a atender al cliente superando el tiempoEspera definido en la cita, lo que le da un descuento al cliente.</t>
  </si>
  <si>
    <t>Inasistencia del cliente</t>
  </si>
  <si>
    <t>El cliente nunca llegó a la cita: se alcanzó la hora estimada de finalización sin registrar su llegada, lo que genera una multa por el valor total de los servicios pedidos.</t>
  </si>
  <si>
    <t>Cancelación</t>
  </si>
  <si>
    <t>La cita se anuló automáticamente porque la barbería cambió sus políticas de horario: al desactivarse el horario de la barbería se desactivaron los horarios de barbero y las agendas que dependían de él, y las citas que quedaron por fuera se cancelaron.</t>
  </si>
  <si>
    <t>Corresponde a los datos del objeto de dominio</t>
  </si>
  <si>
    <t>Simbolo + seguido de un número. Por ejemplo +57. Tambien el anterior puede ser seguido de un - y un numero. Por ejemplo +1-809</t>
  </si>
  <si>
    <t>Solo se aceptan caracteres numericos del 0 al 9 y el carácter '+' y '-'</t>
  </si>
  <si>
    <t>+0</t>
  </si>
  <si>
    <t>prefijo</t>
  </si>
  <si>
    <t>consultarPrefijosCelular</t>
  </si>
  <si>
    <t>Permite al administrador consultar el catálogo de prefijos telefónicos de país que tiene habilitados</t>
  </si>
  <si>
    <t>Lista&lt;PrefijoCelular&gt;</t>
  </si>
  <si>
    <t>Contiene todos los prefijos de celular registrados</t>
  </si>
  <si>
    <t>Ver prefijos de celular</t>
  </si>
  <si>
    <t>Prefijos de celular consultados</t>
  </si>
  <si>
    <t>Permite consultar el catálogo de prefijos telefónicos de país disponibles</t>
  </si>
  <si>
    <t>Representa el prefijo telefónico del país que el administrador habilita para que la barbería pueda atender números de ese país</t>
  </si>
  <si>
    <t>Combinacion única que indica que no puede existir más un mismo prefijo</t>
  </si>
  <si>
    <t>+57</t>
  </si>
  <si>
    <t>+91</t>
  </si>
  <si>
    <t>+593</t>
  </si>
  <si>
    <t>+58</t>
  </si>
  <si>
    <t>consultarTodosLosTiposMulta</t>
  </si>
  <si>
    <t>Permite consultar los tipos de multa que puede recibir un cliente</t>
  </si>
  <si>
    <t>Lista&lt;TipoMulta&gt;</t>
  </si>
  <si>
    <t>Contiene todos los tipos de multa que hay</t>
  </si>
  <si>
    <t>Ver tipos de multa</t>
  </si>
  <si>
    <t>Tipos de multa consultados</t>
  </si>
  <si>
    <t>Representa el nombre del tipo de multa</t>
  </si>
  <si>
    <t>Representa que hace cada tipo de multa</t>
  </si>
  <si>
    <t xml:space="preserve">Combinación única indica que no puede existir más de un tipo de multa con el mismo nombre </t>
  </si>
  <si>
    <t>Tardanza</t>
  </si>
  <si>
    <t>El cliente llegó a la cita después de la hora acordada, superando los minutos de tiempoEspera definidos en la cita.</t>
  </si>
  <si>
    <t>Inasistencia</t>
  </si>
  <si>
    <t>El cliente no se presentó a la cita agendada: se llegó a la hora estimada de finalización sin que hubiera registrado su llegada.</t>
  </si>
  <si>
    <t>Permite los caracteres de la 'a' a la 'z', incluidas mayusculas, espacios en blanco y todas las letras con tilde</t>
  </si>
  <si>
    <t>consultarTiposRegistroHora</t>
  </si>
  <si>
    <t>Permite consultar el catálogo de tipos de registro de hora de una cita</t>
  </si>
  <si>
    <t>Lista&lt;TipoRegistroHora&gt;</t>
  </si>
  <si>
    <t>Contiene todos los tipos de registro de hora</t>
  </si>
  <si>
    <t>Sistema</t>
  </si>
  <si>
    <t>Ver tipos de registro de hora para la cita</t>
  </si>
  <si>
    <t>Permite consultar el catálogo de tipos de registro de hora de una cita (llegada del cliente, barbero preparado, inicio y fin de la atención)</t>
  </si>
  <si>
    <t>Tipos de registro de hora consultados</t>
  </si>
  <si>
    <t>Representa el nombre del tipo de hora real que se puede registrar durante una cita</t>
  </si>
  <si>
    <t>Combinación única que indica que no puede existir más de un tipo de registro de hora con el mismo nombre</t>
  </si>
  <si>
    <t>Llegada del cliente</t>
  </si>
  <si>
    <t>Barbero preparado</t>
  </si>
  <si>
    <t>Inicio de atención</t>
  </si>
  <si>
    <t>Fin de atención</t>
  </si>
  <si>
    <t xml:space="preserve">Solo se aceptan caracteres de letras de la 'a' a la 'z', caracteres con tilde y numeros del 0 al 9 </t>
  </si>
  <si>
    <t>Aplican las reglas del objeto referenciado</t>
  </si>
  <si>
    <t>Solo se aceptan caracteres de numeros del '0' al '9'</t>
  </si>
  <si>
    <t>0</t>
  </si>
  <si>
    <t>Lógico</t>
  </si>
  <si>
    <t>Se calcula a partir de multasSinPagar: basta con una multa sin pagar para que el cliente quede vetado y no pueda agendar; deja de estarlo en el momento en que la paga</t>
  </si>
  <si>
    <t>registrarCliente</t>
  </si>
  <si>
    <t>Comando que permite el registro de un nuevo cliente en la barbería</t>
  </si>
  <si>
    <t>datos{primerNombre, segundoNombre, primerApellido, segundoApellido, prefijoCelular, celular}</t>
  </si>
  <si>
    <t>Contiene la información requerida para registrar un nuevo cliente en la barbería</t>
  </si>
  <si>
    <t>Contiene la información del cliente registrado</t>
  </si>
  <si>
    <t>Generar una excepción indicándole al usuario cuáles datos del cliente no cumplen con las reglas definidas</t>
  </si>
  <si>
    <t>Generar una excepción indicándole al usuario que ya existe otro cliente registrado con ese prefijo y número de celular</t>
  </si>
  <si>
    <t>editarContactoCliente</t>
  </si>
  <si>
    <t>Permite al cliente actualizar su número de celular y su prefijo</t>
  </si>
  <si>
    <t>Corresponde al identificador del cliente que va a editar su contacto</t>
  </si>
  <si>
    <t>Contiene la información del cliente con su contacto actualizado</t>
  </si>
  <si>
    <t>Informar con un mensaje que no existe un cliente con el identificador enviado y por lo tanto no es posible editar el contacto del cliente</t>
  </si>
  <si>
    <t>datos{prefijoCelular, celular}</t>
  </si>
  <si>
    <t>Contiene el nuevo prefijo y número de celular del cliente</t>
  </si>
  <si>
    <t>Generar una excepción indicándole al usuario cuáles datos de contacto del cliente no cumplen con las reglas definidas</t>
  </si>
  <si>
    <t>consultarDatosCliente</t>
  </si>
  <si>
    <t>Permite a un barbero ver los datos de un cliente que le va a pedir una cita</t>
  </si>
  <si>
    <t>Corresponde al identificador del cliente que se va a consultar</t>
  </si>
  <si>
    <t>Contiene la información del cliente consultado por su identificador</t>
  </si>
  <si>
    <t>Informar con un mensaje que no existe un cliente con el identificador enviado y por lo tanto no es posible llevar a cabo la operación</t>
  </si>
  <si>
    <t>consultarEstadoVetoCliente</t>
  </si>
  <si>
    <t>Permite al cliente ver si tiene alguna multa sin pagar que le impida agendar nuevas citas</t>
  </si>
  <si>
    <t>Indica si el cliente está vetado o no para agendar nuevas citas</t>
  </si>
  <si>
    <t>consultarCantidadMultasSinPagar</t>
  </si>
  <si>
    <t>Permite al cliente ver cuántas multas sin pagar tiene</t>
  </si>
  <si>
    <t>Entero</t>
  </si>
  <si>
    <t>Contiene la cantidad de multas sin pagar que tiene el cliente</t>
  </si>
  <si>
    <t>vetarCliente</t>
  </si>
  <si>
    <t>Permite al sistema vetar a un cliente que tiene multas sin pagar, para que no pueda agendar nuevas citas</t>
  </si>
  <si>
    <t>Corresponde al identificador del cliente que se va a vetar</t>
  </si>
  <si>
    <t>Informar con un mensaje que no existe un cliente con el identificador enviado</t>
  </si>
  <si>
    <t>No dar el veto porque el cliente no tiene multas sin pagar</t>
  </si>
  <si>
    <t>quitarVetoCliente</t>
  </si>
  <si>
    <t>Permite al sistema quitar el veto a un cliente cuando ya no tiene multas sin pagar</t>
  </si>
  <si>
    <t>Corresponde al identificador del cliente al que se le va a quitar el veto</t>
  </si>
  <si>
    <t>No quitar el veto porque el cliente todavía tiene multas sin pagar</t>
  </si>
  <si>
    <t>P-CLI-0001</t>
  </si>
  <si>
    <t>Asegurar que los datos requeridos del cliente (nombres, apellidos, prefijo de celular, celular) sean válidos en tipo de dato, longitud, obligatoriedad, formato y rango</t>
  </si>
  <si>
    <t>P-CLI-0002</t>
  </si>
  <si>
    <t>Asegurar que el número de celular y prefijo de celular no esté siendo utilizado por otro cliente</t>
  </si>
  <si>
    <t>P-CLI-0003</t>
  </si>
  <si>
    <t>Asegurar que los datos requeridos del cliente para editar su contacto (prefijo de celular y celular) sean válidos en tipo de dato, longitud, obligatoriedad, formato y rango</t>
  </si>
  <si>
    <t>P-CLI-0004</t>
  </si>
  <si>
    <t>Asegurar que el cliente no tenga ninguna multa sin pagar antes de permitirle agendar una cita nueva; mientras la tenga permanece vetado</t>
  </si>
  <si>
    <t>P-CLI-0005</t>
  </si>
  <si>
    <t>Asegurar que exista el cliente con el id enviado</t>
  </si>
  <si>
    <t>P-CLI-0006</t>
  </si>
  <si>
    <t>Asegurar que el cliente tenga al menos una multa sin pagar; si la tiene, se le debe dar el veto</t>
  </si>
  <si>
    <t>P-CLI-0007</t>
  </si>
  <si>
    <t>Asegurar que el cliente ya no tenga ninguna multa sin pagar; si es así, se le debe quitar el veto</t>
  </si>
  <si>
    <t>Registrar cliente a la barbería</t>
  </si>
  <si>
    <t>Permite asignar el prefijo de país del número de celular del cliente.</t>
  </si>
  <si>
    <t>WhatsApp</t>
  </si>
  <si>
    <t>Cliente registrado</t>
  </si>
  <si>
    <t>Editar contacto</t>
  </si>
  <si>
    <t>Permite actualizar el prefijo de país del número de celular.</t>
  </si>
  <si>
    <t>Contacto de cliente actualizado</t>
  </si>
  <si>
    <t>Ver datos de un cliente</t>
  </si>
  <si>
    <t>Permite mostrar el número de celular completo con su prefijo.</t>
  </si>
  <si>
    <t>Datos del cliente vistos</t>
  </si>
  <si>
    <t>Ver estado de vetado</t>
  </si>
  <si>
    <t>Estado de veto del cliente visto</t>
  </si>
  <si>
    <t>Ver cantidad de multas sin pagar</t>
  </si>
  <si>
    <t>Permite contar las multas del cliente que siguen sin pagar.</t>
  </si>
  <si>
    <t>Multas sin pagar del cliente vistas</t>
  </si>
  <si>
    <t>Dar veto a un cliente</t>
  </si>
  <si>
    <t>Permite al sistema vetar a un cliente</t>
  </si>
  <si>
    <t>Permite consultar las multas del cliente que siguen sin pagar (pagada = no).</t>
  </si>
  <si>
    <t>Cliente vetado</t>
  </si>
  <si>
    <t>Quitar veto a un cliente</t>
  </si>
  <si>
    <t>Permite al sistema quitar el veto a un cliente cuando ya pagó todas sus multas</t>
  </si>
  <si>
    <t>Permite consultar si el cliente todavía tiene multas sin pagar (pagada = no).</t>
  </si>
  <si>
    <t>Veto de cliente retirado</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</si>
  <si>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</si>
  <si>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</si>
  <si>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</si>
  <si>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</si>
  <si>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</si>
  <si>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</si>
  <si>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numero que ingreso el cliente es correcto o no</t>
  </si>
  <si>
    <t>Representa si el cliente esta en estado de veto o no, cuando el cliente esta vetado el sistema no va a permitir agendar citas con este cliente con ningun barbero</t>
  </si>
  <si>
    <t>Combinacion única que indica que no puede existir más de un cliente con el mismo prefijo de celular y número de celular</t>
  </si>
  <si>
    <t>primerNombre</t>
  </si>
  <si>
    <t>segundoNombre</t>
  </si>
  <si>
    <t>primerApellido</t>
  </si>
  <si>
    <t>segundoApellido</t>
  </si>
  <si>
    <t>prefijoCelular</t>
  </si>
  <si>
    <t>celular</t>
  </si>
  <si>
    <t>elNumeroCelularEsCorrecto</t>
  </si>
  <si>
    <t>estaVetado</t>
  </si>
  <si>
    <t>Combinación única  1</t>
  </si>
  <si>
    <t>Juan</t>
  </si>
  <si>
    <t>Gómez</t>
  </si>
  <si>
    <t>no</t>
  </si>
  <si>
    <t>Jose</t>
  </si>
  <si>
    <t>Miguel</t>
  </si>
  <si>
    <t>Ramirez</t>
  </si>
  <si>
    <t>Perez</t>
  </si>
  <si>
    <t>Simon</t>
  </si>
  <si>
    <t>Ochoa</t>
  </si>
  <si>
    <t>Alexis</t>
  </si>
  <si>
    <t>Gallego</t>
  </si>
  <si>
    <t>Kevin</t>
  </si>
  <si>
    <t>Andrés</t>
  </si>
  <si>
    <t>Muñoz</t>
  </si>
  <si>
    <t>Salazar</t>
  </si>
  <si>
    <t>si</t>
  </si>
  <si>
    <t>Corresponde a las referencias de otros objetos de dominio</t>
  </si>
  <si>
    <t>Corresponde a los datos calculados por el sistema</t>
  </si>
  <si>
    <t>consultarCiudades</t>
  </si>
  <si>
    <t>Permite consultar el catálogo de ciudades con su departamento</t>
  </si>
  <si>
    <t>Lista&lt;Ciudad&gt;</t>
  </si>
  <si>
    <t>Contiene todas las ciudades registradas con su departamento</t>
  </si>
  <si>
    <t>Ver las ciudades</t>
  </si>
  <si>
    <t>Permite consultar el catálogo de ciudades, con su departamento, en las que se pueden ubicar las sedes</t>
  </si>
  <si>
    <t>Permite mostrar el departamento al que pertenece cada ciudad.</t>
  </si>
  <si>
    <t>Ciudades consultadas</t>
  </si>
  <si>
    <t>Representa el nombre de la ciudad en la que puede estar ubicada una sede de la barbería</t>
  </si>
  <si>
    <t>Representa a qué departamento pertenece esta ciudad</t>
  </si>
  <si>
    <t>Combinación única que indica que no puede existir más de una ciudad con el mismo nombre dentro de un mismo departamento</t>
  </si>
  <si>
    <t>departamento</t>
  </si>
  <si>
    <t>Medellín</t>
  </si>
  <si>
    <t>Rionegro</t>
  </si>
  <si>
    <t>Bogotá</t>
  </si>
  <si>
    <t>Cali</t>
  </si>
  <si>
    <t>Barranquilla</t>
  </si>
  <si>
    <t>Pensarlo</t>
  </si>
  <si>
    <t>Tipo de vía + número de vía + letra/sufijo (si aplica) + # + número de vía generadora + letra/sufijo (si aplica) + - + número de placa + complemento (si aplica). Por ejemplo: Carrera 30A # 10-21 Apartamento 201</t>
  </si>
  <si>
    <t>Permite caracterez de la 'a' a la 'z' minusculas y mayusculas, espacios en blanco y el carácter '#'</t>
  </si>
  <si>
    <t>registrarSede</t>
  </si>
  <si>
    <t>Comando que permite registrar una nueva sede de una barbería en una ciudad</t>
  </si>
  <si>
    <t>datos{barberia, ciudad, nombre, direccion}</t>
  </si>
  <si>
    <t>Contiene la información requerida para registrar la sede</t>
  </si>
  <si>
    <t>Contiene la información de la sede registrada</t>
  </si>
  <si>
    <t>Generar una excepción indicándole al administrador cuáles datos de la sede no cumplen con las reglas definidas</t>
  </si>
  <si>
    <t>Generar una excepción indicándole al administrador que ya existe una sede con ese nombre en la barbería</t>
  </si>
  <si>
    <t>consultarDatosSede</t>
  </si>
  <si>
    <t>Permite consultar el nombre y la dirección de una sede</t>
  </si>
  <si>
    <t>Corresponde al identificador de la sede que se va a consultar</t>
  </si>
  <si>
    <t>Contiene el nombre, la dirección y la ciudad de la sede</t>
  </si>
  <si>
    <t>Informar con un mensaje que no existe una sede con el identificador enviado y por lo tanto no se puede realizar la operación</t>
  </si>
  <si>
    <t>cambiarNombreSede</t>
  </si>
  <si>
    <t>Permite al administrador cambiar el nombre de la sede</t>
  </si>
  <si>
    <t>Corresponde al identificador de la sede</t>
  </si>
  <si>
    <t>Contiene la sede con su nombre actualizado</t>
  </si>
  <si>
    <t>Contiene el nuevo nombre de la sede</t>
  </si>
  <si>
    <t>cambiarDireccionSede</t>
  </si>
  <si>
    <t>Permite al administrador cambiar la dirección de la sede</t>
  </si>
  <si>
    <t>Contiene la sede con su dirección actualizada</t>
  </si>
  <si>
    <t>datos{direccion}</t>
  </si>
  <si>
    <t>Contiene la nueva dirección de la sede</t>
  </si>
  <si>
    <t>darDeBajaSede</t>
  </si>
  <si>
    <t>Permite al administrador dar de baja una sede para que deje de operar</t>
  </si>
  <si>
    <t>Corresponde al identificador de la sede que se va a dar de baja</t>
  </si>
  <si>
    <t>Generar una excepción indicándole al administrador que la sede todavía tiene barberos trabajando en ella</t>
  </si>
  <si>
    <t>Generar una excepción indicándole al administrador que la sede tiene citas futuras agendadas</t>
  </si>
  <si>
    <t>P-SED-0001</t>
  </si>
  <si>
    <t>Asegurar que los datos requeridos de la sede (barbería, ciudad, nombre, dirección) sean válidos en tipo de dato, longitud, obligatoriedad, formato y rango</t>
  </si>
  <si>
    <t>P-SED-0002</t>
  </si>
  <si>
    <t>Asegurar que no exista otra sede con el mismo nombre en la misma barbería</t>
  </si>
  <si>
    <t>P-SED-0003</t>
  </si>
  <si>
    <t>Asegurar que exista la sede con el id enviado</t>
  </si>
  <si>
    <t>P-SED-0004</t>
  </si>
  <si>
    <t>Asegurar que la sede no tenga barberos trabajando actualmente en ella antes de darla de baja</t>
  </si>
  <si>
    <t>P-SED-0005</t>
  </si>
  <si>
    <t>Asegurar que la sede no tenga citas futuras en estado Agendada antes de darla de baja; las citas pasadas se conservan como historial</t>
  </si>
  <si>
    <t>Registrar sede</t>
  </si>
  <si>
    <t>Comando que permite al administrador registrar una nueva sede de una barbería en una ciudad</t>
  </si>
  <si>
    <t>Permite asociar la sede a la barbería a la que pertenece.</t>
  </si>
  <si>
    <t>Sede registrada</t>
  </si>
  <si>
    <t>Permite asignar la ciudad donde queda la sede.</t>
  </si>
  <si>
    <t>Ver nombre y direccion de la sede</t>
  </si>
  <si>
    <t>Permite al administrador consultar el nombre y la dirección de la sede</t>
  </si>
  <si>
    <t>Permite mostrar la ciudad en la que queda la sede.</t>
  </si>
  <si>
    <t>Nombre y dirección de sede consultados</t>
  </si>
  <si>
    <t>Permite al barbero consultar el nombre y la dirección de la sede</t>
  </si>
  <si>
    <t>Permite al cliente consultar el nombre y la dirección de la sede</t>
  </si>
  <si>
    <t>Cambiar nombre de la sede</t>
  </si>
  <si>
    <t>Nombre de sede cambiado</t>
  </si>
  <si>
    <t>Cambiar la direccion de la sede</t>
  </si>
  <si>
    <t>Dirección de sede cambiada</t>
  </si>
  <si>
    <t>Dar de baja la sede</t>
  </si>
  <si>
    <t>Permite verificar que ningún barbero trabaje actualmente en la sede.</t>
  </si>
  <si>
    <t>Sede dada de baja</t>
  </si>
  <si>
    <t>Pensarlo: Sede no tiene un atributo que indique si está activa (ej. vigente). Definir si se agrega para conservar el historial o si dar de baja elimina el registro.</t>
  </si>
  <si>
    <t>Permite verificar que no existan citas futuras agendadas en la sede.</t>
  </si>
  <si>
    <t>Permite conocer la fecha de cada cita para identificar cuáles son futuras (fecha y horaInicio posteriores al momento actual).</t>
  </si>
  <si>
    <t>Representa a qué ciudad pertenece esta sede</t>
  </si>
  <si>
    <t>Representa a qué barbería pertenece esta sede</t>
  </si>
  <si>
    <t>Representa el nombre con el que se identifica esta sede dentro de la barbería a la que pertenece</t>
  </si>
  <si>
    <t>Representa la dirección física en la que está ubicada esta sede</t>
  </si>
  <si>
    <t>Combinación única que indica que una misma barbería no puede tener dos sedes con el mismo nombre</t>
  </si>
  <si>
    <t>ciudad</t>
  </si>
  <si>
    <t>barberia</t>
  </si>
  <si>
    <t>direccion</t>
  </si>
  <si>
    <t>Sede Poblado</t>
  </si>
  <si>
    <t>Cra 43A #10-25</t>
  </si>
  <si>
    <t>Sede Laureles</t>
  </si>
  <si>
    <t>Cl 33 #70-12</t>
  </si>
  <si>
    <t>Sede Rionegro</t>
  </si>
  <si>
    <t>Cl 45 #50-30</t>
  </si>
  <si>
    <t>Sede Centro</t>
  </si>
  <si>
    <t>Cra 7 #24-18</t>
  </si>
  <si>
    <t>Corresponde a los datos que ingresa el administrador</t>
  </si>
  <si>
    <t>vacío</t>
  </si>
  <si>
    <t>Solo se aceptan caracteres de letras de la 'a' a la 'z', caracteres con tilde y numeros del 0 al 9</t>
  </si>
  <si>
    <t>El barbero debe de poner un si en este atributo</t>
  </si>
  <si>
    <t>registrarBarbero</t>
  </si>
  <si>
    <t>Comando que permite el ingreso de un nuevo barbero a trabajar en la barbería</t>
  </si>
  <si>
    <t>datos{primerNombre, segundoNombre, primerApellido, segundoApellido, prefijoCelular, celular, elNumeroCelularEsCorrecto, sedeDeTrabajo}</t>
  </si>
  <si>
    <t>Contiene la información requerida para registrar un nuevo barbero en la barbería</t>
  </si>
  <si>
    <t>Contiene la información del barbero registrado</t>
  </si>
  <si>
    <t>Generar una excepción indicándole al barbero que los datos ingresados no son válidos</t>
  </si>
  <si>
    <t>Generar una excepción indicándole al usuario que ya existe otro barbero registrado con ese prefijo y número de celular</t>
  </si>
  <si>
    <t>Generar una excepción indicándole al barbero que ponga si en elNumeroCelularEsCorrecto</t>
  </si>
  <si>
    <t>editarContactoBarbero</t>
  </si>
  <si>
    <t>Permite al barbero actualizar su número de celular y su prefijo</t>
  </si>
  <si>
    <t>Corresponde al identificador del barbero que va a editar su contacto</t>
  </si>
  <si>
    <t>Contiene la información del barbero con su contacto actualizado</t>
  </si>
  <si>
    <t>Informar con un mensaje que no existe un barbero con el identificador enviado y por lo tanto no es posible editar el contacto del barbero</t>
  </si>
  <si>
    <t>Contiene el nuevo prefijo y número de celular del barbero</t>
  </si>
  <si>
    <t>Generar una excepción indicándole al usuario cuáles datos de contacto del barbero no cumplen con las reglas definidas</t>
  </si>
  <si>
    <t>consultarDatosBarbero</t>
  </si>
  <si>
    <t>Permite a un cliente ver los datos públicos de un barbero, como sus nombres, apellidos y su contacto</t>
  </si>
  <si>
    <t>Corresponde al identificador del barbero que se va a consultar</t>
  </si>
  <si>
    <t>Contiene la información del barbero consultado por su identificador</t>
  </si>
  <si>
    <t>Informar con un mensaje que no existe un barbero con el identificador enviado y por lo tanto no es posible consultar los datos</t>
  </si>
  <si>
    <t>desactivarBarbero</t>
  </si>
  <si>
    <t>Permite desactivar a un barbero para que ya no pueda recibir nuevas citas</t>
  </si>
  <si>
    <t>Corresponde al identificador del barbero que va a dejar de trabajar</t>
  </si>
  <si>
    <t>Generar una excepción indicándole al usuario que el barbero no puede dejar de trabajar porque todavía tiene citas futuras pendientes</t>
  </si>
  <si>
    <t>Informar con un mensaje que no existe un barbero con el identificador enviado y por lo tanto no es posible desactivar el barbero</t>
  </si>
  <si>
    <t>reactivarBarbero</t>
  </si>
  <si>
    <t>Permite activar a un barbero para que ya pueda volver a recibir citas de sus clientes</t>
  </si>
  <si>
    <t>Informar con un mensaje que no existe un barbero con el identificador enviado y por lo tanto no es posible reactivar el barbero</t>
  </si>
  <si>
    <t>cambiarSedeDeTrabajoBarbero</t>
  </si>
  <si>
    <t>Permite al barbero cambiar la sede en la que trabaja, que puede pertenecer a otra barbería, sin modificar sus citas pasadas</t>
  </si>
  <si>
    <t>Corresponde al identificador del barbero que va a cambiar de sede</t>
  </si>
  <si>
    <t>Contiene la información del barbero con su nueva sede de trabajo</t>
  </si>
  <si>
    <t>Informar con un mensaje que no existe un barbero con el identificador enviado</t>
  </si>
  <si>
    <t>datos{sedeDeTrabajo}</t>
  </si>
  <si>
    <t>Contiene la nueva sede en la que va a trabajar el barbero</t>
  </si>
  <si>
    <t>Generar una excepción indicándole al barbero que no puede cambiar de sede o de barbería porque tiene citas futuras agendadas</t>
  </si>
  <si>
    <t>consultarServiciosSedeBarbero</t>
  </si>
  <si>
    <t>Permite al barbero consultar únicamente los servicios disponibles de la sede en la que trabaja</t>
  </si>
  <si>
    <t>Corresponde al identificador del barbero que consulta los servicios</t>
  </si>
  <si>
    <t>Lista&lt;Servicio&gt;</t>
  </si>
  <si>
    <t>Contiene los servicios disponibles de la sede de trabajo del barbero</t>
  </si>
  <si>
    <t>Informar con un mensaje que no existe un barbero con el identificador enviado y por lo tanto no se puede realizar la operación</t>
  </si>
  <si>
    <t>Generar una excepción indicándole al barbero que solo puede consultar los servicios de su sede de trabajo</t>
  </si>
  <si>
    <t>P-BAR-0001</t>
  </si>
  <si>
    <t>Asegurar que los datos requeridos del barbero (nombre, apellido, prefijo de celular, celular, sede de trabajo) sean válidos en tipo de dato, longitud, obligatoriedad, formato y rango</t>
  </si>
  <si>
    <t>P-BAR-0002</t>
  </si>
  <si>
    <t>Asegurar que el número de celular y prefijo de celular no esté siendo utilizado por otro barbero</t>
  </si>
  <si>
    <t>P-BAR-0003</t>
  </si>
  <si>
    <t>Asegurar que el barbero no tenga citas futuras pendientes antes de dejar de trabajar en la barbería</t>
  </si>
  <si>
    <t>P-BAR-0004</t>
  </si>
  <si>
    <t>Asegurar que los datos requeridos del barbero para editar su contacto (prefijo de celular, celular) sean válidos en tipo de dato, longitud, obligatoriedad, formato y rango</t>
  </si>
  <si>
    <t>P-BAR-0006</t>
  </si>
  <si>
    <t>Asegurar que el barbero halla puesto un si en el atributo elNumeroCelularEsCorrecto</t>
  </si>
  <si>
    <t>P-BAR-0007</t>
  </si>
  <si>
    <t>Asegurar que exista el barbero con el id enviado</t>
  </si>
  <si>
    <t>P-BAR-0008</t>
  </si>
  <si>
    <t>Asegurar que el barbero no tenga citas futuras en estado Agendada antes de cambiar de sede o de barbería</t>
  </si>
  <si>
    <t>Asegurar que el barbero solo pueda consultar los servicios disponibles de la sede en la que trabaja actualmente (su sedeDeTrabajo)</t>
  </si>
  <si>
    <t>Registrar barbero a la barbería</t>
  </si>
  <si>
    <t>aquí</t>
  </si>
  <si>
    <t>Barbero registrado</t>
  </si>
  <si>
    <t>Contacto de barbero actualizado</t>
  </si>
  <si>
    <t>Ver datos de un barbero</t>
  </si>
  <si>
    <t>Permite a un cliente ver los datos públicos de un barbero, como sus nombres,  apellidos y su contacto</t>
  </si>
  <si>
    <t>Datos de barbero visto</t>
  </si>
  <si>
    <t>Permite a un barbero ver los datos públicos de otro barbero, como sus nombres,  apellidos y su contacto</t>
  </si>
  <si>
    <t>Dejar de trabajar en la barbería</t>
  </si>
  <si>
    <t>Permite desactivar a un barbero para que ya no pueda recibir nuevas citas, sin borrar su historial</t>
  </si>
  <si>
    <t>Permite identificar las citas del barbero que siguen en estado Agendada.</t>
  </si>
  <si>
    <t>Barbero desactivado</t>
  </si>
  <si>
    <t>Volver a trabajar en la barbería</t>
  </si>
  <si>
    <t>Permite reactivar a un barbero para que pueda volver a recibir nuevas citas</t>
  </si>
  <si>
    <t>Barbero activado</t>
  </si>
  <si>
    <t>Cambiar de sede o de barbería</t>
  </si>
  <si>
    <t>Permite al barbero cambiar la sede en la que trabaja, que puede pertenecer a otra barbería</t>
  </si>
  <si>
    <t>Permite identificar la nueva sede de trabajo y la barbería a la que pertenece.</t>
  </si>
  <si>
    <t>Sede de trabajo del barbero cambiada</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</si>
  <si>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</si>
  <si>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</si>
  <si>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</si>
  <si>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</si>
  <si>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</si>
  <si>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</si>
  <si>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barbero sigue o no trabajando en la barberia</t>
  </si>
  <si>
    <t>Representa cual es la sede y la barberia donde trabaja el barbero</t>
  </si>
  <si>
    <t>Combinacion única que indica que no puede existir más de un barbero con el mismo prefijo de celular y número de celular</t>
  </si>
  <si>
    <t>vigente</t>
  </si>
  <si>
    <t>sedeDeTrabajo</t>
  </si>
  <si>
    <t>Fernando</t>
  </si>
  <si>
    <t>García</t>
  </si>
  <si>
    <t>Lopez</t>
  </si>
  <si>
    <t>David</t>
  </si>
  <si>
    <t>Ortiz</t>
  </si>
  <si>
    <t>Sanchez</t>
  </si>
  <si>
    <t>Carlos</t>
  </si>
  <si>
    <t>Arbeladez</t>
  </si>
  <si>
    <t>Andres</t>
  </si>
  <si>
    <t>Patiño</t>
  </si>
  <si>
    <t>Zambrano</t>
  </si>
  <si>
    <t>Corresponde a los datos auto generados por el sistema</t>
  </si>
  <si>
    <t>Hora</t>
  </si>
  <si>
    <t>00:00</t>
  </si>
  <si>
    <t>Debe ser mayor a horaApertura</t>
  </si>
  <si>
    <t>Fecha</t>
  </si>
  <si>
    <t>1/01/1000</t>
  </si>
  <si>
    <t>Una vez que vigente se ponga como no, no se puede volver a cambiar</t>
  </si>
  <si>
    <t>definirHorarioBarberia</t>
  </si>
  <si>
    <t>Comando que permite registrar la hora de apertura y cierre de la barbería para un día de la semana</t>
  </si>
  <si>
    <t>datos{sedeDeLaBarberia, diaDeLaSemana, horaApertura, horaCierre}</t>
  </si>
  <si>
    <t>Contiene la información requerida para registrar el horario de la barbería para un día</t>
  </si>
  <si>
    <t>Contiene la información del horario de la barbería registrado</t>
  </si>
  <si>
    <t>Generar una excepción indicándole al administrador que los datos no cumplen con las reglas definidas</t>
  </si>
  <si>
    <t>Generar una excepción indicándole al administrador que ya existe un horario vigente para ese día que se cruza con las horas indicadas</t>
  </si>
  <si>
    <t>Generar una excepción indicandole al administrador que la hora de cierre debe de ser mayor a la hora de apertura</t>
  </si>
  <si>
    <t>consultarHorariosBarberia</t>
  </si>
  <si>
    <t>Permite al administrador consultar los horarios de apertura y cierre definidos para cada día de la semana</t>
  </si>
  <si>
    <t>Lista&lt;HorarioBarberia&gt;</t>
  </si>
  <si>
    <t>Contiene todos los horarios de la barbería vigentes</t>
  </si>
  <si>
    <t>desactivarHorarioBarberia</t>
  </si>
  <si>
    <t>Permite desactivar el horario en el que la barberia ya no abrira</t>
  </si>
  <si>
    <t>Corresponde al identificador del horario de la barbería que se va a desactivar</t>
  </si>
  <si>
    <t>Si alguno de los horarios de barbero no pudo ser desactivado, revertir toda la operación e informar el error</t>
  </si>
  <si>
    <t>Si alguna de las citas futuras no pudo ser cancelada, revertir toda la operación e informar el error</t>
  </si>
  <si>
    <t>Informar con un mensaje que no existe un horario de la barbería con el identificador enviado y por lo tanto no es posible llevar a cabo la operación</t>
  </si>
  <si>
    <t>Informar con un mensaje que ese horario de la barbería ya se encuentra desactivado y por lo tanto no puede volver a desactivarse</t>
  </si>
  <si>
    <t>P-HBA-0001</t>
  </si>
  <si>
    <t>Asegurar que los datos requeridos (sede de la barbería, día de la semana, hora de apertura, hora de cierre) sean válidos en tipo de dato, longitud, obligatoriedad, formato y rango</t>
  </si>
  <si>
    <t>P-HBA-0002</t>
  </si>
  <si>
    <t>Asegurar que no exista otro horario vigente para la misma sede de la barbería y el mismo día de la semana; un mismo día puede tener varios horarios siempre que sus periodos de vigencia (fecha de creación y fecha de desactivación) sean distintos</t>
  </si>
  <si>
    <t>P-HBA-0003</t>
  </si>
  <si>
    <t>Asegurar que queden desactivados todos los horarios de barbero que dependen del horario de la barbería que se está desactivando</t>
  </si>
  <si>
    <t>P-HBA-0004</t>
  </si>
  <si>
    <t>Asegurar que queden canceladas, en el estado Cancelación por cambio de políticas de la barbería, todas las citas futuras asociadas a las agendas de los horarios de barbero desactivados. Se consideran futuras las citas cuya agenda tenga una fecha posterior a la fecha actual</t>
  </si>
  <si>
    <t>P-HBA-0005</t>
  </si>
  <si>
    <t>Asegurar que exista el horario de la barbería con el id enviado</t>
  </si>
  <si>
    <t>P-HBA-0006</t>
  </si>
  <si>
    <t>Asegurar que la hora de cierre sea mayor a la hora de apertura</t>
  </si>
  <si>
    <t>P-HBA-0007</t>
  </si>
  <si>
    <t>Asegurar que el horario de la barbería que se va a desactivar se encuentre vigente</t>
  </si>
  <si>
    <t>Definir un horario de la barbería</t>
  </si>
  <si>
    <t>Horario de barbería definido</t>
  </si>
  <si>
    <t>Ver horarios de la barbería</t>
  </si>
  <si>
    <t>Horarios de barbería consultados</t>
  </si>
  <si>
    <t>Permite al barbero consultar los horarios de apertura y cierre definidos para cada día de la semana</t>
  </si>
  <si>
    <t>Permite al cliente consultar los horarios de apertura y cierre definidos para cada día de la semana</t>
  </si>
  <si>
    <t>Desactivar horario de barbería</t>
  </si>
  <si>
    <t>Permite identificar los horarios de barbero que dependen de ese día para desactivarlos.</t>
  </si>
  <si>
    <t>Horario de barbería desactivado</t>
  </si>
  <si>
    <t>Permite identificar las citas futuras que quedaron en las agendas de los horarios de barbero desactivados. La agenda no se modifica: solo se recorre para llegar a las citas.</t>
  </si>
  <si>
    <t>Permite identificar las citas futuras que se deben cancelar.</t>
  </si>
  <si>
    <t>Permite dejar esas citas en el estado Cancelación.</t>
  </si>
  <si>
    <t>Representa a cual barberia y sede pertenece el horario de apertura y cierre</t>
  </si>
  <si>
    <t>Representa el día de la semana en el que la barberia abre</t>
  </si>
  <si>
    <t>Representa la hora a la que abre la barbería</t>
  </si>
  <si>
    <t>Representa la hora a la que cierra la barbería</t>
  </si>
  <si>
    <t>Representa la fecha en el que el administrador definio el horario de la barberia. Es un dato calculado que toma la fecha del sistema en ese momento</t>
  </si>
  <si>
    <t>Representa la fecha en la que este horario dejó de estar vigente. Es un dato calculado que toma la fecha del sistema en ese momento</t>
  </si>
  <si>
    <t>Representa si este horario lo sigue o no vigente en la barberia. Una vez que el administrador desactive el horario de la barberia, no se puede volver a cambiar</t>
  </si>
  <si>
    <t>Combinación única que indica que, entre los horarios vigentes, no puede existir más de un horario para la sede de una barberia el mismo día de la semana con la misma hora de apertura, la misma hora de cierre, fecha de creacion y fecha de desactivacion</t>
  </si>
  <si>
    <t>sedeDeLaBarberia</t>
  </si>
  <si>
    <t>diaDeLaSemana</t>
  </si>
  <si>
    <t>horaApertura</t>
  </si>
  <si>
    <t>horaCierre</t>
  </si>
  <si>
    <t>fechaCreacion</t>
  </si>
  <si>
    <t>fechaDesactivacion</t>
  </si>
  <si>
    <t>Solo se aceptan caracteres de letras de la 'a' a la 'z' y caracteres con tilde</t>
  </si>
  <si>
    <t>ofrecerServicioNuevo</t>
  </si>
  <si>
    <t>Comando que permite registrar un nuevo tipo de servicio que la barbería pondrá a disposición de los barberos</t>
  </si>
  <si>
    <t>datos{sedeDeLaBarberia, nombre, descripcion, precio}</t>
  </si>
  <si>
    <t>Contiene la información requerida para registrar un nuevo servicio de la barbería</t>
  </si>
  <si>
    <t>Contiene la información del servicio registrado</t>
  </si>
  <si>
    <t>Generar una excepción indicándole al usuario cuáles datos del servicio no cumplen con las reglas definidas</t>
  </si>
  <si>
    <t>Generar una excepción indicándole al usuario que ya existe un servicio registrado con ese mismo nombre en la barbería</t>
  </si>
  <si>
    <t>editarServicio</t>
  </si>
  <si>
    <t>Permite modificar todos los atibutos de un servicio, que son el nombre, la descripción y el precio</t>
  </si>
  <si>
    <t>Corresponde al identificador del servicio que se va a editar</t>
  </si>
  <si>
    <t>Contiene la información del servicio con sus datos actualizados</t>
  </si>
  <si>
    <t>Informar con un mensaje que no existe un servicio con el identificador enviado y por lo tanto no es posible modificar el servicio</t>
  </si>
  <si>
    <t>Contiene los datos con los que se va a modificar el servicio</t>
  </si>
  <si>
    <t>consultarServiciosDisponibles</t>
  </si>
  <si>
    <t>Permite consultar el catálogo de servicios que ofrece la barbería</t>
  </si>
  <si>
    <t>filtro{sedeDeLaBarberia}</t>
  </si>
  <si>
    <t>Contiene a la sede y barberia que se va a consultar los servicios</t>
  </si>
  <si>
    <t>Contiene todos los servicios disponibles en la sede de la barberia que se esta consultando</t>
  </si>
  <si>
    <t>retirarServicio</t>
  </si>
  <si>
    <t>Permite retirar un servicio de la sede para que deje de ofrecerse a nuevos clientes y cancelar sus citas futuras</t>
  </si>
  <si>
    <t>Corresponde al identificador del servicio que se va a retirar</t>
  </si>
  <si>
    <t>Generar una excepción indicándole al usuario que el servicio no se puede retirar porque todavía lo ofrece al menos un barbero vigente</t>
  </si>
  <si>
    <t>Informar con un mensaje que no existe un servicio con el identificador enviado y por lo tanto no es posible desactivar el servicio</t>
  </si>
  <si>
    <t>Generar una excepción indicándole al usuario que el servicio ya se encuentra retirado</t>
  </si>
  <si>
    <t>Si alguna de las citas futuras no pudo ser cancelada, revertir el retiro del servicio</t>
  </si>
  <si>
    <t>reactivarServicio</t>
  </si>
  <si>
    <t>Permite volver a ofrecer un servicio que había sido retirado, para que vuelva a estar disponible para nuevos clientes en la sede de la barbería</t>
  </si>
  <si>
    <t>Corresponde al identificador del servicio que se va a volver a ofrecer</t>
  </si>
  <si>
    <t>Informar con un mensaje que no existe un servicio con el identificador enviado</t>
  </si>
  <si>
    <t>Generar una excepción indicándole al usuario que el servicio ya se encuentra disponible</t>
  </si>
  <si>
    <t>consultarServiciosNoDisponibles</t>
  </si>
  <si>
    <t>Permite consultar el catálogo de servicios retirados en una sede de una barbería</t>
  </si>
  <si>
    <t>Contiene la sede de la barbería que se va a consultar</t>
  </si>
  <si>
    <t>Contiene todos los servicios retirados en la sede</t>
  </si>
  <si>
    <t>P-SER-0001</t>
  </si>
  <si>
    <t>Asegurar que los datos requeridos del servicio (sede de la barbería, nombre, descripción, precio) sean válidos</t>
  </si>
  <si>
    <t>P-SER-0002</t>
  </si>
  <si>
    <t>Asegurar que no exista otro servicio registrado con el mismo nombre en la misma sede de la barbería</t>
  </si>
  <si>
    <t>P-SER-0003</t>
  </si>
  <si>
    <t>Asegurar que el servicio a retirar no esté siendo ofrecido actualmente por ningún barbero vigente</t>
  </si>
  <si>
    <t>P-SER-0004</t>
  </si>
  <si>
    <t>Asegurar que exista el servicio con el id enviado</t>
  </si>
  <si>
    <t>P-SER-0005</t>
  </si>
  <si>
    <t>Asegurar que el servicio que se va a volver a ofrecer se encuentre retirado (disponible = no)</t>
  </si>
  <si>
    <t>P-SER-0006</t>
  </si>
  <si>
    <t>Asegurar que el servicio que se va a retirar no se encuentre retirado (disponible = si)</t>
  </si>
  <si>
    <t>P-SER-0007</t>
  </si>
  <si>
    <t>Cuando el administrador retire un servicio de una sede de la barbería, las citas futuras en estado Agendada que incluyan ese servicio deben quedar canceladas en el estado Cancelación; las citas pasadas no se modifican</t>
  </si>
  <si>
    <t>Ofrecer un servicio nuevo a la barbería</t>
  </si>
  <si>
    <t>Servicio ofrecido</t>
  </si>
  <si>
    <t>Editar un servicio</t>
  </si>
  <si>
    <t>Nombre, descripción, precio del servicio actualizados</t>
  </si>
  <si>
    <t>Ver servicios disponibles de la sede</t>
  </si>
  <si>
    <t>Permite consultar el catálogo de servicios que ofrece en una sede de una barberia</t>
  </si>
  <si>
    <t>Servicios consultados</t>
  </si>
  <si>
    <t>Permite conocer la sede en la que trabaja actualmente el barbero.</t>
  </si>
  <si>
    <t>Permite retirar un servicio para que deje de ofrecerse a nuevos clientes</t>
  </si>
  <si>
    <t>Permite identificar las citas que incluyen el servicio que se va a retirar.</t>
  </si>
  <si>
    <t>Servicio retirado</t>
  </si>
  <si>
    <t>Permite identificar cuáles de esas citas son futuras y siguen en estado Agendada.</t>
  </si>
  <si>
    <t>Permite volver a habilitar un servicio retirado para que esté disponible de nuevo para nuevos clientes</t>
  </si>
  <si>
    <t>Servicio reactivado</t>
  </si>
  <si>
    <t>Permite consultar el catálogo de servicios retirados en una sede de una barberia</t>
  </si>
  <si>
    <t>Representa a cual barberia y sede va a pertenecer el servicio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</si>
  <si>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</si>
  <si>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</si>
  <si>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</si>
  <si>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</si>
  <si>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 en la misma barberia y sede</t>
  </si>
  <si>
    <t>precio</t>
  </si>
  <si>
    <t>disponible</t>
  </si>
  <si>
    <t xml:space="preserve">Combinacion única </t>
  </si>
  <si>
    <t>Motilada</t>
  </si>
  <si>
    <t>Corte de cabello completo con máquina y tijera, incluye lavado y secado</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</si>
  <si>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</si>
  <si>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</si>
  <si>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</si>
  <si>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</si>
  <si>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</si>
  <si>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</si>
  <si>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barbero</t>
  </si>
  <si>
    <t>servicio</t>
  </si>
  <si>
    <t>habilitarServicioBarbero</t>
  </si>
  <si>
    <t>Comando que permite a un barbero indicar que sabe realizar un servicio del catálogo, con su duración y colchón</t>
  </si>
  <si>
    <t>datos{barbero, servicio, duracionEnHoras, duracionEnMinutos, tiempoExtra}</t>
  </si>
  <si>
    <t>Contiene la información requerida para habilitarle un servicio a un barbero</t>
  </si>
  <si>
    <t>Contiene la información del servicio habilitado para el barbero</t>
  </si>
  <si>
    <t>Generar una excepción indicándole al barbero que los datos no cumplen las reglas definidas</t>
  </si>
  <si>
    <t>Generar una excepción indicándole el barbero ya tiene habilitado ese mismo servicio</t>
  </si>
  <si>
    <t>Generar una excepción indicándole al barbero que los no se puede realizar un servicio en tiempo cero, es decir que debe de poner un timpio mayor a cer, ya que en la hora o en el minuto</t>
  </si>
  <si>
    <t>ajustarTiemposServicioBarbero</t>
  </si>
  <si>
    <t>Permite modificar la duración y el tiempo extra que un barbero usa para un servicio ya habilitado</t>
  </si>
  <si>
    <t>Corresponde al identificador del servicio del barbero que se va a ajustar</t>
  </si>
  <si>
    <t>Contiene la información del servicio del barbero con sus tiempos actualizados</t>
  </si>
  <si>
    <t>Informar con un mensaje que no existe un servicio habilitado del barbero con el identificador enviado y por lo tanto no es posible llevar a cabo la operación</t>
  </si>
  <si>
    <t>datos{duracionEnHoras, duracionEnMinutos, tiempoExtra}</t>
  </si>
  <si>
    <t>Contiene los nuevos tiempos con los que se va a modificar el servicio</t>
  </si>
  <si>
    <t>consultarServiciosElegidos</t>
  </si>
  <si>
    <t>Permite a un barbero consultar los servicios que esten vigentes</t>
  </si>
  <si>
    <t>filtro{barbero}</t>
  </si>
  <si>
    <t>Contiene el barbero por el cual se van a consultar sus servicios habilitados</t>
  </si>
  <si>
    <t>Lista&lt;BarberoServicio&gt;</t>
  </si>
  <si>
    <t>Contiene todos los servicios que el barbero tiene habilitados</t>
  </si>
  <si>
    <t>consultarServiciosDeBarbero</t>
  </si>
  <si>
    <t>Permite a un cliente consultar qué servicios ofrece un barbero en particular</t>
  </si>
  <si>
    <t>Contiene el barbero por el cual se van a consultar los servicios que ofrece</t>
  </si>
  <si>
    <t>Contiene todos los servicios vigentes que ofrece ese barbero</t>
  </si>
  <si>
    <t>desactivarServicioBarbero</t>
  </si>
  <si>
    <t>Permite a un barbero desactivar un servicio que ya no quiere seguir ofreciendo</t>
  </si>
  <si>
    <t>Corresponde al identificador del servicio del barbero que se va a desactivar</t>
  </si>
  <si>
    <t>Informar al barbero que el servicio que quiere desactivar, ya se encuentra desactivado</t>
  </si>
  <si>
    <t>reactivarServicioBarbero</t>
  </si>
  <si>
    <t>Permite a un barbero activar un servicio que ya se habia desactivado</t>
  </si>
  <si>
    <t>Informar al barbero que el servicio que quiere reactivar, ya se encuentra activado</t>
  </si>
  <si>
    <t>P-BSE-0001</t>
  </si>
  <si>
    <t>Asegurar que los datos requeridos (duración en horas, duración en minutos, tiempo extra) sean válidos en tipo de dato, obligatoriedad y rango</t>
  </si>
  <si>
    <t>P-BSE-0002</t>
  </si>
  <si>
    <t>Asegurar que el barbero no tenga ya definido ese mismo servicio</t>
  </si>
  <si>
    <t>P-BSE-0003</t>
  </si>
  <si>
    <t>Asegurar que exista el servicio definido del barbero con el id enviado</t>
  </si>
  <si>
    <t>P-BSE-0004</t>
  </si>
  <si>
    <t>Asegurar que la suma del tiempo en horas y minutos de la realizacion del servicio por el barbero sea mayor a cero</t>
  </si>
  <si>
    <t>P-BSE-0005</t>
  </si>
  <si>
    <t>Asegurar que el estado de BarberoServicio este vigente</t>
  </si>
  <si>
    <t>P-BSE-0006</t>
  </si>
  <si>
    <t>Asegurar que el estado del BarberoServicio no este vigente</t>
  </si>
  <si>
    <t>Definir un servicio para el barbero</t>
  </si>
  <si>
    <t>Servicio habilitado para barbero</t>
  </si>
  <si>
    <t>Ajustar los tiempos de un servicio del barbero</t>
  </si>
  <si>
    <t>Tiempos de servicio de barbero actualizados</t>
  </si>
  <si>
    <t>Ver servicios elegidos</t>
  </si>
  <si>
    <t>Permite a un barbero consultar los servicios que tiene habilitados</t>
  </si>
  <si>
    <t>Servicios de barbero consultados</t>
  </si>
  <si>
    <t>Ver servicios de un barbero</t>
  </si>
  <si>
    <t>Dejar de prestar el servicio para el catálogo</t>
  </si>
  <si>
    <t>Servicio de barbero desactivado</t>
  </si>
  <si>
    <t>Volver prestar el servicio para el catálogo</t>
  </si>
  <si>
    <t>Servicio de barbero reactivado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</si>
  <si>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</si>
  <si>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</si>
  <si>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</si>
  <si>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</si>
  <si>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</si>
  <si>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</si>
  <si>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</si>
  <si>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</si>
  <si>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</si>
  <si>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</si>
  <si>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Fecha hora</t>
  </si>
  <si>
    <t>01/01/1000 00:00</t>
  </si>
  <si>
    <t>Debe ser posterior a fechaHoraInicio</t>
  </si>
  <si>
    <t>definirBloqueo</t>
  </si>
  <si>
    <t>Comando que permite a un barbero asignar un espacio de no disponibilidad para atender sus citas</t>
  </si>
  <si>
    <t>datos{barbero, fechaHoraInicio, fechaHoraFinal}</t>
  </si>
  <si>
    <t>Contiene la información requerida para registrar un nuevo bloqueo del barbero</t>
  </si>
  <si>
    <t>Contiene la información del bloqueo registrado</t>
  </si>
  <si>
    <t>Generar una excepción indicándole al barbero que los datos no cumplen los datos requeridos</t>
  </si>
  <si>
    <t>Generar una excepción indicándole al barbero que ese rango no se puede bloquear porque ya tiene citas agendadas</t>
  </si>
  <si>
    <t>Generar una excepción indicándole al barbero que el rango se solapa con otro bloqueo suyo</t>
  </si>
  <si>
    <t>Generar una excepción indicandole al barbero que la fecha y hora de fin debe de ser mayor a la fecha y hora de inicio</t>
  </si>
  <si>
    <t>eliminarBloqueo</t>
  </si>
  <si>
    <t>Permite a un barbero liberar un espacio de su agenda que había bloqueado previamente</t>
  </si>
  <si>
    <t>Corresponde al identificador del bloqueo que se va a eliminar</t>
  </si>
  <si>
    <t>Generar una excepción indicándole al usuario que el bloqueo no le pertenece</t>
  </si>
  <si>
    <t>Informar con un mensaje que no existe un bloqueo con el identificador enviado y por lo tanto no es posible llevar a cabo la operación</t>
  </si>
  <si>
    <t>consultarBloqueosPorFecha</t>
  </si>
  <si>
    <t>Permite a un barbero ver los espacios que tiene bloqueados en una fecha dada</t>
  </si>
  <si>
    <t>filtro{barbero, fecha}</t>
  </si>
  <si>
    <t>Contiene el barbero y la fecha por los cuales se van a consultar los bloqueos</t>
  </si>
  <si>
    <t>Lista&lt;Bloqueo&gt;</t>
  </si>
  <si>
    <t>Contiene todos los bloqueos del barbero en esa fecha</t>
  </si>
  <si>
    <t>consultarBloqueoPorFechaHora</t>
  </si>
  <si>
    <t>Permite al sistema ver si hay o no un bloqueo en una fecha y hora, en el que empieza el bloqueo, para que el determine luego si el cliente puede agenda una cita en ese momento</t>
  </si>
  <si>
    <t>filtro{barbero, fechaHoraInicio}</t>
  </si>
  <si>
    <t>Contiene el barbero y la fecha y hora por las cuales se va a consultar el bloqueo</t>
  </si>
  <si>
    <t>Contiene el bloqueo que cubre esa fecha y hora, si existe</t>
  </si>
  <si>
    <t>editarBloqueo</t>
  </si>
  <si>
    <t>Permite al barbero poder editar la fecha y hora en que inicia o termina</t>
  </si>
  <si>
    <t>Corresponde al identificador del bloqueo que se va a editar</t>
  </si>
  <si>
    <t>Contiene la información del bloqueo con su rango actualizado</t>
  </si>
  <si>
    <t>datos{fechaHoraInicio, fechaHoraFinal}</t>
  </si>
  <si>
    <t>Contiene el nuevo rango con el que se va a modificar el bloqueo</t>
  </si>
  <si>
    <t>Generar una excepción indicándole al usuario cuáles datos del bloqueo que se va a editar no cumplen con las reglas definidas</t>
  </si>
  <si>
    <t>Generar una excepción indicándole al usuario que ese rango no se puede bloquear porque ya tiene citas agendadas</t>
  </si>
  <si>
    <t>P-BLO-0001</t>
  </si>
  <si>
    <t>Asegurar que los datos requeridos (fecha y hora de inicio, fecha y hora de fin) sean válidos en tipo de dato, obligatoriedad, formato y rango</t>
  </si>
  <si>
    <t>P-BLO-0002</t>
  </si>
  <si>
    <t>Rechazar el bloqueo si ya existen citas agendadas dentro de ese mismo rango elegido</t>
  </si>
  <si>
    <t>P-BLO-0003</t>
  </si>
  <si>
    <t>Asegurar que los datos requeridos para editar el bloqueo (fecha y hora de inicio, fecha y hora de fin) sean válidos en tipo de dato, obligatoriedad, formato y rango, y que la fecha y hora de fin sea mayor a la de inicio</t>
  </si>
  <si>
    <t>P-BLO-0004</t>
  </si>
  <si>
    <t>Asegurar que el bloqueo que se va a editar o eliminar le pertenezca al mismo barbero que hace la solicitud</t>
  </si>
  <si>
    <t>P-BLO-0005</t>
  </si>
  <si>
    <t>Asegurar que el bloqueo no se cruze con otro bloqueo suyo</t>
  </si>
  <si>
    <t>P-BLO-0006</t>
  </si>
  <si>
    <t>Asegurar que exista el bloqueo con el id enviado</t>
  </si>
  <si>
    <t>P-BLO-0007</t>
  </si>
  <si>
    <t>Asegurar que la fecha y hora de fin sea mayor a la fecha y hora de inicio</t>
  </si>
  <si>
    <t>Definir un bloque de no disponible</t>
  </si>
  <si>
    <t>Comando que permite a un barbero asiganar un espacio de no disponibilidad para atender sus citas</t>
  </si>
  <si>
    <t>Permite llegar de las agendas al barbero dueño de cada cita, ya que la cita no referencia al barbero directamente.</t>
  </si>
  <si>
    <t>Bloqueo registrado</t>
  </si>
  <si>
    <t>Permite conocer la fecha de cada cita, ya que la cita solo almacena horas. Es lo que hace comparable el rango del bloqueo contra las citas existentes.</t>
  </si>
  <si>
    <t>Permite verificar que no haya citas ya agendadas dentro del rango que se va a bloquear.</t>
  </si>
  <si>
    <t>Permite descartar las citas canceladas, que no deben impedir el bloqueo.</t>
  </si>
  <si>
    <t>Eliminar un bloqueo</t>
  </si>
  <si>
    <t>Bloqueo cancelado</t>
  </si>
  <si>
    <t>Ver bloqueos en una fecha</t>
  </si>
  <si>
    <t>Bloqueos vistos</t>
  </si>
  <si>
    <t>Ver bloqueo en una fecha y hora de inicio</t>
  </si>
  <si>
    <t>Permite al sistema ver si hay o no un bloqueo en una fecha y hora, en el que empieza el bloqueo, para que el determine luego si el cliente puede agendar una cita en ese momento</t>
  </si>
  <si>
    <t>Bloqueo visto</t>
  </si>
  <si>
    <t>Permite al barbero ver si hay o no un bloqueo en una fecha y hora, en el que empieza el bloqueo, para que mire si el puso o no un bloqueo</t>
  </si>
  <si>
    <t>Editar un bloqueo</t>
  </si>
  <si>
    <t>Bloqueo editado</t>
  </si>
  <si>
    <t>Permite verificar que el nuevo rango no choque con citas ya agendadas.</t>
  </si>
  <si>
    <t>Referencia a qué barbero le pertence este bloqueo</t>
  </si>
  <si>
    <t>Representa la fecha y hora en el que el barbero empieza a no estar disponible para atender las citas</t>
  </si>
  <si>
    <t>Representa la fecha y hora en el que el barbero empieza estar disponible nuevamente para atender las citas</t>
  </si>
  <si>
    <t>Combinación única que indica que un mismo barbero no puede tener dos bloqueos con la misma fecha y hora de inicio y la misma fecha y hora final</t>
  </si>
  <si>
    <t>fechaHoraInicio</t>
  </si>
  <si>
    <t>fechaHoraFinal</t>
  </si>
  <si>
    <t>Debe estar dentro del rango de horarioDeLaBarberia</t>
  </si>
  <si>
    <t>Debe ser mayor a horaInicio y estar dentro del rango de horarioDeLaBarberia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</si>
  <si>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</si>
  <si>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</si>
  <si>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</si>
  <si>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</si>
  <si>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definirHorarioDeTrabajo</t>
  </si>
  <si>
    <t>Comando que permite a un barbero registrar el día de la semana y las horas en que trabaja</t>
  </si>
  <si>
    <t>datos{barbero, horarioDeLaBarberia, horaInicio, horaFinal}</t>
  </si>
  <si>
    <t>Contiene la información requerida para registrar el horario de trabajo del barbero</t>
  </si>
  <si>
    <t>Contiene la información del horario de trabajo registrado</t>
  </si>
  <si>
    <t>Generar una excepción indicándole al usuario que el horario de trabajo queda por fuera del horario de apertura y cierre de la barbería para ese día</t>
  </si>
  <si>
    <t>Generar una excepción indicándole al barbero que la hora de fin debe ser mayor a la hora de inicio</t>
  </si>
  <si>
    <t>consultarHorariosDefinidos</t>
  </si>
  <si>
    <t>Permite a un barbero consultar los horarios de trabajo que ha definido</t>
  </si>
  <si>
    <t>Contiene el barbero por el cual se van a consultar sus horarios de trabajo</t>
  </si>
  <si>
    <t>Lista&lt;HorarioBarbero&gt;</t>
  </si>
  <si>
    <t>Contiene todos los horarios de trabajo que el barbero tiene definidos</t>
  </si>
  <si>
    <t>desactivarHorarioDeTrabajo</t>
  </si>
  <si>
    <t>Permite a un barbero desactivar un horario para dejar de trabajar ese día de la semana, cancelando las citas futuras que dependían de él</t>
  </si>
  <si>
    <t>Corresponde al identificador del horario de trabajo que se va a desactivar</t>
  </si>
  <si>
    <t>Informar con un mensaje que no existe un horario de trabajo con el identificador enviado y por lo tanto no es posible llevar a cabo la operación</t>
  </si>
  <si>
    <t>Informar con un mensaje que ese horario de trabajo ya se encuentra desactivado y por lo tanto no puede volver a desactivarse</t>
  </si>
  <si>
    <t>consultarHorariosDeTrabajoDeBarbero</t>
  </si>
  <si>
    <t>Permite a un cliente consultar en qué días y horas trabaja un barbero</t>
  </si>
  <si>
    <t>Contiene todos los horarios de trabajo vigentes de ese barbero</t>
  </si>
  <si>
    <t>P-HBO-0001</t>
  </si>
  <si>
    <t>Asegurar que los datos requeridos (día de la semana, hora de inicio, hora de fin) sean válidos en tipo de dato, obligatoriedad, formato y rango</t>
  </si>
  <si>
    <t>P-HBO-0002</t>
  </si>
  <si>
    <t>Asegurar que el horario de trabajo esté dentro del horario de apertura y cierre de la barbería para ese día</t>
  </si>
  <si>
    <t>P-HBO-0004</t>
  </si>
  <si>
    <t>Asegurar que queden canceladas, en el estado Cancelación, todas las citas futuras asociadas a las agendas generadas a partir de ese horario de trabajo. Se consideran futuras las citas cuya agenda tenga una fecha posterior a la fecha actual</t>
  </si>
  <si>
    <t>P-HBO-0005</t>
  </si>
  <si>
    <t>Asegurar que exista el horario de trabajo del barbero con el id enviado</t>
  </si>
  <si>
    <t>P-HBO-0006</t>
  </si>
  <si>
    <t>Asegurar que la hora de fin sea mayor a la hora de inicio</t>
  </si>
  <si>
    <t>P-HBO-0007</t>
  </si>
  <si>
    <t>Asegurar que el horario de trabajo que se va a desactivar se encuentre vigente</t>
  </si>
  <si>
    <t>Definir mi horario de trabajo</t>
  </si>
  <si>
    <t>Horario de barbero definido</t>
  </si>
  <si>
    <t>Ver mis horarios definidos</t>
  </si>
  <si>
    <t>Horarios de barbero consultados</t>
  </si>
  <si>
    <t>Desactivar horario de trabajo</t>
  </si>
  <si>
    <t>Permite identificar las citas futuras que quedaron en las agendas generadas a partir de ese horario. La agenda no se modifica: solo se recorre para llegar a las citas.</t>
  </si>
  <si>
    <t>Horario de barbero desactivado</t>
  </si>
  <si>
    <t>Los bloqueos no se liberan en cascada: un bloqueo sobre una jornada que ya no existe no afecta la disponibilidad del barbero, y un bloqueo puede abarcar días en los que el barbero sigue trabajando.</t>
  </si>
  <si>
    <t>Ver horarios de trabajo de un barbero</t>
  </si>
  <si>
    <t>Referencia a que barbero va a ser dueño de este horario</t>
  </si>
  <si>
    <t>Hace referencia a la agenda del barbero en la que queda guardado este horario de trabajo</t>
  </si>
  <si>
    <t>Representa la hora en la que el barbero empieza a estar disponible ese dia</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</si>
  <si>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</si>
  <si>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</si>
  <si>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</si>
  <si>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</si>
  <si>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con el mismo día de la barbería, la misma hora de inicio, la misma hora final, misma fecha de creacion y de desactivacion</t>
  </si>
  <si>
    <t>horarioDeLaBarberia</t>
  </si>
  <si>
    <t>horaInicio</t>
  </si>
  <si>
    <t>horaFinal</t>
  </si>
  <si>
    <t>consultarCitasPorBarberoYRango</t>
  </si>
  <si>
    <t>crearAgendaBarbero</t>
  </si>
  <si>
    <t>Comando que crea la agenda del día para un barbero y pueda saber que citas debe de atender</t>
  </si>
  <si>
    <t>datos{horarioDelBarbero, fecha}</t>
  </si>
  <si>
    <t>Contiene la información requerida para abrirle la agenda del día a un barbero</t>
  </si>
  <si>
    <t>Contiene la información de la agenda abierta</t>
  </si>
  <si>
    <t>Generar una excepción indicándole al usuario que ya existe una agenda para ese horario de barbero y esa misma fecha</t>
  </si>
  <si>
    <t>Generar una excepción indicándole al usuario que no se le puede abrir agenda porque el barbero no está vigente</t>
  </si>
  <si>
    <t>consultarDisponibilidadBarbero</t>
  </si>
  <si>
    <t>Permite a un cliente ver qué espacios le quedan libres a un barbero en una fecha, descontando sus citas ya agendadas y sus bloqueos</t>
  </si>
  <si>
    <t>Contiene el barbero y la fecha por los cuales se va a consultar la disponibilidad</t>
  </si>
  <si>
    <t>Lista&lt;Hora&gt;</t>
  </si>
  <si>
    <t>Contiene los espacios libres del barbero en esa fecha, descontando sus citas y sus bloqueos</t>
  </si>
  <si>
    <t>Si no se pueden descontar las citas o los bloqueos, informar que la disponibilidad no se pudo calcular</t>
  </si>
  <si>
    <t>consultarCitasDeAgenda</t>
  </si>
  <si>
    <t>Permite consultar todas las citas agrupadas en la agenda de un barbero para una fecha puntual</t>
  </si>
  <si>
    <t>Contiene el barbero y la fecha por los cuales se van a consultar las citas</t>
  </si>
  <si>
    <t>Lista&lt;Cita&gt;</t>
  </si>
  <si>
    <t>Contiene todas las citas agrupadas en la agenda del barbero para esa fecha</t>
  </si>
  <si>
    <t>Permite consultar las citas no canceladas de un barbero dentro de un rango de fecha y hora, recorriendo todas las agendas comprendidas en ese rango</t>
  </si>
  <si>
    <t>filtro{barbero, fechaHoraInicio, fechaHoraFinal}</t>
  </si>
  <si>
    <t>Contiene el barbero y el rango de fecha y hora por los cuales se van a consultar las citas</t>
  </si>
  <si>
    <t>Contiene todas las citas no canceladas del barbero comprendidas en ese rango de fecha y hora</t>
  </si>
  <si>
    <t>P-AGE-0001</t>
  </si>
  <si>
    <t>Asegurar que no exista ya una agenda para ese mismo horario de barbero y esa misma fecha</t>
  </si>
  <si>
    <t>P-AGE-0002</t>
  </si>
  <si>
    <t>Asegurar que el barbero esté vigente antes de abrirle una nueva agenda</t>
  </si>
  <si>
    <t>P-AGE-0003</t>
  </si>
  <si>
    <t>Al consultar la disponibilidad de una agenda, descontar de la jornada del barbero las horas que ya tienen una cita y las que están cubiertas por un bloqueo</t>
  </si>
  <si>
    <t>Crear la agenda de un barbero para una fecha</t>
  </si>
  <si>
    <t>Permite verificar que el barbero esté vigente antes de abrirle la agenda.</t>
  </si>
  <si>
    <t>Agenda creada</t>
  </si>
  <si>
    <t>Permite conocer la jornada de trabajo del barbero para esa fecha.</t>
  </si>
  <si>
    <t>Consultar la disponibilidad de un barbero para una fecha</t>
  </si>
  <si>
    <t>Permite conocer las horas de esa fecha que ya están ocupadas por una cita.</t>
  </si>
  <si>
    <t>Disponibilidad de barbero consultada</t>
  </si>
  <si>
    <t>Permite conocer las horas de esa fecha en las que el barbero no está disponible.</t>
  </si>
  <si>
    <t>Consultar las citas de un barbero para una fecha</t>
  </si>
  <si>
    <t>Citas de agenda consultadas</t>
  </si>
  <si>
    <t>Consultar las citas de un barbero en un rango de fecha y hora</t>
  </si>
  <si>
    <t>Permite conocer las horas de las citas de cada agenda comprendida en el rango.</t>
  </si>
  <si>
    <t>Citas de barbero por rango consultadas</t>
  </si>
  <si>
    <t>Permite descartar las citas canceladas.</t>
  </si>
  <si>
    <t>Hace referencia al horario de trabajo del barbero (día de la semana, hora de inicio y hora final) al que pertenece esta agenda</t>
  </si>
  <si>
    <t>Representa la fecha específica en el que la agenda va a guardar las citas de ese barbero</t>
  </si>
  <si>
    <t>Combinación única que indica que un mismo horario de barbero no puede tener más de una agenda para el mismo día</t>
  </si>
  <si>
    <t>horarioDelBarbero</t>
  </si>
  <si>
    <t>fecha</t>
  </si>
  <si>
    <t>Se muestra el nombre completo del cliente, no una combinación única, únicamente para lectura humana en el muestreo</t>
  </si>
  <si>
    <t>Agendado</t>
  </si>
  <si>
    <t>Debe de estar dentro del horario de trabajo del barbero</t>
  </si>
  <si>
    <t xml:space="preserve">horaInicio + duracion (en minutos) y debe de estar dentro del horario de trabajo del barbero </t>
  </si>
  <si>
    <t>Lo define el barbero y queda congelado en la cita; solo se descuenta del precioTotal cuando la cita queda en el estado "El barbero se demoro"</t>
  </si>
  <si>
    <t>Lo define el barbero al momento de agendar la cita y queda congelado en ella; es el valor que se le cobra al cliente si su tardanza supera el tiempoEspera de esta misma cita</t>
  </si>
  <si>
    <t>Es el mismo margen para las dos partes: si el cliente lo supera se le genera una Multa de tipo Tardanza por el valor de multa, y si el barbero lo supera se le aplica al cliente el porcentajeDescuento sobre el precioTotal</t>
  </si>
  <si>
    <t>Suma del precioServicio de todos los CitaServicio de esta cita. Si el estado de la cita es "El barbero se demoro" se le resta el porcentajeDescuento; en cualquier otro estado se cobra la suma completa</t>
  </si>
  <si>
    <t>pedirCita</t>
  </si>
  <si>
    <t>Comando que permite a un cliente solicitar una cita con un barbero, en una fecha y hora puntual, con uno o más servicios</t>
  </si>
  <si>
    <t>datos{cliente, agenda, horaInicio, servicios}</t>
  </si>
  <si>
    <t>Contiene la información requerida para agendar una nueva cita con un barbero</t>
  </si>
  <si>
    <t>Contiene la información de la cita agendada</t>
  </si>
  <si>
    <t>Generar una excepción indicándole al cliente que no puede agendar porque el cliente está vetado</t>
  </si>
  <si>
    <t>Generar una excepción indicándole al cliente que el barbero no tiene disponibilidad en la hora solicitada</t>
  </si>
  <si>
    <t>Generar una excepción indicándole al cliente que la hora solicitada cae dentro de un bloqueo del barbero</t>
  </si>
  <si>
    <t>Generar una excepción indicándole al cliente que alguno de los servicios pedidos no está habilitado para ese barbero</t>
  </si>
  <si>
    <t>Generar una excepción indicándole al cliente que los servicios pedidos pertenecen a más de un barbero</t>
  </si>
  <si>
    <t>Generar una excepción indicándole al cliente que no puede agendar una cita para una fecha y hora que ya pasaron</t>
  </si>
  <si>
    <t>Generar una excepción indicándole al cliente que solo puede agendar hasta 15 días después del día actual</t>
  </si>
  <si>
    <t>Si los valores de multa, tiempoEspera y porcentajeDescuento no se pueden congelar, no registrar la cita</t>
  </si>
  <si>
    <t>reprogramarCita</t>
  </si>
  <si>
    <t>Permite a un cliente cambiar la fecha, hora o barbero de una cita que aún no ha ocurrido</t>
  </si>
  <si>
    <t>Corresponde al identificador de la cita que se va a reprogramar</t>
  </si>
  <si>
    <t>Contiene la información de la cita reprogramada</t>
  </si>
  <si>
    <t>Informar con un mensaje que no existe una cita con el identificador enviado y por lo tanto no es posible llevar a cabo la operación</t>
  </si>
  <si>
    <t>datos{agenda, horaInicio}</t>
  </si>
  <si>
    <t>Contiene la nueva agenda y hora con las que se va a reprogramar la cita</t>
  </si>
  <si>
    <t>Generar una excepción indicándole al cliente que la cita no se puede reprogramar porque no se encuentra en estado Agendada</t>
  </si>
  <si>
    <t>Generar una excepción indicándole al cliente que solo puede reprogramar hasta 15 días después del día actual</t>
  </si>
  <si>
    <t>cancelarCitaPorCliente</t>
  </si>
  <si>
    <t>Permite a un cliente cancelar una cita antes de que ocurra</t>
  </si>
  <si>
    <t>Corresponde al identificador de la cita que el cliente va a cancelar</t>
  </si>
  <si>
    <t>Contiene la cita en el estado Cancelada por el cliente</t>
  </si>
  <si>
    <t>Generar una excepción indicándole al cliente que la cita no se puede cancelar porque no se encuentra en estado Agendada</t>
  </si>
  <si>
    <t>Generar una excepción indicándole al cliente que ya no puede cancelar la cita porque faltan menos de 2 horas para su horaInicio</t>
  </si>
  <si>
    <t>cancelarCitaPorBarbero</t>
  </si>
  <si>
    <t>Permite a un barbero cancelar una cita antes de que ocurra</t>
  </si>
  <si>
    <t>Corresponde al identificador de la cita que el barbero va a cancelar</t>
  </si>
  <si>
    <t>Contiene la cita en el estado Cancelada por el barbero</t>
  </si>
  <si>
    <t>Generar una excepción indicándole al barbero que la cita no se puede cancelar porque no se encuentra en estado Agendada</t>
  </si>
  <si>
    <t>Generar una excepción indicándole al barbero que ya no puede cancelar la cita porque faltan menos de 2 horas para su horaInicio</t>
  </si>
  <si>
    <t>registrarInasistenciaCliente</t>
  </si>
  <si>
    <t>Permite al barbero indicar que el cliente nunca llegó a la cita</t>
  </si>
  <si>
    <t>Corresponde al identificador de la cita a la que el cliente no asistió</t>
  </si>
  <si>
    <t>Contiene la cita en el estado Inasistencia del cliente</t>
  </si>
  <si>
    <t>Generar una excepción indicándole al barbero que no se puede registrar la inasistencia porque la cita no se encuentra en estado Agendada</t>
  </si>
  <si>
    <t>Generar una excepción indicándole al barbero que no se puede registrar la inasistencia porque la llegada del cliente ya fue registrada</t>
  </si>
  <si>
    <t>Si la multa no se puede generar, registrar el error y dejar la inasistencia pendiente de multa</t>
  </si>
  <si>
    <t>P-CIT-0001</t>
  </si>
  <si>
    <t>Asegurar que los datos requeridos (agenda,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</si>
  <si>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</si>
  <si>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</si>
  <si>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</si>
  <si>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</si>
  <si>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</si>
  <si>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</si>
  <si>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</si>
  <si>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P-CIT-0006</t>
  </si>
  <si>
    <t>Congelar en la cita el valor de multa, el tiempoEspera y el porcentajeDescuento en el momento de agendarla, para que un cambio posterior no altere citas ya registradas</t>
  </si>
  <si>
    <t>P-CIT-0008</t>
  </si>
  <si>
    <t>Cuando se registre la inasistencia del cliente, generar una Multa de tipo Inasistencia por el precioTotal de la cita</t>
  </si>
  <si>
    <t>P-CIT-0009</t>
  </si>
  <si>
    <t>Si la hora del RegistroHoraCita en que el barbero estuvo preparado o inició la atención supera la horaInicio de la cita (o la llegada del cliente, si fue posterior) en más del tiempoEspera, aplicar el porcentajeDescuento de esa misma cita sobre su precioTotal</t>
  </si>
  <si>
    <t>P-CIT-0010</t>
  </si>
  <si>
    <t>Si la hora del RegistroHoraCita de tipo Llegada del cliente supera la horaInicio de la cita en más del tiempoEspera, generar una Multa de tipo Tardanza por el valor de multa de esa misma cita</t>
  </si>
  <si>
    <t>P-CIT-0011</t>
  </si>
  <si>
    <t>El cliente tiene hasta 2 horas antes de la horaInicio de la cita para cancelarla; cuando faltan menos de 2 horas ya no se le permite cancelar</t>
  </si>
  <si>
    <t>P-CIT-0012</t>
  </si>
  <si>
    <t>El barbero tiene hasta 2 horas antes de la horaInicio de la cita para cancelarla; cuando faltan menos de 2 horas ya no se le permite cancelar</t>
  </si>
  <si>
    <t>P-CIT-0013</t>
  </si>
  <si>
    <t>Asegurar que todos los servicios pedidos en la cita correspondan a un mismo barbero, porque una cita la atiende un único barbero de principio a fin</t>
  </si>
  <si>
    <t>P-CIT-0014</t>
  </si>
  <si>
    <t>Asegurar que la hora solicitada no caiga dentro de ningún bloqueo del barbero, ni que la cita se extienda sobre uno</t>
  </si>
  <si>
    <t>P-CIT-0015</t>
  </si>
  <si>
    <t>Asegurar que exista la cita con el id enviado</t>
  </si>
  <si>
    <t>P-CIT-0016</t>
  </si>
  <si>
    <t>Asegurar que la cita se encuentre en estado Agendada</t>
  </si>
  <si>
    <t>P-CIT-0019</t>
  </si>
  <si>
    <t>Asegurar que la llegada del cliente no haya sido registrada previamente</t>
  </si>
  <si>
    <t>P-CIT-0021</t>
  </si>
  <si>
    <t>Asegurar que la cita se agende como máximo hasta 15 días después del día actual: se permite agendar desde hoy hasta hoy + 15 días, y una fecha posterior a ese límite no se puede agendar</t>
  </si>
  <si>
    <t>Pedir cita</t>
  </si>
  <si>
    <t>Permite identificar quién solicita la cita y verificar que no esté vetado.</t>
  </si>
  <si>
    <t>Cita agendada</t>
  </si>
  <si>
    <t>Permite conocer la disponibilidad del barbero en la fecha solicitada.</t>
  </si>
  <si>
    <t>Permite conocer los rangos de tiempo en los que el barbero no está disponible.</t>
  </si>
  <si>
    <t>Permite verificar que la hora solicitada esté dentro de la jornada del barbero.</t>
  </si>
  <si>
    <t>Permite seleccionar los servicios de ese barbero y conocer su duración.</t>
  </si>
  <si>
    <t>Permite identificar al barbero que atenderá la cita.</t>
  </si>
  <si>
    <t>Permite asignar el estado inicial de la cita.</t>
  </si>
  <si>
    <t>Reprogramar la cita</t>
  </si>
  <si>
    <t>Permite conocer la disponibilidad del barbero en la nueva fecha.</t>
  </si>
  <si>
    <t>Cita reprogramada</t>
  </si>
  <si>
    <t>Permite verificar que la nueva hora no caiga en un bloqueo del barbero.</t>
  </si>
  <si>
    <t>Permite identificar al barbero de la nueva hora de la cita.</t>
  </si>
  <si>
    <t>Permite verificar que la cita se encuentre en estado Agendada antes de reprogramarla.</t>
  </si>
  <si>
    <t>Cancelar la cita por decisión del cliente</t>
  </si>
  <si>
    <t>Permite verificar que la cita se encuentre en estado Agendada y cambiarla a Cancelada por el cliente cuando la cancelación es aceptada.</t>
  </si>
  <si>
    <t>Cita cancelada por el cliente</t>
  </si>
  <si>
    <t>Cancelar la cita por decisión del barbero</t>
  </si>
  <si>
    <t>Permite verificar que la cita se encuentre en estado Agendada y cambiarla a Cancelada por el barbero.</t>
  </si>
  <si>
    <t>Cita cancelada por el barbero</t>
  </si>
  <si>
    <t>Registrar la inasistencia del cliente</t>
  </si>
  <si>
    <t>Permite generar la multa por inasistencia con el precioTotal de la cita.</t>
  </si>
  <si>
    <t>Inasistencia de cliente registrada</t>
  </si>
  <si>
    <t>Permite verificar que la cita se encuentre en estado Agendada y cambiarla a Inasistencia del cliente.</t>
  </si>
  <si>
    <t>Permite al sistema indicar que el cliente nunca llegó a la cita</t>
  </si>
  <si>
    <t>Representa a cuál cliente le pertenece esta cita</t>
  </si>
  <si>
    <t>Referencia en cual agenda va a estar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</si>
  <si>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</si>
  <si>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</si>
  <si>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</si>
  <si>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el descuento que el barbero le concede al cliente por haberse demorado en atenderlo; solo se descuenta del precioTotal cuando la cita queda en el estado "El barbero se demoro"</t>
  </si>
  <si>
    <t>Representa el precio de sancion, en caso de que el cliente se demore</t>
  </si>
  <si>
    <t>Representa la cantidad de minutos en el que el barbero puede esperar a un cliente, después de este tiempo de espera se le hace una sanción por retraso. Si el barbero se pasa de este tiempo se le da el descuento al cliente</t>
  </si>
  <si>
    <t>Representa cuánto debe pagar el cliente por los servicios de esta cita: la suma del precioServicio de todos sus CitaServicio, al que solo se le aplica el porcentajeDescuento cuando la cita quedó en el estado "El barbero se demoro"</t>
  </si>
  <si>
    <t>Combinación única que indica que una misma agenda no puede tener dos citas que empiecen a la misma hora</t>
  </si>
  <si>
    <t>cliente</t>
  </si>
  <si>
    <t>agenda</t>
  </si>
  <si>
    <t>estado</t>
  </si>
  <si>
    <t>horaFinEstimada</t>
  </si>
  <si>
    <t>porcentajeDescuento</t>
  </si>
  <si>
    <t>multa</t>
  </si>
  <si>
    <t>tiempoEspera</t>
  </si>
  <si>
    <t>precioTotal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</si>
  <si>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</si>
  <si>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</si>
  <si>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</si>
  <si>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</si>
  <si>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consultarServiciosDeCita</t>
  </si>
  <si>
    <t>Permite ver qué servicios fueron pedidos dentro de una cita puntual</t>
  </si>
  <si>
    <t>filtro{cita}</t>
  </si>
  <si>
    <t>Contiene la cita por la cual se van a consultar sus servicios</t>
  </si>
  <si>
    <t>Lista&lt;CitaServicio&gt;</t>
  </si>
  <si>
    <t>Contiene todos los servicios que fueron pedidos dentro de esa cita</t>
  </si>
  <si>
    <t>consultarPrecioDeCadaServicio</t>
  </si>
  <si>
    <t>Permite consultar el precio que quedó congelado para cada servicio de una cita en el momento en que se agendó</t>
  </si>
  <si>
    <t>Contiene la cita por la cual se van a consultar los precios de sus servicios</t>
  </si>
  <si>
    <t>Contiene el precio que quedó congelado para cada servicio de esa cita</t>
  </si>
  <si>
    <t>crearCitaServicio</t>
  </si>
  <si>
    <t>Comando que permite al sistema registrar un servicio pedido dentro de una cita, copiando el precio y la duración vigentes en el momento de agendarla</t>
  </si>
  <si>
    <t>datos{cita, barberoServicio}</t>
  </si>
  <si>
    <t>Contiene la cita y el servicio del barbero que se pidió en ella</t>
  </si>
  <si>
    <t>Contiene la información del servicio registrado dentro de la cita</t>
  </si>
  <si>
    <t>Si los valores no se pueden copiar, no registrar el servicio y revertir el agendamiento de la cita</t>
  </si>
  <si>
    <t>P-CSE-0001</t>
  </si>
  <si>
    <t>Asegurar que al crear el CitaServicio se copien el precio del Servicio y la duración y el tiempo extra del BarberoServicio vigentes en el momento de agendar la cita, para que un cambio posterior no altere la cita</t>
  </si>
  <si>
    <t>Consultar los servicios de una cita</t>
  </si>
  <si>
    <t>Servicios de cita consultados</t>
  </si>
  <si>
    <t>Ver precio de cada servicio</t>
  </si>
  <si>
    <t>Precio de servicio de cita consultado</t>
  </si>
  <si>
    <t>Crear servicios de una cita</t>
  </si>
  <si>
    <t>Permite al sistema registrar cada servicio pedido dentro de una cita en el momento en que se agenda, con el precio y la duración vigentes</t>
  </si>
  <si>
    <t>Permite asociar el servicio a la cita que se está agendando.</t>
  </si>
  <si>
    <t>CitaServicio creado</t>
  </si>
  <si>
    <t>Permite copiar la duración y el tiempo extra del servicio para ese barbero.</t>
  </si>
  <si>
    <t>Permite copiar el precio vigente del servicio.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</si>
  <si>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</si>
  <si>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</si>
  <si>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</si>
  <si>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</si>
  <si>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</si>
  <si>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</si>
  <si>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</si>
  <si>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</si>
  <si>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</si>
  <si>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</si>
  <si>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</si>
  <si>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</si>
  <si>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Cita.multa; si tipo=Inasistencia copia Cita.precioTotal, y queda congelado</t>
  </si>
  <si>
    <t>Si tipo=Tardanza copia la hora del RegistroHoraCita de tipo 'Llegada del cliente' de esa cita; si tipo=Inasistencia copia Cita.horaFinEstimada</t>
  </si>
  <si>
    <t>Fecha y Hora</t>
  </si>
  <si>
    <t>imponerMultaCliente</t>
  </si>
  <si>
    <t>Genera automáticamente una multa a un cliente cuando se registra una inasistencia o una tardanza fuera de tolerancia</t>
  </si>
  <si>
    <t>datos{cita, tipo}</t>
  </si>
  <si>
    <t>Contiene la cita incumplida y el tipo de multa que se le va a imponer al cliente</t>
  </si>
  <si>
    <t>Contiene la información de la multa impuesta</t>
  </si>
  <si>
    <t>Si el tipo de multa y el monto no se pueden congelar, no registrar la multa e informar el error</t>
  </si>
  <si>
    <t>Si el veto del cliente no se puede actualizar, registrar el error sin revertir la multa</t>
  </si>
  <si>
    <t>Continuar operación</t>
  </si>
  <si>
    <t>consultarMultasDeCliente</t>
  </si>
  <si>
    <t>Permite a un cliente consultar el historial de multas que se le han impuesto</t>
  </si>
  <si>
    <t>filtro{cliente}</t>
  </si>
  <si>
    <t>Contiene el cliente por el cual se van a consultar sus multas</t>
  </si>
  <si>
    <t>Lista&lt;Multa&gt;</t>
  </si>
  <si>
    <t>Contiene todas las multas que se le han impuesto al cliente</t>
  </si>
  <si>
    <t>registrarPagoMulta</t>
  </si>
  <si>
    <t>Permite al barbero marcar que un cliente ya pagó una multa pendiente</t>
  </si>
  <si>
    <t>Corresponde al identificador de la multa que se va a marcar como pagada</t>
  </si>
  <si>
    <t>Contiene la multa con su pago registrado</t>
  </si>
  <si>
    <t>Informar con un mensaje que no existe una multa con el identificador enviado y por lo tanto no es posible llevar a cabo la operación</t>
  </si>
  <si>
    <t>fechaHoraPago</t>
  </si>
  <si>
    <t>Contiene la fecha y hora en la que el cliente pagó la multa</t>
  </si>
  <si>
    <t>Generar una excepción indicándole al usuario que esa multa ya está pagada</t>
  </si>
  <si>
    <t>P-MUL-0001</t>
  </si>
  <si>
    <t>Congelar el motivo (tipo de multa) y el monto en el momento de generarse: si es por tardanza se copia Cita.multa y si es por inasistencia se copia Cita.precioTotal, sin recalcular después</t>
  </si>
  <si>
    <t>P-MUL-0002</t>
  </si>
  <si>
    <t>Asegurar que la multa no esté ya pagada antes de registrar un nuevo pago</t>
  </si>
  <si>
    <t>P-MUL-0003</t>
  </si>
  <si>
    <t>Al generarse una multa dejar vetado al cliente, y quitarle el veto en el momento en que registre el pago de esa multa</t>
  </si>
  <si>
    <t>P-MUL-0004</t>
  </si>
  <si>
    <t>Asegurar que exista la multa con el id enviado</t>
  </si>
  <si>
    <t>Imponer una multa al cliente</t>
  </si>
  <si>
    <t>Permite conocer la cita incumplida de donde salen el tipo y el monto de la multa.</t>
  </si>
  <si>
    <t>Multa impuesta</t>
  </si>
  <si>
    <t>Permite dejar vetado al cliente al que se le impone la multa.</t>
  </si>
  <si>
    <t>Ver todas mis multas</t>
  </si>
  <si>
    <t>Permite mostrar de qué tipo es cada multa del cliente.</t>
  </si>
  <si>
    <t>Multas consultadas</t>
  </si>
  <si>
    <t>Registrar el pago de una multa</t>
  </si>
  <si>
    <t>Permite quitarle el veto al cliente cuando ya no le quedan multas sin pagar.</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</si>
  <si>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</si>
  <si>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</si>
  <si>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</si>
  <si>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valor de multa de la Cita incumplida; si el tipo es Inasistencia copia el precioTotal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</si>
  <si>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</si>
  <si>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</si>
  <si>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queda vetado: mientras tenga una multa sin pagar no puede agendar</t>
  </si>
  <si>
    <t>Combinación única que indica que una misma cita no puede generar más de una multa</t>
  </si>
  <si>
    <t>tipo</t>
  </si>
  <si>
    <t>monto</t>
  </si>
  <si>
    <t>horaGeneracion</t>
  </si>
  <si>
    <t>pagada</t>
  </si>
  <si>
    <t>1/01/1000 00:00</t>
  </si>
  <si>
    <t>definirRegistroHoraCita</t>
  </si>
  <si>
    <t>Comando que permite al barbero registrar, de forma opcional, la hora real de un momento de la cita</t>
  </si>
  <si>
    <t>datos{cita, tipoRegistroHora, hora}</t>
  </si>
  <si>
    <t>Contiene la cita, el tipo de momento y la hora real que se registra</t>
  </si>
  <si>
    <t>Contiene la información del registro de hora creado</t>
  </si>
  <si>
    <t>Generar una excepción indicándole al barbero cuáles datos del registro no cumplen con las reglas definidas</t>
  </si>
  <si>
    <t>Generar una excepción indicándole al barbero que ya existe un registro de ese tipo para la cita</t>
  </si>
  <si>
    <t>Generar una excepción indicándole al barbero que no se pueden registrar horas en una cita cancelada o con inasistencia</t>
  </si>
  <si>
    <t>Generar una excepción indicándole al barbero que la hora no es coherente con las demás horas registradas de la cita</t>
  </si>
  <si>
    <t>Si la multa por tardanza no se puede generar, registrar el error y deshacer el registro</t>
  </si>
  <si>
    <t>Si el descuento no se puede aplicar, dejar el precioTotal sin cambios y registrar el error</t>
  </si>
  <si>
    <t>cambiarHoraRegistroHoraCita</t>
  </si>
  <si>
    <t>Permite al barbero corregir la hora de un registro de hora de una cita</t>
  </si>
  <si>
    <t>Corresponde al identificador del registro de hora</t>
  </si>
  <si>
    <t>Contiene el registro con su hora actualizada</t>
  </si>
  <si>
    <t>Informar con un mensaje que no existe un registro de hora con el identificador enviado y por lo tanto no se puede realizar la operación</t>
  </si>
  <si>
    <t>datos{hora}</t>
  </si>
  <si>
    <t>Contiene la nueva hora del registro</t>
  </si>
  <si>
    <t>Generar una excepción indicándole al barbero que la hora no cumple con las reglas definidas</t>
  </si>
  <si>
    <t>Generar una excepción indicándole al barbero que no se pueden cambiar horas de una cita cancelada o con inasistencia</t>
  </si>
  <si>
    <t>consultarHoraLlegadaCliente</t>
  </si>
  <si>
    <t>Permite al barbero y al cliente consultar la hora de llegada del cliente en una cita</t>
  </si>
  <si>
    <t>Contiene la cita de la cual se va a consultar la hora</t>
  </si>
  <si>
    <t>Contiene la hora de llegada del cliente, si fue registrada</t>
  </si>
  <si>
    <t>consultarHoraBarberoPreparado</t>
  </si>
  <si>
    <t>Permite al barbero y al cliente consultar la hora en que el barbero estuvo preparado en una cita</t>
  </si>
  <si>
    <t>Contiene la hora en que el barbero estuvo preparado, si fue registrada</t>
  </si>
  <si>
    <t>consultarHoraInicioAtencion</t>
  </si>
  <si>
    <t>Permite al barbero y al cliente consultar la hora de inicio de la atención en una cita</t>
  </si>
  <si>
    <t>Contiene la hora de inicio de la atención, si fue registrada</t>
  </si>
  <si>
    <t>consultarHoraFinAtencion</t>
  </si>
  <si>
    <t>Permite al barbero y al cliente consultar la hora de finalización de la atención en una cita</t>
  </si>
  <si>
    <t>Contiene la hora de finalización de la atención, si fue registrada</t>
  </si>
  <si>
    <t>P-RHC-0001</t>
  </si>
  <si>
    <t>Asegurar que los datos requeridos del registro (cita, tipo de registro de hora, hora) sean válidos en tipo de dato, obligatoriedad y formato</t>
  </si>
  <si>
    <t>P-RHC-0002</t>
  </si>
  <si>
    <t>Asegurar que no exista otro registro del mismo tipo para la misma cita</t>
  </si>
  <si>
    <t>P-RHC-0003</t>
  </si>
  <si>
    <t>Asegurar que exista el registro de hora con el id enviado</t>
  </si>
  <si>
    <t>P-RHC-0004</t>
  </si>
  <si>
    <t>Asegurar que la cita no se encuentre en estado Cancelada por el cliente, Cancelada por el barbero, Cancelación ni Inasistencia del cliente</t>
  </si>
  <si>
    <t>P-RHC-0005</t>
  </si>
  <si>
    <t>Asegurar que las horas registradas de una misma cita sean coherentes entre sí: el inicio de la atención no puede ser anterior a la llegada del cliente ni el fin anterior al inicio</t>
  </si>
  <si>
    <t>Definir un registro de hora para la cita</t>
  </si>
  <si>
    <t>Comando que permite al barbero registrar, de forma opcional, la hora real de un momento de la cita (llegada del cliente, barbero preparado, inicio o fin de la atención)</t>
  </si>
  <si>
    <t>Permite conocer la horaInicio, el tiempoEspera y el estado de la cita.</t>
  </si>
  <si>
    <t>Registro de hora de cita definido</t>
  </si>
  <si>
    <t>Pensarlo: al eliminar Finalizar la atención de Cita, definir qué acción deja la cita en estado Finalizada (por ejemplo, registrar la hora de Fin de atención).</t>
  </si>
  <si>
    <t>Permite indicar a qué momento de la cita corresponde la hora.</t>
  </si>
  <si>
    <t>Permite cambiar el estado de la cita cuando aplica la política de tardanza o de demora.</t>
  </si>
  <si>
    <t>Cambiar hora de un registro</t>
  </si>
  <si>
    <t>Permite verificar el estado de la cita del registro.</t>
  </si>
  <si>
    <t>Hora de registro de cita cambiada</t>
  </si>
  <si>
    <t>Ver hora de llegada del cliente de una cita</t>
  </si>
  <si>
    <t>Permite al barbero consultar la hora de llegada del cliente en una cita</t>
  </si>
  <si>
    <t>Hora de llegada del cliente de la cita consultada</t>
  </si>
  <si>
    <t>Permite al cliente consultar la hora de llegada del cliente en una cita</t>
  </si>
  <si>
    <t>Ver hora en que se preparo el barbero de una cita</t>
  </si>
  <si>
    <t>Permite al barbero consultar la hora en que el barbero estuvo preparado en una cita</t>
  </si>
  <si>
    <t>Hora de barbero preparado de la cita consultada</t>
  </si>
  <si>
    <t>Permite al cliente consultar la hora en que el barbero estuvo preparado en una cita</t>
  </si>
  <si>
    <t>Ver hora de inicio de atencion de una cita</t>
  </si>
  <si>
    <t>Permite al barbero consultar la hora de inicio de la atención en una cita</t>
  </si>
  <si>
    <t>Hora de inicio de atención de la cita consultada</t>
  </si>
  <si>
    <t>Permite al cliente consultar la hora de inicio de la atención en una cita</t>
  </si>
  <si>
    <t>Ver hora de finalizacion de una cita</t>
  </si>
  <si>
    <t>Permite al barbero consultar la hora de finalización de la atención en una cita</t>
  </si>
  <si>
    <t>Hora de finalización de la cita consultada</t>
  </si>
  <si>
    <t>Permite al cliente consultar la hora de finalización de la atención en una cita</t>
  </si>
  <si>
    <t>Referencia a qué cita pertenece este registro de hora real</t>
  </si>
  <si>
    <t>Referencia a qué tipo de hora real corresponde este registro</t>
  </si>
  <si>
    <t>Representa la hora real en la que ocurrió el evento registrado</t>
  </si>
  <si>
    <t>Combinación única que indica que una misma cita no puede tener dos registros del mismo tipo de hora</t>
  </si>
  <si>
    <t>tipoRegistroHora</t>
  </si>
  <si>
    <t>hora</t>
  </si>
  <si>
    <t>Corresponde a los datos que ingresa el barbero</t>
  </si>
  <si>
    <t>Generar una excepción indicándole al administrador que los datos no cumplen</t>
  </si>
  <si>
    <t>Comando que permite registrar un nuevo tipo de servicio que la sede de la barbería pondrá a disposición de los barberos</t>
  </si>
  <si>
    <t>P-SER-0008</t>
  </si>
  <si>
    <t>Retirar un servicio de la sede de la barbería</t>
  </si>
  <si>
    <t>Volver a ofrecer un servicio en la sede de la barbería</t>
  </si>
  <si>
    <t>Ver servicios no disponibles de la sede de la barberia</t>
  </si>
  <si>
    <t>Permite identificar las citas del barbero que siguen en estado Agendada</t>
  </si>
  <si>
    <t>Agenda, hora</t>
  </si>
  <si>
    <t>Generar una excepción indicándole al cliente que los datos de la cita no cumplen con las reglas definidas</t>
  </si>
  <si>
    <t>Asegurar que la cita no se solicite para una fecha y hora que ya pasaron, es decir que la cita no se puede solicitar en un tiempo pasado</t>
  </si>
  <si>
    <t>Permite verificar los registros de hora que se han hecho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</si>
</sst>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m/d/yyyy"/>
    <numFmt numFmtId="168" formatCode="m/d/yyyy\ h:mm"/>
    <numFmt numFmtId="169" formatCode="dd/mm/yyyy"/>
    <numFmt numFmtId="170" formatCode="hh:mm"/>
    <numFmt numFmtId="171" formatCode="_(\$* #,##0.00_);_(\$* \(#,##0.00\);_(\$* \-??_);_(@_)"/>
  </numFmts>
  <fonts count="39" x14ac:knownFonts="1">
    <font>
      <sz val="11"/>
      <color theme="1"/>
      <name val="Calibri"/>
      <family val="2"/>
      <charset val="1"/>
    </font>
    <font>
      <u/>
      <sz val="11"/>
      <color theme="10"/>
      <name val="Calibri"/>
      <family val="2"/>
      <charset val="1"/>
    </font>
    <font>
      <b/>
      <sz val="11"/>
      <color theme="1"/>
      <name val="Calibri"/>
      <family val="2"/>
      <charset val="1"/>
    </font>
    <font>
      <b/>
      <sz val="11"/>
      <name val="Calibri"/>
      <family val="2"/>
      <charset val="1"/>
    </font>
    <font>
      <u/>
      <sz val="11"/>
      <color rgb="FF0563C1"/>
      <name val="Calibri"/>
      <family val="2"/>
      <charset val="1"/>
    </font>
    <font>
      <b/>
      <sz val="11"/>
      <color theme="1"/>
      <name val="Aptos Narrow"/>
      <family val="2"/>
      <charset val="1"/>
    </font>
    <font>
      <u/>
      <sz val="11"/>
      <color rgb="FF0070C0"/>
      <name val="Calibri"/>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sz val="10"/>
      <color theme="1"/>
      <name val="Calibri"/>
      <family val="2"/>
      <charset val="1"/>
    </font>
    <font>
      <u/>
      <sz val="10"/>
      <color rgb="FF0563C1"/>
      <name val="Aptos Narrow"/>
      <family val="2"/>
      <charset val="1"/>
    </font>
    <font>
      <u/>
      <sz val="10"/>
      <color theme="10"/>
      <name val="Calibri"/>
      <family val="2"/>
      <charset val="1"/>
    </font>
    <font>
      <b/>
      <sz val="10"/>
      <color theme="1"/>
      <name val="Calibri"/>
      <family val="2"/>
      <charset val="1"/>
    </font>
    <font>
      <sz val="11"/>
      <name val="Calibri"/>
      <family val="2"/>
      <charset val="1"/>
    </font>
    <font>
      <b/>
      <sz val="10"/>
      <name val="Aptos Narrow"/>
      <family val="2"/>
      <charset val="1"/>
    </font>
    <font>
      <sz val="10"/>
      <name val="Aptos Narrow"/>
      <family val="2"/>
      <charset val="1"/>
    </font>
    <font>
      <sz val="7"/>
      <name val="Calibri"/>
      <family val="2"/>
      <charset val="1"/>
    </font>
    <font>
      <sz val="7"/>
      <color rgb="FF000000"/>
      <name val="Calibri"/>
      <family val="2"/>
      <charset val="1"/>
    </font>
    <font>
      <b/>
      <sz val="11"/>
      <color rgb="FF000000"/>
      <name val="Calibri"/>
      <family val="2"/>
      <charset val="1"/>
    </font>
    <font>
      <u/>
      <sz val="10"/>
      <color rgb="FF0563C1"/>
      <name val="Calibri"/>
      <family val="2"/>
      <charset val="1"/>
    </font>
    <font>
      <b/>
      <sz val="10"/>
      <color theme="1"/>
      <name val="Aptos Narrow"/>
      <family val="2"/>
      <charset val="1"/>
    </font>
    <font>
      <sz val="10"/>
      <color theme="1"/>
      <name val="Aptos Narrow"/>
      <family val="2"/>
      <charset val="1"/>
    </font>
    <font>
      <b/>
      <sz val="11"/>
      <name val="Cambria"/>
      <family val="1"/>
      <charset val="1"/>
    </font>
    <font>
      <sz val="7"/>
      <color theme="1"/>
      <name val="Calibri"/>
      <family val="2"/>
      <charset val="1"/>
    </font>
    <font>
      <u/>
      <sz val="10"/>
      <color rgb="FF0070C0"/>
      <name val="Calibri"/>
      <family val="2"/>
      <charset val="1"/>
    </font>
    <font>
      <u/>
      <sz val="10"/>
      <color theme="10"/>
      <name val="Aptos Narrow"/>
      <family val="2"/>
      <charset val="1"/>
    </font>
    <font>
      <sz val="10"/>
      <name val="Arial"/>
      <family val="2"/>
      <charset val="1"/>
    </font>
    <font>
      <sz val="11"/>
      <color rgb="FF0563C1"/>
      <name val="Calibri"/>
      <family val="2"/>
      <charset val="1"/>
    </font>
    <font>
      <b/>
      <u/>
      <sz val="11"/>
      <color rgb="FF467886"/>
      <name val="Calibri"/>
      <family val="2"/>
      <charset val="1"/>
    </font>
    <font>
      <b/>
      <sz val="11"/>
      <color theme="1"/>
      <name val="Calibri"/>
      <family val="2"/>
    </font>
    <font>
      <u/>
      <sz val="11"/>
      <color rgb="FF0070C0"/>
      <name val="Aptos Narrow"/>
      <family val="2"/>
      <charset val="1"/>
    </font>
    <font>
      <sz val="10"/>
      <name val="Calibri"/>
      <family val="2"/>
      <charset val="1"/>
    </font>
    <font>
      <sz val="8"/>
      <name val="Calibri"/>
      <family val="2"/>
      <charset val="1"/>
    </font>
    <font>
      <u/>
      <sz val="10"/>
      <color rgb="FF0070C0"/>
      <name val="Aptos Narrow"/>
      <family val="2"/>
      <charset val="1"/>
    </font>
    <font>
      <u/>
      <sz val="10"/>
      <color rgb="FF0563C1"/>
      <name val="Aptos Narrow"/>
      <family val="2"/>
    </font>
    <font>
      <sz val="10"/>
      <name val="Aptos Narrow"/>
      <family val="2"/>
    </font>
    <font>
      <sz val="10"/>
      <color theme="1"/>
      <name val="Aptos Narrow"/>
      <family val="2"/>
    </font>
    <font>
      <u/>
      <sz val="10"/>
      <color theme="10"/>
      <name val="Aptos Narrow"/>
      <family val="2"/>
    </font>
  </fonts>
  <fills count="36">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theme="9" tint="0.59959715567491678"/>
        <bgColor rgb="FFC5E0B4"/>
      </patternFill>
    </fill>
    <fill>
      <patternFill patternType="solid">
        <fgColor rgb="FFC0E6F5"/>
        <bgColor rgb="FFCAEDFB"/>
      </patternFill>
    </fill>
    <fill>
      <patternFill patternType="solid">
        <fgColor rgb="FFF2CEEF"/>
        <bgColor rgb="FFFDD3FA"/>
      </patternFill>
    </fill>
    <fill>
      <patternFill patternType="solid">
        <fgColor rgb="FFCAEDFB"/>
        <bgColor rgb="FFC0E6F5"/>
      </patternFill>
    </fill>
    <fill>
      <patternFill patternType="solid">
        <fgColor theme="9" tint="0.39909054841761527"/>
        <bgColor rgb="FFC5E0B3"/>
      </patternFill>
    </fill>
    <fill>
      <patternFill patternType="solid">
        <fgColor theme="0" tint="-0.249977111117893"/>
        <bgColor rgb="FFB4C6E7"/>
      </patternFill>
    </fill>
    <fill>
      <patternFill patternType="solid">
        <fgColor rgb="FFFCFCAA"/>
        <bgColor rgb="FFFFE699"/>
      </patternFill>
    </fill>
    <fill>
      <patternFill patternType="solid">
        <fgColor rgb="FFF381DB"/>
        <bgColor rgb="FFFA90B1"/>
      </patternFill>
    </fill>
    <fill>
      <patternFill patternType="solid">
        <fgColor rgb="FFFFFF00"/>
        <bgColor rgb="FFFFD966"/>
      </patternFill>
    </fill>
    <fill>
      <patternFill patternType="solid">
        <fgColor rgb="FF92D050"/>
        <bgColor rgb="FFA9D08E"/>
      </patternFill>
    </fill>
    <fill>
      <patternFill patternType="solid">
        <fgColor rgb="FFCC99FF"/>
        <bgColor rgb="FFCEABF1"/>
      </patternFill>
    </fill>
    <fill>
      <patternFill patternType="solid">
        <fgColor rgb="FFFDD3FA"/>
        <bgColor rgb="FFF2CEEF"/>
      </patternFill>
    </fill>
    <fill>
      <patternFill patternType="solid">
        <fgColor rgb="FFFFC000"/>
        <bgColor rgb="FFFFD966"/>
      </patternFill>
    </fill>
    <fill>
      <patternFill patternType="solid">
        <fgColor rgb="FFFA90B1"/>
        <bgColor rgb="FFF381DB"/>
      </patternFill>
    </fill>
    <fill>
      <patternFill patternType="solid">
        <fgColor rgb="FFD0CECE"/>
        <bgColor rgb="FFD9D9D9"/>
      </patternFill>
    </fill>
    <fill>
      <patternFill patternType="solid">
        <fgColor rgb="FF70AD47"/>
        <bgColor rgb="FF92D050"/>
      </patternFill>
    </fill>
    <fill>
      <patternFill patternType="solid">
        <fgColor rgb="FFFFD966"/>
        <bgColor rgb="FFFFE699"/>
      </patternFill>
    </fill>
    <fill>
      <patternFill patternType="solid">
        <fgColor theme="8" tint="0.59959715567491678"/>
        <bgColor rgb="FFB4C6E7"/>
      </patternFill>
    </fill>
    <fill>
      <patternFill patternType="solid">
        <fgColor theme="7" tint="0.59959715567491678"/>
        <bgColor rgb="FFFCFCAA"/>
      </patternFill>
    </fill>
    <fill>
      <patternFill patternType="solid">
        <fgColor rgb="FFCEABF1"/>
        <bgColor rgb="FFCC99FF"/>
      </patternFill>
    </fill>
    <fill>
      <patternFill patternType="solid">
        <fgColor theme="6" tint="0.59959715567491678"/>
        <bgColor rgb="FFD9D9D9"/>
      </patternFill>
    </fill>
    <fill>
      <patternFill patternType="solid">
        <fgColor rgb="FFF7C7AC"/>
        <bgColor rgb="FFF2CEEF"/>
      </patternFill>
    </fill>
    <fill>
      <patternFill patternType="solid">
        <fgColor rgb="FFF1ABE9"/>
        <bgColor rgb="FFCEABF1"/>
      </patternFill>
    </fill>
    <fill>
      <patternFill patternType="solid">
        <fgColor rgb="FFB4C6E7"/>
        <bgColor rgb="FFB4C7E7"/>
      </patternFill>
    </fill>
    <fill>
      <patternFill patternType="solid">
        <fgColor theme="9" tint="0.59987182226020086"/>
        <bgColor rgb="FFC5E0B3"/>
      </patternFill>
    </fill>
    <fill>
      <patternFill patternType="solid">
        <fgColor theme="8" tint="0.59999389629810485"/>
        <bgColor rgb="FFC5E0B4"/>
      </patternFill>
    </fill>
    <fill>
      <patternFill patternType="solid">
        <fgColor theme="8" tint="0.59999389629810485"/>
        <bgColor indexed="64"/>
      </patternFill>
    </fill>
    <fill>
      <patternFill patternType="solid">
        <fgColor theme="7" tint="0.59999389629810485"/>
        <bgColor rgb="FFC5E0B4"/>
      </patternFill>
    </fill>
    <fill>
      <patternFill patternType="solid">
        <fgColor theme="7" tint="0.59999389629810485"/>
        <bgColor indexed="64"/>
      </patternFill>
    </fill>
    <fill>
      <patternFill patternType="solid">
        <fgColor theme="7" tint="0.59999389629810485"/>
        <bgColor rgb="FFB4C6E7"/>
      </patternFill>
    </fill>
    <fill>
      <patternFill patternType="solid">
        <fgColor theme="9" tint="0.59999389629810485"/>
        <bgColor rgb="FFB4C6E7"/>
      </patternFill>
    </fill>
    <fill>
      <patternFill patternType="solid">
        <fgColor theme="9" tint="0.59999389629810485"/>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s>
  <cellStyleXfs count="3">
    <xf numFmtId="0" fontId="0" fillId="0" borderId="0"/>
    <xf numFmtId="171" fontId="27" fillId="0" borderId="0"/>
    <xf numFmtId="0" fontId="1" fillId="0" borderId="0"/>
  </cellStyleXfs>
  <cellXfs count="573">
    <xf numFmtId="0" fontId="0" fillId="0" borderId="0" xfId="0"/>
    <xf numFmtId="0" fontId="10" fillId="0" borderId="0" xfId="0" applyFont="1" applyAlignment="1">
      <alignment horizontal="left" vertical="center" wrapText="1"/>
    </xf>
    <xf numFmtId="0" fontId="0" fillId="4" borderId="1" xfId="0" applyFill="1" applyBorder="1" applyAlignment="1">
      <alignment horizontal="left" vertical="center" wrapText="1"/>
    </xf>
    <xf numFmtId="0" fontId="8" fillId="7" borderId="1" xfId="0" applyFont="1" applyFill="1" applyBorder="1" applyAlignment="1">
      <alignment horizontal="center" vertical="center"/>
    </xf>
    <xf numFmtId="0" fontId="1" fillId="0" borderId="0" xfId="0" applyFont="1"/>
    <xf numFmtId="0" fontId="0" fillId="2" borderId="0" xfId="0" applyFill="1"/>
    <xf numFmtId="0" fontId="2" fillId="0" borderId="1" xfId="0" applyFont="1" applyBorder="1" applyAlignment="1">
      <alignment vertical="center"/>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xf numFmtId="0" fontId="0" fillId="0" borderId="1" xfId="0" applyBorder="1" applyAlignment="1">
      <alignment vertical="center" wrapText="1"/>
    </xf>
    <xf numFmtId="0" fontId="1"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4" borderId="2" xfId="0" applyFont="1" applyFill="1" applyBorder="1" applyAlignment="1">
      <alignment horizontal="left"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0" fillId="4" borderId="2" xfId="0" applyFill="1" applyBorder="1" applyAlignment="1">
      <alignment horizontal="left" vertical="center"/>
    </xf>
    <xf numFmtId="0" fontId="8" fillId="5" borderId="1" xfId="0"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left" vertical="center" wrapText="1"/>
    </xf>
    <xf numFmtId="0" fontId="9" fillId="6" borderId="1" xfId="0" applyFont="1" applyFill="1" applyBorder="1" applyAlignment="1">
      <alignment vertical="center"/>
    </xf>
    <xf numFmtId="0" fontId="8" fillId="7" borderId="2" xfId="0" applyFont="1" applyFill="1" applyBorder="1" applyAlignment="1">
      <alignment horizontal="center" vertical="center"/>
    </xf>
    <xf numFmtId="0" fontId="0" fillId="4" borderId="1" xfId="0" applyFill="1" applyBorder="1" applyAlignment="1">
      <alignment horizontal="left" vertical="center"/>
    </xf>
    <xf numFmtId="0" fontId="10" fillId="4" borderId="1" xfId="0" applyFont="1" applyFill="1" applyBorder="1" applyAlignment="1">
      <alignment horizontal="left" vertical="center" wrapText="1"/>
    </xf>
    <xf numFmtId="0" fontId="1" fillId="4" borderId="1" xfId="2" applyFill="1" applyBorder="1" applyAlignment="1">
      <alignment horizontal="left" vertical="center"/>
    </xf>
    <xf numFmtId="0" fontId="11" fillId="0" borderId="0" xfId="0" applyFont="1"/>
    <xf numFmtId="0" fontId="12" fillId="0" borderId="0" xfId="0" applyFont="1"/>
    <xf numFmtId="0" fontId="13" fillId="8" borderId="3" xfId="0" applyFont="1" applyFill="1" applyBorder="1" applyAlignment="1">
      <alignment vertical="center"/>
    </xf>
    <xf numFmtId="0" fontId="13" fillId="8" borderId="5" xfId="0" applyFont="1" applyFill="1" applyBorder="1" applyAlignment="1">
      <alignment vertical="center"/>
    </xf>
    <xf numFmtId="0" fontId="14" fillId="0" borderId="1" xfId="0" applyFont="1" applyBorder="1" applyAlignment="1">
      <alignment vertical="center" wrapText="1"/>
    </xf>
    <xf numFmtId="0" fontId="13" fillId="0" borderId="0" xfId="0" applyFont="1" applyAlignment="1">
      <alignment vertical="center"/>
    </xf>
    <xf numFmtId="0" fontId="13" fillId="0" borderId="0" xfId="0" applyFont="1" applyAlignment="1">
      <alignment horizontal="center" vertical="center" wrapText="1"/>
    </xf>
    <xf numFmtId="0" fontId="15" fillId="10"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3" fillId="17" borderId="1" xfId="0" applyFont="1" applyFill="1" applyBorder="1" applyAlignment="1">
      <alignment horizontal="center" vertical="center" wrapText="1"/>
    </xf>
    <xf numFmtId="0" fontId="15" fillId="14" borderId="1" xfId="0" applyFont="1" applyFill="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xf numFmtId="0" fontId="17" fillId="18" borderId="1" xfId="0" applyFont="1" applyFill="1" applyBorder="1" applyAlignment="1">
      <alignment horizontal="center" wrapText="1"/>
    </xf>
    <xf numFmtId="0" fontId="18" fillId="18" borderId="1" xfId="0" applyFont="1" applyFill="1" applyBorder="1" applyAlignment="1">
      <alignment horizontal="center" wrapText="1"/>
    </xf>
    <xf numFmtId="0" fontId="19" fillId="19" borderId="1" xfId="0" applyFont="1" applyFill="1" applyBorder="1" applyAlignment="1">
      <alignment horizontal="center"/>
    </xf>
    <xf numFmtId="0" fontId="19" fillId="2" borderId="1" xfId="0" applyFont="1" applyFill="1" applyBorder="1" applyAlignment="1">
      <alignment horizontal="center"/>
    </xf>
    <xf numFmtId="0" fontId="19" fillId="20"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18" borderId="1" xfId="0" applyFill="1" applyBorder="1"/>
    <xf numFmtId="0" fontId="0" fillId="0" borderId="0" xfId="0" applyAlignment="1">
      <alignment wrapText="1"/>
    </xf>
    <xf numFmtId="0" fontId="0" fillId="19" borderId="1" xfId="0" applyFill="1" applyBorder="1"/>
    <xf numFmtId="0" fontId="0" fillId="2" borderId="1" xfId="0" applyFill="1" applyBorder="1"/>
    <xf numFmtId="0" fontId="0" fillId="20" borderId="1" xfId="0" applyFill="1" applyBorder="1"/>
    <xf numFmtId="0" fontId="6" fillId="4" borderId="1" xfId="0" applyFont="1" applyFill="1" applyBorder="1" applyAlignment="1">
      <alignment horizontal="left" vertical="center"/>
    </xf>
    <xf numFmtId="0" fontId="6" fillId="21" borderId="1" xfId="0" applyFont="1" applyFill="1" applyBorder="1" applyAlignment="1">
      <alignment horizontal="left" vertical="center"/>
    </xf>
    <xf numFmtId="0" fontId="6" fillId="22" borderId="1" xfId="0" applyFont="1" applyFill="1" applyBorder="1" applyAlignment="1">
      <alignment horizontal="left" vertical="center"/>
    </xf>
    <xf numFmtId="0" fontId="0" fillId="21" borderId="1" xfId="0" applyFill="1" applyBorder="1" applyAlignment="1">
      <alignment horizontal="left" vertical="center"/>
    </xf>
    <xf numFmtId="0" fontId="0" fillId="22" borderId="1" xfId="0" applyFill="1" applyBorder="1" applyAlignment="1">
      <alignment horizontal="left" vertical="center"/>
    </xf>
    <xf numFmtId="0" fontId="14" fillId="4" borderId="1" xfId="2" applyFont="1" applyFill="1" applyBorder="1" applyAlignment="1">
      <alignment horizontal="left" vertical="center"/>
    </xf>
    <xf numFmtId="0" fontId="0" fillId="21" borderId="1" xfId="0" applyFill="1" applyBorder="1" applyAlignment="1">
      <alignment horizontal="left" vertical="center" wrapText="1"/>
    </xf>
    <xf numFmtId="0" fontId="10" fillId="21" borderId="1" xfId="0" applyFont="1" applyFill="1" applyBorder="1" applyAlignment="1">
      <alignment horizontal="left" vertical="center" wrapText="1"/>
    </xf>
    <xf numFmtId="0" fontId="0" fillId="21" borderId="1" xfId="0" applyFill="1" applyBorder="1" applyAlignment="1">
      <alignment vertical="center" wrapText="1"/>
    </xf>
    <xf numFmtId="0" fontId="0" fillId="21" borderId="1" xfId="0" applyFill="1" applyBorder="1" applyAlignment="1">
      <alignment vertical="center"/>
    </xf>
    <xf numFmtId="0" fontId="0" fillId="22" borderId="1" xfId="0" applyFill="1" applyBorder="1" applyAlignment="1">
      <alignment horizontal="left" vertical="center" wrapText="1"/>
    </xf>
    <xf numFmtId="0" fontId="10" fillId="22" borderId="1" xfId="0" applyFont="1" applyFill="1" applyBorder="1" applyAlignment="1">
      <alignment horizontal="left" vertical="center" wrapText="1"/>
    </xf>
    <xf numFmtId="0" fontId="14" fillId="22" borderId="1" xfId="2" applyFont="1" applyFill="1" applyBorder="1" applyAlignment="1">
      <alignment horizontal="left" vertical="center"/>
    </xf>
    <xf numFmtId="0" fontId="20" fillId="0" borderId="0" xfId="0" applyFont="1"/>
    <xf numFmtId="0" fontId="21" fillId="8" borderId="3" xfId="0" applyFont="1" applyFill="1" applyBorder="1" applyAlignment="1">
      <alignment vertical="center"/>
    </xf>
    <xf numFmtId="0" fontId="21" fillId="8" borderId="5" xfId="0" applyFont="1" applyFill="1" applyBorder="1" applyAlignment="1">
      <alignment vertical="center"/>
    </xf>
    <xf numFmtId="0" fontId="21" fillId="15"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22" fillId="0" borderId="0" xfId="0" applyFont="1" applyAlignment="1">
      <alignment vertical="center" wrapText="1"/>
    </xf>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8" fillId="3"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6" fillId="22" borderId="1" xfId="0" applyFont="1" applyFill="1" applyBorder="1" applyAlignment="1">
      <alignment horizontal="center" vertical="center" wrapText="1"/>
    </xf>
    <xf numFmtId="0" fontId="14" fillId="4" borderId="1" xfId="0" applyFont="1" applyFill="1" applyBorder="1" applyAlignment="1">
      <alignment horizontal="left" vertical="center"/>
    </xf>
    <xf numFmtId="0" fontId="14" fillId="21" borderId="1" xfId="0" applyFont="1" applyFill="1" applyBorder="1" applyAlignment="1">
      <alignment horizontal="left" vertical="center"/>
    </xf>
    <xf numFmtId="0" fontId="14" fillId="22" borderId="1" xfId="0" applyFont="1" applyFill="1" applyBorder="1" applyAlignment="1">
      <alignment horizontal="left" vertical="center"/>
    </xf>
    <xf numFmtId="165" fontId="7" fillId="3" borderId="1" xfId="0" applyNumberFormat="1" applyFont="1" applyFill="1" applyBorder="1" applyAlignment="1">
      <alignment vertical="center"/>
    </xf>
    <xf numFmtId="0" fontId="8" fillId="2" borderId="0" xfId="0" applyFont="1" applyFill="1" applyAlignment="1">
      <alignment horizontal="center" vertical="center"/>
    </xf>
    <xf numFmtId="0" fontId="23" fillId="0" borderId="0" xfId="0" applyFont="1" applyAlignment="1">
      <alignment vertical="top" wrapText="1"/>
    </xf>
    <xf numFmtId="0" fontId="10" fillId="21" borderId="1" xfId="0" applyFont="1" applyFill="1" applyBorder="1" applyAlignment="1">
      <alignment horizontal="center" vertical="center" wrapText="1"/>
    </xf>
    <xf numFmtId="0" fontId="0" fillId="21" borderId="2" xfId="0" applyFill="1" applyBorder="1" applyAlignment="1">
      <alignment horizontal="left" vertical="center"/>
    </xf>
    <xf numFmtId="0" fontId="0" fillId="22" borderId="2" xfId="0" applyFill="1" applyBorder="1" applyAlignment="1">
      <alignment horizontal="left" vertical="center"/>
    </xf>
    <xf numFmtId="0" fontId="1" fillId="0" borderId="0" xfId="0" applyFont="1" applyAlignment="1">
      <alignment horizontal="center" vertical="top"/>
    </xf>
    <xf numFmtId="0" fontId="0" fillId="0" borderId="0" xfId="0" applyAlignment="1">
      <alignment horizontal="center" vertical="top"/>
    </xf>
    <xf numFmtId="0" fontId="24" fillId="18" borderId="1" xfId="0" applyFont="1" applyFill="1" applyBorder="1" applyAlignment="1">
      <alignment horizontal="center" wrapText="1"/>
    </xf>
    <xf numFmtId="0" fontId="19" fillId="19" borderId="1" xfId="0" applyFont="1" applyFill="1" applyBorder="1" applyAlignment="1">
      <alignment horizontal="center" vertical="top"/>
    </xf>
    <xf numFmtId="0" fontId="19" fillId="2" borderId="1" xfId="0" applyFont="1" applyFill="1" applyBorder="1" applyAlignment="1">
      <alignment horizontal="center" vertical="top"/>
    </xf>
    <xf numFmtId="0" fontId="19" fillId="23"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0" fillId="23" borderId="1" xfId="0" applyFill="1" applyBorder="1"/>
    <xf numFmtId="0" fontId="16" fillId="0" borderId="1" xfId="0" applyFont="1" applyBorder="1" applyAlignment="1">
      <alignment wrapText="1"/>
    </xf>
    <xf numFmtId="0" fontId="10" fillId="4" borderId="1" xfId="0" applyFont="1" applyFill="1" applyBorder="1" applyAlignment="1">
      <alignment horizontal="left" vertical="center"/>
    </xf>
    <xf numFmtId="0" fontId="1" fillId="3" borderId="1" xfId="0" applyFont="1" applyFill="1" applyBorder="1" applyAlignment="1">
      <alignment vertical="center"/>
    </xf>
    <xf numFmtId="0" fontId="0" fillId="24" borderId="1" xfId="0" applyFill="1" applyBorder="1"/>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10" fillId="4" borderId="2" xfId="0" applyFont="1" applyFill="1" applyBorder="1" applyAlignment="1">
      <alignment horizontal="left" vertical="center"/>
    </xf>
    <xf numFmtId="0" fontId="10" fillId="21" borderId="1" xfId="0" applyFont="1" applyFill="1" applyBorder="1" applyAlignment="1">
      <alignment horizontal="left" vertical="center"/>
    </xf>
    <xf numFmtId="0" fontId="10" fillId="21" borderId="2" xfId="0" applyFont="1" applyFill="1" applyBorder="1" applyAlignment="1">
      <alignment horizontal="left" vertical="center"/>
    </xf>
    <xf numFmtId="0" fontId="10" fillId="21" borderId="1" xfId="0" applyFont="1" applyFill="1" applyBorder="1" applyAlignment="1">
      <alignment horizontal="center" vertical="center"/>
    </xf>
    <xf numFmtId="0" fontId="10" fillId="22" borderId="1" xfId="0" applyFont="1" applyFill="1" applyBorder="1" applyAlignment="1">
      <alignment horizontal="left" vertical="center"/>
    </xf>
    <xf numFmtId="0" fontId="10" fillId="22" borderId="2" xfId="0" applyFont="1" applyFill="1" applyBorder="1" applyAlignment="1">
      <alignment horizontal="left" vertical="center"/>
    </xf>
    <xf numFmtId="0" fontId="12" fillId="4" borderId="1" xfId="2" applyFont="1" applyFill="1" applyBorder="1" applyAlignment="1">
      <alignment horizontal="left" vertical="center"/>
    </xf>
    <xf numFmtId="0" fontId="0" fillId="0" borderId="0" xfId="0" applyAlignment="1">
      <alignment horizontal="left" vertical="center"/>
    </xf>
    <xf numFmtId="0" fontId="19" fillId="25" borderId="1" xfId="0" applyFont="1" applyFill="1" applyBorder="1" applyAlignment="1">
      <alignment horizontal="center"/>
    </xf>
    <xf numFmtId="0" fontId="4" fillId="0" borderId="1" xfId="0" applyFont="1" applyBorder="1" applyAlignment="1">
      <alignment horizontal="center"/>
    </xf>
    <xf numFmtId="0" fontId="0" fillId="25" borderId="1" xfId="0" applyFill="1" applyBorder="1"/>
    <xf numFmtId="0" fontId="9" fillId="6" borderId="1" xfId="0" applyFont="1" applyFill="1" applyBorder="1" applyAlignment="1">
      <alignment horizontal="center" vertical="center"/>
    </xf>
    <xf numFmtId="0" fontId="10" fillId="21" borderId="7" xfId="0" applyFont="1" applyFill="1" applyBorder="1" applyAlignment="1">
      <alignment horizontal="center" vertical="center"/>
    </xf>
    <xf numFmtId="0" fontId="10" fillId="21" borderId="7" xfId="0" applyFont="1" applyFill="1" applyBorder="1" applyAlignment="1">
      <alignment horizontal="center" vertical="center" wrapText="1"/>
    </xf>
    <xf numFmtId="0" fontId="12" fillId="22" borderId="1" xfId="2" applyFont="1" applyFill="1" applyBorder="1" applyAlignment="1">
      <alignment horizontal="left" vertical="center"/>
    </xf>
    <xf numFmtId="0" fontId="12" fillId="21" borderId="1" xfId="2"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1" fillId="0" borderId="0" xfId="2" applyAlignment="1">
      <alignment horizontal="left" vertical="center"/>
    </xf>
    <xf numFmtId="0" fontId="18" fillId="18" borderId="1" xfId="0" applyFont="1" applyFill="1" applyBorder="1" applyAlignment="1">
      <alignment wrapText="1"/>
    </xf>
    <xf numFmtId="0" fontId="19" fillId="25" borderId="0" xfId="0" applyFont="1" applyFill="1" applyAlignment="1">
      <alignment horizontal="center"/>
    </xf>
    <xf numFmtId="0" fontId="19" fillId="26" borderId="1" xfId="0" applyFont="1" applyFill="1" applyBorder="1" applyAlignment="1">
      <alignment horizontal="center"/>
    </xf>
    <xf numFmtId="0" fontId="0" fillId="26" borderId="1" xfId="0" applyFill="1" applyBorder="1"/>
    <xf numFmtId="0" fontId="0" fillId="24" borderId="1" xfId="0" applyFill="1" applyBorder="1" applyAlignment="1">
      <alignment vertical="center"/>
    </xf>
    <xf numFmtId="0" fontId="22" fillId="0" borderId="1" xfId="0" applyFont="1" applyBorder="1" applyAlignment="1">
      <alignment wrapText="1"/>
    </xf>
    <xf numFmtId="0" fontId="22" fillId="0" borderId="8" xfId="0" applyFont="1" applyBorder="1"/>
    <xf numFmtId="0" fontId="16" fillId="0" borderId="1" xfId="0" applyFont="1" applyBorder="1" applyAlignment="1">
      <alignment vertical="center"/>
    </xf>
    <xf numFmtId="0" fontId="16" fillId="0" borderId="1" xfId="0" applyFont="1" applyBorder="1" applyAlignment="1">
      <alignment vertical="center" wrapText="1"/>
    </xf>
    <xf numFmtId="0" fontId="19" fillId="2" borderId="1" xfId="0" applyFont="1" applyFill="1" applyBorder="1" applyAlignment="1">
      <alignment horizontal="center" wrapText="1"/>
    </xf>
    <xf numFmtId="164" fontId="4" fillId="0" borderId="1" xfId="0" applyNumberFormat="1" applyFont="1" applyBorder="1" applyAlignment="1">
      <alignment horizontal="center"/>
    </xf>
    <xf numFmtId="20" fontId="0" fillId="0" borderId="1" xfId="0" applyNumberFormat="1" applyBorder="1" applyAlignment="1">
      <alignment horizontal="center"/>
    </xf>
    <xf numFmtId="167" fontId="0" fillId="0" borderId="1" xfId="0" applyNumberFormat="1" applyBorder="1" applyAlignment="1">
      <alignment horizontal="center"/>
    </xf>
    <xf numFmtId="0" fontId="3" fillId="2" borderId="1" xfId="0" applyFont="1" applyFill="1" applyBorder="1" applyAlignment="1">
      <alignment horizontal="center"/>
    </xf>
    <xf numFmtId="0" fontId="3" fillId="20" borderId="1" xfId="0" applyFont="1" applyFill="1" applyBorder="1" applyAlignment="1">
      <alignment horizontal="center"/>
    </xf>
    <xf numFmtId="0" fontId="3" fillId="24" borderId="1" xfId="0" applyFont="1" applyFill="1" applyBorder="1" applyAlignment="1">
      <alignment vertical="top" wrapText="1"/>
    </xf>
    <xf numFmtId="0" fontId="0" fillId="24" borderId="1" xfId="0" applyFill="1" applyBorder="1" applyAlignment="1">
      <alignment wrapText="1"/>
    </xf>
    <xf numFmtId="0" fontId="1" fillId="24" borderId="1" xfId="0" applyFont="1" applyFill="1" applyBorder="1"/>
    <xf numFmtId="0" fontId="5" fillId="5" borderId="1" xfId="0" applyFont="1" applyFill="1" applyBorder="1" applyAlignment="1">
      <alignment horizontal="center"/>
    </xf>
    <xf numFmtId="0" fontId="7" fillId="6" borderId="1" xfId="0" applyFont="1" applyFill="1" applyBorder="1" applyAlignment="1">
      <alignment horizontal="left"/>
    </xf>
    <xf numFmtId="0" fontId="4" fillId="0" borderId="1" xfId="0" applyFont="1" applyBorder="1" applyAlignment="1">
      <alignment wrapText="1"/>
    </xf>
    <xf numFmtId="168" fontId="0" fillId="0" borderId="0" xfId="0" applyNumberFormat="1"/>
    <xf numFmtId="0" fontId="14" fillId="24" borderId="1" xfId="0" applyFont="1" applyFill="1" applyBorder="1"/>
    <xf numFmtId="0" fontId="0" fillId="24" borderId="1" xfId="0" applyFill="1" applyBorder="1" applyAlignment="1">
      <alignment horizontal="left"/>
    </xf>
    <xf numFmtId="0" fontId="10" fillId="21" borderId="2" xfId="0" applyFont="1" applyFill="1" applyBorder="1" applyAlignment="1">
      <alignment horizontal="center" vertical="center"/>
    </xf>
    <xf numFmtId="0" fontId="11" fillId="0" borderId="1" xfId="0" applyFont="1" applyBorder="1"/>
    <xf numFmtId="0" fontId="17" fillId="18" borderId="1" xfId="0" applyFont="1" applyFill="1" applyBorder="1" applyAlignment="1">
      <alignment horizontal="center"/>
    </xf>
    <xf numFmtId="0" fontId="14" fillId="0" borderId="1" xfId="0" applyFont="1" applyBorder="1" applyAlignment="1">
      <alignment horizontal="center"/>
    </xf>
    <xf numFmtId="0" fontId="6" fillId="27" borderId="1" xfId="2" applyFont="1" applyFill="1" applyBorder="1" applyAlignment="1">
      <alignment horizontal="center" vertical="center"/>
    </xf>
    <xf numFmtId="0" fontId="6" fillId="22" borderId="1" xfId="2" applyFont="1" applyFill="1" applyBorder="1" applyAlignment="1">
      <alignment horizontal="center" vertical="center"/>
    </xf>
    <xf numFmtId="0" fontId="14" fillId="24" borderId="1" xfId="0" applyFont="1" applyFill="1" applyBorder="1" applyAlignment="1">
      <alignment wrapText="1"/>
    </xf>
    <xf numFmtId="0" fontId="11" fillId="0" borderId="0" xfId="2" applyFont="1" applyAlignment="1">
      <alignment horizontal="center" wrapText="1"/>
    </xf>
    <xf numFmtId="0" fontId="11" fillId="0" borderId="1" xfId="2" applyFont="1" applyBorder="1" applyAlignment="1">
      <alignment horizontal="center" wrapText="1"/>
    </xf>
    <xf numFmtId="169" fontId="0" fillId="0" borderId="7" xfId="0" applyNumberFormat="1" applyBorder="1" applyAlignment="1">
      <alignment horizontal="center"/>
    </xf>
    <xf numFmtId="169" fontId="0" fillId="0" borderId="1" xfId="0" applyNumberFormat="1" applyBorder="1" applyAlignment="1">
      <alignment horizontal="center"/>
    </xf>
    <xf numFmtId="20" fontId="0" fillId="0" borderId="6" xfId="0" applyNumberFormat="1" applyBorder="1" applyAlignment="1">
      <alignment horizontal="center"/>
    </xf>
    <xf numFmtId="167" fontId="0" fillId="0" borderId="0" xfId="0" applyNumberFormat="1" applyAlignment="1">
      <alignment horizontal="center"/>
    </xf>
    <xf numFmtId="0" fontId="6" fillId="28" borderId="1" xfId="0" applyFont="1" applyFill="1" applyBorder="1" applyAlignment="1">
      <alignment horizontal="center" vertical="center" wrapText="1"/>
    </xf>
    <xf numFmtId="0" fontId="14" fillId="28" borderId="1" xfId="0" applyFont="1" applyFill="1" applyBorder="1" applyAlignment="1">
      <alignment horizontal="left" vertical="center"/>
    </xf>
    <xf numFmtId="0" fontId="1" fillId="21" borderId="1" xfId="2" applyFill="1" applyBorder="1" applyAlignment="1">
      <alignment horizontal="left" vertical="center"/>
    </xf>
    <xf numFmtId="0" fontId="1" fillId="22" borderId="1" xfId="2" applyFill="1" applyBorder="1" applyAlignment="1">
      <alignment horizontal="left" vertical="center"/>
    </xf>
    <xf numFmtId="0" fontId="0" fillId="28" borderId="1" xfId="0" applyFill="1" applyBorder="1" applyAlignment="1">
      <alignment horizontal="left" vertical="center" wrapText="1"/>
    </xf>
    <xf numFmtId="0" fontId="0" fillId="28" borderId="1" xfId="0" applyFill="1" applyBorder="1" applyAlignment="1">
      <alignment horizontal="left" vertical="center"/>
    </xf>
    <xf numFmtId="0" fontId="10" fillId="28" borderId="1" xfId="0" applyFont="1" applyFill="1" applyBorder="1" applyAlignment="1">
      <alignment horizontal="left" vertical="center" wrapText="1"/>
    </xf>
    <xf numFmtId="0" fontId="1" fillId="28" borderId="1" xfId="2" applyFill="1" applyBorder="1" applyAlignment="1">
      <alignment horizontal="left" vertical="center"/>
    </xf>
    <xf numFmtId="0" fontId="0" fillId="28" borderId="2" xfId="0" applyFill="1" applyBorder="1" applyAlignment="1">
      <alignment horizontal="left" vertical="center"/>
    </xf>
    <xf numFmtId="0" fontId="22" fillId="0" borderId="1" xfId="0" applyFont="1" applyBorder="1"/>
    <xf numFmtId="0" fontId="26" fillId="0" borderId="1" xfId="2" applyFont="1" applyBorder="1" applyAlignment="1">
      <alignment horizontal="center" vertical="center" wrapText="1"/>
    </xf>
    <xf numFmtId="0" fontId="3" fillId="23" borderId="1" xfId="0" applyFont="1" applyFill="1" applyBorder="1" applyAlignment="1">
      <alignment horizontal="center"/>
    </xf>
    <xf numFmtId="169" fontId="14" fillId="0" borderId="1" xfId="0" applyNumberFormat="1" applyFont="1" applyBorder="1" applyAlignment="1">
      <alignment horizontal="center"/>
    </xf>
    <xf numFmtId="0" fontId="7" fillId="3" borderId="1" xfId="0" applyFont="1" applyFill="1" applyBorder="1" applyAlignment="1">
      <alignment wrapText="1"/>
    </xf>
    <xf numFmtId="165" fontId="27" fillId="3" borderId="1" xfId="1" applyNumberFormat="1" applyFill="1" applyBorder="1"/>
    <xf numFmtId="165" fontId="27" fillId="3" borderId="1" xfId="0" applyNumberFormat="1" applyFont="1" applyFill="1" applyBorder="1"/>
    <xf numFmtId="0" fontId="8" fillId="5" borderId="1" xfId="0" applyFont="1" applyFill="1" applyBorder="1" applyAlignment="1">
      <alignment vertical="center"/>
    </xf>
    <xf numFmtId="0" fontId="26" fillId="0" borderId="1" xfId="2" applyFont="1" applyBorder="1"/>
    <xf numFmtId="0" fontId="22" fillId="0" borderId="1" xfId="0" applyFont="1" applyBorder="1" applyAlignment="1">
      <alignment horizontal="left" wrapText="1"/>
    </xf>
    <xf numFmtId="0" fontId="22" fillId="0" borderId="1" xfId="0" applyFont="1" applyBorder="1" applyAlignment="1">
      <alignment vertical="center"/>
    </xf>
    <xf numFmtId="0" fontId="22" fillId="0" borderId="1" xfId="0" applyFont="1" applyBorder="1" applyAlignment="1">
      <alignment horizontal="left" vertical="center" wrapText="1"/>
    </xf>
    <xf numFmtId="0" fontId="16" fillId="0" borderId="0" xfId="0" applyFont="1" applyAlignment="1">
      <alignment vertical="center" wrapText="1"/>
    </xf>
    <xf numFmtId="0" fontId="4" fillId="0" borderId="1" xfId="0" applyFont="1" applyBorder="1" applyAlignment="1">
      <alignment horizontal="center" wrapText="1"/>
    </xf>
    <xf numFmtId="170" fontId="0" fillId="0" borderId="1"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1" fillId="24" borderId="1" xfId="0" applyFont="1" applyFill="1" applyBorder="1" applyAlignment="1">
      <alignment wrapText="1"/>
    </xf>
    <xf numFmtId="0" fontId="14" fillId="24" borderId="1" xfId="0" applyFont="1" applyFill="1" applyBorder="1" applyAlignment="1">
      <alignment horizontal="left" wrapText="1"/>
    </xf>
    <xf numFmtId="164" fontId="4" fillId="0" borderId="1" xfId="0" applyNumberFormat="1" applyFont="1" applyBorder="1" applyAlignment="1">
      <alignment horizontal="center" wrapText="1"/>
    </xf>
    <xf numFmtId="166" fontId="14" fillId="0" borderId="1" xfId="0" applyNumberFormat="1" applyFont="1" applyBorder="1" applyAlignment="1">
      <alignment horizontal="center"/>
    </xf>
    <xf numFmtId="3" fontId="14" fillId="0" borderId="1" xfId="0" applyNumberFormat="1" applyFont="1" applyBorder="1" applyAlignment="1">
      <alignment horizontal="center"/>
    </xf>
    <xf numFmtId="165" fontId="14" fillId="24" borderId="1" xfId="0" applyNumberFormat="1" applyFont="1" applyFill="1" applyBorder="1" applyAlignment="1">
      <alignment wrapText="1"/>
    </xf>
    <xf numFmtId="0" fontId="16" fillId="0" borderId="0" xfId="0" applyFont="1" applyAlignment="1">
      <alignment wrapText="1"/>
    </xf>
    <xf numFmtId="3" fontId="28" fillId="0" borderId="1" xfId="0" applyNumberFormat="1" applyFont="1" applyBorder="1" applyAlignment="1">
      <alignment horizontal="center"/>
    </xf>
    <xf numFmtId="170" fontId="28" fillId="0" borderId="1" xfId="0" applyNumberFormat="1" applyFont="1" applyBorder="1" applyAlignment="1">
      <alignment horizontal="center"/>
    </xf>
    <xf numFmtId="0" fontId="29" fillId="25" borderId="1" xfId="0" applyFont="1" applyFill="1" applyBorder="1" applyAlignment="1">
      <alignment horizontal="center"/>
    </xf>
    <xf numFmtId="0" fontId="19" fillId="0" borderId="0" xfId="0" applyFont="1" applyAlignment="1">
      <alignment horizontal="center"/>
    </xf>
    <xf numFmtId="0" fontId="1" fillId="4" borderId="1" xfId="0" applyFont="1" applyFill="1" applyBorder="1" applyAlignment="1">
      <alignment horizontal="left" vertical="center"/>
    </xf>
    <xf numFmtId="0" fontId="30" fillId="25" borderId="1" xfId="0" applyFont="1" applyFill="1" applyBorder="1" applyAlignment="1">
      <alignment horizontal="center"/>
    </xf>
    <xf numFmtId="22" fontId="0" fillId="0" borderId="0" xfId="0" applyNumberFormat="1"/>
    <xf numFmtId="22" fontId="0" fillId="0" borderId="1" xfId="0" applyNumberFormat="1" applyBorder="1" applyAlignment="1">
      <alignment horizontal="center"/>
    </xf>
    <xf numFmtId="0" fontId="4" fillId="0" borderId="0" xfId="0" applyFont="1" applyAlignment="1">
      <alignment horizontal="center"/>
    </xf>
    <xf numFmtId="0" fontId="14" fillId="0" borderId="0" xfId="0" applyFont="1" applyAlignment="1">
      <alignment horizontal="center"/>
    </xf>
    <xf numFmtId="22" fontId="0" fillId="0" borderId="0" xfId="0" applyNumberFormat="1" applyAlignment="1">
      <alignment horizontal="center"/>
    </xf>
    <xf numFmtId="0" fontId="10" fillId="22" borderId="1" xfId="0" applyFont="1" applyFill="1" applyBorder="1" applyAlignment="1">
      <alignment horizontal="center" vertical="center"/>
    </xf>
    <xf numFmtId="0" fontId="12" fillId="22" borderId="1" xfId="2" applyFont="1" applyFill="1" applyBorder="1" applyAlignment="1">
      <alignment horizontal="center" vertical="center"/>
    </xf>
    <xf numFmtId="0" fontId="31" fillId="3" borderId="1" xfId="0" applyFont="1" applyFill="1" applyBorder="1" applyAlignment="1">
      <alignment vertical="center"/>
    </xf>
    <xf numFmtId="0" fontId="1" fillId="0" borderId="0" xfId="2" applyAlignment="1">
      <alignment horizontal="center"/>
    </xf>
    <xf numFmtId="0" fontId="1" fillId="0" borderId="1" xfId="2" applyBorder="1" applyAlignment="1">
      <alignment horizontal="center"/>
    </xf>
    <xf numFmtId="0" fontId="14" fillId="29" borderId="1" xfId="0" applyFont="1" applyFill="1" applyBorder="1" applyAlignment="1">
      <alignment horizontal="left" vertical="center"/>
    </xf>
    <xf numFmtId="0" fontId="10" fillId="21" borderId="1" xfId="0" applyFont="1" applyFill="1" applyBorder="1" applyAlignment="1">
      <alignment vertical="center" wrapText="1"/>
    </xf>
    <xf numFmtId="0" fontId="32" fillId="4" borderId="1" xfId="2" applyFont="1" applyFill="1" applyBorder="1" applyAlignment="1">
      <alignment horizontal="left" vertical="center"/>
    </xf>
    <xf numFmtId="0" fontId="32" fillId="4" borderId="1" xfId="2" applyFont="1" applyFill="1" applyBorder="1" applyAlignment="1">
      <alignment horizontal="left" vertical="center" wrapText="1"/>
    </xf>
    <xf numFmtId="0" fontId="10" fillId="29" borderId="1" xfId="0" applyFont="1" applyFill="1" applyBorder="1" applyAlignment="1">
      <alignment horizontal="left" vertical="center"/>
    </xf>
    <xf numFmtId="0" fontId="10" fillId="29" borderId="1" xfId="0" applyFont="1" applyFill="1" applyBorder="1" applyAlignment="1">
      <alignment horizontal="left" vertical="center" wrapText="1"/>
    </xf>
    <xf numFmtId="0" fontId="10" fillId="29" borderId="2" xfId="0" applyFont="1" applyFill="1" applyBorder="1" applyAlignment="1">
      <alignment horizontal="left" vertical="center"/>
    </xf>
    <xf numFmtId="0" fontId="0" fillId="0" borderId="6" xfId="0" applyBorder="1"/>
    <xf numFmtId="0" fontId="10" fillId="4" borderId="1" xfId="0" applyFont="1" applyFill="1" applyBorder="1" applyAlignment="1">
      <alignment horizontal="center" vertical="center" wrapText="1"/>
    </xf>
    <xf numFmtId="0" fontId="25"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35" fillId="0" borderId="1" xfId="0" applyFont="1" applyBorder="1" applyAlignment="1">
      <alignment horizontal="center" vertical="center" wrapText="1"/>
    </xf>
    <xf numFmtId="0" fontId="32" fillId="4" borderId="1" xfId="0" applyFont="1" applyFill="1" applyBorder="1" applyAlignment="1">
      <alignment horizontal="left" vertical="center"/>
    </xf>
    <xf numFmtId="0" fontId="32" fillId="4" borderId="1" xfId="0" applyFont="1" applyFill="1" applyBorder="1" applyAlignment="1">
      <alignment horizontal="left" vertical="center" wrapText="1"/>
    </xf>
    <xf numFmtId="0" fontId="26" fillId="0" borderId="1" xfId="0" applyFont="1" applyBorder="1"/>
    <xf numFmtId="0" fontId="34" fillId="0" borderId="1" xfId="0" applyFont="1" applyBorder="1" applyAlignment="1">
      <alignment horizontal="center" vertical="center" wrapText="1"/>
    </xf>
    <xf numFmtId="0" fontId="0" fillId="29" borderId="1" xfId="0" applyFill="1" applyBorder="1" applyAlignment="1">
      <alignment horizontal="left" vertical="center" wrapText="1"/>
    </xf>
    <xf numFmtId="0" fontId="0" fillId="29" borderId="1" xfId="0" applyFill="1" applyBorder="1" applyAlignment="1">
      <alignment horizontal="left" vertical="center"/>
    </xf>
    <xf numFmtId="0" fontId="1" fillId="29" borderId="1" xfId="0" applyFont="1" applyFill="1" applyBorder="1" applyAlignment="1">
      <alignment horizontal="left" vertical="center"/>
    </xf>
    <xf numFmtId="0" fontId="0" fillId="29" borderId="2" xfId="0" applyFill="1" applyBorder="1" applyAlignment="1">
      <alignment horizontal="left" vertical="center"/>
    </xf>
    <xf numFmtId="0" fontId="0" fillId="31" borderId="1" xfId="0" applyFill="1" applyBorder="1" applyAlignment="1">
      <alignment horizontal="left" vertical="center" wrapText="1"/>
    </xf>
    <xf numFmtId="0" fontId="0" fillId="31" borderId="1" xfId="0" applyFill="1" applyBorder="1" applyAlignment="1">
      <alignment horizontal="left" vertical="center"/>
    </xf>
    <xf numFmtId="0" fontId="10" fillId="31" borderId="1" xfId="0" applyFont="1" applyFill="1" applyBorder="1" applyAlignment="1">
      <alignment horizontal="left" vertical="center" wrapText="1"/>
    </xf>
    <xf numFmtId="0" fontId="1" fillId="31" borderId="1" xfId="0" applyFont="1" applyFill="1" applyBorder="1" applyAlignment="1">
      <alignment horizontal="left" vertical="center"/>
    </xf>
    <xf numFmtId="0" fontId="0" fillId="31" borderId="2" xfId="0" applyFill="1" applyBorder="1" applyAlignment="1">
      <alignment horizontal="left" vertical="center"/>
    </xf>
    <xf numFmtId="0" fontId="0" fillId="29" borderId="1" xfId="0" applyFill="1" applyBorder="1" applyAlignment="1">
      <alignment vertical="center"/>
    </xf>
    <xf numFmtId="0" fontId="10" fillId="29" borderId="1" xfId="0" applyFont="1" applyFill="1" applyBorder="1" applyAlignment="1">
      <alignment vertical="center" wrapText="1"/>
    </xf>
    <xf numFmtId="0" fontId="6" fillId="29" borderId="1" xfId="0" applyFont="1" applyFill="1" applyBorder="1" applyAlignment="1">
      <alignment horizontal="center" vertical="center" wrapText="1"/>
    </xf>
    <xf numFmtId="0" fontId="6" fillId="31" borderId="1" xfId="0" applyFont="1" applyFill="1" applyBorder="1" applyAlignment="1">
      <alignment horizontal="center" vertical="center" wrapText="1"/>
    </xf>
    <xf numFmtId="0" fontId="14" fillId="31" borderId="1" xfId="0" applyFont="1" applyFill="1" applyBorder="1" applyAlignment="1">
      <alignment horizontal="left" vertical="center"/>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36" fillId="0" borderId="1" xfId="0" applyFont="1" applyBorder="1"/>
    <xf numFmtId="0" fontId="36" fillId="0" borderId="1" xfId="0" applyFont="1" applyBorder="1" applyAlignment="1">
      <alignment vertical="center" wrapText="1"/>
    </xf>
    <xf numFmtId="0" fontId="35" fillId="0" borderId="1" xfId="0" applyFont="1" applyBorder="1"/>
    <xf numFmtId="0" fontId="38" fillId="0" borderId="1" xfId="2" applyFont="1" applyBorder="1"/>
    <xf numFmtId="0" fontId="0" fillId="33" borderId="1" xfId="0" applyFill="1" applyBorder="1" applyAlignment="1">
      <alignment horizontal="left" vertical="center" wrapText="1"/>
    </xf>
    <xf numFmtId="0" fontId="10" fillId="31" borderId="1" xfId="0" applyFont="1" applyFill="1" applyBorder="1" applyAlignment="1">
      <alignment horizontal="center" vertical="center" wrapText="1"/>
    </xf>
    <xf numFmtId="0" fontId="10" fillId="31" borderId="1" xfId="0" applyFont="1" applyFill="1" applyBorder="1" applyAlignment="1">
      <alignment horizontal="left" vertical="center"/>
    </xf>
    <xf numFmtId="0" fontId="12" fillId="31" borderId="1" xfId="2" applyFont="1" applyFill="1" applyBorder="1" applyAlignment="1">
      <alignment horizontal="left" vertical="center"/>
    </xf>
    <xf numFmtId="0" fontId="10" fillId="31" borderId="2" xfId="0" applyFont="1" applyFill="1" applyBorder="1" applyAlignment="1">
      <alignment horizontal="left" vertical="center"/>
    </xf>
    <xf numFmtId="0" fontId="10" fillId="31" borderId="1" xfId="0" applyFont="1" applyFill="1" applyBorder="1" applyAlignment="1">
      <alignment horizontal="center" vertical="center"/>
    </xf>
    <xf numFmtId="0" fontId="10" fillId="34" borderId="1" xfId="0" applyFont="1" applyFill="1" applyBorder="1" applyAlignment="1">
      <alignment horizontal="left" vertical="center"/>
    </xf>
    <xf numFmtId="0" fontId="10" fillId="34" borderId="1" xfId="0" applyFont="1" applyFill="1" applyBorder="1" applyAlignment="1">
      <alignment horizontal="left" vertical="center" wrapText="1"/>
    </xf>
    <xf numFmtId="0" fontId="10" fillId="34" borderId="2" xfId="0" applyFont="1" applyFill="1" applyBorder="1" applyAlignment="1">
      <alignment horizontal="left" vertical="center"/>
    </xf>
    <xf numFmtId="0" fontId="38" fillId="0" borderId="1" xfId="0" applyFont="1" applyBorder="1" applyAlignment="1">
      <alignment horizontal="center" vertical="center" wrapText="1"/>
    </xf>
    <xf numFmtId="0" fontId="38" fillId="0" borderId="1" xfId="0" applyFont="1" applyBorder="1"/>
    <xf numFmtId="0" fontId="34" fillId="0" borderId="1" xfId="0" applyFont="1" applyBorder="1" applyAlignment="1">
      <alignment horizontal="left" vertical="center" wrapText="1"/>
    </xf>
    <xf numFmtId="0" fontId="12" fillId="4" borderId="1" xfId="0" applyFont="1" applyFill="1" applyBorder="1" applyAlignment="1">
      <alignment horizontal="left" vertical="center"/>
    </xf>
    <xf numFmtId="0" fontId="12" fillId="29" borderId="1" xfId="0" applyFont="1" applyFill="1" applyBorder="1" applyAlignment="1">
      <alignment horizontal="left" vertical="center"/>
    </xf>
    <xf numFmtId="0" fontId="12" fillId="31" borderId="1" xfId="0" applyFont="1" applyFill="1" applyBorder="1" applyAlignment="1">
      <alignment horizontal="left" vertical="center"/>
    </xf>
    <xf numFmtId="0" fontId="0" fillId="0" borderId="7"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16" fillId="0" borderId="7" xfId="0" applyFont="1" applyBorder="1" applyAlignment="1">
      <alignment horizontal="left" vertical="center" wrapText="1"/>
    </xf>
    <xf numFmtId="0" fontId="16" fillId="0" borderId="10" xfId="0" applyFont="1" applyBorder="1" applyAlignment="1">
      <alignment horizontal="left" vertical="center" wrapText="1"/>
    </xf>
    <xf numFmtId="0" fontId="16" fillId="0" borderId="8" xfId="0"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0" fillId="0" borderId="1" xfId="0" applyBorder="1" applyAlignment="1">
      <alignment horizontal="center"/>
    </xf>
    <xf numFmtId="0" fontId="16" fillId="0" borderId="7"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8" xfId="0" applyFont="1" applyBorder="1" applyAlignment="1">
      <alignment horizontal="center" vertical="center" wrapText="1"/>
    </xf>
    <xf numFmtId="0" fontId="21" fillId="11" borderId="1" xfId="0" applyFont="1" applyFill="1" applyBorder="1" applyAlignment="1">
      <alignment horizontal="center" vertical="center" wrapText="1"/>
    </xf>
    <xf numFmtId="0" fontId="0" fillId="0" borderId="6" xfId="0" applyBorder="1"/>
    <xf numFmtId="0" fontId="0" fillId="0" borderId="8" xfId="0" applyBorder="1" applyAlignment="1">
      <alignment horizontal="left"/>
    </xf>
    <xf numFmtId="0" fontId="0" fillId="0" borderId="8" xfId="0" applyBorder="1"/>
    <xf numFmtId="0" fontId="15" fillId="10" borderId="1" xfId="0" applyFont="1" applyFill="1" applyBorder="1" applyAlignment="1">
      <alignment horizontal="center" vertical="center" wrapText="1"/>
    </xf>
    <xf numFmtId="0" fontId="16" fillId="0" borderId="1" xfId="0" applyFont="1" applyBorder="1" applyAlignment="1">
      <alignment vertical="center" wrapText="1"/>
    </xf>
    <xf numFmtId="0" fontId="0" fillId="0" borderId="10" xfId="0" applyBorder="1"/>
    <xf numFmtId="0" fontId="22" fillId="0" borderId="7" xfId="0" applyFont="1" applyBorder="1" applyAlignment="1">
      <alignment horizontal="left" wrapText="1"/>
    </xf>
    <xf numFmtId="0" fontId="22" fillId="0" borderId="10" xfId="0" applyFont="1" applyBorder="1" applyAlignment="1">
      <alignment horizontal="left" wrapText="1"/>
    </xf>
    <xf numFmtId="0" fontId="22" fillId="0" borderId="7" xfId="0" applyFont="1" applyBorder="1" applyAlignment="1">
      <alignment horizontal="left"/>
    </xf>
    <xf numFmtId="0" fontId="22" fillId="0" borderId="10" xfId="0" applyFont="1" applyBorder="1" applyAlignment="1">
      <alignment horizontal="left"/>
    </xf>
    <xf numFmtId="0" fontId="22" fillId="4" borderId="4" xfId="0" applyFont="1" applyFill="1" applyBorder="1" applyAlignment="1">
      <alignment horizontal="left" vertical="center"/>
    </xf>
    <xf numFmtId="0" fontId="0" fillId="0" borderId="23" xfId="0" applyBorder="1"/>
    <xf numFmtId="0" fontId="0" fillId="0" borderId="13" xfId="0" applyBorder="1"/>
    <xf numFmtId="0" fontId="15" fillId="12" borderId="1" xfId="0" applyFont="1" applyFill="1" applyBorder="1" applyAlignment="1">
      <alignment horizontal="center" vertical="center" wrapText="1"/>
    </xf>
    <xf numFmtId="0" fontId="22" fillId="0" borderId="1" xfId="0" applyFont="1" applyBorder="1" applyAlignment="1">
      <alignment vertical="center"/>
    </xf>
    <xf numFmtId="0" fontId="15" fillId="14" borderId="1" xfId="0" applyFont="1" applyFill="1" applyBorder="1" applyAlignment="1">
      <alignment horizontal="center" vertical="center" wrapText="1"/>
    </xf>
    <xf numFmtId="0" fontId="21" fillId="17" borderId="1" xfId="0" applyFont="1" applyFill="1" applyBorder="1" applyAlignment="1">
      <alignment horizontal="center" vertical="center"/>
    </xf>
    <xf numFmtId="0" fontId="15" fillId="16"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1" fillId="0" borderId="0" xfId="0" applyFont="1"/>
    <xf numFmtId="0" fontId="0" fillId="0" borderId="0" xfId="0"/>
    <xf numFmtId="0" fontId="22" fillId="0" borderId="1" xfId="0" applyFont="1" applyBorder="1" applyAlignment="1">
      <alignment horizontal="left" vertical="center"/>
    </xf>
    <xf numFmtId="0" fontId="0" fillId="0" borderId="10" xfId="0" applyBorder="1" applyAlignment="1">
      <alignment horizontal="left"/>
    </xf>
    <xf numFmtId="0" fontId="22" fillId="4" borderId="1" xfId="0" applyFont="1" applyFill="1" applyBorder="1" applyAlignment="1">
      <alignment horizontal="left" vertical="center" wrapText="1"/>
    </xf>
    <xf numFmtId="0" fontId="0" fillId="0" borderId="16" xfId="0" applyBorder="1"/>
    <xf numFmtId="0" fontId="21" fillId="15"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0" borderId="14" xfId="0" applyBorder="1"/>
    <xf numFmtId="0" fontId="0" fillId="0" borderId="15" xfId="0" applyBorder="1"/>
    <xf numFmtId="0" fontId="0" fillId="0" borderId="21" xfId="0" applyBorder="1"/>
    <xf numFmtId="0" fontId="0" fillId="0" borderId="22" xfId="0" applyBorder="1"/>
    <xf numFmtId="0" fontId="0" fillId="0" borderId="9" xfId="0" applyBorder="1"/>
    <xf numFmtId="0" fontId="0" fillId="31" borderId="1" xfId="0" applyFill="1" applyBorder="1" applyAlignment="1">
      <alignment horizontal="left" vertical="center" wrapText="1"/>
    </xf>
    <xf numFmtId="0" fontId="0" fillId="32" borderId="16" xfId="0" applyFill="1" applyBorder="1"/>
    <xf numFmtId="0" fontId="0" fillId="32" borderId="6" xfId="0" applyFill="1" applyBorder="1"/>
    <xf numFmtId="0" fontId="1" fillId="4" borderId="1" xfId="0" applyFont="1" applyFill="1" applyBorder="1" applyAlignment="1">
      <alignment horizontal="left" vertical="center"/>
    </xf>
    <xf numFmtId="0" fontId="0" fillId="29" borderId="1" xfId="0" applyFill="1" applyBorder="1" applyAlignment="1">
      <alignment horizontal="left" vertical="center" wrapText="1"/>
    </xf>
    <xf numFmtId="0" fontId="0" fillId="30" borderId="16" xfId="0" applyFill="1" applyBorder="1"/>
    <xf numFmtId="0" fontId="0" fillId="30" borderId="6" xfId="0" applyFill="1" applyBorder="1"/>
    <xf numFmtId="0" fontId="8" fillId="7" borderId="3" xfId="0" applyFont="1" applyFill="1" applyBorder="1" applyAlignment="1">
      <alignment horizontal="center" vertical="center"/>
    </xf>
    <xf numFmtId="0" fontId="0" fillId="0" borderId="12" xfId="0" applyBorder="1"/>
    <xf numFmtId="0" fontId="0" fillId="0" borderId="19" xfId="0" applyBorder="1"/>
    <xf numFmtId="0" fontId="8" fillId="7" borderId="4" xfId="0" applyFont="1" applyFill="1" applyBorder="1" applyAlignment="1">
      <alignment horizontal="center" vertical="center"/>
    </xf>
    <xf numFmtId="0" fontId="0" fillId="4" borderId="1" xfId="0" applyFill="1" applyBorder="1" applyAlignment="1">
      <alignment horizontal="left" vertical="center"/>
    </xf>
    <xf numFmtId="0" fontId="8" fillId="7" borderId="1" xfId="0" applyFont="1" applyFill="1" applyBorder="1" applyAlignment="1">
      <alignment horizontal="center" vertical="center"/>
    </xf>
    <xf numFmtId="0" fontId="0" fillId="0" borderId="11" xfId="0" applyBorder="1"/>
    <xf numFmtId="0" fontId="6" fillId="29" borderId="5" xfId="0" applyFont="1" applyFill="1" applyBorder="1" applyAlignment="1">
      <alignment vertical="center"/>
    </xf>
    <xf numFmtId="0" fontId="6" fillId="4" borderId="5" xfId="0" applyFont="1" applyFill="1" applyBorder="1" applyAlignment="1">
      <alignment vertical="center"/>
    </xf>
    <xf numFmtId="0" fontId="6" fillId="29" borderId="1" xfId="0" applyFont="1" applyFill="1" applyBorder="1" applyAlignment="1">
      <alignment horizontal="left" vertical="center"/>
    </xf>
    <xf numFmtId="0" fontId="6" fillId="31" borderId="5" xfId="0" applyFont="1" applyFill="1" applyBorder="1" applyAlignment="1">
      <alignment vertical="center"/>
    </xf>
    <xf numFmtId="0" fontId="14" fillId="29" borderId="1" xfId="0" applyFont="1" applyFill="1" applyBorder="1" applyAlignment="1">
      <alignment horizontal="center" vertical="center"/>
    </xf>
    <xf numFmtId="0" fontId="0" fillId="0" borderId="1" xfId="0" applyBorder="1" applyAlignment="1">
      <alignment horizontal="center" wrapText="1"/>
    </xf>
    <xf numFmtId="0" fontId="13" fillId="9" borderId="1" xfId="0" applyFont="1" applyFill="1" applyBorder="1" applyAlignment="1">
      <alignment horizontal="center" vertical="center" wrapText="1"/>
    </xf>
    <xf numFmtId="0" fontId="13" fillId="9" borderId="5" xfId="0" applyFont="1" applyFill="1" applyBorder="1" applyAlignment="1">
      <alignment horizontal="center" vertical="center"/>
    </xf>
    <xf numFmtId="0" fontId="0" fillId="0" borderId="24" xfId="0" applyBorder="1"/>
    <xf numFmtId="0" fontId="10" fillId="4" borderId="1" xfId="0" applyFont="1" applyFill="1" applyBorder="1" applyAlignment="1">
      <alignment horizontal="center" vertical="center" wrapText="1"/>
    </xf>
    <xf numFmtId="0" fontId="10" fillId="4" borderId="4" xfId="0" applyFont="1" applyFill="1" applyBorder="1" applyAlignment="1">
      <alignment horizontal="center" vertical="center"/>
    </xf>
    <xf numFmtId="0" fontId="13" fillId="11"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10" fillId="4" borderId="4" xfId="0" applyFont="1" applyFill="1" applyBorder="1" applyAlignment="1">
      <alignment horizontal="left" vertical="center"/>
    </xf>
    <xf numFmtId="0" fontId="13" fillId="17" borderId="1" xfId="0" applyFont="1" applyFill="1" applyBorder="1" applyAlignment="1">
      <alignment horizontal="center" vertical="center"/>
    </xf>
    <xf numFmtId="0" fontId="0" fillId="4" borderId="27" xfId="0" applyFill="1" applyBorder="1" applyAlignment="1">
      <alignment horizontal="center" vertical="center"/>
    </xf>
    <xf numFmtId="0" fontId="0" fillId="4" borderId="16" xfId="0" applyFill="1" applyBorder="1" applyAlignment="1">
      <alignment horizontal="center" vertical="center"/>
    </xf>
    <xf numFmtId="0" fontId="0" fillId="4" borderId="6" xfId="0" applyFill="1" applyBorder="1" applyAlignment="1">
      <alignment horizontal="center" vertical="center"/>
    </xf>
    <xf numFmtId="0" fontId="0" fillId="4" borderId="28" xfId="0" applyFill="1" applyBorder="1" applyAlignment="1">
      <alignment horizontal="center" vertical="center"/>
    </xf>
    <xf numFmtId="0" fontId="1" fillId="4" borderId="1" xfId="2" applyFill="1" applyBorder="1"/>
    <xf numFmtId="0" fontId="10" fillId="0" borderId="0" xfId="0" applyFont="1" applyAlignment="1">
      <alignment horizontal="left" vertical="center"/>
    </xf>
    <xf numFmtId="0" fontId="14" fillId="0" borderId="1" xfId="0" applyFont="1" applyBorder="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0" fillId="22" borderId="1" xfId="0" applyFill="1" applyBorder="1" applyAlignment="1">
      <alignment horizontal="left" vertical="center" wrapText="1"/>
    </xf>
    <xf numFmtId="0" fontId="0" fillId="21" borderId="1" xfId="0" applyFill="1" applyBorder="1" applyAlignment="1">
      <alignment horizontal="left" vertical="center" wrapText="1"/>
    </xf>
    <xf numFmtId="0" fontId="6" fillId="22"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4" fillId="21" borderId="1" xfId="2" applyFont="1" applyFill="1" applyBorder="1" applyAlignment="1">
      <alignment horizontal="left" vertical="center"/>
    </xf>
    <xf numFmtId="0" fontId="6" fillId="21" borderId="1" xfId="0" applyFont="1" applyFill="1" applyBorder="1" applyAlignment="1">
      <alignment horizontal="left" vertical="center" wrapText="1"/>
    </xf>
    <xf numFmtId="0" fontId="0" fillId="4" borderId="1" xfId="0" applyFill="1" applyBorder="1" applyAlignment="1">
      <alignment horizontal="center" vertical="center" wrapText="1"/>
    </xf>
    <xf numFmtId="0" fontId="6" fillId="4" borderId="5" xfId="0" applyFont="1" applyFill="1" applyBorder="1" applyAlignment="1">
      <alignment horizontal="center" vertical="center"/>
    </xf>
    <xf numFmtId="0" fontId="6" fillId="21" borderId="1" xfId="0" applyFont="1" applyFill="1" applyBorder="1" applyAlignment="1">
      <alignment horizontal="center" vertical="center" wrapText="1"/>
    </xf>
    <xf numFmtId="0" fontId="10" fillId="22" borderId="1" xfId="0" applyFont="1" applyFill="1" applyBorder="1" applyAlignment="1">
      <alignment horizontal="left" vertical="center" wrapText="1"/>
    </xf>
    <xf numFmtId="0" fontId="25"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12" fillId="4" borderId="1" xfId="2" applyFont="1" applyFill="1" applyBorder="1" applyAlignment="1">
      <alignment horizontal="center" vertical="center"/>
    </xf>
    <xf numFmtId="0" fontId="10" fillId="21" borderId="1" xfId="0" applyFont="1" applyFill="1" applyBorder="1" applyAlignment="1">
      <alignment horizontal="center" vertical="center" wrapText="1"/>
    </xf>
    <xf numFmtId="0" fontId="10" fillId="21" borderId="1" xfId="0" applyFont="1" applyFill="1" applyBorder="1" applyAlignment="1">
      <alignment horizontal="center" vertical="center"/>
    </xf>
    <xf numFmtId="0" fontId="25" fillId="21" borderId="1" xfId="0" applyFont="1" applyFill="1" applyBorder="1" applyAlignment="1">
      <alignment horizontal="center" vertical="center"/>
    </xf>
    <xf numFmtId="0" fontId="0" fillId="0" borderId="20" xfId="0" applyBorder="1"/>
    <xf numFmtId="0" fontId="0" fillId="0" borderId="18" xfId="0" applyBorder="1"/>
    <xf numFmtId="0" fontId="7" fillId="6" borderId="1" xfId="0" applyFont="1" applyFill="1" applyBorder="1" applyAlignment="1">
      <alignment horizontal="center" vertical="center" wrapText="1"/>
    </xf>
    <xf numFmtId="0" fontId="25" fillId="4" borderId="1" xfId="0" applyFont="1" applyFill="1" applyBorder="1" applyAlignment="1">
      <alignment vertical="center"/>
    </xf>
    <xf numFmtId="0" fontId="25" fillId="22" borderId="1" xfId="0" applyFont="1" applyFill="1" applyBorder="1" applyAlignment="1">
      <alignment vertical="center"/>
    </xf>
    <xf numFmtId="0" fontId="25" fillId="21" borderId="1" xfId="0" applyFont="1" applyFill="1" applyBorder="1" applyAlignment="1">
      <alignment vertical="center"/>
    </xf>
    <xf numFmtId="0" fontId="10" fillId="4" borderId="1" xfId="0" applyFont="1" applyFill="1" applyBorder="1" applyAlignment="1">
      <alignment horizontal="center" vertical="center"/>
    </xf>
    <xf numFmtId="0" fontId="10" fillId="21" borderId="1" xfId="0" applyFont="1" applyFill="1" applyBorder="1" applyAlignment="1">
      <alignment horizontal="left" vertical="center" wrapText="1"/>
    </xf>
    <xf numFmtId="0" fontId="12" fillId="21" borderId="1" xfId="2"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left" vertical="center" wrapText="1"/>
    </xf>
    <xf numFmtId="0" fontId="0" fillId="0" borderId="17" xfId="0" applyBorder="1"/>
    <xf numFmtId="0" fontId="10" fillId="31" borderId="1" xfId="0" applyFont="1" applyFill="1" applyBorder="1" applyAlignment="1">
      <alignment horizontal="center" vertical="center" wrapText="1"/>
    </xf>
    <xf numFmtId="0" fontId="6" fillId="33" borderId="1" xfId="0" applyFont="1" applyFill="1" applyBorder="1" applyAlignment="1">
      <alignment horizontal="center" vertical="center" wrapText="1"/>
    </xf>
    <xf numFmtId="0" fontId="10" fillId="29" borderId="1" xfId="0" applyFont="1" applyFill="1" applyBorder="1" applyAlignment="1">
      <alignment horizontal="center" vertical="center"/>
    </xf>
    <xf numFmtId="0" fontId="10" fillId="34" borderId="1" xfId="0" applyFont="1" applyFill="1" applyBorder="1" applyAlignment="1">
      <alignment horizontal="center" vertical="center"/>
    </xf>
    <xf numFmtId="0" fontId="0" fillId="35" borderId="14" xfId="0" applyFill="1" applyBorder="1"/>
    <xf numFmtId="0" fontId="0" fillId="35" borderId="15" xfId="0" applyFill="1" applyBorder="1"/>
    <xf numFmtId="0" fontId="0" fillId="35" borderId="21" xfId="0" applyFill="1" applyBorder="1"/>
    <xf numFmtId="0" fontId="0" fillId="35" borderId="22" xfId="0" applyFill="1" applyBorder="1"/>
    <xf numFmtId="0" fontId="0" fillId="35" borderId="9" xfId="0" applyFill="1" applyBorder="1"/>
    <xf numFmtId="0" fontId="0" fillId="35" borderId="8" xfId="0" applyFill="1" applyBorder="1"/>
    <xf numFmtId="0" fontId="25" fillId="31" borderId="5" xfId="0" applyFont="1" applyFill="1" applyBorder="1" applyAlignment="1">
      <alignment horizontal="center" vertical="center"/>
    </xf>
    <xf numFmtId="0" fontId="6" fillId="4" borderId="1" xfId="0" applyFont="1" applyFill="1" applyBorder="1" applyAlignment="1">
      <alignment horizontal="center" vertical="center"/>
    </xf>
    <xf numFmtId="0" fontId="10" fillId="31" borderId="1" xfId="0" applyFont="1" applyFill="1" applyBorder="1" applyAlignment="1">
      <alignment horizontal="left" vertical="center" wrapText="1"/>
    </xf>
    <xf numFmtId="0" fontId="10" fillId="34" borderId="1" xfId="0" applyFont="1" applyFill="1" applyBorder="1" applyAlignment="1">
      <alignment horizontal="center" vertical="center" wrapText="1"/>
    </xf>
    <xf numFmtId="0" fontId="25" fillId="4" borderId="6" xfId="0" applyFont="1" applyFill="1" applyBorder="1" applyAlignment="1">
      <alignment horizontal="center" vertical="center"/>
    </xf>
    <xf numFmtId="0" fontId="25" fillId="21" borderId="6" xfId="0" applyFont="1" applyFill="1" applyBorder="1" applyAlignment="1">
      <alignment horizontal="center" vertical="center"/>
    </xf>
    <xf numFmtId="0" fontId="25" fillId="34" borderId="1" xfId="0" applyFont="1" applyFill="1" applyBorder="1" applyAlignment="1">
      <alignment horizontal="center" vertical="center"/>
    </xf>
    <xf numFmtId="0" fontId="10" fillId="21" borderId="2" xfId="0" applyFont="1" applyFill="1" applyBorder="1" applyAlignment="1">
      <alignment horizontal="left" vertical="center"/>
    </xf>
    <xf numFmtId="0" fontId="0" fillId="0" borderId="25" xfId="0" applyBorder="1"/>
    <xf numFmtId="0" fontId="12" fillId="31" borderId="1" xfId="0" applyFont="1" applyFill="1" applyBorder="1" applyAlignment="1">
      <alignment horizontal="center" vertical="center"/>
    </xf>
    <xf numFmtId="0" fontId="0" fillId="32" borderId="8" xfId="0" applyFill="1" applyBorder="1"/>
    <xf numFmtId="0" fontId="12" fillId="4" borderId="1" xfId="0" applyFont="1" applyFill="1" applyBorder="1" applyAlignment="1">
      <alignment horizontal="center" vertical="center"/>
    </xf>
    <xf numFmtId="0" fontId="25" fillId="31" borderId="6" xfId="0" applyFont="1" applyFill="1" applyBorder="1" applyAlignment="1">
      <alignment horizontal="center" vertical="center"/>
    </xf>
    <xf numFmtId="0" fontId="0" fillId="32" borderId="15" xfId="0" applyFill="1" applyBorder="1"/>
    <xf numFmtId="0" fontId="0" fillId="32" borderId="22" xfId="0" applyFill="1" applyBorder="1"/>
    <xf numFmtId="0" fontId="0" fillId="32" borderId="9" xfId="0" applyFill="1" applyBorder="1"/>
    <xf numFmtId="0" fontId="25" fillId="29" borderId="1" xfId="0" applyFont="1" applyFill="1" applyBorder="1" applyAlignment="1">
      <alignment horizontal="center" vertical="center" wrapText="1"/>
    </xf>
    <xf numFmtId="0" fontId="0" fillId="32" borderId="14" xfId="0" applyFill="1" applyBorder="1"/>
    <xf numFmtId="0" fontId="0" fillId="32" borderId="21" xfId="0" applyFill="1" applyBorder="1"/>
    <xf numFmtId="0" fontId="35" fillId="0" borderId="7"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7" xfId="0" applyFont="1" applyBorder="1" applyAlignment="1">
      <alignment horizontal="left"/>
    </xf>
    <xf numFmtId="0" fontId="35" fillId="0" borderId="10" xfId="0" applyFont="1" applyBorder="1" applyAlignment="1">
      <alignment horizontal="left"/>
    </xf>
    <xf numFmtId="0" fontId="35" fillId="0" borderId="8" xfId="0" applyFont="1" applyBorder="1" applyAlignment="1">
      <alignment horizontal="left"/>
    </xf>
    <xf numFmtId="0" fontId="36" fillId="0" borderId="1" xfId="0" applyFont="1" applyBorder="1" applyAlignment="1">
      <alignment horizontal="center" vertical="center" wrapText="1"/>
    </xf>
    <xf numFmtId="0" fontId="37" fillId="0" borderId="8" xfId="0" applyFont="1" applyBorder="1"/>
    <xf numFmtId="0" fontId="36" fillId="0" borderId="1" xfId="0" applyFont="1" applyBorder="1" applyAlignment="1">
      <alignment horizontal="left" vertical="center" wrapText="1"/>
    </xf>
    <xf numFmtId="0" fontId="37" fillId="0" borderId="10" xfId="0" applyFont="1" applyBorder="1"/>
    <xf numFmtId="0" fontId="10" fillId="22" borderId="1" xfId="0" applyFont="1" applyFill="1" applyBorder="1" applyAlignment="1">
      <alignment horizontal="center" vertical="center"/>
    </xf>
    <xf numFmtId="0" fontId="10" fillId="22" borderId="1" xfId="0" applyFont="1" applyFill="1" applyBorder="1" applyAlignment="1">
      <alignment horizontal="center" vertical="center" wrapText="1"/>
    </xf>
    <xf numFmtId="0" fontId="25" fillId="22" borderId="5" xfId="0" applyFont="1" applyFill="1" applyBorder="1" applyAlignment="1">
      <alignment horizontal="center" vertical="center"/>
    </xf>
    <xf numFmtId="0" fontId="25" fillId="21" borderId="5" xfId="0" applyFont="1" applyFill="1" applyBorder="1" applyAlignment="1">
      <alignment horizontal="center" vertical="center"/>
    </xf>
    <xf numFmtId="0" fontId="11" fillId="0" borderId="1" xfId="0" applyFont="1" applyBorder="1" applyAlignment="1">
      <alignment horizontal="center" vertical="center" wrapText="1"/>
    </xf>
    <xf numFmtId="0" fontId="25" fillId="4" borderId="5" xfId="0" applyFont="1" applyFill="1" applyBorder="1" applyAlignment="1">
      <alignment horizontal="center" vertical="center"/>
    </xf>
    <xf numFmtId="0" fontId="10" fillId="22" borderId="2" xfId="0" applyFont="1" applyFill="1" applyBorder="1" applyAlignment="1">
      <alignment horizontal="center" vertical="center"/>
    </xf>
    <xf numFmtId="0" fontId="0" fillId="0" borderId="28" xfId="0" applyBorder="1"/>
    <xf numFmtId="0" fontId="10" fillId="29" borderId="1" xfId="0" applyFont="1" applyFill="1" applyBorder="1" applyAlignment="1">
      <alignment horizontal="center" vertical="center" wrapText="1"/>
    </xf>
    <xf numFmtId="0" fontId="1" fillId="30" borderId="1" xfId="2" applyFill="1" applyBorder="1" applyAlignment="1">
      <alignment horizontal="center"/>
    </xf>
    <xf numFmtId="0" fontId="25" fillId="4" borderId="1" xfId="2" applyFont="1" applyFill="1" applyBorder="1" applyAlignment="1">
      <alignment horizontal="center" vertical="center"/>
    </xf>
    <xf numFmtId="0" fontId="25" fillId="29" borderId="5" xfId="0" applyFont="1" applyFill="1" applyBorder="1" applyAlignment="1">
      <alignment horizontal="center" vertical="center"/>
    </xf>
    <xf numFmtId="0" fontId="38" fillId="0" borderId="1" xfId="0" applyFont="1" applyBorder="1" applyAlignment="1">
      <alignment horizontal="left"/>
    </xf>
    <xf numFmtId="0" fontId="36" fillId="0" borderId="7"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8" xfId="0" applyFont="1" applyBorder="1" applyAlignment="1">
      <alignment horizontal="center" vertical="center" wrapText="1"/>
    </xf>
    <xf numFmtId="0" fontId="35" fillId="0" borderId="1" xfId="0" applyFont="1" applyBorder="1" applyAlignment="1">
      <alignment horizontal="center" vertical="center" wrapText="1"/>
    </xf>
    <xf numFmtId="0" fontId="25" fillId="22" borderId="1" xfId="0" applyFont="1" applyFill="1" applyBorder="1" applyAlignment="1">
      <alignment horizontal="center" vertical="center"/>
    </xf>
    <xf numFmtId="0" fontId="7" fillId="6" borderId="1" xfId="0" applyFont="1" applyFill="1" applyBorder="1" applyAlignment="1">
      <alignment horizontal="center" wrapText="1"/>
    </xf>
    <xf numFmtId="0" fontId="16" fillId="0" borderId="1" xfId="0" applyFont="1" applyBorder="1" applyAlignment="1">
      <alignment horizontal="center" wrapText="1"/>
    </xf>
    <xf numFmtId="0" fontId="12" fillId="22" borderId="1" xfId="2" applyFont="1" applyFill="1" applyBorder="1" applyAlignment="1">
      <alignment horizontal="center" vertical="center"/>
    </xf>
    <xf numFmtId="0" fontId="11" fillId="0" borderId="1" xfId="2" applyFont="1" applyBorder="1" applyAlignment="1">
      <alignment horizontal="center" wrapText="1"/>
    </xf>
    <xf numFmtId="0" fontId="0" fillId="4" borderId="1" xfId="0" applyFill="1" applyBorder="1" applyAlignment="1">
      <alignment horizontal="center" vertical="center"/>
    </xf>
    <xf numFmtId="0" fontId="1" fillId="4" borderId="1" xfId="2" applyFill="1" applyBorder="1" applyAlignment="1">
      <alignment horizontal="center" vertical="center"/>
    </xf>
    <xf numFmtId="0" fontId="0" fillId="28" borderId="1" xfId="0" applyFill="1" applyBorder="1" applyAlignment="1">
      <alignment horizontal="left" vertical="center" wrapText="1"/>
    </xf>
    <xf numFmtId="0" fontId="6" fillId="21" borderId="5" xfId="0" applyFont="1" applyFill="1" applyBorder="1" applyAlignment="1">
      <alignment horizontal="center" vertical="center"/>
    </xf>
    <xf numFmtId="0" fontId="6" fillId="28" borderId="5" xfId="0" applyFont="1" applyFill="1" applyBorder="1" applyAlignment="1">
      <alignment horizontal="center" vertical="center"/>
    </xf>
    <xf numFmtId="0" fontId="6" fillId="22" borderId="5" xfId="0" applyFont="1" applyFill="1" applyBorder="1" applyAlignment="1">
      <alignment horizontal="center" vertical="center"/>
    </xf>
    <xf numFmtId="0" fontId="26" fillId="0" borderId="1" xfId="2" applyFont="1" applyBorder="1" applyAlignment="1">
      <alignment horizontal="center" vertical="center" wrapText="1"/>
    </xf>
    <xf numFmtId="0" fontId="1" fillId="0" borderId="9" xfId="2" applyBorder="1"/>
    <xf numFmtId="0" fontId="10" fillId="0" borderId="14" xfId="0" applyFont="1" applyBorder="1"/>
    <xf numFmtId="0" fontId="10" fillId="0" borderId="15" xfId="0" applyFont="1" applyBorder="1"/>
    <xf numFmtId="0" fontId="10" fillId="0" borderId="20" xfId="0" applyFont="1" applyBorder="1"/>
    <xf numFmtId="0" fontId="10" fillId="0" borderId="0" xfId="0" applyFont="1"/>
    <xf numFmtId="0" fontId="10" fillId="0" borderId="18" xfId="0" applyFont="1" applyBorder="1"/>
    <xf numFmtId="0" fontId="10" fillId="0" borderId="21" xfId="0" applyFont="1" applyBorder="1"/>
    <xf numFmtId="0" fontId="10" fillId="0" borderId="22" xfId="0" applyFont="1" applyBorder="1"/>
    <xf numFmtId="0" fontId="10" fillId="0" borderId="9" xfId="0" applyFont="1" applyBorder="1"/>
    <xf numFmtId="0" fontId="10" fillId="0" borderId="17" xfId="0" applyFont="1" applyBorder="1"/>
    <xf numFmtId="0" fontId="10" fillId="0" borderId="19" xfId="0" applyFont="1" applyBorder="1"/>
    <xf numFmtId="0" fontId="10" fillId="0" borderId="10" xfId="0" applyFont="1" applyBorder="1"/>
    <xf numFmtId="0" fontId="10" fillId="0" borderId="8" xfId="0" applyFont="1" applyBorder="1"/>
    <xf numFmtId="0" fontId="10" fillId="21" borderId="26" xfId="0" applyFont="1" applyFill="1" applyBorder="1" applyAlignment="1">
      <alignment horizontal="center" vertical="center"/>
    </xf>
    <xf numFmtId="0" fontId="10" fillId="21" borderId="20" xfId="0" applyFont="1" applyFill="1" applyBorder="1" applyAlignment="1">
      <alignment horizontal="center" vertical="center"/>
    </xf>
    <xf numFmtId="0" fontId="10" fillId="21" borderId="21" xfId="0" applyFont="1" applyFill="1" applyBorder="1" applyAlignment="1">
      <alignment horizontal="center" vertical="center"/>
    </xf>
    <xf numFmtId="0" fontId="0" fillId="0" borderId="1" xfId="0" applyBorder="1" applyAlignment="1">
      <alignment wrapText="1"/>
    </xf>
    <xf numFmtId="0" fontId="0" fillId="0" borderId="1" xfId="0" applyBorder="1"/>
    <xf numFmtId="0" fontId="6" fillId="21" borderId="5" xfId="0" applyFont="1" applyFill="1" applyBorder="1" applyAlignment="1">
      <alignment vertical="center"/>
    </xf>
    <xf numFmtId="0" fontId="34" fillId="0" borderId="1" xfId="0" applyFont="1" applyBorder="1" applyAlignment="1">
      <alignment horizontal="center" vertical="center" wrapText="1"/>
    </xf>
    <xf numFmtId="0" fontId="12" fillId="22" borderId="7" xfId="2" applyFont="1" applyFill="1" applyBorder="1" applyAlignment="1">
      <alignment horizontal="center" vertical="center"/>
    </xf>
    <xf numFmtId="0" fontId="12" fillId="22" borderId="8" xfId="2" applyFont="1" applyFill="1" applyBorder="1" applyAlignment="1">
      <alignment horizontal="center" vertical="center"/>
    </xf>
    <xf numFmtId="0" fontId="10" fillId="22" borderId="26" xfId="0" applyFont="1" applyFill="1" applyBorder="1" applyAlignment="1">
      <alignment horizontal="center" vertical="center" wrapText="1"/>
    </xf>
    <xf numFmtId="0" fontId="10" fillId="22" borderId="14" xfId="0" applyFont="1" applyFill="1" applyBorder="1" applyAlignment="1">
      <alignment horizontal="center" vertical="center" wrapText="1"/>
    </xf>
    <xf numFmtId="0" fontId="10" fillId="22" borderId="15" xfId="0" applyFont="1" applyFill="1" applyBorder="1" applyAlignment="1">
      <alignment horizontal="center" vertical="center" wrapText="1"/>
    </xf>
    <xf numFmtId="0" fontId="10" fillId="22" borderId="21" xfId="0" applyFont="1" applyFill="1" applyBorder="1" applyAlignment="1">
      <alignment horizontal="center" vertical="center" wrapText="1"/>
    </xf>
    <xf numFmtId="0" fontId="10" fillId="22" borderId="22" xfId="0" applyFont="1" applyFill="1" applyBorder="1" applyAlignment="1">
      <alignment horizontal="center" vertical="center" wrapText="1"/>
    </xf>
    <xf numFmtId="0" fontId="10" fillId="22" borderId="9" xfId="0" applyFont="1" applyFill="1" applyBorder="1" applyAlignment="1">
      <alignment horizontal="center" vertical="center" wrapText="1"/>
    </xf>
    <xf numFmtId="0" fontId="10" fillId="21" borderId="27" xfId="0" applyFont="1" applyFill="1" applyBorder="1" applyAlignment="1">
      <alignment horizontal="center" vertical="center"/>
    </xf>
    <xf numFmtId="0" fontId="10" fillId="21" borderId="16" xfId="0" applyFont="1" applyFill="1" applyBorder="1" applyAlignment="1">
      <alignment horizontal="center" vertical="center"/>
    </xf>
    <xf numFmtId="0" fontId="10" fillId="21" borderId="28" xfId="0" applyFont="1" applyFill="1" applyBorder="1" applyAlignment="1">
      <alignment horizontal="center" vertical="center"/>
    </xf>
    <xf numFmtId="0" fontId="10" fillId="21" borderId="1" xfId="0" applyFont="1" applyFill="1" applyBorder="1" applyAlignment="1">
      <alignment vertical="center" wrapText="1"/>
    </xf>
    <xf numFmtId="0" fontId="10" fillId="22" borderId="5" xfId="0" applyFont="1" applyFill="1" applyBorder="1" applyAlignment="1">
      <alignment vertical="center"/>
    </xf>
    <xf numFmtId="0" fontId="10" fillId="21" borderId="5" xfId="0" applyFont="1" applyFill="1" applyBorder="1" applyAlignment="1">
      <alignment vertical="center"/>
    </xf>
    <xf numFmtId="0" fontId="10" fillId="4" borderId="1" xfId="0" applyFont="1" applyFill="1" applyBorder="1" applyAlignment="1">
      <alignment horizontal="left" vertical="center"/>
    </xf>
    <xf numFmtId="0" fontId="10" fillId="22" borderId="1" xfId="0" applyFont="1" applyFill="1" applyBorder="1" applyAlignment="1">
      <alignment vertical="center" wrapText="1"/>
    </xf>
    <xf numFmtId="0" fontId="10" fillId="4" borderId="5" xfId="0" applyFont="1" applyFill="1" applyBorder="1" applyAlignment="1">
      <alignment vertical="center"/>
    </xf>
    <xf numFmtId="0" fontId="6" fillId="22" borderId="1" xfId="0" applyFont="1" applyFill="1" applyBorder="1" applyAlignment="1">
      <alignment horizontal="center" vertical="center" wrapText="1"/>
    </xf>
    <xf numFmtId="0" fontId="6" fillId="0" borderId="6" xfId="0" applyFont="1" applyBorder="1"/>
    <xf numFmtId="0" fontId="10" fillId="4" borderId="1" xfId="0" applyFont="1" applyFill="1" applyBorder="1" applyAlignment="1">
      <alignment vertical="center" wrapText="1"/>
    </xf>
    <xf numFmtId="0" fontId="10" fillId="31" borderId="27" xfId="0" applyFont="1" applyFill="1" applyBorder="1" applyAlignment="1">
      <alignment horizontal="center" vertical="center"/>
    </xf>
    <xf numFmtId="0" fontId="10" fillId="31" borderId="16" xfId="0" applyFont="1" applyFill="1" applyBorder="1" applyAlignment="1">
      <alignment horizontal="center" vertical="center"/>
    </xf>
    <xf numFmtId="0" fontId="10" fillId="31" borderId="28"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16" xfId="0" applyFont="1" applyFill="1" applyBorder="1" applyAlignment="1">
      <alignment horizontal="center" vertical="center"/>
    </xf>
    <xf numFmtId="0" fontId="10" fillId="4" borderId="28" xfId="0" applyFont="1" applyFill="1" applyBorder="1" applyAlignment="1">
      <alignment horizontal="center" vertical="center"/>
    </xf>
    <xf numFmtId="0" fontId="10" fillId="29" borderId="27" xfId="0" applyFont="1" applyFill="1" applyBorder="1" applyAlignment="1">
      <alignment horizontal="center" vertical="center"/>
    </xf>
    <xf numFmtId="0" fontId="10" fillId="29" borderId="16" xfId="0" applyFont="1" applyFill="1" applyBorder="1" applyAlignment="1">
      <alignment horizontal="center" vertical="center"/>
    </xf>
    <xf numFmtId="0" fontId="10" fillId="29" borderId="28" xfId="0" applyFont="1" applyFill="1" applyBorder="1" applyAlignment="1">
      <alignment horizontal="center" vertical="center"/>
    </xf>
    <xf numFmtId="0" fontId="6" fillId="29" borderId="1" xfId="0" applyFont="1" applyFill="1" applyBorder="1" applyAlignment="1">
      <alignment horizontal="center" vertical="center" wrapText="1"/>
    </xf>
    <xf numFmtId="0" fontId="25" fillId="4" borderId="5" xfId="0" applyFont="1" applyFill="1" applyBorder="1" applyAlignment="1">
      <alignment vertical="center"/>
    </xf>
    <xf numFmtId="0" fontId="12" fillId="29" borderId="1" xfId="0" applyFont="1" applyFill="1" applyBorder="1" applyAlignment="1">
      <alignment horizontal="left" vertical="center"/>
    </xf>
    <xf numFmtId="0" fontId="10" fillId="30" borderId="10" xfId="0" applyFont="1" applyFill="1" applyBorder="1"/>
    <xf numFmtId="0" fontId="10" fillId="30" borderId="8" xfId="0" applyFont="1" applyFill="1" applyBorder="1"/>
    <xf numFmtId="0" fontId="10" fillId="29" borderId="1" xfId="0" applyFont="1" applyFill="1" applyBorder="1" applyAlignment="1">
      <alignment horizontal="left" vertical="center"/>
    </xf>
    <xf numFmtId="0" fontId="10" fillId="29" borderId="1" xfId="0" applyFont="1" applyFill="1" applyBorder="1" applyAlignment="1">
      <alignment horizontal="left" vertical="center" wrapText="1"/>
    </xf>
    <xf numFmtId="0" fontId="25" fillId="31" borderId="5" xfId="0" applyFont="1" applyFill="1" applyBorder="1" applyAlignment="1">
      <alignment vertical="center"/>
    </xf>
    <xf numFmtId="0" fontId="10" fillId="32" borderId="6" xfId="0" applyFont="1" applyFill="1" applyBorder="1"/>
    <xf numFmtId="0" fontId="25" fillId="29" borderId="5" xfId="0" applyFont="1" applyFill="1" applyBorder="1" applyAlignment="1">
      <alignment vertical="center"/>
    </xf>
    <xf numFmtId="0" fontId="10" fillId="30" borderId="6" xfId="0" applyFont="1" applyFill="1" applyBorder="1"/>
    <xf numFmtId="0" fontId="10" fillId="30" borderId="16" xfId="0" applyFont="1" applyFill="1" applyBorder="1"/>
    <xf numFmtId="0" fontId="10" fillId="0" borderId="16" xfId="0" applyFont="1" applyBorder="1"/>
    <xf numFmtId="0" fontId="10" fillId="0" borderId="6" xfId="0" applyFont="1" applyBorder="1"/>
    <xf numFmtId="0" fontId="10" fillId="0" borderId="10" xfId="0" applyFont="1" applyBorder="1" applyAlignment="1">
      <alignment wrapText="1"/>
    </xf>
    <xf numFmtId="0" fontId="10" fillId="0" borderId="8" xfId="0" applyFont="1" applyBorder="1" applyAlignment="1">
      <alignment wrapText="1"/>
    </xf>
    <xf numFmtId="0" fontId="10" fillId="32" borderId="16" xfId="0" applyFont="1" applyFill="1" applyBorder="1"/>
    <xf numFmtId="0" fontId="10" fillId="30" borderId="15" xfId="0" applyFont="1" applyFill="1" applyBorder="1"/>
    <xf numFmtId="0" fontId="10" fillId="30" borderId="17" xfId="0" applyFont="1" applyFill="1" applyBorder="1"/>
    <xf numFmtId="0" fontId="10" fillId="30" borderId="18" xfId="0" applyFont="1" applyFill="1" applyBorder="1"/>
    <xf numFmtId="0" fontId="10" fillId="30" borderId="19" xfId="0" applyFont="1" applyFill="1" applyBorder="1"/>
    <xf numFmtId="0" fontId="10" fillId="30" borderId="9" xfId="0" applyFont="1" applyFill="1" applyBorder="1"/>
    <xf numFmtId="0" fontId="12" fillId="4" borderId="1" xfId="0" applyFont="1" applyFill="1" applyBorder="1" applyAlignment="1">
      <alignment horizontal="left" vertical="center"/>
    </xf>
    <xf numFmtId="0" fontId="10" fillId="30" borderId="14" xfId="0" applyFont="1" applyFill="1" applyBorder="1"/>
    <xf numFmtId="0" fontId="10" fillId="30" borderId="20" xfId="0" applyFont="1" applyFill="1" applyBorder="1"/>
    <xf numFmtId="0" fontId="10" fillId="30" borderId="0" xfId="0" applyFont="1" applyFill="1"/>
    <xf numFmtId="0" fontId="10" fillId="30" borderId="21" xfId="0" applyFont="1" applyFill="1" applyBorder="1"/>
    <xf numFmtId="0" fontId="10" fillId="30" borderId="22" xfId="0" applyFont="1" applyFill="1" applyBorder="1"/>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 fillId="31" borderId="1" xfId="0" applyFont="1" applyFill="1" applyBorder="1" applyAlignment="1">
      <alignment horizontal="left" vertical="center"/>
    </xf>
    <xf numFmtId="0" fontId="0" fillId="32" borderId="17" xfId="0" applyFill="1" applyBorder="1"/>
    <xf numFmtId="0" fontId="0" fillId="32" borderId="18" xfId="0" applyFill="1" applyBorder="1"/>
    <xf numFmtId="0" fontId="0" fillId="32" borderId="20" xfId="0" applyFill="1" applyBorder="1"/>
    <xf numFmtId="0" fontId="0" fillId="32" borderId="0" xfId="0" applyFill="1"/>
    <xf numFmtId="0" fontId="0" fillId="31" borderId="7" xfId="0" applyFill="1" applyBorder="1" applyAlignment="1">
      <alignment horizontal="left" vertical="center"/>
    </xf>
    <xf numFmtId="0" fontId="10" fillId="31" borderId="7" xfId="0" applyFont="1" applyFill="1" applyBorder="1" applyAlignment="1">
      <alignment horizontal="left" vertical="center" wrapText="1"/>
    </xf>
    <xf numFmtId="0" fontId="0" fillId="32" borderId="10" xfId="0" applyFill="1" applyBorder="1"/>
    <xf numFmtId="0" fontId="0" fillId="32" borderId="19" xfId="0" applyFill="1" applyBorder="1"/>
    <xf numFmtId="0" fontId="0" fillId="31" borderId="8" xfId="0" applyFill="1" applyBorder="1" applyAlignment="1">
      <alignment horizontal="left" vertical="center"/>
    </xf>
    <xf numFmtId="0" fontId="10" fillId="31" borderId="8" xfId="0" applyFont="1" applyFill="1" applyBorder="1" applyAlignment="1">
      <alignment horizontal="left" vertical="center" wrapText="1"/>
    </xf>
    <xf numFmtId="0" fontId="0" fillId="30" borderId="15" xfId="0" applyFill="1" applyBorder="1"/>
    <xf numFmtId="0" fontId="0" fillId="30" borderId="14" xfId="0" applyFill="1" applyBorder="1"/>
    <xf numFmtId="0" fontId="0" fillId="29" borderId="1" xfId="0" applyFill="1" applyBorder="1" applyAlignment="1">
      <alignment horizontal="left" vertical="center"/>
    </xf>
    <xf numFmtId="0" fontId="1" fillId="29" borderId="1" xfId="0" applyFont="1" applyFill="1" applyBorder="1" applyAlignment="1">
      <alignment horizontal="left" vertical="center"/>
    </xf>
    <xf numFmtId="0" fontId="0" fillId="30" borderId="17" xfId="0" applyFill="1" applyBorder="1"/>
    <xf numFmtId="0" fontId="0" fillId="30" borderId="18" xfId="0" applyFill="1" applyBorder="1"/>
    <xf numFmtId="0" fontId="0" fillId="30" borderId="20" xfId="0" applyFill="1" applyBorder="1"/>
    <xf numFmtId="0" fontId="0" fillId="30" borderId="0" xfId="0" applyFill="1"/>
    <xf numFmtId="0" fontId="0" fillId="30" borderId="10" xfId="0" applyFill="1" applyBorder="1"/>
    <xf numFmtId="0" fontId="0" fillId="30" borderId="19" xfId="0" applyFill="1" applyBorder="1"/>
    <xf numFmtId="0" fontId="0" fillId="30" borderId="9" xfId="0" applyFill="1" applyBorder="1"/>
    <xf numFmtId="0" fontId="0" fillId="30" borderId="21" xfId="0" applyFill="1" applyBorder="1"/>
    <xf numFmtId="0" fontId="0" fillId="30" borderId="22" xfId="0" applyFill="1" applyBorder="1"/>
    <xf numFmtId="0" fontId="0" fillId="30" borderId="8" xfId="0" applyFill="1" applyBorder="1"/>
    <xf numFmtId="0" fontId="6" fillId="31" borderId="1" xfId="0" applyFont="1" applyFill="1" applyBorder="1" applyAlignment="1">
      <alignment horizontal="center" vertical="center" wrapText="1"/>
    </xf>
    <xf numFmtId="0" fontId="25" fillId="4" borderId="14" xfId="0" applyFont="1" applyFill="1" applyBorder="1" applyAlignment="1">
      <alignment horizontal="center" vertical="center"/>
    </xf>
    <xf numFmtId="0" fontId="25" fillId="4" borderId="15" xfId="0" applyFont="1" applyFill="1" applyBorder="1" applyAlignment="1">
      <alignment horizontal="center" vertical="center"/>
    </xf>
    <xf numFmtId="0" fontId="25" fillId="4" borderId="0" xfId="0" applyFont="1" applyFill="1" applyBorder="1" applyAlignment="1">
      <alignment horizontal="center" vertical="center"/>
    </xf>
    <xf numFmtId="0" fontId="25" fillId="4" borderId="18" xfId="0" applyFont="1" applyFill="1" applyBorder="1" applyAlignment="1">
      <alignment horizontal="center" vertical="center"/>
    </xf>
    <xf numFmtId="0" fontId="25" fillId="4" borderId="22" xfId="0" applyFont="1" applyFill="1" applyBorder="1" applyAlignment="1">
      <alignment horizontal="center" vertical="center"/>
    </xf>
    <xf numFmtId="0" fontId="25" fillId="4" borderId="9" xfId="0" applyFont="1" applyFill="1" applyBorder="1" applyAlignment="1">
      <alignment horizontal="center" vertical="center"/>
    </xf>
    <xf numFmtId="0" fontId="10" fillId="4" borderId="26"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0" xfId="0" applyFont="1" applyFill="1" applyBorder="1" applyAlignment="1">
      <alignment horizontal="center" vertical="center" wrapText="1"/>
    </xf>
  </cellXfs>
  <cellStyles count="3">
    <cellStyle name="Hipervínculo" xfId="2" builtinId="8"/>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D0CECE"/>
      <rgbColor rgb="FF800080"/>
      <rgbColor rgb="FF0070C0"/>
      <rgbColor rgb="FFBFBFBF"/>
      <rgbColor rgb="FFA9D08E"/>
      <rgbColor rgb="FFCEABF1"/>
      <rgbColor rgb="FF993366"/>
      <rgbColor rgb="FFFFE699"/>
      <rgbColor rgb="FFCAEDFB"/>
      <rgbColor rgb="FF660066"/>
      <rgbColor rgb="FFF381DB"/>
      <rgbColor rgb="FF0563C1"/>
      <rgbColor rgb="FFB4C7E7"/>
      <rgbColor rgb="FF000080"/>
      <rgbColor rgb="FFFF00FF"/>
      <rgbColor rgb="FFFFD966"/>
      <rgbColor rgb="FF00FFFF"/>
      <rgbColor rgb="FF800080"/>
      <rgbColor rgb="FF800000"/>
      <rgbColor rgb="FF008080"/>
      <rgbColor rgb="FF0000FF"/>
      <rgbColor rgb="FFDBDBDB"/>
      <rgbColor rgb="FFC0E6F5"/>
      <rgbColor rgb="FFC5E0B4"/>
      <rgbColor rgb="FFFCFCAA"/>
      <rgbColor rgb="FFB4C6E7"/>
      <rgbColor rgb="FFFA90B1"/>
      <rgbColor rgb="FFCC99FF"/>
      <rgbColor rgb="FFF7C7AC"/>
      <rgbColor rgb="FFFDD3FA"/>
      <rgbColor rgb="FFC5E0B3"/>
      <rgbColor rgb="FF92D050"/>
      <rgbColor rgb="FFFFC000"/>
      <rgbColor rgb="FFF1ABE9"/>
      <rgbColor rgb="FFF2CEEF"/>
      <rgbColor rgb="FF467886"/>
      <rgbColor rgb="FF70AD47"/>
      <rgbColor rgb="FF003366"/>
      <rgbColor rgb="FFD9D9D9"/>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microsoft.com/office/2017/10/relationships/person" Target="persons/perso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20</xdr:col>
      <xdr:colOff>285611</xdr:colOff>
      <xdr:row>26</xdr:row>
      <xdr:rowOff>171450</xdr:rowOff>
    </xdr:to>
    <xdr:pic>
      <xdr:nvPicPr>
        <xdr:cNvPr id="3" name="Imagen 2">
          <a:extLst>
            <a:ext uri="{FF2B5EF4-FFF2-40B4-BE49-F238E27FC236}">
              <a16:creationId xmlns:a16="http://schemas.microsoft.com/office/drawing/2014/main" id="{74BDAC9D-676A-A45B-4D4B-FAB2D8F7C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80975"/>
          <a:ext cx="13611086" cy="469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D26232-937F-456D-A847-2D5D8ECEC522}">
  <we:reference id="wa200010725" version="1.0.0.1" store="es-ES" storeType="OMEX"/>
  <we:alternateReferences>
    <we:reference id="WA200010725" version="1.0.0.1" store="" storeType="OMEX"/>
  </we:alternateReferences>
  <we:properties>
    <we:property name="claude.fileId" value="&quot;47a1e56e-ddd5-48ca-a63f-63b746b1907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heetViews>
  <sheetFormatPr baseColWidth="10" defaultColWidth="9.140625" defaultRowHeight="15" x14ac:dyDescent="0.25"/>
  <cols>
    <col min="1" max="1" width="26.140625" customWidth="1"/>
  </cols>
  <sheetData>
    <row r="1" spans="1:30" ht="14.25" customHeight="1" x14ac:dyDescent="0.25">
      <c r="A1" s="4" t="s">
        <v>54</v>
      </c>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4.25" customHeight="1"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14.25" customHeight="1"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0" ht="14.25"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spans="1:30" ht="14.25" customHeight="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ht="14.25" customHeight="1"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ht="14.25" customHeight="1"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ht="14.25" customHeight="1"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ht="14.25" customHeight="1"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ht="14.25" customHeight="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ht="14.2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ht="14.2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ht="14.2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ht="14.2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ht="14.2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ht="14.2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ht="14.2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ht="14.2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ht="14.2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ht="14.2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ht="14.2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ht="14.2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ht="14.2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ht="14.2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ht="14.2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ht="14.2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ht="14.2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4.2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4.2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4.2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4.2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4.2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4.2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4.2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4.2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4.2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4.2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4.2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4.2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4.2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4.2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4.2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4.2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4.2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4.2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4.2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4.2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4.2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4.2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opLeftCell="A15" zoomScaleNormal="100" workbookViewId="0">
      <selection activeCell="E22" sqref="E22"/>
    </sheetView>
  </sheetViews>
  <sheetFormatPr baseColWidth="10" defaultColWidth="10.7109375" defaultRowHeight="15" x14ac:dyDescent="0.25"/>
  <cols>
    <col min="1" max="1" width="27" customWidth="1"/>
    <col min="2" max="2" width="48.28515625" customWidth="1"/>
    <col min="3" max="3" width="12.5703125" customWidth="1"/>
    <col min="4" max="4" width="13.28515625" customWidth="1"/>
    <col min="5" max="5" width="19.42578125" customWidth="1"/>
    <col min="6" max="6" width="18.28515625" customWidth="1"/>
    <col min="7" max="7" width="14.28515625" customWidth="1"/>
  </cols>
  <sheetData>
    <row r="1" spans="1:7" ht="14.25" customHeight="1" x14ac:dyDescent="0.25">
      <c r="A1" s="4" t="s">
        <v>0</v>
      </c>
    </row>
    <row r="2" spans="1:7" ht="14.25" customHeight="1" x14ac:dyDescent="0.25">
      <c r="A2" s="6" t="s">
        <v>1</v>
      </c>
      <c r="B2" s="6" t="s">
        <v>2</v>
      </c>
      <c r="C2" s="6" t="s">
        <v>3</v>
      </c>
      <c r="D2" s="6" t="s">
        <v>4</v>
      </c>
      <c r="E2" s="6" t="s">
        <v>5</v>
      </c>
      <c r="F2" s="6" t="s">
        <v>6</v>
      </c>
      <c r="G2" s="7" t="s">
        <v>7</v>
      </c>
    </row>
    <row r="3" spans="1:7" ht="30" customHeight="1" x14ac:dyDescent="0.25">
      <c r="A3" s="8" t="s">
        <v>8</v>
      </c>
      <c r="B3" s="9" t="s">
        <v>9</v>
      </c>
      <c r="C3" s="8">
        <v>1</v>
      </c>
      <c r="D3" s="10" t="s">
        <v>10</v>
      </c>
      <c r="E3" s="10" t="s">
        <v>11</v>
      </c>
      <c r="F3" s="10" t="s">
        <v>12</v>
      </c>
      <c r="G3" s="10" t="s">
        <v>13</v>
      </c>
    </row>
    <row r="4" spans="1:7" ht="45" customHeight="1" x14ac:dyDescent="0.25">
      <c r="A4" s="8" t="s">
        <v>14</v>
      </c>
      <c r="B4" s="11" t="s">
        <v>15</v>
      </c>
      <c r="C4" s="8">
        <v>1</v>
      </c>
      <c r="D4" s="10" t="s">
        <v>10</v>
      </c>
      <c r="E4" s="10" t="s">
        <v>11</v>
      </c>
      <c r="F4" s="10" t="s">
        <v>12</v>
      </c>
      <c r="G4" s="10" t="s">
        <v>13</v>
      </c>
    </row>
    <row r="5" spans="1:7" ht="45" customHeight="1" x14ac:dyDescent="0.25">
      <c r="A5" s="8" t="s">
        <v>16</v>
      </c>
      <c r="B5" s="11" t="s">
        <v>17</v>
      </c>
      <c r="C5" s="8">
        <v>1</v>
      </c>
      <c r="D5" s="10" t="s">
        <v>10</v>
      </c>
      <c r="E5" s="10" t="s">
        <v>11</v>
      </c>
      <c r="F5" s="10" t="s">
        <v>12</v>
      </c>
      <c r="G5" s="10" t="s">
        <v>13</v>
      </c>
    </row>
    <row r="6" spans="1:7" ht="60" customHeight="1" x14ac:dyDescent="0.25">
      <c r="A6" s="8" t="s">
        <v>18</v>
      </c>
      <c r="B6" s="9" t="s">
        <v>19</v>
      </c>
      <c r="C6" s="8">
        <v>1</v>
      </c>
      <c r="D6" s="10" t="s">
        <v>10</v>
      </c>
      <c r="E6" s="10" t="s">
        <v>11</v>
      </c>
      <c r="F6" s="10" t="s">
        <v>12</v>
      </c>
      <c r="G6" s="10" t="s">
        <v>13</v>
      </c>
    </row>
    <row r="7" spans="1:7" ht="60" customHeight="1" x14ac:dyDescent="0.25">
      <c r="A7" s="8" t="s">
        <v>20</v>
      </c>
      <c r="B7" s="9" t="s">
        <v>21</v>
      </c>
      <c r="C7" s="8">
        <v>1</v>
      </c>
      <c r="D7" s="10" t="s">
        <v>10</v>
      </c>
      <c r="E7" s="10" t="s">
        <v>11</v>
      </c>
      <c r="F7" s="10" t="s">
        <v>12</v>
      </c>
      <c r="G7" s="10" t="s">
        <v>13</v>
      </c>
    </row>
    <row r="8" spans="1:7" ht="28.5" customHeight="1" x14ac:dyDescent="0.25">
      <c r="A8" s="8" t="s">
        <v>22</v>
      </c>
      <c r="B8" s="9" t="s">
        <v>23</v>
      </c>
      <c r="C8" s="8">
        <v>1</v>
      </c>
      <c r="D8" s="10" t="s">
        <v>10</v>
      </c>
      <c r="E8" s="10" t="s">
        <v>11</v>
      </c>
      <c r="F8" s="10" t="s">
        <v>12</v>
      </c>
      <c r="G8" s="10" t="s">
        <v>13</v>
      </c>
    </row>
    <row r="9" spans="1:7" ht="60" customHeight="1" x14ac:dyDescent="0.25">
      <c r="A9" s="8" t="s">
        <v>24</v>
      </c>
      <c r="B9" s="9" t="s">
        <v>25</v>
      </c>
      <c r="C9" s="8">
        <v>1</v>
      </c>
      <c r="D9" s="10" t="s">
        <v>10</v>
      </c>
      <c r="E9" s="10" t="s">
        <v>11</v>
      </c>
      <c r="F9" s="10" t="s">
        <v>12</v>
      </c>
      <c r="G9" s="10" t="s">
        <v>13</v>
      </c>
    </row>
    <row r="10" spans="1:7" ht="30" customHeight="1" x14ac:dyDescent="0.25">
      <c r="A10" s="8" t="s">
        <v>26</v>
      </c>
      <c r="B10" s="9" t="s">
        <v>27</v>
      </c>
      <c r="C10" s="8">
        <v>2</v>
      </c>
      <c r="D10" s="10" t="s">
        <v>10</v>
      </c>
      <c r="E10" s="10" t="s">
        <v>11</v>
      </c>
      <c r="F10" s="10" t="s">
        <v>12</v>
      </c>
      <c r="G10" s="10" t="s">
        <v>13</v>
      </c>
    </row>
    <row r="11" spans="1:7" ht="45" customHeight="1" x14ac:dyDescent="0.25">
      <c r="A11" s="8" t="s">
        <v>28</v>
      </c>
      <c r="B11" s="9" t="s">
        <v>29</v>
      </c>
      <c r="C11" s="8">
        <v>2</v>
      </c>
      <c r="D11" s="10" t="s">
        <v>10</v>
      </c>
      <c r="E11" s="10" t="s">
        <v>11</v>
      </c>
      <c r="F11" s="10" t="s">
        <v>12</v>
      </c>
      <c r="G11" s="10" t="s">
        <v>13</v>
      </c>
    </row>
    <row r="12" spans="1:7" ht="45" customHeight="1" x14ac:dyDescent="0.25">
      <c r="A12" s="8" t="s">
        <v>30</v>
      </c>
      <c r="B12" s="9" t="s">
        <v>31</v>
      </c>
      <c r="C12" s="8">
        <v>3</v>
      </c>
      <c r="D12" s="10" t="s">
        <v>10</v>
      </c>
      <c r="E12" s="10" t="s">
        <v>11</v>
      </c>
      <c r="F12" s="10" t="s">
        <v>12</v>
      </c>
      <c r="G12" s="10" t="s">
        <v>13</v>
      </c>
    </row>
    <row r="13" spans="1:7" ht="60.75" customHeight="1" x14ac:dyDescent="0.25">
      <c r="A13" s="8" t="s">
        <v>32</v>
      </c>
      <c r="B13" s="9" t="s">
        <v>33</v>
      </c>
      <c r="C13" s="8">
        <v>4</v>
      </c>
      <c r="D13" s="10" t="s">
        <v>10</v>
      </c>
      <c r="E13" s="10" t="s">
        <v>11</v>
      </c>
      <c r="F13" s="10" t="s">
        <v>12</v>
      </c>
      <c r="G13" s="10" t="s">
        <v>13</v>
      </c>
    </row>
    <row r="14" spans="1:7" ht="45" customHeight="1" x14ac:dyDescent="0.25">
      <c r="A14" s="8" t="s">
        <v>34</v>
      </c>
      <c r="B14" s="9" t="s">
        <v>35</v>
      </c>
      <c r="C14" s="8">
        <v>4</v>
      </c>
      <c r="D14" s="10" t="s">
        <v>10</v>
      </c>
      <c r="E14" s="10" t="s">
        <v>11</v>
      </c>
      <c r="F14" s="10" t="s">
        <v>12</v>
      </c>
      <c r="G14" s="10" t="s">
        <v>13</v>
      </c>
    </row>
    <row r="15" spans="1:7" ht="45" customHeight="1" x14ac:dyDescent="0.25">
      <c r="A15" s="8" t="s">
        <v>36</v>
      </c>
      <c r="B15" s="9" t="s">
        <v>37</v>
      </c>
      <c r="C15" s="8">
        <v>4</v>
      </c>
      <c r="D15" s="10" t="s">
        <v>10</v>
      </c>
      <c r="E15" s="10" t="s">
        <v>11</v>
      </c>
      <c r="F15" s="10" t="s">
        <v>12</v>
      </c>
      <c r="G15" s="10" t="s">
        <v>13</v>
      </c>
    </row>
    <row r="16" spans="1:7" ht="64.5" customHeight="1" x14ac:dyDescent="0.25">
      <c r="A16" s="8" t="s">
        <v>38</v>
      </c>
      <c r="B16" s="9" t="s">
        <v>39</v>
      </c>
      <c r="C16" s="8">
        <v>5</v>
      </c>
      <c r="D16" s="10" t="s">
        <v>10</v>
      </c>
      <c r="E16" s="10" t="s">
        <v>11</v>
      </c>
      <c r="F16" s="10" t="s">
        <v>12</v>
      </c>
      <c r="G16" s="10" t="s">
        <v>13</v>
      </c>
    </row>
    <row r="17" spans="1:7" ht="60" customHeight="1" x14ac:dyDescent="0.25">
      <c r="A17" s="8" t="s">
        <v>40</v>
      </c>
      <c r="B17" s="9" t="s">
        <v>41</v>
      </c>
      <c r="C17" s="8">
        <v>5</v>
      </c>
      <c r="D17" s="12" t="s">
        <v>10</v>
      </c>
      <c r="E17" s="12" t="s">
        <v>11</v>
      </c>
      <c r="F17" s="10" t="s">
        <v>12</v>
      </c>
      <c r="G17" s="10" t="s">
        <v>13</v>
      </c>
    </row>
    <row r="18" spans="1:7" ht="45" customHeight="1" x14ac:dyDescent="0.25">
      <c r="A18" s="8" t="s">
        <v>42</v>
      </c>
      <c r="B18" s="9" t="s">
        <v>43</v>
      </c>
      <c r="C18" s="8">
        <v>5</v>
      </c>
      <c r="D18" s="10" t="s">
        <v>10</v>
      </c>
      <c r="E18" s="10" t="s">
        <v>11</v>
      </c>
      <c r="F18" s="10" t="s">
        <v>12</v>
      </c>
      <c r="G18" s="10" t="s">
        <v>13</v>
      </c>
    </row>
    <row r="19" spans="1:7" ht="30" customHeight="1" x14ac:dyDescent="0.25">
      <c r="A19" s="8" t="s">
        <v>44</v>
      </c>
      <c r="B19" s="9" t="s">
        <v>45</v>
      </c>
      <c r="C19" s="8">
        <v>6</v>
      </c>
      <c r="D19" s="10" t="s">
        <v>10</v>
      </c>
      <c r="E19" s="10" t="s">
        <v>11</v>
      </c>
      <c r="F19" s="10" t="s">
        <v>12</v>
      </c>
      <c r="G19" s="10" t="s">
        <v>13</v>
      </c>
    </row>
    <row r="20" spans="1:7" ht="60" x14ac:dyDescent="0.25">
      <c r="A20" s="8" t="s">
        <v>46</v>
      </c>
      <c r="B20" s="9" t="s">
        <v>47</v>
      </c>
      <c r="C20" s="8">
        <v>7</v>
      </c>
      <c r="D20" s="10" t="s">
        <v>10</v>
      </c>
      <c r="E20" s="10" t="s">
        <v>11</v>
      </c>
      <c r="F20" s="10" t="s">
        <v>12</v>
      </c>
      <c r="G20" s="10" t="s">
        <v>13</v>
      </c>
    </row>
    <row r="21" spans="1:7" ht="75" customHeight="1" x14ac:dyDescent="0.25">
      <c r="A21" s="8" t="s">
        <v>48</v>
      </c>
      <c r="B21" s="9" t="s">
        <v>49</v>
      </c>
      <c r="C21" s="8">
        <v>8</v>
      </c>
      <c r="D21" s="10" t="s">
        <v>10</v>
      </c>
      <c r="E21" s="10" t="s">
        <v>11</v>
      </c>
      <c r="F21" s="10" t="s">
        <v>12</v>
      </c>
      <c r="G21" s="10" t="s">
        <v>13</v>
      </c>
    </row>
    <row r="22" spans="1:7" ht="60" customHeight="1" x14ac:dyDescent="0.25">
      <c r="A22" s="8" t="s">
        <v>50</v>
      </c>
      <c r="B22" s="9" t="s">
        <v>51</v>
      </c>
      <c r="C22" s="8">
        <v>8</v>
      </c>
      <c r="D22" s="10" t="s">
        <v>10</v>
      </c>
      <c r="E22" s="10" t="s">
        <v>11</v>
      </c>
      <c r="F22" s="10" t="s">
        <v>12</v>
      </c>
      <c r="G22" s="10" t="s">
        <v>13</v>
      </c>
    </row>
    <row r="23" spans="1:7" ht="60" customHeight="1" x14ac:dyDescent="0.25">
      <c r="A23" s="8" t="s">
        <v>52</v>
      </c>
      <c r="B23" s="9" t="s">
        <v>53</v>
      </c>
      <c r="C23" s="8">
        <v>8</v>
      </c>
      <c r="D23" s="10" t="s">
        <v>10</v>
      </c>
      <c r="E23" s="10" t="s">
        <v>11</v>
      </c>
      <c r="F23" s="10" t="s">
        <v>12</v>
      </c>
      <c r="G23" s="10" t="s">
        <v>13</v>
      </c>
    </row>
  </sheetData>
  <hyperlinks>
    <hyperlink ref="A1" location="'Modelo de Dominio'!A1" display="&lt;&lt;&lt;&lt; Ir al modulo de dominio" xr:uid="{00000000-0004-0000-0100-000000000000}"/>
    <hyperlink ref="D3" location="'M-Barberia'!A3" display="Ir al muestreo" xr:uid="{00000000-0004-0000-0100-000001000000}"/>
    <hyperlink ref="E3" location="'C-Barberia'!A3" display="Ir a la caracterización" xr:uid="{00000000-0004-0000-0100-000002000000}"/>
    <hyperlink ref="F3" location="'E-Barberia'!A1" display="Ir al Event Storming" xr:uid="{00000000-0004-0000-0100-000003000000}"/>
    <hyperlink ref="G3" location="'P-Barberia'!A1" display="Ir a las políticas" xr:uid="{00000000-0004-0000-0100-000004000000}"/>
    <hyperlink ref="D4" location="'M-DiaSemana'!A3" display="Ir al muestreo" xr:uid="{00000000-0004-0000-0100-000005000000}"/>
    <hyperlink ref="E4" location="'C-DiaSemana'!A3" display="Ir a la caracterización" xr:uid="{00000000-0004-0000-0100-000006000000}"/>
    <hyperlink ref="F4" location="'E-DiaSemana'!A1" display="Ir al Event Storming" xr:uid="{00000000-0004-0000-0100-000007000000}"/>
    <hyperlink ref="G4" location="'P-DiaSemana'!A1" display="Ir a las políticas" xr:uid="{00000000-0004-0000-0100-000008000000}"/>
    <hyperlink ref="D5" location="'M-Departamento'!A3" display="Ir al muestreo" xr:uid="{00000000-0004-0000-0100-000009000000}"/>
    <hyperlink ref="E5" location="'C-Departamento'!A3" display="Ir a la caracterización" xr:uid="{00000000-0004-0000-0100-00000A000000}"/>
    <hyperlink ref="F5" location="'E-Departamento'!A1" display="Ir al Event Storming" xr:uid="{00000000-0004-0000-0100-00000B000000}"/>
    <hyperlink ref="G5" location="'P-Departamento'!A1" display="Ir a las políticas" xr:uid="{00000000-0004-0000-0100-00000C000000}"/>
    <hyperlink ref="D6" location="'M-Estado'!A3" display="Ir al muestreo" xr:uid="{00000000-0004-0000-0100-00000D000000}"/>
    <hyperlink ref="E6" location="'C-Estado'!A3" display="Ir a la caracterización" xr:uid="{00000000-0004-0000-0100-00000E000000}"/>
    <hyperlink ref="F6" location="'E-Estado'!A1" display="Ir al Event Storming" xr:uid="{00000000-0004-0000-0100-00000F000000}"/>
    <hyperlink ref="G6" location="'P-Estado'!A1" display="Ir a las políticas" xr:uid="{00000000-0004-0000-0100-000010000000}"/>
    <hyperlink ref="D7" location="'M-PrefijoCelular'!A3" display="Ir al muestreo" xr:uid="{00000000-0004-0000-0100-000011000000}"/>
    <hyperlink ref="E7" location="'C-PrefijoCelular'!A3" display="Ir a la caracterización" xr:uid="{00000000-0004-0000-0100-000012000000}"/>
    <hyperlink ref="F7" location="'E-PrefijoCelular'!A1" display="Ir al Event Storming" xr:uid="{00000000-0004-0000-0100-000013000000}"/>
    <hyperlink ref="G7" location="'P-PrefijoCelular'!A1" display="Ir a las políticas" xr:uid="{00000000-0004-0000-0100-000014000000}"/>
    <hyperlink ref="D8" location="'M-TipoMulta'!A3" display="Ir al muestreo" xr:uid="{00000000-0004-0000-0100-000015000000}"/>
    <hyperlink ref="E8" location="'C-TipoMulta'!A3" display="Ir a la caracterización" xr:uid="{00000000-0004-0000-0100-000016000000}"/>
    <hyperlink ref="F8" location="'E-TipoMulta'!A1" display="Ir al Event Storming" xr:uid="{00000000-0004-0000-0100-000017000000}"/>
    <hyperlink ref="G8" location="'P-TipoMulta'!A1" display="Ir a las políticas" xr:uid="{00000000-0004-0000-0100-000018000000}"/>
    <hyperlink ref="D9" location="'M-TipoRegistroHora'!A3" display="Ir al muestreo" xr:uid="{00000000-0004-0000-0100-000019000000}"/>
    <hyperlink ref="E9" location="'C-TipoRegistroHora'!A3" display="Ir a la caracterización" xr:uid="{00000000-0004-0000-0100-00001A000000}"/>
    <hyperlink ref="F9" location="'E-TipoRegistroHora'!A1" display="Ir al Event Storming" xr:uid="{00000000-0004-0000-0100-00001B000000}"/>
    <hyperlink ref="G9" location="'P-TipoRegistroHora'!A1" display="Ir a las políticas" xr:uid="{00000000-0004-0000-0100-00001C000000}"/>
    <hyperlink ref="D10" location="'M-Cliente'!A3" display="Ir al muestreo" xr:uid="{00000000-0004-0000-0100-00001D000000}"/>
    <hyperlink ref="E10" location="'C-Cliente'!A3" display="Ir a la caracterización" xr:uid="{00000000-0004-0000-0100-00001E000000}"/>
    <hyperlink ref="F10" location="'E-Cliente'!A1" display="Ir al Event Storming" xr:uid="{00000000-0004-0000-0100-00001F000000}"/>
    <hyperlink ref="G10" location="'P-Cliente'!A1" display="Ir a las políticas" xr:uid="{00000000-0004-0000-0100-000020000000}"/>
    <hyperlink ref="D11" location="'M-Ciudad'!A3" display="Ir al muestreo" xr:uid="{00000000-0004-0000-0100-000021000000}"/>
    <hyperlink ref="E11" location="'C-Ciudad'!A3" display="Ir a la caracterización" xr:uid="{00000000-0004-0000-0100-000022000000}"/>
    <hyperlink ref="F11" location="'E-Ciudad'!A1" display="Ir al Event Storming" xr:uid="{00000000-0004-0000-0100-000023000000}"/>
    <hyperlink ref="G11" location="'P-Ciudad'!A1" display="Ir a las políticas" xr:uid="{00000000-0004-0000-0100-000024000000}"/>
    <hyperlink ref="D12" location="'M-Sede'!A3" display="Ir al muestreo" xr:uid="{00000000-0004-0000-0100-000025000000}"/>
    <hyperlink ref="E12" location="'C-Sede'!A3" display="Ir a la caracterización" xr:uid="{00000000-0004-0000-0100-000026000000}"/>
    <hyperlink ref="F12" location="'E-Sede'!A1" display="Ir al Event Storming" xr:uid="{00000000-0004-0000-0100-000027000000}"/>
    <hyperlink ref="G12" location="'P-Sede'!A1" display="Ir a las políticas" xr:uid="{00000000-0004-0000-0100-000028000000}"/>
    <hyperlink ref="D13" location="'M-Barbero'!A3" display="Ir al muestreo" xr:uid="{00000000-0004-0000-0100-000029000000}"/>
    <hyperlink ref="E13" location="'C-Barbero'!A3" display="Ir a la caracterización" xr:uid="{00000000-0004-0000-0100-00002A000000}"/>
    <hyperlink ref="F13" location="'E-Barbero'!A1" display="Ir al Event Storming" xr:uid="{00000000-0004-0000-0100-00002B000000}"/>
    <hyperlink ref="G13" location="'P-Barbero'!A1" display="Ir a las políticas" xr:uid="{00000000-0004-0000-0100-00002C000000}"/>
    <hyperlink ref="D14" location="'M-HorarioBarberia'!A3" display="Ir al muestreo" xr:uid="{00000000-0004-0000-0100-00002D000000}"/>
    <hyperlink ref="E14" location="'C-HorarioBarberia'!A3" display="Ir a la caracterización" xr:uid="{00000000-0004-0000-0100-00002E000000}"/>
    <hyperlink ref="F14" location="'E-HorarioBarberia'!A1" display="Ir al Event Storming" xr:uid="{00000000-0004-0000-0100-00002F000000}"/>
    <hyperlink ref="G14" location="'P-HorarioBarberia'!A1" display="Ir a las políticas" xr:uid="{00000000-0004-0000-0100-000030000000}"/>
    <hyperlink ref="D15" location="'M-Servicio'!A3" display="Ir al muestreo" xr:uid="{00000000-0004-0000-0100-000031000000}"/>
    <hyperlink ref="E15" location="'C-Servicio'!A3" display="Ir a la caracterización" xr:uid="{00000000-0004-0000-0100-000032000000}"/>
    <hyperlink ref="F15" location="'E-Servicio'!A1" display="Ir al Event Storming" xr:uid="{00000000-0004-0000-0100-000033000000}"/>
    <hyperlink ref="G15" location="'P-Servicio'!A1" display="Ir a las políticas" xr:uid="{00000000-0004-0000-0100-000034000000}"/>
    <hyperlink ref="D16" location="'M-BarberoServicio'!A3" display="Ir al muestreo" xr:uid="{00000000-0004-0000-0100-000035000000}"/>
    <hyperlink ref="E16" location="'C-BarberoServicio'!A3" display="Ir a la caracterización" xr:uid="{00000000-0004-0000-0100-000036000000}"/>
    <hyperlink ref="F16" location="'E-BarberoServicio'!A1" display="Ir al Event Storming" xr:uid="{00000000-0004-0000-0100-000037000000}"/>
    <hyperlink ref="G16" location="'P-BarberoServicio'!A1" display="Ir a las políticas" xr:uid="{00000000-0004-0000-0100-000038000000}"/>
    <hyperlink ref="D17" location="'M-Bloqueo'!A3" display="Ir al muestreo" xr:uid="{00000000-0004-0000-0100-000039000000}"/>
    <hyperlink ref="E17" location="'C-Bloqueo'!A3" display="Ir a la caracterización" xr:uid="{00000000-0004-0000-0100-00003A000000}"/>
    <hyperlink ref="F17" location="'E-Bloqueo'!A1" display="Ir al Event Storming" xr:uid="{00000000-0004-0000-0100-00003B000000}"/>
    <hyperlink ref="G17" location="'P-Bloqueo'!A1" display="Ir a las políticas" xr:uid="{00000000-0004-0000-0100-00003C000000}"/>
    <hyperlink ref="D18" location="'M-HorarioBarbero'!A3" display="Ir al muestreo" xr:uid="{00000000-0004-0000-0100-00003D000000}"/>
    <hyperlink ref="E18" location="'C-HorarioBarbero'!A3" display="Ir a la caracterización" xr:uid="{00000000-0004-0000-0100-00003E000000}"/>
    <hyperlink ref="F18" location="'E-HorarioBarbero'!A1" display="Ir al Event Storming" xr:uid="{00000000-0004-0000-0100-00003F000000}"/>
    <hyperlink ref="G18" location="'P-HorarioBarbero'!A1" display="Ir a las políticas" xr:uid="{00000000-0004-0000-0100-000040000000}"/>
    <hyperlink ref="D19" location="'M-Agenda'!A3" display="Ir al muestreo" xr:uid="{00000000-0004-0000-0100-000041000000}"/>
    <hyperlink ref="E19" location="'C-Agenda'!A3" display="Ir a la caracterización" xr:uid="{00000000-0004-0000-0100-000042000000}"/>
    <hyperlink ref="F19" location="'E-Agenda'!A1" display="Ir al Event Storming" xr:uid="{00000000-0004-0000-0100-000043000000}"/>
    <hyperlink ref="G19" location="'P-Agenda'!A1" display="Ir a las políticas" xr:uid="{00000000-0004-0000-0100-000044000000}"/>
    <hyperlink ref="D20" location="'M-Cita'!A3" display="Ir al muestreo" xr:uid="{00000000-0004-0000-0100-000045000000}"/>
    <hyperlink ref="E20" location="'C-Cita'!A3" display="Ir a la caracterización" xr:uid="{00000000-0004-0000-0100-000046000000}"/>
    <hyperlink ref="F20" location="'E-Cita'!A1" display="Ir al Event Storming" xr:uid="{00000000-0004-0000-0100-000047000000}"/>
    <hyperlink ref="G20" location="'P-Cita'!A1" display="Ir a las políticas" xr:uid="{00000000-0004-0000-0100-000048000000}"/>
    <hyperlink ref="D21" location="'M-CitaServicio'!A3" display="Ir al muestreo" xr:uid="{00000000-0004-0000-0100-000049000000}"/>
    <hyperlink ref="E21" location="'C-CitaServicio'!A3" display="Ir a la caracterización" xr:uid="{00000000-0004-0000-0100-00004A000000}"/>
    <hyperlink ref="F21" location="'E-CitaServicio'!A1" display="Ir al Event Storming" xr:uid="{00000000-0004-0000-0100-00004B000000}"/>
    <hyperlink ref="G21" location="'P-CitaServicio'!A1" display="Ir a las políticas" xr:uid="{00000000-0004-0000-0100-00004C000000}"/>
    <hyperlink ref="D22" location="'M-Multa'!A3" display="Ir al muestreo" xr:uid="{00000000-0004-0000-0100-00004D000000}"/>
    <hyperlink ref="E22" location="'C-Multa'!A3" display="Ir a la caracterización" xr:uid="{00000000-0004-0000-0100-00004E000000}"/>
    <hyperlink ref="F22" location="'E-Multa'!A1" display="Ir al Event Storming" xr:uid="{00000000-0004-0000-0100-00004F000000}"/>
    <hyperlink ref="G22" location="'P-Multa'!A1" display="Ir a las políticas" xr:uid="{00000000-0004-0000-0100-000050000000}"/>
    <hyperlink ref="D23" location="'M-RegistroHoraCita'!A3" display="Ir al muestreo" xr:uid="{00000000-0004-0000-0100-000051000000}"/>
    <hyperlink ref="E23" location="'C-RegistroHoraCita'!A3" display="Ir a la caracterización" xr:uid="{00000000-0004-0000-0100-000052000000}"/>
    <hyperlink ref="F23" location="'E-RegistroHoraCita'!A1" display="Ir al Event Storming" xr:uid="{00000000-0004-0000-0100-000053000000}"/>
    <hyperlink ref="G23" location="'P-RegistroHoraCita'!A1" display="Ir a las políticas" xr:uid="{00000000-0004-0000-0100-000054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8"/>
  <sheetViews>
    <sheetView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1.2851562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7" width="22" customWidth="1"/>
  </cols>
  <sheetData>
    <row r="1" spans="1:27" ht="15" customHeight="1" x14ac:dyDescent="0.25">
      <c r="A1" s="4" t="s">
        <v>0</v>
      </c>
      <c r="B1" s="4" t="s">
        <v>55</v>
      </c>
    </row>
    <row r="2" spans="1:27"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A12</f>
        <v>registrarBarberia</v>
      </c>
      <c r="W2" s="242" t="str">
        <f>A14</f>
        <v>consultarDatosBarberia</v>
      </c>
      <c r="X2" s="243" t="str">
        <f>A15</f>
        <v>consultarNombreBarberia</v>
      </c>
      <c r="Y2" s="305" t="str">
        <f>A16</f>
        <v>cambiarNombreBarberia</v>
      </c>
      <c r="Z2" s="279"/>
      <c r="AA2" s="242" t="str">
        <f>A18</f>
        <v>darDeBajaBarberia</v>
      </c>
    </row>
    <row r="3" spans="1:27" ht="45" customHeight="1" x14ac:dyDescent="0.25">
      <c r="A3" s="16" t="str">
        <f>'M-Barberia'!A3</f>
        <v>id</v>
      </c>
      <c r="B3" s="17" t="str">
        <f>'M-Barberia'!A2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82</v>
      </c>
      <c r="W3" s="215" t="s">
        <v>83</v>
      </c>
      <c r="X3" s="244" t="s">
        <v>83</v>
      </c>
      <c r="Y3" s="85" t="s">
        <v>84</v>
      </c>
      <c r="Z3" s="85" t="s">
        <v>85</v>
      </c>
      <c r="AA3" s="215" t="s">
        <v>84</v>
      </c>
    </row>
    <row r="4" spans="1:27" ht="32.25" customHeight="1" x14ac:dyDescent="0.25">
      <c r="A4" s="16" t="str">
        <f>'M-Barberia'!B3</f>
        <v>nombre</v>
      </c>
      <c r="B4" s="17" t="str">
        <f>'M-Barberia'!B2</f>
        <v>Representa el nombre comercial de la cadena de barbería, dueña de una o varias sedes</v>
      </c>
      <c r="C4" s="16" t="s">
        <v>80</v>
      </c>
      <c r="D4" s="16" t="s">
        <v>86</v>
      </c>
      <c r="E4" s="16" t="s">
        <v>77</v>
      </c>
      <c r="F4" s="16">
        <v>2</v>
      </c>
      <c r="G4" s="16">
        <v>50</v>
      </c>
      <c r="H4" s="16" t="s">
        <v>79</v>
      </c>
      <c r="I4" s="16" t="s">
        <v>79</v>
      </c>
      <c r="J4" s="16" t="s">
        <v>79</v>
      </c>
      <c r="K4" s="16" t="s">
        <v>79</v>
      </c>
      <c r="L4" s="16" t="s">
        <v>79</v>
      </c>
      <c r="M4" s="17" t="s">
        <v>87</v>
      </c>
      <c r="N4" s="16" t="s">
        <v>80</v>
      </c>
      <c r="O4" s="16" t="s">
        <v>79</v>
      </c>
      <c r="P4" s="16" t="s">
        <v>79</v>
      </c>
      <c r="Q4" s="16" t="s">
        <v>77</v>
      </c>
      <c r="R4" s="16" t="s">
        <v>77</v>
      </c>
      <c r="S4" s="16" t="s">
        <v>80</v>
      </c>
      <c r="T4" s="16" t="s">
        <v>88</v>
      </c>
      <c r="U4" s="16" t="s">
        <v>80</v>
      </c>
      <c r="V4" s="85" t="s">
        <v>84</v>
      </c>
      <c r="W4" s="215" t="s">
        <v>89</v>
      </c>
      <c r="X4" s="244" t="s">
        <v>89</v>
      </c>
      <c r="Y4" s="85" t="s">
        <v>84</v>
      </c>
      <c r="Z4" s="85" t="s">
        <v>90</v>
      </c>
      <c r="AA4" s="215" t="s">
        <v>82</v>
      </c>
    </row>
    <row r="5" spans="1:27" ht="45" customHeight="1" x14ac:dyDescent="0.25">
      <c r="A5" s="16" t="str">
        <f>'M-Barberia'!C3</f>
        <v>nit</v>
      </c>
      <c r="B5" s="17" t="str">
        <f>'M-Barberia'!C2</f>
        <v>Representa el número de identificación tributaria (NIT) que identifica legalmente a la barbería como empresa</v>
      </c>
      <c r="C5" s="16" t="s">
        <v>80</v>
      </c>
      <c r="D5" s="16" t="s">
        <v>86</v>
      </c>
      <c r="E5" s="16" t="s">
        <v>77</v>
      </c>
      <c r="F5" s="16">
        <v>10</v>
      </c>
      <c r="G5" s="16">
        <v>12</v>
      </c>
      <c r="H5" s="16" t="s">
        <v>79</v>
      </c>
      <c r="I5" s="16" t="s">
        <v>79</v>
      </c>
      <c r="J5" s="16" t="s">
        <v>79</v>
      </c>
      <c r="K5" s="16" t="s">
        <v>79</v>
      </c>
      <c r="L5" s="17" t="s">
        <v>91</v>
      </c>
      <c r="M5" s="17" t="s">
        <v>92</v>
      </c>
      <c r="N5" s="16" t="s">
        <v>80</v>
      </c>
      <c r="O5" s="16" t="s">
        <v>79</v>
      </c>
      <c r="P5" s="16" t="s">
        <v>79</v>
      </c>
      <c r="Q5" s="16" t="s">
        <v>77</v>
      </c>
      <c r="R5" s="16" t="s">
        <v>77</v>
      </c>
      <c r="S5" s="16" t="s">
        <v>80</v>
      </c>
      <c r="T5" s="16" t="s">
        <v>88</v>
      </c>
      <c r="U5" s="16" t="s">
        <v>80</v>
      </c>
      <c r="V5" s="85" t="s">
        <v>84</v>
      </c>
      <c r="W5" s="215" t="s">
        <v>89</v>
      </c>
      <c r="X5" s="244" t="s">
        <v>83</v>
      </c>
      <c r="Y5" s="85" t="s">
        <v>82</v>
      </c>
      <c r="Z5" s="85" t="s">
        <v>85</v>
      </c>
      <c r="AA5" s="215" t="s">
        <v>82</v>
      </c>
    </row>
    <row r="7" spans="1:27" ht="15" customHeight="1" x14ac:dyDescent="0.25">
      <c r="A7" s="19" t="s">
        <v>93</v>
      </c>
      <c r="B7" s="19" t="s">
        <v>94</v>
      </c>
      <c r="C7" s="19" t="s">
        <v>95</v>
      </c>
    </row>
    <row r="8" spans="1:27" ht="30" customHeight="1" x14ac:dyDescent="0.25">
      <c r="A8" s="20" t="str">
        <f>'M-Barberia'!D3</f>
        <v>Combinación única</v>
      </c>
      <c r="B8" s="21" t="str">
        <f>'M-Barberia'!D2</f>
        <v>Combinación única que indica que no puede existir más de una barbería con el mismo NIT</v>
      </c>
      <c r="C8" s="22" t="str">
        <f>A5</f>
        <v>nit</v>
      </c>
    </row>
    <row r="10" spans="1:27" x14ac:dyDescent="0.25">
      <c r="A10" s="320" t="s">
        <v>96</v>
      </c>
      <c r="B10" s="321"/>
      <c r="C10" s="323" t="s">
        <v>94</v>
      </c>
      <c r="D10" s="326"/>
      <c r="E10" s="326"/>
      <c r="F10" s="321"/>
      <c r="G10" s="323" t="s">
        <v>97</v>
      </c>
      <c r="H10" s="290"/>
      <c r="I10" s="291"/>
      <c r="J10" s="323" t="s">
        <v>98</v>
      </c>
      <c r="K10" s="290"/>
      <c r="L10" s="290"/>
      <c r="M10" s="290"/>
      <c r="N10" s="291"/>
      <c r="O10" s="323" t="s">
        <v>99</v>
      </c>
      <c r="P10" s="291"/>
      <c r="Q10" s="323" t="s">
        <v>100</v>
      </c>
      <c r="R10" s="291"/>
    </row>
    <row r="11" spans="1:27" x14ac:dyDescent="0.25">
      <c r="A11" s="322"/>
      <c r="B11" s="312"/>
      <c r="C11" s="310"/>
      <c r="D11" s="311"/>
      <c r="E11" s="311"/>
      <c r="F11" s="312"/>
      <c r="G11" s="3" t="s">
        <v>101</v>
      </c>
      <c r="H11" s="3" t="s">
        <v>59</v>
      </c>
      <c r="I11" s="3" t="s">
        <v>94</v>
      </c>
      <c r="J11" s="3" t="s">
        <v>102</v>
      </c>
      <c r="K11" s="325" t="s">
        <v>94</v>
      </c>
      <c r="L11" s="303"/>
      <c r="M11" s="303"/>
      <c r="N11" s="279"/>
      <c r="O11" s="3" t="s">
        <v>103</v>
      </c>
      <c r="P11" s="3" t="s">
        <v>94</v>
      </c>
      <c r="Q11" s="3" t="s">
        <v>104</v>
      </c>
      <c r="R11" s="23" t="s">
        <v>105</v>
      </c>
    </row>
    <row r="12" spans="1:27" ht="90" x14ac:dyDescent="0.25">
      <c r="A12" s="328" t="s">
        <v>106</v>
      </c>
      <c r="B12" s="309"/>
      <c r="C12" s="307" t="s">
        <v>107</v>
      </c>
      <c r="D12" s="308"/>
      <c r="E12" s="308"/>
      <c r="F12" s="309"/>
      <c r="G12" s="324" t="s">
        <v>108</v>
      </c>
      <c r="H12" s="324" t="s">
        <v>8</v>
      </c>
      <c r="I12" s="306" t="s">
        <v>109</v>
      </c>
      <c r="J12" s="316" t="s">
        <v>8</v>
      </c>
      <c r="K12" s="307" t="s">
        <v>110</v>
      </c>
      <c r="L12" s="308"/>
      <c r="M12" s="308"/>
      <c r="N12" s="309"/>
      <c r="O12" s="24" t="str">
        <f>'P-Barberia'!A6</f>
        <v>P-BRA-0001</v>
      </c>
      <c r="P12" s="2" t="str">
        <f>'P-Barberia'!B6</f>
        <v>Asegurar que los datos requeridos de la barbería (nombre, nit) sean válidos en tipo de dato, longitud, obligatoriedad, formato y rango</v>
      </c>
      <c r="Q12" s="2" t="s">
        <v>1338</v>
      </c>
      <c r="R12" s="18" t="s">
        <v>112</v>
      </c>
    </row>
    <row r="13" spans="1:27" ht="45" x14ac:dyDescent="0.25">
      <c r="A13" s="322"/>
      <c r="B13" s="312"/>
      <c r="C13" s="310"/>
      <c r="D13" s="311"/>
      <c r="E13" s="311"/>
      <c r="F13" s="312"/>
      <c r="G13" s="281"/>
      <c r="H13" s="281"/>
      <c r="I13" s="281"/>
      <c r="J13" s="281"/>
      <c r="K13" s="310"/>
      <c r="L13" s="311"/>
      <c r="M13" s="311"/>
      <c r="N13" s="312"/>
      <c r="O13" s="24" t="str">
        <f>'P-Barberia'!A7</f>
        <v>P-BRA-0002</v>
      </c>
      <c r="P13" s="2" t="str">
        <f>'P-Barberia'!B7</f>
        <v>Asegurar que no exista otra barbería registrada con el mismo nit</v>
      </c>
      <c r="Q13" s="2" t="s">
        <v>113</v>
      </c>
      <c r="R13" s="18" t="s">
        <v>112</v>
      </c>
    </row>
    <row r="14" spans="1:27" ht="51" x14ac:dyDescent="0.25">
      <c r="A14" s="327" t="s">
        <v>114</v>
      </c>
      <c r="B14" s="319"/>
      <c r="C14" s="317" t="s">
        <v>115</v>
      </c>
      <c r="D14" s="318"/>
      <c r="E14" s="318"/>
      <c r="F14" s="319"/>
      <c r="G14" s="232" t="s">
        <v>116</v>
      </c>
      <c r="H14" s="232" t="s">
        <v>117</v>
      </c>
      <c r="I14" s="220" t="s">
        <v>118</v>
      </c>
      <c r="J14" s="233" t="s">
        <v>8</v>
      </c>
      <c r="K14" s="317" t="s">
        <v>119</v>
      </c>
      <c r="L14" s="318"/>
      <c r="M14" s="318"/>
      <c r="N14" s="319"/>
      <c r="O14" s="232" t="str">
        <f>'P-Barberia'!A8</f>
        <v>P-BRA-0003</v>
      </c>
      <c r="P14" s="231" t="str">
        <f>'P-Barberia'!B8</f>
        <v>Asegurar que exista la barbería con el id enviado</v>
      </c>
      <c r="Q14" s="231" t="s">
        <v>120</v>
      </c>
      <c r="R14" s="234" t="s">
        <v>112</v>
      </c>
    </row>
    <row r="15" spans="1:27" ht="51" x14ac:dyDescent="0.25">
      <c r="A15" s="330" t="s">
        <v>121</v>
      </c>
      <c r="B15" s="315"/>
      <c r="C15" s="313" t="s">
        <v>122</v>
      </c>
      <c r="D15" s="314"/>
      <c r="E15" s="314"/>
      <c r="F15" s="315"/>
      <c r="G15" s="236" t="s">
        <v>116</v>
      </c>
      <c r="H15" s="236" t="s">
        <v>117</v>
      </c>
      <c r="I15" s="237" t="s">
        <v>118</v>
      </c>
      <c r="J15" s="238" t="s">
        <v>86</v>
      </c>
      <c r="K15" s="313" t="s">
        <v>123</v>
      </c>
      <c r="L15" s="314"/>
      <c r="M15" s="314"/>
      <c r="N15" s="315"/>
      <c r="O15" s="236" t="str">
        <f>'P-Barberia'!A8</f>
        <v>P-BRA-0003</v>
      </c>
      <c r="P15" s="235" t="str">
        <f>'P-Barberia'!B8</f>
        <v>Asegurar que exista la barbería con el id enviado</v>
      </c>
      <c r="Q15" s="235" t="s">
        <v>120</v>
      </c>
      <c r="R15" s="239" t="s">
        <v>112</v>
      </c>
    </row>
    <row r="16" spans="1:27" ht="45" x14ac:dyDescent="0.25">
      <c r="A16" s="328" t="s">
        <v>124</v>
      </c>
      <c r="B16" s="309"/>
      <c r="C16" s="307" t="s">
        <v>125</v>
      </c>
      <c r="D16" s="308"/>
      <c r="E16" s="308"/>
      <c r="F16" s="309"/>
      <c r="G16" s="24" t="s">
        <v>116</v>
      </c>
      <c r="H16" s="24" t="s">
        <v>117</v>
      </c>
      <c r="I16" s="25" t="s">
        <v>126</v>
      </c>
      <c r="J16" s="316" t="s">
        <v>8</v>
      </c>
      <c r="K16" s="307" t="s">
        <v>127</v>
      </c>
      <c r="L16" s="308"/>
      <c r="M16" s="308"/>
      <c r="N16" s="309"/>
      <c r="O16" s="24" t="str">
        <f>'P-Barberia'!A8</f>
        <v>P-BRA-0003</v>
      </c>
      <c r="P16" s="2" t="str">
        <f>'P-Barberia'!B8</f>
        <v>Asegurar que exista la barbería con el id enviado</v>
      </c>
      <c r="Q16" s="2" t="s">
        <v>120</v>
      </c>
      <c r="R16" s="18" t="s">
        <v>112</v>
      </c>
    </row>
    <row r="17" spans="1:18" ht="90" x14ac:dyDescent="0.25">
      <c r="A17" s="322"/>
      <c r="B17" s="312"/>
      <c r="C17" s="310"/>
      <c r="D17" s="311"/>
      <c r="E17" s="311"/>
      <c r="F17" s="312"/>
      <c r="G17" s="24" t="s">
        <v>128</v>
      </c>
      <c r="H17" s="24" t="s">
        <v>8</v>
      </c>
      <c r="I17" s="25" t="s">
        <v>129</v>
      </c>
      <c r="J17" s="281"/>
      <c r="K17" s="310"/>
      <c r="L17" s="311"/>
      <c r="M17" s="311"/>
      <c r="N17" s="312"/>
      <c r="O17" s="24" t="str">
        <f>'P-Barberia'!A6</f>
        <v>P-BRA-0001</v>
      </c>
      <c r="P17" s="2" t="str">
        <f>'P-Barberia'!B6</f>
        <v>Asegurar que los datos requeridos de la barbería (nombre, nit) sean válidos en tipo de dato, longitud, obligatoriedad, formato y rango</v>
      </c>
      <c r="Q17" s="2" t="s">
        <v>111</v>
      </c>
      <c r="R17" s="18" t="s">
        <v>112</v>
      </c>
    </row>
    <row r="18" spans="1:18" ht="51" x14ac:dyDescent="0.25">
      <c r="A18" s="329" t="s">
        <v>130</v>
      </c>
      <c r="B18" s="329"/>
      <c r="C18" s="317" t="s">
        <v>131</v>
      </c>
      <c r="D18" s="317"/>
      <c r="E18" s="317"/>
      <c r="F18" s="317"/>
      <c r="G18" s="240" t="s">
        <v>116</v>
      </c>
      <c r="H18" s="240" t="s">
        <v>117</v>
      </c>
      <c r="I18" s="241" t="s">
        <v>132</v>
      </c>
      <c r="J18" s="331" t="s">
        <v>133</v>
      </c>
      <c r="K18" s="331"/>
      <c r="L18" s="331"/>
      <c r="M18" s="331"/>
      <c r="N18" s="331"/>
      <c r="O18" s="232" t="str">
        <f>'P-Barberia'!A8</f>
        <v>P-BRA-0003</v>
      </c>
      <c r="P18" s="231" t="str">
        <f>'P-Barberia'!B8</f>
        <v>Asegurar que exista la barbería con el id enviado</v>
      </c>
      <c r="Q18" s="231" t="s">
        <v>120</v>
      </c>
      <c r="R18" s="234" t="s">
        <v>112</v>
      </c>
    </row>
  </sheetData>
  <mergeCells count="28">
    <mergeCell ref="A14:B14"/>
    <mergeCell ref="A16:B17"/>
    <mergeCell ref="K16:N17"/>
    <mergeCell ref="A18:B18"/>
    <mergeCell ref="A12:B13"/>
    <mergeCell ref="K14:N14"/>
    <mergeCell ref="A15:B15"/>
    <mergeCell ref="C18:F18"/>
    <mergeCell ref="J18:N18"/>
    <mergeCell ref="A10:B11"/>
    <mergeCell ref="Q10:R10"/>
    <mergeCell ref="K12:N13"/>
    <mergeCell ref="H12:H13"/>
    <mergeCell ref="K11:N11"/>
    <mergeCell ref="J12:J13"/>
    <mergeCell ref="G12:G13"/>
    <mergeCell ref="C10:F11"/>
    <mergeCell ref="G10:I10"/>
    <mergeCell ref="O10:P10"/>
    <mergeCell ref="J10:N10"/>
    <mergeCell ref="Y2:Z2"/>
    <mergeCell ref="I12:I13"/>
    <mergeCell ref="C12:F13"/>
    <mergeCell ref="C16:F17"/>
    <mergeCell ref="C15:F15"/>
    <mergeCell ref="K15:N15"/>
    <mergeCell ref="J16:J17"/>
    <mergeCell ref="C14:F14"/>
  </mergeCells>
  <hyperlinks>
    <hyperlink ref="A1" location="'Modelo de Dominio'!A1" display="&lt;&lt;&lt;&lt; Ir al modulo de dominio" xr:uid="{00000000-0004-0000-0200-000000000000}"/>
    <hyperlink ref="B1" location="'Objetos de Dominio'!A1" display="&lt;&lt;&lt;&lt; Ir a objetos de dominio" xr:uid="{00000000-0004-0000-0200-000001000000}"/>
    <hyperlink ref="V2" location="'C-Barberia'!A12" display="'C-Barberia'!A12" xr:uid="{00000000-0004-0000-0200-000002000000}"/>
    <hyperlink ref="W2" location="'C-Barberia'!A14" display="'C-Barberia'!A14" xr:uid="{00000000-0004-0000-0200-000003000000}"/>
    <hyperlink ref="X2" location="'C-Barberia'!A15" display="'C-Barberia'!A15" xr:uid="{00000000-0004-0000-0200-000004000000}"/>
    <hyperlink ref="Y2" location="'C-Barberia'!A16" display="'C-Barberia'!A16" xr:uid="{00000000-0004-0000-0200-000005000000}"/>
    <hyperlink ref="AA2" location="'C-Barberia'!A18" display="'C-Barberia'!A18" xr:uid="{00000000-0004-0000-0200-000006000000}"/>
    <hyperlink ref="A3" location="'M-Barberia'!A3" display="'M-Barberia'!A3" xr:uid="{00000000-0004-0000-0200-000007000000}"/>
    <hyperlink ref="B3" location="'M-Barberia'!A2" display="'M-Barberia'!A2" xr:uid="{00000000-0004-0000-0200-000008000000}"/>
    <hyperlink ref="A4" location="'M-Barberia'!A3" display="'M-Barberia'!A3" xr:uid="{00000000-0004-0000-0200-000009000000}"/>
    <hyperlink ref="B4" location="'M-Barberia'!A2" display="'M-Barberia'!A2" xr:uid="{00000000-0004-0000-0200-00000A000000}"/>
    <hyperlink ref="A5" location="'M-Barberia'!A3" display="'M-Barberia'!A3" xr:uid="{00000000-0004-0000-0200-00000B000000}"/>
    <hyperlink ref="B5" location="'M-Barberia'!A2" display="'M-Barberia'!A2" xr:uid="{00000000-0004-0000-0200-00000C000000}"/>
    <hyperlink ref="A8" location="'M-Barberia'!A3" display="'M-Barberia'!A3" xr:uid="{00000000-0004-0000-0200-00000D000000}"/>
    <hyperlink ref="B8" location="'M-Barberia'!A2" display="'M-Barberia'!A2" xr:uid="{00000000-0004-0000-0200-00000E000000}"/>
    <hyperlink ref="A12" location="'C-Barberia'!V2" display="registrarBarberia" xr:uid="{00000000-0004-0000-0200-00000F000000}"/>
    <hyperlink ref="A14" location="'C-Barberia'!W2" display="consultarDatosBarberia" xr:uid="{00000000-0004-0000-0200-000010000000}"/>
    <hyperlink ref="A15" location="'C-Barberia'!X2" display="consultarNombreBarberia" xr:uid="{00000000-0004-0000-0200-000011000000}"/>
    <hyperlink ref="A16" location="'C-Barberia'!Y2" display="cambiarNombreBarberia" xr:uid="{00000000-0004-0000-0200-000012000000}"/>
    <hyperlink ref="A18" location="'C-Barberia'!AA2" display="darDeBajaBarberia" xr:uid="{00000000-0004-0000-0200-00001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election activeCell="B1" sqref="B1"/>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Dominio'!A3</f>
        <v>Barberia</v>
      </c>
      <c r="C2" s="290"/>
      <c r="D2" s="290"/>
      <c r="E2" s="291"/>
    </row>
    <row r="3" spans="1:5" ht="30" customHeight="1" x14ac:dyDescent="0.25">
      <c r="A3" s="30" t="s">
        <v>140</v>
      </c>
      <c r="B3" s="336" t="str">
        <f>'Objetos de Dominio'!B3</f>
        <v>Representa la cadena o marca comercial de barbería, dueña de una o varias sedes.</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145</v>
      </c>
      <c r="B6" s="332" t="s">
        <v>146</v>
      </c>
      <c r="C6" s="279"/>
      <c r="D6" s="31" t="s">
        <v>8</v>
      </c>
      <c r="E6" s="31"/>
    </row>
    <row r="7" spans="1:5" ht="30" customHeight="1" x14ac:dyDescent="0.25">
      <c r="A7" s="8" t="s">
        <v>147</v>
      </c>
      <c r="B7" s="332" t="s">
        <v>148</v>
      </c>
      <c r="C7" s="279"/>
      <c r="D7" s="31" t="s">
        <v>8</v>
      </c>
      <c r="E7" s="31"/>
    </row>
    <row r="8" spans="1:5" ht="30" customHeight="1" x14ac:dyDescent="0.25">
      <c r="A8" s="8" t="s">
        <v>149</v>
      </c>
      <c r="B8" s="332" t="s">
        <v>150</v>
      </c>
      <c r="C8" s="279"/>
      <c r="D8" s="31" t="s">
        <v>8</v>
      </c>
      <c r="E8" s="31"/>
    </row>
  </sheetData>
  <mergeCells count="9">
    <mergeCell ref="D4:D5"/>
    <mergeCell ref="E4:E5"/>
    <mergeCell ref="B3:E3"/>
    <mergeCell ref="B2:E2"/>
    <mergeCell ref="B8:C8"/>
    <mergeCell ref="B4:C5"/>
    <mergeCell ref="B6:C6"/>
    <mergeCell ref="B7:C7"/>
    <mergeCell ref="A4:A5"/>
  </mergeCells>
  <hyperlinks>
    <hyperlink ref="A1" location="'Modelo de Dominio'!A1" display="&lt;&lt; Ir al modelo de dominio" xr:uid="{00000000-0004-0000-0300-000000000000}"/>
    <hyperlink ref="B1" location="'Objetos de Dominio'!A1" display="&lt;&lt; Ir al listado de objetos de dominio" xr:uid="{00000000-0004-0000-0300-000001000000}"/>
    <hyperlink ref="C1" location="'C-Barberia'!A1" display="&lt;&lt; Ir a la caracterización del objeto de dominio" xr:uid="{00000000-0004-0000-0300-000002000000}"/>
    <hyperlink ref="D1" location="'M-Barberia'!A1" display="Ir al muestreo de datos del objeto de dominio &gt;&gt;" xr:uid="{00000000-0004-0000-0300-000003000000}"/>
    <hyperlink ref="E1" location="'E-Barberia'!A1" display="Ir al event storming del objeto de dominio &gt;&gt;" xr:uid="{00000000-0004-0000-0300-000004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topLeftCell="C1" workbookViewId="0">
      <selection activeCell="H7" sqref="H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26.8554687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Dominio'!A3</f>
        <v>Barberia</v>
      </c>
      <c r="C2" s="290"/>
      <c r="D2" s="290"/>
      <c r="E2" s="290"/>
      <c r="F2" s="290"/>
      <c r="G2" s="290"/>
      <c r="H2" s="290"/>
      <c r="I2" s="290"/>
      <c r="J2" s="290"/>
      <c r="K2" s="291"/>
    </row>
    <row r="3" spans="1:11" ht="30" customHeight="1" x14ac:dyDescent="0.25">
      <c r="A3" s="30" t="s">
        <v>140</v>
      </c>
      <c r="B3" s="306" t="str">
        <f>'Objetos de Dominio'!B3</f>
        <v>Representa la cadena o marca comercial de barbería, dueña de una o varias sedes.</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54" x14ac:dyDescent="0.25">
      <c r="A7" s="273" t="s">
        <v>168</v>
      </c>
      <c r="B7" s="272" t="s">
        <v>169</v>
      </c>
      <c r="C7" s="272" t="s">
        <v>170</v>
      </c>
      <c r="D7" s="273" t="str">
        <f>$B$2</f>
        <v>Barberia</v>
      </c>
      <c r="E7" s="42"/>
      <c r="F7" s="42"/>
      <c r="G7" s="230" t="str">
        <f>'P-Barberia'!A6</f>
        <v>P-BRA-0001</v>
      </c>
      <c r="H7" s="104" t="str">
        <f>'P-Barberia'!B6</f>
        <v>Asegurar que los datos requeridos de la barbería (nombre, nit) sean válidos en tipo de dato, longitud, obligatoriedad, formato y rango</v>
      </c>
      <c r="I7" s="273"/>
      <c r="J7" s="272" t="s">
        <v>171</v>
      </c>
      <c r="K7" s="272"/>
    </row>
    <row r="8" spans="1:11" ht="40.5" x14ac:dyDescent="0.25">
      <c r="A8" s="281"/>
      <c r="B8" s="281"/>
      <c r="C8" s="281"/>
      <c r="D8" s="281"/>
      <c r="E8" s="42"/>
      <c r="F8" s="42"/>
      <c r="G8" s="230" t="str">
        <f>'P-Barberia'!A7</f>
        <v>P-BRA-0002</v>
      </c>
      <c r="H8" s="104" t="str">
        <f>'P-Barberia'!B7</f>
        <v>Asegurar que no exista otra barbería registrada con el mismo nit</v>
      </c>
      <c r="I8" s="281"/>
      <c r="J8" s="281"/>
      <c r="K8" s="281"/>
    </row>
    <row r="9" spans="1:11" ht="30" customHeight="1" x14ac:dyDescent="0.25">
      <c r="A9" s="41" t="s">
        <v>168</v>
      </c>
      <c r="B9" s="42" t="s">
        <v>172</v>
      </c>
      <c r="C9" s="42" t="s">
        <v>115</v>
      </c>
      <c r="D9" s="41" t="str">
        <f>$B$2</f>
        <v>Barberia</v>
      </c>
      <c r="E9" s="42"/>
      <c r="F9" s="42"/>
      <c r="G9" s="230"/>
      <c r="H9" s="104"/>
      <c r="I9" s="41"/>
      <c r="J9" s="42" t="s">
        <v>173</v>
      </c>
      <c r="K9" s="42"/>
    </row>
    <row r="10" spans="1:11" ht="30" customHeight="1" x14ac:dyDescent="0.25">
      <c r="A10" s="41" t="s">
        <v>32</v>
      </c>
      <c r="B10" s="42" t="s">
        <v>174</v>
      </c>
      <c r="C10" s="42" t="s">
        <v>175</v>
      </c>
      <c r="D10" s="41" t="str">
        <f>$B$2</f>
        <v>Barberia</v>
      </c>
      <c r="E10" s="42"/>
      <c r="F10" s="42"/>
      <c r="G10" s="230"/>
      <c r="H10" s="104"/>
      <c r="I10" s="41"/>
      <c r="J10" s="42" t="s">
        <v>176</v>
      </c>
      <c r="K10" s="42"/>
    </row>
    <row r="11" spans="1:11" ht="30" customHeight="1" x14ac:dyDescent="0.25">
      <c r="A11" s="41" t="s">
        <v>26</v>
      </c>
      <c r="B11" s="42" t="s">
        <v>174</v>
      </c>
      <c r="C11" s="42" t="s">
        <v>177</v>
      </c>
      <c r="D11" s="41" t="str">
        <f>$B$2</f>
        <v>Barberia</v>
      </c>
      <c r="E11" s="42"/>
      <c r="F11" s="42"/>
      <c r="G11" s="230"/>
      <c r="H11" s="104"/>
      <c r="I11" s="41"/>
      <c r="J11" s="42" t="s">
        <v>176</v>
      </c>
      <c r="K11" s="42"/>
    </row>
    <row r="12" spans="1:11" ht="27" x14ac:dyDescent="0.25">
      <c r="A12" s="273" t="s">
        <v>168</v>
      </c>
      <c r="B12" s="272" t="s">
        <v>178</v>
      </c>
      <c r="C12" s="272" t="s">
        <v>125</v>
      </c>
      <c r="D12" s="273" t="str">
        <f>$B$2</f>
        <v>Barberia</v>
      </c>
      <c r="E12" s="42"/>
      <c r="F12" s="42"/>
      <c r="G12" s="230" t="str">
        <f>'P-Barberia'!A8</f>
        <v>P-BRA-0003</v>
      </c>
      <c r="H12" s="104" t="str">
        <f>'P-Barberia'!B8</f>
        <v>Asegurar que exista la barbería con el id enviado</v>
      </c>
      <c r="I12" s="273"/>
      <c r="J12" s="272" t="s">
        <v>179</v>
      </c>
      <c r="K12" s="272"/>
    </row>
    <row r="13" spans="1:11" ht="54" x14ac:dyDescent="0.25">
      <c r="A13" s="281"/>
      <c r="B13" s="281"/>
      <c r="C13" s="281"/>
      <c r="D13" s="281"/>
      <c r="E13" s="42"/>
      <c r="F13" s="42"/>
      <c r="G13" s="230" t="str">
        <f>'P-Barberia'!A6</f>
        <v>P-BRA-0001</v>
      </c>
      <c r="H13" s="104" t="str">
        <f>'P-Barberia'!B6</f>
        <v>Asegurar que los datos requeridos de la barbería (nombre, nit) sean válidos en tipo de dato, longitud, obligatoriedad, formato y rango</v>
      </c>
      <c r="I13" s="281"/>
      <c r="J13" s="281"/>
      <c r="K13" s="281"/>
    </row>
    <row r="14" spans="1:11" ht="30" customHeight="1" x14ac:dyDescent="0.25">
      <c r="A14" s="273" t="s">
        <v>168</v>
      </c>
      <c r="B14" s="272" t="s">
        <v>180</v>
      </c>
      <c r="C14" s="272" t="s">
        <v>181</v>
      </c>
      <c r="D14" s="273" t="str">
        <f>$B$2</f>
        <v>Barberia</v>
      </c>
      <c r="E14" s="42"/>
      <c r="F14" s="42"/>
      <c r="G14" s="230"/>
      <c r="H14" s="43"/>
      <c r="I14" s="273"/>
      <c r="J14" s="272" t="s">
        <v>182</v>
      </c>
      <c r="K14" s="272"/>
    </row>
    <row r="15" spans="1:11" ht="30" customHeight="1" x14ac:dyDescent="0.25">
      <c r="A15" s="281"/>
      <c r="B15" s="281"/>
      <c r="C15" s="281"/>
      <c r="D15" s="281"/>
      <c r="E15" s="42"/>
      <c r="F15" s="42"/>
      <c r="G15" s="230"/>
      <c r="H15" s="43"/>
      <c r="I15" s="281"/>
      <c r="J15" s="281"/>
      <c r="K15" s="281"/>
    </row>
  </sheetData>
  <mergeCells count="39">
    <mergeCell ref="A14:A15"/>
    <mergeCell ref="A5:A6"/>
    <mergeCell ref="I14:I15"/>
    <mergeCell ref="K14:K15"/>
    <mergeCell ref="G5:H5"/>
    <mergeCell ref="J12:J13"/>
    <mergeCell ref="B12:B13"/>
    <mergeCell ref="E5:F5"/>
    <mergeCell ref="A7:A8"/>
    <mergeCell ref="I7:I8"/>
    <mergeCell ref="K12:K13"/>
    <mergeCell ref="J7:J8"/>
    <mergeCell ref="C7:C8"/>
    <mergeCell ref="K7:K8"/>
    <mergeCell ref="B5:B6"/>
    <mergeCell ref="J14:J15"/>
    <mergeCell ref="F1:I1"/>
    <mergeCell ref="A12:A13"/>
    <mergeCell ref="C12:C13"/>
    <mergeCell ref="I12:I13"/>
    <mergeCell ref="D7:D8"/>
    <mergeCell ref="D12:D13"/>
    <mergeCell ref="B3:K3"/>
    <mergeCell ref="I5:I6"/>
    <mergeCell ref="C1:E1"/>
    <mergeCell ref="J1:K1"/>
    <mergeCell ref="A1:B1"/>
    <mergeCell ref="B2:K2"/>
    <mergeCell ref="G4:H4"/>
    <mergeCell ref="K5:K6"/>
    <mergeCell ref="J5:J6"/>
    <mergeCell ref="B14:B15"/>
    <mergeCell ref="E4:F4"/>
    <mergeCell ref="C14:C15"/>
    <mergeCell ref="B7:B8"/>
    <mergeCell ref="B4:C4"/>
    <mergeCell ref="C5:C6"/>
    <mergeCell ref="D14:D15"/>
    <mergeCell ref="D5:D6"/>
  </mergeCells>
  <hyperlinks>
    <hyperlink ref="A1" location="'Modelo de Dominio'!A1" display="&lt;&lt; Ir al modelo de dominio" xr:uid="{00000000-0004-0000-0400-000000000000}"/>
    <hyperlink ref="C1" location="'Objetos de Dominio'!A1" display="&lt;&lt; Ir al listado de objetos de dominio" xr:uid="{00000000-0004-0000-0400-000001000000}"/>
    <hyperlink ref="F1" location="'C-Barberia'!A1" display="&lt;&lt; Ir a la caracterización del objeto de dominio" xr:uid="{00000000-0004-0000-0400-000002000000}"/>
    <hyperlink ref="J1" location="'M-Barberia'!A1" display="Ir al muestreo de datos del objeto de dominio &gt;&gt;" xr:uid="{00000000-0004-0000-0400-000003000000}"/>
    <hyperlink ref="G7" location="'P-Barberia'!A6" display="'P-Barberia'!A6" xr:uid="{00000000-0004-0000-0400-000004000000}"/>
    <hyperlink ref="G8" location="'P-Barberia'!A7" display="'P-Barberia'!A7" xr:uid="{00000000-0004-0000-0400-000005000000}"/>
    <hyperlink ref="G12" location="'P-Barberia'!A8" display="'P-Barberia'!A8" xr:uid="{00000000-0004-0000-0400-000006000000}"/>
    <hyperlink ref="G13" location="'P-Barberia'!A6" display="'P-Barberia'!A6" xr:uid="{00000000-0004-0000-0400-000007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zoomScaleNormal="100" workbookViewId="0">
      <selection activeCell="A3" sqref="A3"/>
    </sheetView>
  </sheetViews>
  <sheetFormatPr baseColWidth="10" defaultColWidth="8.7109375" defaultRowHeight="15" x14ac:dyDescent="0.25"/>
  <cols>
    <col min="1" max="1" width="27" customWidth="1"/>
    <col min="2" max="2" width="30" customWidth="1"/>
    <col min="3" max="3" width="22" customWidth="1"/>
    <col min="4" max="4" width="30" customWidth="1"/>
  </cols>
  <sheetData>
    <row r="1" spans="1:4" x14ac:dyDescent="0.25">
      <c r="A1" s="4" t="s">
        <v>0</v>
      </c>
      <c r="B1" s="4" t="s">
        <v>55</v>
      </c>
    </row>
    <row r="2" spans="1:4" ht="44.25" customHeight="1" x14ac:dyDescent="0.25">
      <c r="A2" s="44" t="s">
        <v>183</v>
      </c>
      <c r="B2" s="44" t="s">
        <v>184</v>
      </c>
      <c r="C2" s="44" t="s">
        <v>185</v>
      </c>
      <c r="D2" s="44" t="s">
        <v>186</v>
      </c>
    </row>
    <row r="3" spans="1:4" ht="14.25" customHeight="1" x14ac:dyDescent="0.25">
      <c r="A3" s="46" t="s">
        <v>116</v>
      </c>
      <c r="B3" s="47" t="s">
        <v>187</v>
      </c>
      <c r="C3" s="47" t="s">
        <v>188</v>
      </c>
      <c r="D3" s="48" t="s">
        <v>189</v>
      </c>
    </row>
    <row r="4" spans="1:4" x14ac:dyDescent="0.25">
      <c r="A4" s="49">
        <v>1</v>
      </c>
      <c r="B4" s="49" t="s">
        <v>190</v>
      </c>
      <c r="C4" s="49" t="s">
        <v>191</v>
      </c>
      <c r="D4" s="49" t="str">
        <f>C4</f>
        <v>900123456-7</v>
      </c>
    </row>
    <row r="5" spans="1:4" x14ac:dyDescent="0.25">
      <c r="A5" s="49">
        <v>2</v>
      </c>
      <c r="B5" s="49" t="s">
        <v>192</v>
      </c>
      <c r="C5" s="49" t="s">
        <v>193</v>
      </c>
      <c r="D5" s="49" t="str">
        <f>C5</f>
        <v>900654321-9</v>
      </c>
    </row>
    <row r="11" spans="1:4" ht="30" customHeight="1" x14ac:dyDescent="0.25">
      <c r="A11" s="44"/>
      <c r="B11" s="53" t="s">
        <v>194</v>
      </c>
    </row>
    <row r="12" spans="1:4" ht="30" customHeight="1" x14ac:dyDescent="0.25">
      <c r="A12" s="46"/>
      <c r="B12" s="53" t="s">
        <v>195</v>
      </c>
    </row>
    <row r="13" spans="1:4" ht="30" customHeight="1" x14ac:dyDescent="0.25">
      <c r="A13" s="8"/>
      <c r="B13" s="53" t="s">
        <v>196</v>
      </c>
    </row>
    <row r="14" spans="1:4" ht="30" customHeight="1" x14ac:dyDescent="0.25">
      <c r="A14" s="48"/>
      <c r="B14" s="53" t="s">
        <v>197</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topLeftCell="M1" zoomScaleNormal="100" workbookViewId="0">
      <selection activeCell="O19" sqref="O19"/>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2" width="19.28515625"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15" t="str">
        <f>A11</f>
        <v>VerDiasDeLaSemana</v>
      </c>
    </row>
    <row r="3" spans="1:22" ht="45" customHeight="1" x14ac:dyDescent="0.25">
      <c r="A3" s="16" t="str">
        <f>'M-DiaSemana'!A3</f>
        <v>id</v>
      </c>
      <c r="B3" s="17" t="str">
        <f>'M-DiaSemana'!A2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18" t="s">
        <v>83</v>
      </c>
    </row>
    <row r="4" spans="1:22" ht="45" customHeight="1" x14ac:dyDescent="0.25">
      <c r="A4" s="16" t="str">
        <f>'M-DiaSemana'!B3</f>
        <v>nombre</v>
      </c>
      <c r="B4" s="17" t="str">
        <f>'M-DiaSemana'!B2</f>
        <v>Representa como se llama el dia de la semana, para los horarios</v>
      </c>
      <c r="C4" s="16" t="s">
        <v>80</v>
      </c>
      <c r="D4" s="16" t="s">
        <v>86</v>
      </c>
      <c r="E4" s="16" t="s">
        <v>77</v>
      </c>
      <c r="F4" s="16">
        <v>5</v>
      </c>
      <c r="G4" s="16">
        <v>9</v>
      </c>
      <c r="H4" s="16" t="s">
        <v>79</v>
      </c>
      <c r="I4" s="16" t="s">
        <v>79</v>
      </c>
      <c r="J4" s="16" t="s">
        <v>79</v>
      </c>
      <c r="K4" s="16" t="s">
        <v>79</v>
      </c>
      <c r="L4" s="16" t="s">
        <v>79</v>
      </c>
      <c r="M4" s="17" t="s">
        <v>198</v>
      </c>
      <c r="N4" s="16" t="s">
        <v>80</v>
      </c>
      <c r="O4" s="16" t="s">
        <v>79</v>
      </c>
      <c r="P4" s="16" t="s">
        <v>79</v>
      </c>
      <c r="Q4" s="16" t="s">
        <v>77</v>
      </c>
      <c r="R4" s="16" t="s">
        <v>77</v>
      </c>
      <c r="S4" s="16" t="s">
        <v>80</v>
      </c>
      <c r="T4" s="16" t="s">
        <v>88</v>
      </c>
      <c r="U4" s="16" t="s">
        <v>80</v>
      </c>
      <c r="V4" s="18" t="s">
        <v>89</v>
      </c>
    </row>
    <row r="6" spans="1:22" ht="15" customHeight="1" x14ac:dyDescent="0.25">
      <c r="A6" s="19" t="s">
        <v>93</v>
      </c>
      <c r="B6" s="19" t="s">
        <v>94</v>
      </c>
      <c r="C6" s="19" t="s">
        <v>95</v>
      </c>
    </row>
    <row r="7" spans="1:22" ht="45" customHeight="1" x14ac:dyDescent="0.25">
      <c r="A7" s="20" t="str">
        <f>'M-DiaSemana'!C3</f>
        <v xml:space="preserve">Combinación única </v>
      </c>
      <c r="B7" s="21" t="str">
        <f>'M-DiaSemana'!C2</f>
        <v>Combinacion única que indica que no puede existir más un dia de la semana con el mismo nombre</v>
      </c>
      <c r="C7" s="22" t="s">
        <v>187</v>
      </c>
    </row>
    <row r="9" spans="1:22" x14ac:dyDescent="0.25">
      <c r="A9" s="320" t="s">
        <v>96</v>
      </c>
      <c r="B9" s="321"/>
      <c r="C9" s="323" t="s">
        <v>94</v>
      </c>
      <c r="D9" s="326"/>
      <c r="E9" s="326"/>
      <c r="F9" s="321"/>
      <c r="G9" s="323" t="s">
        <v>97</v>
      </c>
      <c r="H9" s="290"/>
      <c r="I9" s="291"/>
      <c r="J9" s="323" t="s">
        <v>98</v>
      </c>
      <c r="K9" s="290"/>
      <c r="L9" s="290"/>
      <c r="M9" s="290"/>
      <c r="N9" s="291"/>
      <c r="O9" s="323" t="s">
        <v>99</v>
      </c>
      <c r="P9" s="291"/>
      <c r="Q9" s="323" t="s">
        <v>100</v>
      </c>
      <c r="R9" s="291"/>
    </row>
    <row r="10" spans="1:22" x14ac:dyDescent="0.25">
      <c r="A10" s="322"/>
      <c r="B10" s="312"/>
      <c r="C10" s="310"/>
      <c r="D10" s="311"/>
      <c r="E10" s="311"/>
      <c r="F10" s="312"/>
      <c r="G10" s="3" t="s">
        <v>101</v>
      </c>
      <c r="H10" s="3" t="s">
        <v>59</v>
      </c>
      <c r="I10" s="3" t="s">
        <v>94</v>
      </c>
      <c r="J10" s="3" t="s">
        <v>102</v>
      </c>
      <c r="K10" s="325" t="s">
        <v>94</v>
      </c>
      <c r="L10" s="303"/>
      <c r="M10" s="303"/>
      <c r="N10" s="279"/>
      <c r="O10" s="3" t="s">
        <v>103</v>
      </c>
      <c r="P10" s="3" t="s">
        <v>94</v>
      </c>
      <c r="Q10" s="3" t="s">
        <v>104</v>
      </c>
      <c r="R10" s="23" t="s">
        <v>105</v>
      </c>
    </row>
    <row r="11" spans="1:22" ht="15" customHeight="1" x14ac:dyDescent="0.25">
      <c r="A11" s="346" t="s">
        <v>199</v>
      </c>
      <c r="B11" s="279"/>
      <c r="C11" s="307" t="s">
        <v>200</v>
      </c>
      <c r="D11" s="303"/>
      <c r="E11" s="303"/>
      <c r="F11" s="279"/>
      <c r="G11" s="342"/>
      <c r="H11" s="343"/>
      <c r="I11" s="344"/>
      <c r="J11" s="26" t="s">
        <v>201</v>
      </c>
      <c r="K11" s="307" t="s">
        <v>202</v>
      </c>
      <c r="L11" s="303"/>
      <c r="M11" s="303"/>
      <c r="N11" s="279"/>
      <c r="O11" s="342"/>
      <c r="P11" s="343"/>
      <c r="Q11" s="343"/>
      <c r="R11" s="345"/>
    </row>
  </sheetData>
  <mergeCells count="12">
    <mergeCell ref="Q9:R9"/>
    <mergeCell ref="C11:F11"/>
    <mergeCell ref="O9:P9"/>
    <mergeCell ref="K10:N10"/>
    <mergeCell ref="A9:B10"/>
    <mergeCell ref="G11:I11"/>
    <mergeCell ref="O11:R11"/>
    <mergeCell ref="J9:N9"/>
    <mergeCell ref="C9:F10"/>
    <mergeCell ref="A11:B11"/>
    <mergeCell ref="K11:N11"/>
    <mergeCell ref="G9:I9"/>
  </mergeCells>
  <hyperlinks>
    <hyperlink ref="A1" location="'Modelo de Dominio'!A1" display="&lt;&lt;&lt;&lt; Ir al modulo de dominio" xr:uid="{00000000-0004-0000-0600-000000000000}"/>
    <hyperlink ref="B1" location="'Objetos de Dominio'!A1" display="&lt;&lt;&lt;&lt; Ir a objetos de dominio" xr:uid="{00000000-0004-0000-0600-000001000000}"/>
    <hyperlink ref="V2" location="'C-DiaSemana'!A11" display="#'C-DiaSemana'.A11" xr:uid="{00000000-0004-0000-0600-000002000000}"/>
    <hyperlink ref="A3" location="'M-DiaSemana'!A3" display="#'M-DiaSemana'.A3" xr:uid="{00000000-0004-0000-0600-000003000000}"/>
    <hyperlink ref="B3" location="'M-DiaSemana'!A2" display="#'M-DiaSemana'.A2" xr:uid="{00000000-0004-0000-0600-000004000000}"/>
    <hyperlink ref="A4" location="'M-DiaSemana'!A3" display="#'M-DiaSemana'.A3" xr:uid="{00000000-0004-0000-0600-000005000000}"/>
    <hyperlink ref="B4" location="'M-DiaSemana'!A2" display="#'M-DiaSemana'.A2" xr:uid="{00000000-0004-0000-0600-000006000000}"/>
    <hyperlink ref="A7" location="'M-DiaSemana'!A3" display="#'M-DiaSemana'.A3" xr:uid="{00000000-0004-0000-0600-000007000000}"/>
    <hyperlink ref="B7" location="'M-DiaSemana'!A2" display="#'M-DiaSemana'.A2" xr:uid="{00000000-0004-0000-0600-000008000000}"/>
    <hyperlink ref="A11" location="'C-DiaSemana'!V2" display="VerDiasDeLaSemana" xr:uid="{00000000-0004-0000-0600-000009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showGridLines="0" zoomScaleNormal="100" workbookViewId="0">
      <selection activeCell="B1" sqref="B1"/>
    </sheetView>
  </sheetViews>
  <sheetFormatPr baseColWidth="10" defaultColWidth="8.7109375" defaultRowHeight="15" x14ac:dyDescent="0.25"/>
  <cols>
    <col min="1" max="1" width="20.7109375" customWidth="1"/>
    <col min="2" max="2" width="29.140625" customWidth="1"/>
    <col min="3" max="3" width="36.28515625" customWidth="1"/>
    <col min="4" max="4" width="37.7109375" customWidth="1"/>
    <col min="5" max="5" width="36.7109375" customWidth="1"/>
  </cols>
  <sheetData>
    <row r="1" spans="1:5" ht="15" customHeight="1" x14ac:dyDescent="0.25">
      <c r="A1" s="27" t="s">
        <v>134</v>
      </c>
      <c r="B1" s="27" t="s">
        <v>135</v>
      </c>
      <c r="C1" s="27" t="s">
        <v>136</v>
      </c>
      <c r="D1" s="27" t="s">
        <v>137</v>
      </c>
      <c r="E1" s="28" t="s">
        <v>138</v>
      </c>
    </row>
    <row r="2" spans="1:5" ht="15" customHeight="1" x14ac:dyDescent="0.25">
      <c r="A2" s="29" t="s">
        <v>139</v>
      </c>
      <c r="B2" s="337" t="str">
        <f>'Objetos de Dominio'!A4</f>
        <v>DiaSemana</v>
      </c>
      <c r="C2" s="290"/>
      <c r="D2" s="290"/>
      <c r="E2" s="291"/>
    </row>
    <row r="3" spans="1:5" ht="30" customHeight="1" x14ac:dyDescent="0.25">
      <c r="A3" s="30" t="s">
        <v>140</v>
      </c>
      <c r="B3" s="336" t="str">
        <f>'Objetos de Dominio'!B4</f>
        <v>Representa cada uno de los días de la semana, incluyendo festivo, que se usa como catálogo para definir los horarios de la barbería y de cada barbero.</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c r="B6" s="348" t="s">
        <v>203</v>
      </c>
      <c r="C6" s="279"/>
      <c r="D6" s="31"/>
      <c r="E6" s="31"/>
    </row>
    <row r="10" spans="1:5" ht="14.25" customHeight="1" x14ac:dyDescent="0.25">
      <c r="B10" s="32"/>
      <c r="C10" s="347"/>
      <c r="D10" s="299"/>
      <c r="E10" s="299"/>
    </row>
    <row r="11" spans="1:5" ht="14.25" customHeight="1" x14ac:dyDescent="0.25">
      <c r="B11" s="32"/>
      <c r="C11" s="349"/>
      <c r="D11" s="299"/>
      <c r="E11" s="299"/>
    </row>
    <row r="12" spans="1:5" ht="14.25" customHeight="1" x14ac:dyDescent="0.25">
      <c r="B12" s="351"/>
      <c r="C12" s="350"/>
      <c r="D12" s="299"/>
      <c r="E12" s="350"/>
    </row>
    <row r="13" spans="1:5" ht="14.25" customHeight="1" x14ac:dyDescent="0.25">
      <c r="B13" s="299"/>
      <c r="C13" s="299"/>
      <c r="D13" s="299"/>
      <c r="E13" s="299"/>
    </row>
  </sheetData>
  <mergeCells count="12">
    <mergeCell ref="C12:D13"/>
    <mergeCell ref="B12:B13"/>
    <mergeCell ref="A4:A5"/>
    <mergeCell ref="E12:E13"/>
    <mergeCell ref="D4:D5"/>
    <mergeCell ref="E4:E5"/>
    <mergeCell ref="B4:C5"/>
    <mergeCell ref="B3:E3"/>
    <mergeCell ref="B2:E2"/>
    <mergeCell ref="C10:E10"/>
    <mergeCell ref="B6:C6"/>
    <mergeCell ref="C11:E11"/>
  </mergeCells>
  <hyperlinks>
    <hyperlink ref="A1" location="'Modelo de Dominio'!A1" display="&lt;&lt; Ir al modelo de dominio" xr:uid="{00000000-0004-0000-0700-000000000000}"/>
    <hyperlink ref="B1" location="'Objetos de Dominio'!A1" display="&lt;&lt; Ir al listado de objetos de dominio" xr:uid="{00000000-0004-0000-0700-000001000000}"/>
    <hyperlink ref="C1" location="'C-DiaSemana'!A1" display="&lt;&lt; Ir a la caracterización del objeto de dominio" xr:uid="{00000000-0004-0000-0700-000002000000}"/>
    <hyperlink ref="D1" location="'M-DiaSemana'!A1" display="Ir al muestreo de datos del objeto de dominio &gt;&gt;" xr:uid="{00000000-0004-0000-0700-000003000000}"/>
    <hyperlink ref="E1" location="'E-DiaSemana'!A1" display="Ir al event storming del objeto de dominio &gt;&gt;" xr:uid="{00000000-0004-0000-0700-000004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Dominio'!A4</f>
        <v>DiaSemana</v>
      </c>
      <c r="C2" s="290"/>
      <c r="D2" s="290"/>
      <c r="E2" s="290"/>
      <c r="F2" s="290"/>
      <c r="G2" s="290"/>
      <c r="H2" s="290"/>
      <c r="I2" s="290"/>
      <c r="J2" s="290"/>
      <c r="K2" s="291"/>
    </row>
    <row r="3" spans="1:11" ht="30" customHeight="1" x14ac:dyDescent="0.25">
      <c r="A3" s="30" t="s">
        <v>140</v>
      </c>
      <c r="B3" s="306" t="str">
        <f>'Objetos de Dominio'!B4</f>
        <v>Representa cada uno de los días de la semana, incluyendo festivo, que se usa como catálogo para definir los horarios de la barbería y de cada barbero.</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168</v>
      </c>
      <c r="B7" s="42" t="s">
        <v>204</v>
      </c>
      <c r="C7" s="42" t="s">
        <v>205</v>
      </c>
      <c r="D7" s="41" t="str">
        <f>$B$2</f>
        <v>DiaSemana</v>
      </c>
      <c r="E7" s="42"/>
      <c r="F7" s="42"/>
      <c r="G7" s="41"/>
      <c r="H7" s="43"/>
      <c r="I7" s="41"/>
      <c r="J7" s="42" t="s">
        <v>206</v>
      </c>
      <c r="K7" s="42"/>
    </row>
    <row r="8" spans="1:11" ht="30" customHeight="1" x14ac:dyDescent="0.25">
      <c r="A8" s="41" t="s">
        <v>32</v>
      </c>
      <c r="B8" s="42" t="s">
        <v>204</v>
      </c>
      <c r="C8" s="42" t="s">
        <v>205</v>
      </c>
      <c r="D8" s="41" t="str">
        <f>$B$2</f>
        <v>DiaSemana</v>
      </c>
      <c r="E8" s="42"/>
      <c r="F8" s="42"/>
      <c r="G8" s="41"/>
      <c r="H8" s="43"/>
      <c r="I8" s="41"/>
      <c r="J8" s="42" t="s">
        <v>206</v>
      </c>
      <c r="K8" s="42"/>
    </row>
    <row r="13" spans="1:11" ht="14.25" customHeight="1" x14ac:dyDescent="0.25">
      <c r="I13" s="33"/>
    </row>
    <row r="14" spans="1:11" ht="14.25" customHeight="1" x14ac:dyDescent="0.25">
      <c r="I14" s="351"/>
    </row>
    <row r="15" spans="1:11" ht="14.25" customHeight="1" x14ac:dyDescent="0.25">
      <c r="I15" s="299"/>
    </row>
  </sheetData>
  <mergeCells count="19">
    <mergeCell ref="C1:E1"/>
    <mergeCell ref="J1:K1"/>
    <mergeCell ref="E5:F5"/>
    <mergeCell ref="A1:B1"/>
    <mergeCell ref="E4:F4"/>
    <mergeCell ref="F1:I1"/>
    <mergeCell ref="B3:K3"/>
    <mergeCell ref="I5:I6"/>
    <mergeCell ref="A5:A6"/>
    <mergeCell ref="I14:I15"/>
    <mergeCell ref="G5:H5"/>
    <mergeCell ref="B2:K2"/>
    <mergeCell ref="B5:B6"/>
    <mergeCell ref="D5:D6"/>
    <mergeCell ref="G4:H4"/>
    <mergeCell ref="J5:J6"/>
    <mergeCell ref="B4:C4"/>
    <mergeCell ref="K5:K6"/>
    <mergeCell ref="C5:C6"/>
  </mergeCells>
  <hyperlinks>
    <hyperlink ref="A1" location="'Modelo de Dominio'!A1" display="&lt;&lt; Ir al modelo de dominio" xr:uid="{00000000-0004-0000-0800-000000000000}"/>
    <hyperlink ref="C1" location="'Objetos de Dominio'!A1" display="&lt;&lt; Ir al listado de objetos de dominio" xr:uid="{00000000-0004-0000-0800-000001000000}"/>
    <hyperlink ref="F1" location="'C-DiaSemana'!A1" display="&lt;&lt; Ir a la caracterización del objeto de dominio" xr:uid="{00000000-0004-0000-0800-000002000000}"/>
    <hyperlink ref="J1" location="'M-DiaSemana'!A1" display="Ir al muestreo de datos del objeto de dominio &gt;&gt;" xr:uid="{00000000-0004-0000-0800-000003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0"/>
  <sheetViews>
    <sheetView zoomScaleNormal="100" workbookViewId="0">
      <selection activeCell="B1" sqref="B1"/>
    </sheetView>
  </sheetViews>
  <sheetFormatPr baseColWidth="10" defaultColWidth="8.7109375" defaultRowHeight="15" x14ac:dyDescent="0.25"/>
  <cols>
    <col min="1" max="1" width="27" customWidth="1"/>
    <col min="2" max="2" width="26.140625" customWidth="1"/>
    <col min="3" max="3" width="21.7109375" customWidth="1"/>
  </cols>
  <sheetData>
    <row r="1" spans="1:3" ht="14.25" customHeight="1" x14ac:dyDescent="0.25">
      <c r="A1" s="4" t="s">
        <v>0</v>
      </c>
      <c r="B1" s="4" t="s">
        <v>55</v>
      </c>
    </row>
    <row r="2" spans="1:3" ht="32.25" customHeight="1" x14ac:dyDescent="0.25">
      <c r="A2" s="44" t="s">
        <v>183</v>
      </c>
      <c r="B2" s="44" t="s">
        <v>207</v>
      </c>
      <c r="C2" s="45" t="s">
        <v>208</v>
      </c>
    </row>
    <row r="3" spans="1:3" ht="14.25" customHeight="1" x14ac:dyDescent="0.25">
      <c r="A3" s="46" t="s">
        <v>116</v>
      </c>
      <c r="B3" s="47" t="s">
        <v>187</v>
      </c>
      <c r="C3" s="48" t="s">
        <v>209</v>
      </c>
    </row>
    <row r="4" spans="1:3" ht="14.25" customHeight="1" x14ac:dyDescent="0.25">
      <c r="A4" s="49">
        <v>1</v>
      </c>
      <c r="B4" s="50" t="s">
        <v>210</v>
      </c>
      <c r="C4" s="50" t="str">
        <f t="shared" ref="C4:C11" si="0">B4</f>
        <v>Lunes</v>
      </c>
    </row>
    <row r="5" spans="1:3" ht="14.25" customHeight="1" x14ac:dyDescent="0.25">
      <c r="A5" s="49">
        <v>2</v>
      </c>
      <c r="B5" s="49" t="s">
        <v>211</v>
      </c>
      <c r="C5" s="50" t="str">
        <f t="shared" si="0"/>
        <v>Martes</v>
      </c>
    </row>
    <row r="6" spans="1:3" ht="14.25" customHeight="1" x14ac:dyDescent="0.25">
      <c r="A6" s="49">
        <v>3</v>
      </c>
      <c r="B6" s="50" t="s">
        <v>212</v>
      </c>
      <c r="C6" s="50" t="str">
        <f t="shared" si="0"/>
        <v>Miércoles</v>
      </c>
    </row>
    <row r="7" spans="1:3" ht="14.25" customHeight="1" x14ac:dyDescent="0.25">
      <c r="A7" s="49">
        <v>4</v>
      </c>
      <c r="B7" s="49" t="s">
        <v>213</v>
      </c>
      <c r="C7" s="50" t="str">
        <f t="shared" si="0"/>
        <v>Jueves</v>
      </c>
    </row>
    <row r="8" spans="1:3" ht="14.25" customHeight="1" x14ac:dyDescent="0.25">
      <c r="A8" s="49">
        <v>5</v>
      </c>
      <c r="B8" s="50" t="s">
        <v>214</v>
      </c>
      <c r="C8" s="50" t="str">
        <f t="shared" si="0"/>
        <v>Viernes</v>
      </c>
    </row>
    <row r="9" spans="1:3" ht="14.25" customHeight="1" x14ac:dyDescent="0.25">
      <c r="A9" s="49">
        <v>6</v>
      </c>
      <c r="B9" s="49" t="s">
        <v>215</v>
      </c>
      <c r="C9" s="50" t="str">
        <f t="shared" si="0"/>
        <v>Sábado</v>
      </c>
    </row>
    <row r="10" spans="1:3" ht="14.25" customHeight="1" x14ac:dyDescent="0.25">
      <c r="A10" s="49">
        <v>7</v>
      </c>
      <c r="B10" s="50" t="s">
        <v>216</v>
      </c>
      <c r="C10" s="50" t="str">
        <f t="shared" si="0"/>
        <v>Domingo</v>
      </c>
    </row>
    <row r="11" spans="1:3" ht="14.25" customHeight="1" x14ac:dyDescent="0.25">
      <c r="A11" s="49">
        <v>8</v>
      </c>
      <c r="B11" s="49" t="s">
        <v>217</v>
      </c>
      <c r="C11" s="50" t="str">
        <f t="shared" si="0"/>
        <v>Festivo</v>
      </c>
    </row>
    <row r="12" spans="1:3" ht="14.25" customHeight="1" x14ac:dyDescent="0.25">
      <c r="A12" s="51"/>
      <c r="B12" s="51"/>
    </row>
    <row r="13" spans="1:3" ht="14.25" customHeight="1" x14ac:dyDescent="0.25">
      <c r="A13" s="51"/>
      <c r="B13" s="51"/>
    </row>
    <row r="14" spans="1:3" ht="14.25" customHeight="1" x14ac:dyDescent="0.25">
      <c r="A14" s="51"/>
      <c r="B14" s="51"/>
    </row>
    <row r="15" spans="1:3" ht="14.25" customHeight="1" x14ac:dyDescent="0.25">
      <c r="A15" s="51"/>
      <c r="B15" s="51"/>
    </row>
    <row r="17" spans="1:2" ht="28.5" customHeight="1" x14ac:dyDescent="0.25">
      <c r="A17" s="52"/>
      <c r="B17" s="53" t="s">
        <v>194</v>
      </c>
    </row>
    <row r="18" spans="1:2" ht="28.5" customHeight="1" x14ac:dyDescent="0.25">
      <c r="A18" s="54"/>
      <c r="B18" s="53" t="s">
        <v>195</v>
      </c>
    </row>
    <row r="19" spans="1:2" ht="28.5" customHeight="1" x14ac:dyDescent="0.25">
      <c r="A19" s="55"/>
      <c r="B19" s="53" t="s">
        <v>196</v>
      </c>
    </row>
    <row r="20" spans="1:2" ht="28.5" customHeight="1" x14ac:dyDescent="0.25">
      <c r="A20" s="56"/>
      <c r="B20" s="53" t="s">
        <v>197</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1"/>
  <sheetViews>
    <sheetView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A11</f>
        <v>consultarDepartamentos</v>
      </c>
    </row>
    <row r="3" spans="1:22" ht="45" customHeight="1" x14ac:dyDescent="0.25">
      <c r="A3" s="16" t="str">
        <f>'M-Departamento'!A3</f>
        <v>id</v>
      </c>
      <c r="B3" s="17" t="str">
        <f>'M-Departamento'!A2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83</v>
      </c>
    </row>
    <row r="4" spans="1:22" ht="45" customHeight="1" x14ac:dyDescent="0.25">
      <c r="A4" s="16" t="str">
        <f>'M-Departamento'!B3</f>
        <v>nombre</v>
      </c>
      <c r="B4" s="17" t="str">
        <f>'M-Departamento'!B2</f>
        <v>Representa el nombre del departamento en el que están ubicadas las ciudades donde la barbería puede tener sedes</v>
      </c>
      <c r="C4" s="16" t="s">
        <v>80</v>
      </c>
      <c r="D4" s="16" t="s">
        <v>86</v>
      </c>
      <c r="E4" s="16" t="s">
        <v>77</v>
      </c>
      <c r="F4" s="16">
        <v>4</v>
      </c>
      <c r="G4" s="16">
        <v>60</v>
      </c>
      <c r="H4" s="16" t="s">
        <v>79</v>
      </c>
      <c r="I4" s="16" t="s">
        <v>79</v>
      </c>
      <c r="J4" s="16" t="s">
        <v>79</v>
      </c>
      <c r="K4" s="16" t="s">
        <v>79</v>
      </c>
      <c r="L4" s="16" t="s">
        <v>79</v>
      </c>
      <c r="M4" s="17" t="s">
        <v>218</v>
      </c>
      <c r="N4" s="16" t="s">
        <v>80</v>
      </c>
      <c r="O4" s="16" t="s">
        <v>79</v>
      </c>
      <c r="P4" s="16" t="s">
        <v>79</v>
      </c>
      <c r="Q4" s="16" t="s">
        <v>77</v>
      </c>
      <c r="R4" s="16" t="s">
        <v>77</v>
      </c>
      <c r="S4" s="16" t="s">
        <v>80</v>
      </c>
      <c r="T4" s="16" t="s">
        <v>88</v>
      </c>
      <c r="U4" s="16" t="s">
        <v>80</v>
      </c>
      <c r="V4" s="85" t="s">
        <v>89</v>
      </c>
    </row>
    <row r="6" spans="1:22" ht="15" customHeight="1" x14ac:dyDescent="0.25">
      <c r="A6" s="19" t="s">
        <v>93</v>
      </c>
      <c r="B6" s="19" t="s">
        <v>94</v>
      </c>
      <c r="C6" s="19" t="s">
        <v>95</v>
      </c>
    </row>
    <row r="7" spans="1:22" ht="30" customHeight="1" x14ac:dyDescent="0.25">
      <c r="A7" s="20" t="str">
        <f>'M-Departamento'!C3</f>
        <v>Combinación única</v>
      </c>
      <c r="B7" s="21" t="str">
        <f>'M-Departamento'!C2</f>
        <v>Combinación única que indica que no puede existir más de un departamento con el mismo nombre</v>
      </c>
      <c r="C7" s="22" t="str">
        <f>A4</f>
        <v>nombre</v>
      </c>
    </row>
    <row r="9" spans="1:22" x14ac:dyDescent="0.25">
      <c r="A9" s="320" t="s">
        <v>96</v>
      </c>
      <c r="B9" s="321"/>
      <c r="C9" s="323" t="s">
        <v>94</v>
      </c>
      <c r="D9" s="326"/>
      <c r="E9" s="326"/>
      <c r="F9" s="321"/>
      <c r="G9" s="323" t="s">
        <v>97</v>
      </c>
      <c r="H9" s="290"/>
      <c r="I9" s="291"/>
      <c r="J9" s="323" t="s">
        <v>98</v>
      </c>
      <c r="K9" s="290"/>
      <c r="L9" s="290"/>
      <c r="M9" s="290"/>
      <c r="N9" s="291"/>
      <c r="O9" s="323" t="s">
        <v>99</v>
      </c>
      <c r="P9" s="291"/>
      <c r="Q9" s="323" t="s">
        <v>100</v>
      </c>
      <c r="R9" s="291"/>
    </row>
    <row r="10" spans="1:22" x14ac:dyDescent="0.25">
      <c r="A10" s="322"/>
      <c r="B10" s="312"/>
      <c r="C10" s="310"/>
      <c r="D10" s="311"/>
      <c r="E10" s="311"/>
      <c r="F10" s="312"/>
      <c r="G10" s="3" t="s">
        <v>101</v>
      </c>
      <c r="H10" s="3" t="s">
        <v>59</v>
      </c>
      <c r="I10" s="3" t="s">
        <v>94</v>
      </c>
      <c r="J10" s="3" t="s">
        <v>102</v>
      </c>
      <c r="K10" s="325" t="s">
        <v>94</v>
      </c>
      <c r="L10" s="303"/>
      <c r="M10" s="303"/>
      <c r="N10" s="279"/>
      <c r="O10" s="3" t="s">
        <v>103</v>
      </c>
      <c r="P10" s="3" t="s">
        <v>94</v>
      </c>
      <c r="Q10" s="3" t="s">
        <v>104</v>
      </c>
      <c r="R10" s="23" t="s">
        <v>105</v>
      </c>
    </row>
    <row r="11" spans="1:22" ht="15" customHeight="1" x14ac:dyDescent="0.25">
      <c r="A11" s="328" t="s">
        <v>219</v>
      </c>
      <c r="B11" s="279"/>
      <c r="C11" s="307" t="s">
        <v>220</v>
      </c>
      <c r="D11" s="303"/>
      <c r="E11" s="303"/>
      <c r="F11" s="279"/>
      <c r="G11" s="24"/>
      <c r="H11" s="24"/>
      <c r="I11" s="25"/>
      <c r="J11" s="203" t="s">
        <v>221</v>
      </c>
      <c r="K11" s="307" t="s">
        <v>222</v>
      </c>
      <c r="L11" s="303"/>
      <c r="M11" s="303"/>
      <c r="N11" s="279"/>
      <c r="O11" s="24"/>
      <c r="P11" s="2"/>
      <c r="Q11" s="2"/>
      <c r="R11" s="18"/>
    </row>
  </sheetData>
  <mergeCells count="10">
    <mergeCell ref="Q9:R9"/>
    <mergeCell ref="C11:F11"/>
    <mergeCell ref="O9:P9"/>
    <mergeCell ref="K10:N10"/>
    <mergeCell ref="A9:B10"/>
    <mergeCell ref="J9:N9"/>
    <mergeCell ref="C9:F10"/>
    <mergeCell ref="A11:B11"/>
    <mergeCell ref="K11:N11"/>
    <mergeCell ref="G9:I9"/>
  </mergeCells>
  <hyperlinks>
    <hyperlink ref="A1" location="'Modelo de Dominio'!A1" display="&lt;&lt;&lt;&lt; Ir al modulo de dominio" xr:uid="{00000000-0004-0000-0A00-000000000000}"/>
    <hyperlink ref="B1" location="'Objetos de Dominio'!A1" display="&lt;&lt;&lt;&lt; Ir a objetos de dominio" xr:uid="{00000000-0004-0000-0A00-000001000000}"/>
    <hyperlink ref="V2" location="'C-Departamento'!A11" display="'C-Departamento'!A11" xr:uid="{00000000-0004-0000-0A00-000002000000}"/>
    <hyperlink ref="A3" location="'M-Departamento'!A3" display="'M-Departamento'!A3" xr:uid="{00000000-0004-0000-0A00-000003000000}"/>
    <hyperlink ref="B3" location="'M-Departamento'!A2" display="'M-Departamento'!A2" xr:uid="{00000000-0004-0000-0A00-000004000000}"/>
    <hyperlink ref="A4" location="'M-Departamento'!A3" display="'M-Departamento'!A3" xr:uid="{00000000-0004-0000-0A00-000005000000}"/>
    <hyperlink ref="B4" location="'M-Departamento'!A2" display="'M-Departamento'!A2" xr:uid="{00000000-0004-0000-0A00-000006000000}"/>
    <hyperlink ref="A7" location="'M-Departamento'!A3" display="'M-Departamento'!A3" xr:uid="{00000000-0004-0000-0A00-000007000000}"/>
    <hyperlink ref="B7" location="'M-Departamento'!A2" display="'M-Departamento'!A2" xr:uid="{00000000-0004-0000-0A00-000008000000}"/>
    <hyperlink ref="A11" location="'C-Departamento'!V2" display="consultarDepartamentos" xr:uid="{00000000-0004-0000-0A00-000009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
  <sheetViews>
    <sheetView workbookViewId="0"/>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Dominio'!A5</f>
        <v>Departamento</v>
      </c>
      <c r="C2" s="290"/>
      <c r="D2" s="290"/>
      <c r="E2" s="291"/>
    </row>
    <row r="3" spans="1:5" ht="30" customHeight="1" x14ac:dyDescent="0.25">
      <c r="A3" s="30" t="s">
        <v>140</v>
      </c>
      <c r="B3" s="336" t="str">
        <f>'Objetos de Dominio'!B5</f>
        <v>Representa cada uno de los departamentos del país en los que se encuentran las ciudades donde la barbería puede tener sedes.</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c r="B6" s="332" t="s">
        <v>203</v>
      </c>
      <c r="C6" s="279"/>
      <c r="D6" s="31"/>
      <c r="E6" s="31"/>
    </row>
  </sheetData>
  <mergeCells count="7">
    <mergeCell ref="B2:E2"/>
    <mergeCell ref="B4:C5"/>
    <mergeCell ref="B6:C6"/>
    <mergeCell ref="A4:A5"/>
    <mergeCell ref="D4:D5"/>
    <mergeCell ref="E4:E5"/>
    <mergeCell ref="B3:E3"/>
  </mergeCells>
  <hyperlinks>
    <hyperlink ref="A1" location="'Modelo de Dominio'!A1" display="&lt;&lt; Ir al modelo de dominio" xr:uid="{00000000-0004-0000-0B00-000000000000}"/>
    <hyperlink ref="B1" location="'Objetos de Dominio'!A1" display="&lt;&lt; Ir al listado de objetos de dominio" xr:uid="{00000000-0004-0000-0B00-000001000000}"/>
    <hyperlink ref="C1" location="'C-Departamento'!A1" display="&lt;&lt; Ir a la caracterización del objeto de dominio" xr:uid="{00000000-0004-0000-0B00-000002000000}"/>
    <hyperlink ref="D1" location="'M-Departamento'!A1" display="Ir al muestreo de datos del objeto de dominio &gt;&gt;" xr:uid="{00000000-0004-0000-0B00-000003000000}"/>
    <hyperlink ref="E1" location="'E-Departamento'!A1" display="Ir al event storming del objeto de dominio &gt;&gt;" xr:uid="{00000000-0004-0000-0B00-000004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
  <sheetViews>
    <sheetView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Dominio'!A5</f>
        <v>Departamento</v>
      </c>
      <c r="C2" s="290"/>
      <c r="D2" s="290"/>
      <c r="E2" s="290"/>
      <c r="F2" s="290"/>
      <c r="G2" s="290"/>
      <c r="H2" s="290"/>
      <c r="I2" s="290"/>
      <c r="J2" s="290"/>
      <c r="K2" s="291"/>
    </row>
    <row r="3" spans="1:11" ht="30" customHeight="1" x14ac:dyDescent="0.25">
      <c r="A3" s="30" t="s">
        <v>140</v>
      </c>
      <c r="B3" s="306" t="str">
        <f>'Objetos de Dominio'!B5</f>
        <v>Representa cada uno de los departamentos del país en los que se encuentran las ciudades donde la barbería puede tener sedes.</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168</v>
      </c>
      <c r="B7" s="42" t="s">
        <v>223</v>
      </c>
      <c r="C7" s="42" t="s">
        <v>224</v>
      </c>
      <c r="D7" s="41" t="str">
        <f>$B$2</f>
        <v>Departamento</v>
      </c>
      <c r="E7" s="42"/>
      <c r="F7" s="42"/>
      <c r="G7" s="41"/>
      <c r="H7" s="43"/>
      <c r="I7" s="41"/>
      <c r="J7" s="42" t="s">
        <v>225</v>
      </c>
      <c r="K7" s="42"/>
    </row>
  </sheetData>
  <mergeCells count="18">
    <mergeCell ref="C5:C6"/>
    <mergeCell ref="A5:A6"/>
    <mergeCell ref="G4:H4"/>
    <mergeCell ref="C1:E1"/>
    <mergeCell ref="E4:F4"/>
    <mergeCell ref="F1:I1"/>
    <mergeCell ref="J5:J6"/>
    <mergeCell ref="B4:C4"/>
    <mergeCell ref="B5:B6"/>
    <mergeCell ref="G5:H5"/>
    <mergeCell ref="J1:K1"/>
    <mergeCell ref="E5:F5"/>
    <mergeCell ref="I5:I6"/>
    <mergeCell ref="A1:B1"/>
    <mergeCell ref="B2:K2"/>
    <mergeCell ref="D5:D6"/>
    <mergeCell ref="K5:K6"/>
    <mergeCell ref="B3:K3"/>
  </mergeCells>
  <hyperlinks>
    <hyperlink ref="A1" location="'Modelo de Dominio'!A1" display="&lt;&lt; Ir al modelo de dominio" xr:uid="{00000000-0004-0000-0C00-000000000000}"/>
    <hyperlink ref="C1" location="'Objetos de Dominio'!A1" display="&lt;&lt; Ir al listado de objetos de dominio" xr:uid="{00000000-0004-0000-0C00-000001000000}"/>
    <hyperlink ref="F1" location="'C-Departamento'!A1" display="&lt;&lt; Ir a la caracterización del objeto de dominio" xr:uid="{00000000-0004-0000-0C00-000002000000}"/>
    <hyperlink ref="J1" location="'M-Departamento'!A1" display="Ir al muestreo de datos del objeto de dominio &gt;&gt;" xr:uid="{00000000-0004-0000-0C00-000003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7"/>
  <sheetViews>
    <sheetView zoomScaleNormal="100" workbookViewId="0">
      <selection activeCell="A3" sqref="A3"/>
    </sheetView>
  </sheetViews>
  <sheetFormatPr baseColWidth="10" defaultColWidth="8.7109375" defaultRowHeight="15" x14ac:dyDescent="0.25"/>
  <cols>
    <col min="1" max="1" width="27" customWidth="1"/>
    <col min="2" max="3" width="30" customWidth="1"/>
  </cols>
  <sheetData>
    <row r="1" spans="1:3" x14ac:dyDescent="0.25">
      <c r="A1" s="4" t="s">
        <v>0</v>
      </c>
      <c r="B1" s="4" t="s">
        <v>55</v>
      </c>
    </row>
    <row r="2" spans="1:3" ht="44.25" customHeight="1" x14ac:dyDescent="0.25">
      <c r="A2" s="44" t="s">
        <v>183</v>
      </c>
      <c r="B2" s="44" t="s">
        <v>226</v>
      </c>
      <c r="C2" s="44" t="s">
        <v>227</v>
      </c>
    </row>
    <row r="3" spans="1:3" ht="14.25" customHeight="1" x14ac:dyDescent="0.25">
      <c r="A3" s="46" t="s">
        <v>116</v>
      </c>
      <c r="B3" s="47" t="s">
        <v>187</v>
      </c>
      <c r="C3" s="48" t="s">
        <v>189</v>
      </c>
    </row>
    <row r="4" spans="1:3" x14ac:dyDescent="0.25">
      <c r="A4" s="49">
        <v>1</v>
      </c>
      <c r="B4" s="49" t="s">
        <v>228</v>
      </c>
      <c r="C4" s="49" t="str">
        <f>B4</f>
        <v>Antioquia</v>
      </c>
    </row>
    <row r="5" spans="1:3" x14ac:dyDescent="0.25">
      <c r="A5" s="49">
        <v>2</v>
      </c>
      <c r="B5" s="49" t="s">
        <v>229</v>
      </c>
      <c r="C5" s="49" t="str">
        <f>B5</f>
        <v>Cundinamarca</v>
      </c>
    </row>
    <row r="6" spans="1:3" x14ac:dyDescent="0.25">
      <c r="A6" s="49">
        <v>3</v>
      </c>
      <c r="B6" s="49" t="s">
        <v>230</v>
      </c>
      <c r="C6" s="49" t="str">
        <f>B6</f>
        <v>Valle del Cauca</v>
      </c>
    </row>
    <row r="7" spans="1:3" x14ac:dyDescent="0.25">
      <c r="A7" s="49">
        <v>4</v>
      </c>
      <c r="B7" s="49" t="s">
        <v>231</v>
      </c>
      <c r="C7" s="49" t="str">
        <f>B7</f>
        <v>Atlántico</v>
      </c>
    </row>
    <row r="8" spans="1:3" x14ac:dyDescent="0.25">
      <c r="A8" s="49">
        <v>5</v>
      </c>
      <c r="B8" s="49" t="s">
        <v>232</v>
      </c>
      <c r="C8" s="49" t="str">
        <f>B8</f>
        <v>Santander</v>
      </c>
    </row>
    <row r="14" spans="1:3" ht="30" customHeight="1" x14ac:dyDescent="0.25">
      <c r="A14" s="44"/>
      <c r="B14" s="53" t="s">
        <v>194</v>
      </c>
    </row>
    <row r="15" spans="1:3" ht="30" customHeight="1" x14ac:dyDescent="0.25">
      <c r="A15" s="46"/>
      <c r="B15" s="53" t="s">
        <v>195</v>
      </c>
    </row>
    <row r="16" spans="1:3" ht="30" customHeight="1" x14ac:dyDescent="0.25">
      <c r="A16" s="47"/>
      <c r="B16" s="53" t="s">
        <v>233</v>
      </c>
    </row>
    <row r="17" spans="1:2" ht="30" customHeight="1" x14ac:dyDescent="0.25">
      <c r="A17" s="48"/>
      <c r="B17" s="53" t="s">
        <v>197</v>
      </c>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5"/>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2" width="24.28515625" customWidth="1"/>
    <col min="23" max="23" width="12.85546875" customWidth="1"/>
    <col min="24" max="24" width="14.5703125" customWidth="1"/>
    <col min="25" max="25" width="19.5703125" customWidth="1"/>
  </cols>
  <sheetData>
    <row r="1" spans="1:25" ht="15" customHeight="1" x14ac:dyDescent="0.25">
      <c r="A1" s="4" t="s">
        <v>0</v>
      </c>
      <c r="B1" s="4" t="s">
        <v>55</v>
      </c>
    </row>
    <row r="2" spans="1:25"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57" t="str">
        <f>A12</f>
        <v>consultarTodosLosEstados</v>
      </c>
      <c r="W2" s="58" t="str">
        <f>A13</f>
        <v>editarDescripcion</v>
      </c>
      <c r="X2" s="58" t="s">
        <v>234</v>
      </c>
      <c r="Y2" s="59" t="str">
        <f>A15</f>
        <v>consultarDescripcion</v>
      </c>
    </row>
    <row r="3" spans="1:25" ht="45" customHeight="1" x14ac:dyDescent="0.25">
      <c r="A3" s="16" t="str">
        <f>'M-Estado'!A3</f>
        <v>id</v>
      </c>
      <c r="B3" s="17" t="str">
        <f>'M-Estado'!A2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79</v>
      </c>
      <c r="T3" s="16" t="s">
        <v>81</v>
      </c>
      <c r="U3" s="16" t="s">
        <v>77</v>
      </c>
      <c r="V3" s="24" t="s">
        <v>83</v>
      </c>
      <c r="W3" s="60" t="s">
        <v>84</v>
      </c>
      <c r="X3" s="60" t="s">
        <v>85</v>
      </c>
      <c r="Y3" s="61" t="s">
        <v>83</v>
      </c>
    </row>
    <row r="4" spans="1:25" ht="45" customHeight="1" x14ac:dyDescent="0.25">
      <c r="A4" s="16" t="str">
        <f>'M-Estado'!B3</f>
        <v>nombre</v>
      </c>
      <c r="B4" s="17" t="str">
        <f>'M-Estado'!B2</f>
        <v>Representa como se llama el estado en el que se encuentra una cita puntual</v>
      </c>
      <c r="C4" s="16" t="s">
        <v>80</v>
      </c>
      <c r="D4" s="16" t="s">
        <v>86</v>
      </c>
      <c r="E4" s="16" t="s">
        <v>77</v>
      </c>
      <c r="F4" s="16">
        <v>4</v>
      </c>
      <c r="G4" s="16">
        <v>50</v>
      </c>
      <c r="H4" s="16" t="s">
        <v>79</v>
      </c>
      <c r="I4" s="16" t="s">
        <v>79</v>
      </c>
      <c r="J4" s="16" t="s">
        <v>79</v>
      </c>
      <c r="K4" s="16" t="s">
        <v>79</v>
      </c>
      <c r="L4" s="16" t="s">
        <v>79</v>
      </c>
      <c r="M4" s="17" t="s">
        <v>235</v>
      </c>
      <c r="N4" s="16" t="s">
        <v>80</v>
      </c>
      <c r="O4" s="16" t="s">
        <v>79</v>
      </c>
      <c r="P4" s="16" t="s">
        <v>79</v>
      </c>
      <c r="Q4" s="16" t="s">
        <v>77</v>
      </c>
      <c r="R4" s="16" t="s">
        <v>77</v>
      </c>
      <c r="S4" s="16" t="s">
        <v>80</v>
      </c>
      <c r="T4" s="16" t="s">
        <v>88</v>
      </c>
      <c r="U4" s="16" t="s">
        <v>80</v>
      </c>
      <c r="V4" s="24" t="s">
        <v>89</v>
      </c>
      <c r="W4" s="60" t="s">
        <v>82</v>
      </c>
      <c r="X4" s="60" t="s">
        <v>85</v>
      </c>
      <c r="Y4" s="61" t="s">
        <v>83</v>
      </c>
    </row>
    <row r="5" spans="1:25" ht="60" customHeight="1" x14ac:dyDescent="0.25">
      <c r="A5" s="16" t="str">
        <f>'M-Estado'!C3</f>
        <v>descripcion</v>
      </c>
      <c r="B5" s="17" t="str">
        <f>'M-Estado'!C2</f>
        <v>Representa el significado de que representa cada estado para la cita</v>
      </c>
      <c r="C5" s="16" t="s">
        <v>80</v>
      </c>
      <c r="D5" s="16" t="s">
        <v>86</v>
      </c>
      <c r="E5" s="16" t="s">
        <v>77</v>
      </c>
      <c r="F5" s="16">
        <v>10</v>
      </c>
      <c r="G5" s="16">
        <v>300</v>
      </c>
      <c r="H5" s="16" t="s">
        <v>79</v>
      </c>
      <c r="I5" s="16" t="s">
        <v>79</v>
      </c>
      <c r="J5" s="16" t="s">
        <v>79</v>
      </c>
      <c r="K5" s="16" t="s">
        <v>79</v>
      </c>
      <c r="L5" s="16" t="s">
        <v>79</v>
      </c>
      <c r="M5" s="17" t="s">
        <v>236</v>
      </c>
      <c r="N5" s="16" t="s">
        <v>80</v>
      </c>
      <c r="O5" s="16" t="s">
        <v>79</v>
      </c>
      <c r="P5" s="16" t="s">
        <v>79</v>
      </c>
      <c r="Q5" s="16" t="s">
        <v>77</v>
      </c>
      <c r="R5" s="16" t="s">
        <v>77</v>
      </c>
      <c r="S5" s="16" t="s">
        <v>80</v>
      </c>
      <c r="T5" s="16" t="s">
        <v>88</v>
      </c>
      <c r="U5" s="16" t="s">
        <v>80</v>
      </c>
      <c r="V5" s="24" t="s">
        <v>83</v>
      </c>
      <c r="W5" s="60" t="s">
        <v>84</v>
      </c>
      <c r="X5" s="60" t="s">
        <v>90</v>
      </c>
      <c r="Y5" s="61" t="s">
        <v>89</v>
      </c>
    </row>
    <row r="7" spans="1:25" ht="15" customHeight="1" x14ac:dyDescent="0.25">
      <c r="A7" s="19" t="s">
        <v>93</v>
      </c>
      <c r="B7" s="19" t="s">
        <v>94</v>
      </c>
      <c r="C7" s="19" t="s">
        <v>95</v>
      </c>
    </row>
    <row r="8" spans="1:25" ht="45" customHeight="1" x14ac:dyDescent="0.25">
      <c r="A8" s="20" t="str">
        <f>'M-Estado'!D3</f>
        <v xml:space="preserve">Combinación única </v>
      </c>
      <c r="B8" s="21" t="str">
        <f>'M-Estado'!D2</f>
        <v>Combinacion única que indica que no puede existir más un dia de la semana con el mismo nombre</v>
      </c>
      <c r="C8" s="22" t="s">
        <v>187</v>
      </c>
    </row>
    <row r="10" spans="1:25" x14ac:dyDescent="0.25">
      <c r="A10" s="320" t="s">
        <v>96</v>
      </c>
      <c r="B10" s="321"/>
      <c r="C10" s="323" t="s">
        <v>94</v>
      </c>
      <c r="D10" s="326"/>
      <c r="E10" s="326"/>
      <c r="F10" s="321"/>
      <c r="G10" s="323" t="s">
        <v>97</v>
      </c>
      <c r="H10" s="290"/>
      <c r="I10" s="291"/>
      <c r="J10" s="323" t="s">
        <v>98</v>
      </c>
      <c r="K10" s="290"/>
      <c r="L10" s="290"/>
      <c r="M10" s="290"/>
      <c r="N10" s="291"/>
      <c r="O10" s="323" t="s">
        <v>99</v>
      </c>
      <c r="P10" s="291"/>
      <c r="Q10" s="323" t="s">
        <v>100</v>
      </c>
      <c r="R10" s="291"/>
    </row>
    <row r="11" spans="1:25" x14ac:dyDescent="0.25">
      <c r="A11" s="322"/>
      <c r="B11" s="312"/>
      <c r="C11" s="310"/>
      <c r="D11" s="311"/>
      <c r="E11" s="311"/>
      <c r="F11" s="312"/>
      <c r="G11" s="3" t="s">
        <v>101</v>
      </c>
      <c r="H11" s="3" t="s">
        <v>59</v>
      </c>
      <c r="I11" s="3" t="s">
        <v>94</v>
      </c>
      <c r="J11" s="3" t="s">
        <v>102</v>
      </c>
      <c r="K11" s="325" t="s">
        <v>94</v>
      </c>
      <c r="L11" s="303"/>
      <c r="M11" s="303"/>
      <c r="N11" s="279"/>
      <c r="O11" s="3" t="s">
        <v>103</v>
      </c>
      <c r="P11" s="3" t="s">
        <v>94</v>
      </c>
      <c r="Q11" s="3" t="s">
        <v>104</v>
      </c>
      <c r="R11" s="3" t="s">
        <v>105</v>
      </c>
    </row>
    <row r="12" spans="1:25" ht="42" customHeight="1" x14ac:dyDescent="0.25">
      <c r="A12" s="355" t="s">
        <v>237</v>
      </c>
      <c r="B12" s="279"/>
      <c r="C12" s="307" t="s">
        <v>238</v>
      </c>
      <c r="D12" s="303"/>
      <c r="E12" s="303"/>
      <c r="F12" s="279"/>
      <c r="G12" s="24"/>
      <c r="H12" s="24"/>
      <c r="I12" s="25"/>
      <c r="J12" s="62" t="s">
        <v>239</v>
      </c>
      <c r="K12" s="307" t="s">
        <v>240</v>
      </c>
      <c r="L12" s="303"/>
      <c r="M12" s="303"/>
      <c r="N12" s="279"/>
      <c r="O12" s="24"/>
      <c r="P12" s="2"/>
      <c r="Q12" s="2"/>
      <c r="R12" s="24"/>
    </row>
    <row r="13" spans="1:25" ht="54.75" customHeight="1" x14ac:dyDescent="0.25">
      <c r="A13" s="357" t="s">
        <v>241</v>
      </c>
      <c r="B13" s="309"/>
      <c r="C13" s="353" t="s">
        <v>242</v>
      </c>
      <c r="D13" s="308"/>
      <c r="E13" s="308"/>
      <c r="F13" s="309"/>
      <c r="G13" s="60" t="s">
        <v>116</v>
      </c>
      <c r="H13" s="60" t="s">
        <v>117</v>
      </c>
      <c r="I13" s="64" t="s">
        <v>243</v>
      </c>
      <c r="J13" s="356"/>
      <c r="K13" s="353" t="s">
        <v>244</v>
      </c>
      <c r="L13" s="308"/>
      <c r="M13" s="308"/>
      <c r="N13" s="309"/>
      <c r="O13" s="60" t="str">
        <f>'P-Estado'!A7</f>
        <v>P-EST-0002</v>
      </c>
      <c r="P13" s="63" t="str">
        <f>'P-Estado'!B7</f>
        <v>Asegurar que exista el estado con el id enviado</v>
      </c>
      <c r="Q13" s="65" t="s">
        <v>245</v>
      </c>
      <c r="R13" s="66" t="s">
        <v>246</v>
      </c>
    </row>
    <row r="14" spans="1:25" ht="60" customHeight="1" x14ac:dyDescent="0.25">
      <c r="A14" s="310"/>
      <c r="B14" s="312"/>
      <c r="C14" s="310"/>
      <c r="D14" s="311"/>
      <c r="E14" s="311"/>
      <c r="F14" s="312"/>
      <c r="G14" s="60" t="s">
        <v>247</v>
      </c>
      <c r="H14" s="60" t="s">
        <v>18</v>
      </c>
      <c r="I14" s="64" t="s">
        <v>248</v>
      </c>
      <c r="J14" s="281"/>
      <c r="K14" s="310"/>
      <c r="L14" s="311"/>
      <c r="M14" s="311"/>
      <c r="N14" s="312"/>
      <c r="O14" s="60" t="str">
        <f>'P-Estado'!A6</f>
        <v>P-EST-0001</v>
      </c>
      <c r="P14" s="63" t="str">
        <f>'P-Estado'!B6</f>
        <v>Asegurar que los datos requeridos (descripción) sean válidos en tipo de dato, longitud, formato y rango</v>
      </c>
      <c r="Q14" s="63" t="s">
        <v>249</v>
      </c>
      <c r="R14" s="60" t="s">
        <v>112</v>
      </c>
    </row>
    <row r="15" spans="1:25" ht="45" customHeight="1" x14ac:dyDescent="0.25">
      <c r="A15" s="354" t="s">
        <v>250</v>
      </c>
      <c r="B15" s="279"/>
      <c r="C15" s="352" t="s">
        <v>251</v>
      </c>
      <c r="D15" s="303"/>
      <c r="E15" s="303"/>
      <c r="F15" s="279"/>
      <c r="G15" s="61" t="s">
        <v>128</v>
      </c>
      <c r="H15" s="61" t="s">
        <v>18</v>
      </c>
      <c r="I15" s="68" t="s">
        <v>252</v>
      </c>
      <c r="J15" s="69" t="s">
        <v>86</v>
      </c>
      <c r="K15" s="352" t="s">
        <v>253</v>
      </c>
      <c r="L15" s="303"/>
      <c r="M15" s="303"/>
      <c r="N15" s="279"/>
      <c r="O15" s="61" t="str">
        <f>'P-Estado'!A7</f>
        <v>P-EST-0002</v>
      </c>
      <c r="P15" s="67" t="str">
        <f>'P-Estado'!B7</f>
        <v>Asegurar que exista el estado con el id enviado</v>
      </c>
      <c r="Q15" s="67" t="s">
        <v>254</v>
      </c>
      <c r="R15" s="61" t="s">
        <v>246</v>
      </c>
    </row>
  </sheetData>
  <mergeCells count="17">
    <mergeCell ref="A15:B15"/>
    <mergeCell ref="A10:B11"/>
    <mergeCell ref="A12:B12"/>
    <mergeCell ref="C13:F14"/>
    <mergeCell ref="J13:J14"/>
    <mergeCell ref="G10:I10"/>
    <mergeCell ref="A13:B14"/>
    <mergeCell ref="Q10:R10"/>
    <mergeCell ref="J10:N10"/>
    <mergeCell ref="C15:F15"/>
    <mergeCell ref="K12:N12"/>
    <mergeCell ref="K15:N15"/>
    <mergeCell ref="C10:F11"/>
    <mergeCell ref="O10:P10"/>
    <mergeCell ref="C12:F12"/>
    <mergeCell ref="K13:N14"/>
    <mergeCell ref="K11:N11"/>
  </mergeCells>
  <hyperlinks>
    <hyperlink ref="A1" location="'Modelo de Dominio'!A1" display="&lt;&lt;&lt;&lt; Ir al modulo de dominio" xr:uid="{00000000-0004-0000-0E00-000000000000}"/>
    <hyperlink ref="B1" location="'Objetos de Dominio'!A1" display="&lt;&lt;&lt;&lt; Ir a objetos de dominio" xr:uid="{00000000-0004-0000-0E00-000001000000}"/>
    <hyperlink ref="V2" location="'C-Estado'!A12" display="#'C-Estado'.A12" xr:uid="{00000000-0004-0000-0E00-000002000000}"/>
    <hyperlink ref="W2" location="'C-Estado'!A13" display="#'C-Estado'.A13" xr:uid="{00000000-0004-0000-0E00-000003000000}"/>
    <hyperlink ref="X2" location="'C-Estado'!A13" display="'C-Estado'!A13" xr:uid="{00000000-0004-0000-0E00-000004000000}"/>
    <hyperlink ref="Y2" location="'C-Estado'!A15" display="#'C-Estado'.A15" xr:uid="{00000000-0004-0000-0E00-000005000000}"/>
    <hyperlink ref="A3" location="'M-Estado'!A3" display="#'M-Estado'.A3" xr:uid="{00000000-0004-0000-0E00-000006000000}"/>
    <hyperlink ref="B3" location="'M-Estado'!A2" display="#'M-Estado'.A2" xr:uid="{00000000-0004-0000-0E00-000007000000}"/>
    <hyperlink ref="A4" location="'M-Estado'!A3" display="#'M-Estado'.A3" xr:uid="{00000000-0004-0000-0E00-000008000000}"/>
    <hyperlink ref="B4" location="'M-Estado'!A2" display="#'M-Estado'.A2" xr:uid="{00000000-0004-0000-0E00-000009000000}"/>
    <hyperlink ref="A5" location="'M-Estado'!A3" display="#'M-Estado'.A3" xr:uid="{00000000-0004-0000-0E00-00000A000000}"/>
    <hyperlink ref="B5" location="'M-Estado'!A2" display="#'M-Estado'.A2" xr:uid="{00000000-0004-0000-0E00-00000B000000}"/>
    <hyperlink ref="A8" location="'M-Estado'!A3" display="#'M-Estado'.A3" xr:uid="{00000000-0004-0000-0E00-00000C000000}"/>
    <hyperlink ref="B8" location="'M-Estado'!A2" display="#'M-Estado'.A2" xr:uid="{00000000-0004-0000-0E00-00000D000000}"/>
    <hyperlink ref="A12" location="'C-Estado'!V2" display="consultarTodosLosEstados" xr:uid="{00000000-0004-0000-0E00-00000E000000}"/>
    <hyperlink ref="A13" location="'C-Estado'!W2" display="editarDescripcion" xr:uid="{00000000-0004-0000-0E00-00000F000000}"/>
    <hyperlink ref="A15" location="'C-Estado'!Y2" display="consultarDescripcion" xr:uid="{00000000-0004-0000-0E00-000010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7"/>
  <sheetViews>
    <sheetView showGridLines="0" zoomScaleNormal="100" workbookViewId="0">
      <selection activeCell="D17" sqref="D17"/>
    </sheetView>
  </sheetViews>
  <sheetFormatPr baseColWidth="10" defaultColWidth="8.7109375" defaultRowHeight="15" x14ac:dyDescent="0.25"/>
  <cols>
    <col min="1" max="1" width="20.7109375" customWidth="1"/>
    <col min="2" max="2" width="29.140625" customWidth="1"/>
    <col min="3" max="3" width="36.28515625" customWidth="1"/>
    <col min="4" max="4" width="37.140625"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Dominio'!A6</f>
        <v>Estado</v>
      </c>
      <c r="C2" s="290"/>
      <c r="D2" s="290"/>
      <c r="E2" s="291"/>
    </row>
    <row r="3" spans="1:5" ht="30" customHeight="1" x14ac:dyDescent="0.25">
      <c r="A3" s="30" t="s">
        <v>140</v>
      </c>
      <c r="B3" s="336" t="str">
        <f>'Objetos de Dominio'!B6</f>
        <v>Representa en qué situación puntual se encuentra una cita: agendada, finalizada, cancelada por alguna de las partes, con tardanza del cliente o del barbero, o con inasistencia del cliente.</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255</v>
      </c>
      <c r="B6" s="348" t="s">
        <v>256</v>
      </c>
      <c r="C6" s="279"/>
      <c r="D6" s="31" t="s">
        <v>18</v>
      </c>
      <c r="E6" s="31"/>
    </row>
    <row r="7" spans="1:5" ht="15" customHeight="1" x14ac:dyDescent="0.25">
      <c r="A7" s="8" t="s">
        <v>257</v>
      </c>
      <c r="B7" s="348" t="s">
        <v>258</v>
      </c>
      <c r="C7" s="279"/>
      <c r="D7" s="31" t="s">
        <v>18</v>
      </c>
      <c r="E7" s="31"/>
    </row>
  </sheetData>
  <mergeCells count="8">
    <mergeCell ref="B3:E3"/>
    <mergeCell ref="B2:E2"/>
    <mergeCell ref="B4:C5"/>
    <mergeCell ref="B6:C6"/>
    <mergeCell ref="B7:C7"/>
    <mergeCell ref="A4:A5"/>
    <mergeCell ref="D4:D5"/>
    <mergeCell ref="E4:E5"/>
  </mergeCells>
  <hyperlinks>
    <hyperlink ref="A1" location="'Modelo de Dominio'!A1" display="&lt;&lt; Ir al modelo de dominio" xr:uid="{00000000-0004-0000-0F00-000000000000}"/>
    <hyperlink ref="B1" location="'Objetos de Dominio'!A1" display="&lt;&lt; Ir al listado de objetos de dominio" xr:uid="{00000000-0004-0000-0F00-000001000000}"/>
    <hyperlink ref="C1" location="'C-Estado'!A1" display="&lt;&lt; Ir a la caracterización del objeto de dominio" xr:uid="{00000000-0004-0000-0F00-000002000000}"/>
    <hyperlink ref="D1" location="'M-Estado'!A1" display="Ir al muestreo de datos del objeto de dominio &gt;&gt;" xr:uid="{00000000-0004-0000-0F00-000003000000}"/>
    <hyperlink ref="E1" location="'E-Estado'!A1" display="Ir al event storming del objeto de dominio &gt;&gt;" xr:uid="{00000000-0004-0000-0F00-000004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3"/>
  <sheetViews>
    <sheetView showGridLines="0" zoomScaleNormal="100" workbookViewId="0">
      <selection activeCell="C16" sqref="C16"/>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0.140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Dominio'!A6</f>
        <v>Estado</v>
      </c>
      <c r="C2" s="290"/>
      <c r="D2" s="290"/>
      <c r="E2" s="290"/>
      <c r="F2" s="290"/>
      <c r="G2" s="290"/>
      <c r="H2" s="290"/>
      <c r="I2" s="290"/>
      <c r="J2" s="290"/>
      <c r="K2" s="291"/>
    </row>
    <row r="3" spans="1:11" ht="30" customHeight="1" x14ac:dyDescent="0.25">
      <c r="A3" s="72" t="s">
        <v>140</v>
      </c>
      <c r="B3" s="302" t="str">
        <f>'Objetos de Dominio'!B6</f>
        <v>Representa en qué situación puntual se encuentra una cita: agendada, finalizada, cancelada por alguna de las partes, con tardanza del cliente o del barbero, o con inasistencia del cliente.</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168</v>
      </c>
      <c r="B7" s="42" t="s">
        <v>259</v>
      </c>
      <c r="C7" s="42" t="s">
        <v>238</v>
      </c>
      <c r="D7" s="41" t="str">
        <f t="shared" ref="D7:D13" si="0">$B$2</f>
        <v>Estado</v>
      </c>
      <c r="E7" s="42"/>
      <c r="F7" s="42"/>
      <c r="G7" s="41"/>
      <c r="H7" s="43"/>
      <c r="I7" s="41"/>
      <c r="J7" s="42" t="s">
        <v>260</v>
      </c>
      <c r="K7" s="42"/>
    </row>
    <row r="8" spans="1:11" ht="30" customHeight="1" x14ac:dyDescent="0.25">
      <c r="A8" s="41" t="s">
        <v>32</v>
      </c>
      <c r="B8" s="42" t="s">
        <v>259</v>
      </c>
      <c r="C8" s="42" t="s">
        <v>238</v>
      </c>
      <c r="D8" s="41" t="str">
        <f t="shared" si="0"/>
        <v>Estado</v>
      </c>
      <c r="E8" s="42"/>
      <c r="F8" s="42"/>
      <c r="G8" s="41"/>
      <c r="H8" s="43"/>
      <c r="I8" s="41"/>
      <c r="J8" s="42" t="s">
        <v>260</v>
      </c>
      <c r="K8" s="42"/>
    </row>
    <row r="9" spans="1:11" ht="30" customHeight="1" x14ac:dyDescent="0.25">
      <c r="A9" s="41" t="s">
        <v>26</v>
      </c>
      <c r="B9" s="42" t="s">
        <v>259</v>
      </c>
      <c r="C9" s="42" t="s">
        <v>238</v>
      </c>
      <c r="D9" s="41" t="str">
        <f t="shared" si="0"/>
        <v>Estado</v>
      </c>
      <c r="E9" s="42"/>
      <c r="F9" s="42"/>
      <c r="G9" s="41"/>
      <c r="H9" s="43"/>
      <c r="I9" s="41"/>
      <c r="J9" s="42" t="s">
        <v>260</v>
      </c>
      <c r="K9" s="42"/>
    </row>
    <row r="10" spans="1:11" ht="42.75" customHeight="1" x14ac:dyDescent="0.25">
      <c r="A10" s="41" t="s">
        <v>168</v>
      </c>
      <c r="B10" s="42" t="s">
        <v>261</v>
      </c>
      <c r="C10" s="42" t="s">
        <v>242</v>
      </c>
      <c r="D10" s="41" t="str">
        <f t="shared" si="0"/>
        <v>Estado</v>
      </c>
      <c r="E10" s="42"/>
      <c r="F10" s="42"/>
      <c r="G10" s="75" t="str">
        <f>'P-Estado'!A6</f>
        <v>P-EST-0001</v>
      </c>
      <c r="H10" s="76" t="str">
        <f>'P-Estado'!B6</f>
        <v>Asegurar que los datos requeridos (descripción) sean válidos en tipo de dato, longitud, formato y rango</v>
      </c>
      <c r="I10" s="41"/>
      <c r="J10" s="42" t="s">
        <v>262</v>
      </c>
      <c r="K10" s="42"/>
    </row>
    <row r="11" spans="1:11" ht="27" customHeight="1" x14ac:dyDescent="0.25">
      <c r="A11" s="41" t="s">
        <v>168</v>
      </c>
      <c r="B11" s="42" t="s">
        <v>263</v>
      </c>
      <c r="C11" s="42" t="s">
        <v>251</v>
      </c>
      <c r="D11" s="41" t="str">
        <f t="shared" si="0"/>
        <v>Estado</v>
      </c>
      <c r="E11" s="42"/>
      <c r="F11" s="42"/>
      <c r="G11" s="41"/>
      <c r="H11" s="43"/>
      <c r="I11" s="41"/>
      <c r="J11" s="42" t="s">
        <v>264</v>
      </c>
      <c r="K11" s="42"/>
    </row>
    <row r="12" spans="1:11" ht="27" customHeight="1" x14ac:dyDescent="0.25">
      <c r="A12" s="41" t="s">
        <v>32</v>
      </c>
      <c r="B12" s="42" t="s">
        <v>263</v>
      </c>
      <c r="C12" s="42" t="s">
        <v>251</v>
      </c>
      <c r="D12" s="41" t="str">
        <f t="shared" si="0"/>
        <v>Estado</v>
      </c>
      <c r="E12" s="42"/>
      <c r="F12" s="42"/>
      <c r="G12" s="41"/>
      <c r="H12" s="43"/>
      <c r="I12" s="41"/>
      <c r="J12" s="42" t="s">
        <v>264</v>
      </c>
      <c r="K12" s="42"/>
    </row>
    <row r="13" spans="1:11" ht="27" customHeight="1" x14ac:dyDescent="0.25">
      <c r="A13" s="41" t="s">
        <v>26</v>
      </c>
      <c r="B13" s="42" t="s">
        <v>263</v>
      </c>
      <c r="C13" s="42" t="s">
        <v>251</v>
      </c>
      <c r="D13" s="41" t="str">
        <f t="shared" si="0"/>
        <v>Estado</v>
      </c>
      <c r="E13" s="42"/>
      <c r="F13" s="42"/>
      <c r="G13" s="41"/>
      <c r="H13" s="43"/>
      <c r="I13" s="41"/>
      <c r="J13" s="42" t="s">
        <v>264</v>
      </c>
      <c r="K13" s="42"/>
    </row>
  </sheetData>
  <mergeCells count="18">
    <mergeCell ref="D5:D6"/>
    <mergeCell ref="A5:A6"/>
    <mergeCell ref="G4:H4"/>
    <mergeCell ref="E4:F4"/>
    <mergeCell ref="C1:E1"/>
    <mergeCell ref="F1:I1"/>
    <mergeCell ref="J5:J6"/>
    <mergeCell ref="B4:C4"/>
    <mergeCell ref="B5:B6"/>
    <mergeCell ref="G5:H5"/>
    <mergeCell ref="J1:K1"/>
    <mergeCell ref="E5:F5"/>
    <mergeCell ref="I5:I6"/>
    <mergeCell ref="C5:C6"/>
    <mergeCell ref="A1:B1"/>
    <mergeCell ref="B2:K2"/>
    <mergeCell ref="K5:K6"/>
    <mergeCell ref="B3:K3"/>
  </mergeCells>
  <hyperlinks>
    <hyperlink ref="A1" location="'Modelo de Dominio'!A1" display="&lt;&lt; Ir al modelo de dominio" xr:uid="{00000000-0004-0000-1000-000000000000}"/>
    <hyperlink ref="C1" location="'Objetos de Dominio'!A1" display="&lt;&lt; Ir al listado de objetos de dominio" xr:uid="{00000000-0004-0000-1000-000001000000}"/>
    <hyperlink ref="F1" location="'C-Estado'!A1" display="&lt;&lt; Ir a la caracterización del objeto de dominio" xr:uid="{00000000-0004-0000-1000-000002000000}"/>
    <hyperlink ref="J1" location="'M-Estado'!A1" display="Ir al muestreo de datos del objeto de dominio &gt;&gt;" xr:uid="{00000000-0004-0000-1000-000003000000}"/>
    <hyperlink ref="G10" location="'P-Estado'!A6" display="#'P-Estado'.A6" xr:uid="{00000000-0004-0000-1000-000004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0"/>
  <sheetViews>
    <sheetView zoomScaleNormal="100" workbookViewId="0">
      <selection activeCell="B1" sqref="B1"/>
    </sheetView>
  </sheetViews>
  <sheetFormatPr baseColWidth="10" defaultColWidth="8.7109375" defaultRowHeight="15" x14ac:dyDescent="0.25"/>
  <cols>
    <col min="1" max="1" width="27" customWidth="1"/>
    <col min="2" max="2" width="26.140625" customWidth="1"/>
    <col min="3" max="3" width="49.140625" customWidth="1"/>
    <col min="4" max="4" width="23.28515625" customWidth="1"/>
  </cols>
  <sheetData>
    <row r="1" spans="1:4" ht="14.25" customHeight="1" x14ac:dyDescent="0.25">
      <c r="A1" s="4" t="s">
        <v>0</v>
      </c>
      <c r="B1" s="4" t="s">
        <v>55</v>
      </c>
      <c r="C1" s="77"/>
    </row>
    <row r="2" spans="1:4" ht="39" customHeight="1" x14ac:dyDescent="0.25">
      <c r="A2" s="44" t="s">
        <v>183</v>
      </c>
      <c r="B2" s="44" t="s">
        <v>265</v>
      </c>
      <c r="C2" s="44" t="s">
        <v>266</v>
      </c>
      <c r="D2" s="45" t="s">
        <v>208</v>
      </c>
    </row>
    <row r="3" spans="1:4" ht="14.25" customHeight="1" x14ac:dyDescent="0.25">
      <c r="A3" s="46" t="s">
        <v>116</v>
      </c>
      <c r="B3" s="47" t="s">
        <v>187</v>
      </c>
      <c r="C3" s="47" t="s">
        <v>267</v>
      </c>
      <c r="D3" s="48" t="s">
        <v>209</v>
      </c>
    </row>
    <row r="4" spans="1:4" ht="28.5" customHeight="1" x14ac:dyDescent="0.25">
      <c r="A4" s="49">
        <v>1</v>
      </c>
      <c r="B4" s="50" t="s">
        <v>268</v>
      </c>
      <c r="C4" s="78" t="s">
        <v>269</v>
      </c>
      <c r="D4" s="50" t="str">
        <f t="shared" ref="D4:D11" si="0">B4</f>
        <v>Agendada</v>
      </c>
    </row>
    <row r="5" spans="1:4" ht="28.5" customHeight="1" x14ac:dyDescent="0.25">
      <c r="A5" s="49">
        <v>2</v>
      </c>
      <c r="B5" s="49" t="s">
        <v>270</v>
      </c>
      <c r="C5" s="79" t="s">
        <v>271</v>
      </c>
      <c r="D5" s="50" t="str">
        <f t="shared" si="0"/>
        <v>Finalizada</v>
      </c>
    </row>
    <row r="6" spans="1:4" ht="28.5" customHeight="1" x14ac:dyDescent="0.25">
      <c r="A6" s="49">
        <v>3</v>
      </c>
      <c r="B6" s="49" t="s">
        <v>272</v>
      </c>
      <c r="C6" s="79" t="s">
        <v>273</v>
      </c>
      <c r="D6" s="50" t="str">
        <f t="shared" si="0"/>
        <v>Cancelada por el cliente</v>
      </c>
    </row>
    <row r="7" spans="1:4" ht="28.5" customHeight="1" x14ac:dyDescent="0.25">
      <c r="A7" s="49">
        <v>4</v>
      </c>
      <c r="B7" s="49" t="s">
        <v>274</v>
      </c>
      <c r="C7" s="79" t="s">
        <v>275</v>
      </c>
      <c r="D7" s="50" t="str">
        <f t="shared" si="0"/>
        <v>Cancelada por el barbero</v>
      </c>
    </row>
    <row r="8" spans="1:4" ht="42.75" customHeight="1" x14ac:dyDescent="0.25">
      <c r="A8" s="49">
        <v>5</v>
      </c>
      <c r="B8" s="49" t="s">
        <v>276</v>
      </c>
      <c r="C8" s="79" t="s">
        <v>277</v>
      </c>
      <c r="D8" s="50" t="str">
        <f t="shared" si="0"/>
        <v>El cliente se demoro</v>
      </c>
    </row>
    <row r="9" spans="1:4" ht="60" x14ac:dyDescent="0.25">
      <c r="A9" s="49">
        <v>6</v>
      </c>
      <c r="B9" s="49" t="s">
        <v>278</v>
      </c>
      <c r="C9" s="79" t="s">
        <v>279</v>
      </c>
      <c r="D9" s="50" t="str">
        <f t="shared" si="0"/>
        <v>El barbero se demoro</v>
      </c>
    </row>
    <row r="10" spans="1:4" ht="60" x14ac:dyDescent="0.25">
      <c r="A10" s="49">
        <v>7</v>
      </c>
      <c r="B10" s="49" t="s">
        <v>280</v>
      </c>
      <c r="C10" s="79" t="s">
        <v>281</v>
      </c>
      <c r="D10" s="50" t="str">
        <f t="shared" si="0"/>
        <v>Inasistencia del cliente</v>
      </c>
    </row>
    <row r="11" spans="1:4" ht="75" x14ac:dyDescent="0.25">
      <c r="A11" s="49">
        <v>8</v>
      </c>
      <c r="B11" s="49" t="s">
        <v>282</v>
      </c>
      <c r="C11" s="79" t="s">
        <v>283</v>
      </c>
      <c r="D11" s="50" t="str">
        <f t="shared" si="0"/>
        <v>Cancelación</v>
      </c>
    </row>
    <row r="12" spans="1:4" ht="14.25" customHeight="1" x14ac:dyDescent="0.25"/>
    <row r="13" spans="1:4" ht="15" customHeight="1" x14ac:dyDescent="0.25">
      <c r="C13" s="80"/>
    </row>
    <row r="16" spans="1:4" ht="27.75" customHeight="1" x14ac:dyDescent="0.25"/>
    <row r="17" spans="1:2" ht="28.5" customHeight="1" x14ac:dyDescent="0.25">
      <c r="A17" s="52"/>
      <c r="B17" s="53" t="s">
        <v>194</v>
      </c>
    </row>
    <row r="18" spans="1:2" ht="28.5" customHeight="1" x14ac:dyDescent="0.25">
      <c r="A18" s="54"/>
      <c r="B18" s="53" t="s">
        <v>195</v>
      </c>
    </row>
    <row r="19" spans="1:2" ht="28.5" customHeight="1" x14ac:dyDescent="0.25">
      <c r="A19" s="55"/>
      <c r="B19" s="53" t="s">
        <v>284</v>
      </c>
    </row>
    <row r="20" spans="1:2" ht="28.5" customHeight="1" x14ac:dyDescent="0.25">
      <c r="A20" s="56"/>
      <c r="B20" s="53" t="s">
        <v>197</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17"/>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0.14062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3" width="13" customWidth="1"/>
    <col min="24" max="24" width="15.42578125" customWidth="1"/>
    <col min="25" max="25" width="22" customWidth="1"/>
    <col min="26" max="26" width="13"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A11</f>
        <v>consultarPrefijosCelular</v>
      </c>
    </row>
    <row r="3" spans="1:22" ht="45" customHeight="1" x14ac:dyDescent="0.25">
      <c r="A3" s="16" t="str">
        <f>'M-PrefijoCelular'!A3</f>
        <v>id</v>
      </c>
      <c r="B3" s="17" t="str">
        <f>'M-PrefijoCelular'!A2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7" t="s">
        <v>79</v>
      </c>
      <c r="N3" s="16" t="s">
        <v>80</v>
      </c>
      <c r="O3" s="16" t="s">
        <v>80</v>
      </c>
      <c r="P3" s="16" t="s">
        <v>79</v>
      </c>
      <c r="Q3" s="16" t="s">
        <v>80</v>
      </c>
      <c r="R3" s="16" t="s">
        <v>80</v>
      </c>
      <c r="S3" s="16" t="s">
        <v>80</v>
      </c>
      <c r="T3" s="16" t="s">
        <v>79</v>
      </c>
      <c r="U3" s="16" t="s">
        <v>77</v>
      </c>
      <c r="V3" s="85" t="s">
        <v>83</v>
      </c>
    </row>
    <row r="4" spans="1:22" ht="75" customHeight="1" x14ac:dyDescent="0.25">
      <c r="A4" s="16" t="str">
        <f>'M-PrefijoCelular'!B3</f>
        <v>prefijo</v>
      </c>
      <c r="B4" s="17" t="str">
        <f>'M-PrefijoCelular'!B2</f>
        <v>Representa el prefijo telefónico del país que el administrador habilita para que la barbería pueda atender números de ese país</v>
      </c>
      <c r="C4" s="16" t="s">
        <v>80</v>
      </c>
      <c r="D4" s="16" t="s">
        <v>86</v>
      </c>
      <c r="E4" s="16" t="s">
        <v>77</v>
      </c>
      <c r="F4" s="16">
        <v>2</v>
      </c>
      <c r="G4" s="16">
        <v>6</v>
      </c>
      <c r="H4" s="16" t="s">
        <v>79</v>
      </c>
      <c r="I4" s="16" t="s">
        <v>79</v>
      </c>
      <c r="J4" s="16" t="s">
        <v>79</v>
      </c>
      <c r="K4" s="16" t="s">
        <v>79</v>
      </c>
      <c r="L4" s="17" t="s">
        <v>285</v>
      </c>
      <c r="M4" s="17" t="s">
        <v>286</v>
      </c>
      <c r="N4" s="16" t="s">
        <v>80</v>
      </c>
      <c r="O4" s="16" t="s">
        <v>80</v>
      </c>
      <c r="P4" s="16" t="s">
        <v>79</v>
      </c>
      <c r="Q4" s="16" t="s">
        <v>77</v>
      </c>
      <c r="R4" s="16" t="s">
        <v>77</v>
      </c>
      <c r="S4" s="16" t="s">
        <v>80</v>
      </c>
      <c r="T4" s="16" t="s">
        <v>287</v>
      </c>
      <c r="U4" s="16" t="s">
        <v>80</v>
      </c>
      <c r="V4" s="85" t="s">
        <v>89</v>
      </c>
    </row>
    <row r="6" spans="1:22" ht="15" customHeight="1" x14ac:dyDescent="0.25">
      <c r="A6" s="19" t="s">
        <v>93</v>
      </c>
      <c r="B6" s="19" t="s">
        <v>94</v>
      </c>
      <c r="C6" s="19" t="s">
        <v>95</v>
      </c>
    </row>
    <row r="7" spans="1:22" ht="30" customHeight="1" x14ac:dyDescent="0.25">
      <c r="A7" s="20" t="str">
        <f>'M-PrefijoCelular'!C3</f>
        <v xml:space="preserve">Combinación única </v>
      </c>
      <c r="B7" s="21" t="str">
        <f>'M-PrefijoCelular'!C2</f>
        <v>Combinacion única que indica que no puede existir más un mismo prefijo</v>
      </c>
      <c r="C7" s="22" t="s">
        <v>288</v>
      </c>
    </row>
    <row r="9" spans="1:22" x14ac:dyDescent="0.25">
      <c r="A9" s="320" t="s">
        <v>96</v>
      </c>
      <c r="B9" s="321"/>
      <c r="C9" s="323" t="s">
        <v>94</v>
      </c>
      <c r="D9" s="326"/>
      <c r="E9" s="326"/>
      <c r="F9" s="321"/>
      <c r="G9" s="323" t="s">
        <v>97</v>
      </c>
      <c r="H9" s="290"/>
      <c r="I9" s="291"/>
      <c r="J9" s="323" t="s">
        <v>98</v>
      </c>
      <c r="K9" s="290"/>
      <c r="L9" s="290"/>
      <c r="M9" s="290"/>
      <c r="N9" s="291"/>
      <c r="O9" s="323" t="s">
        <v>99</v>
      </c>
      <c r="P9" s="291"/>
      <c r="Q9" s="323" t="s">
        <v>100</v>
      </c>
      <c r="R9" s="291"/>
    </row>
    <row r="10" spans="1:22" x14ac:dyDescent="0.25">
      <c r="A10" s="322"/>
      <c r="B10" s="312"/>
      <c r="C10" s="310"/>
      <c r="D10" s="311"/>
      <c r="E10" s="311"/>
      <c r="F10" s="312"/>
      <c r="G10" s="3" t="s">
        <v>101</v>
      </c>
      <c r="H10" s="3" t="s">
        <v>59</v>
      </c>
      <c r="I10" s="3" t="s">
        <v>94</v>
      </c>
      <c r="J10" s="3" t="s">
        <v>102</v>
      </c>
      <c r="K10" s="325" t="s">
        <v>94</v>
      </c>
      <c r="L10" s="303"/>
      <c r="M10" s="303"/>
      <c r="N10" s="279"/>
      <c r="O10" s="3" t="s">
        <v>103</v>
      </c>
      <c r="P10" s="3" t="s">
        <v>94</v>
      </c>
      <c r="Q10" s="3" t="s">
        <v>104</v>
      </c>
      <c r="R10" s="23" t="s">
        <v>105</v>
      </c>
    </row>
    <row r="11" spans="1:22" ht="42" customHeight="1" x14ac:dyDescent="0.25">
      <c r="A11" s="359" t="s">
        <v>289</v>
      </c>
      <c r="B11" s="279"/>
      <c r="C11" s="358" t="s">
        <v>290</v>
      </c>
      <c r="D11" s="303"/>
      <c r="E11" s="303"/>
      <c r="F11" s="279"/>
      <c r="G11" s="24"/>
      <c r="H11" s="24"/>
      <c r="I11" s="25"/>
      <c r="J11" s="26" t="s">
        <v>291</v>
      </c>
      <c r="K11" s="358" t="s">
        <v>292</v>
      </c>
      <c r="L11" s="303"/>
      <c r="M11" s="303"/>
      <c r="N11" s="279"/>
      <c r="O11" s="24"/>
      <c r="P11" s="2"/>
      <c r="Q11" s="2"/>
      <c r="R11" s="18"/>
    </row>
    <row r="12" spans="1:22" ht="45" customHeight="1" x14ac:dyDescent="0.25"/>
    <row r="13" spans="1:22" ht="60" customHeight="1" x14ac:dyDescent="0.25"/>
    <row r="14" spans="1:22" ht="75" customHeight="1" x14ac:dyDescent="0.25"/>
    <row r="15" spans="1:22" ht="45" customHeight="1" x14ac:dyDescent="0.25"/>
    <row r="16" spans="1:22" ht="45" customHeight="1" x14ac:dyDescent="0.25"/>
    <row r="17" ht="60" customHeight="1" x14ac:dyDescent="0.25"/>
  </sheetData>
  <mergeCells count="10">
    <mergeCell ref="Q9:R9"/>
    <mergeCell ref="C11:F11"/>
    <mergeCell ref="O9:P9"/>
    <mergeCell ref="K10:N10"/>
    <mergeCell ref="A9:B10"/>
    <mergeCell ref="J9:N9"/>
    <mergeCell ref="C9:F10"/>
    <mergeCell ref="A11:B11"/>
    <mergeCell ref="K11:N11"/>
    <mergeCell ref="G9:I9"/>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V2" location="'C-PrefijoCelular'!A11" display="'C-PrefijoCelular'!A11" xr:uid="{00000000-0004-0000-1200-000002000000}"/>
    <hyperlink ref="A3" location="'M-PrefijoCelular'!A3" display="#'M-PrefijoCelular'.A3" xr:uid="{00000000-0004-0000-1200-000003000000}"/>
    <hyperlink ref="B3" location="'M-PrefijoCelular'!A2" display="#'M-PrefijoCelular'.A2" xr:uid="{00000000-0004-0000-1200-000004000000}"/>
    <hyperlink ref="A4" location="'M-PrefijoCelular'!A3" display="#'M-PrefijoCelular'.A3" xr:uid="{00000000-0004-0000-1200-000005000000}"/>
    <hyperlink ref="B4" location="'M-PrefijoCelular'!A2" display="#'M-PrefijoCelular'.A2" xr:uid="{00000000-0004-0000-1200-000006000000}"/>
    <hyperlink ref="A7" location="'M-PrefijoCelular'!A3" display="#'M-PrefijoCelular'.A3" xr:uid="{00000000-0004-0000-1200-000007000000}"/>
    <hyperlink ref="B7" location="'M-PrefijoCelular'!A2" display="#'M-PrefijoCelular'.A2" xr:uid="{00000000-0004-0000-1200-000008000000}"/>
    <hyperlink ref="A11" location="'C-PrefijoCelular'!V2" display="consultarPrefijosCelular" xr:uid="{00000000-0004-0000-1200-000009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9"/>
  <sheetViews>
    <sheetView showGridLines="0" zoomScaleNormal="100" workbookViewId="0">
      <selection activeCell="B9" sqref="B9:C9"/>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Dominio'!A7</f>
        <v>PrefijoCelular</v>
      </c>
      <c r="C2" s="290"/>
      <c r="D2" s="290"/>
      <c r="E2" s="291"/>
    </row>
    <row r="3" spans="1:5" ht="30" customHeight="1" x14ac:dyDescent="0.25">
      <c r="A3" s="30" t="s">
        <v>140</v>
      </c>
      <c r="B3" s="336" t="str">
        <f>'Objetos de Dominio'!B7</f>
        <v>Representa el catálogo de prefijos telefónicos de país que el administrador habilita, y que son los únicos que barberos y clientes pueden usar en su número de celular.</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28.5" customHeight="1" x14ac:dyDescent="0.25">
      <c r="A6" s="8"/>
      <c r="B6" s="332" t="s">
        <v>203</v>
      </c>
      <c r="C6" s="279"/>
      <c r="D6" s="31"/>
      <c r="E6" s="31"/>
    </row>
    <row r="7" spans="1:5" ht="28.5" customHeight="1" x14ac:dyDescent="0.25"/>
    <row r="8" spans="1:5" ht="28.5" customHeight="1" x14ac:dyDescent="0.25"/>
    <row r="9" spans="1:5" ht="15" customHeight="1" x14ac:dyDescent="0.25"/>
  </sheetData>
  <mergeCells count="7">
    <mergeCell ref="B2:E2"/>
    <mergeCell ref="B4:C5"/>
    <mergeCell ref="B6:C6"/>
    <mergeCell ref="A4:A5"/>
    <mergeCell ref="E4:E5"/>
    <mergeCell ref="D4:D5"/>
    <mergeCell ref="B3:E3"/>
  </mergeCells>
  <hyperlinks>
    <hyperlink ref="A1" location="'Modelo de Dominio'!A1" display="&lt;&lt; Ir al modelo de dominio" xr:uid="{00000000-0004-0000-1300-000000000000}"/>
    <hyperlink ref="B1" location="'Objetos de Dominio'!A1" display="&lt;&lt; Ir al listado de objetos de dominio" xr:uid="{00000000-0004-0000-1300-000001000000}"/>
    <hyperlink ref="C1" location="'C-PrefijoCelular'!A1" display="&lt;&lt; Ir a la caracterización del objeto de dominio" xr:uid="{00000000-0004-0000-1300-000002000000}"/>
    <hyperlink ref="D1" location="'M-PrefijoCelular'!A1" display="Ir al muestreo de datos del objeto de dominio &gt;&gt;" xr:uid="{00000000-0004-0000-1300-000003000000}"/>
    <hyperlink ref="E1" location="'E-PrefijoCelular'!A1" display="Ir al event storming del objeto de dominio &gt;&gt;" xr:uid="{00000000-0004-0000-1300-000004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3.710937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Dominio'!A7</f>
        <v>PrefijoCelular</v>
      </c>
      <c r="C2" s="290"/>
      <c r="D2" s="290"/>
      <c r="E2" s="290"/>
      <c r="F2" s="290"/>
      <c r="G2" s="290"/>
      <c r="H2" s="290"/>
      <c r="I2" s="290"/>
      <c r="J2" s="290"/>
      <c r="K2" s="291"/>
    </row>
    <row r="3" spans="1:11" ht="30" customHeight="1" x14ac:dyDescent="0.25">
      <c r="A3" s="30" t="s">
        <v>140</v>
      </c>
      <c r="B3" s="306" t="str">
        <f>'Objetos de Dominio'!B7</f>
        <v>Representa el catálogo de prefijos telefónicos de país que el administrador habilita, y que son los únicos que barberos y clientes pueden usar en su número de celular.</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27" customHeight="1" x14ac:dyDescent="0.25">
      <c r="A7" s="41" t="s">
        <v>168</v>
      </c>
      <c r="B7" s="42" t="s">
        <v>293</v>
      </c>
      <c r="C7" s="42" t="s">
        <v>290</v>
      </c>
      <c r="D7" s="41" t="str">
        <f>$B$2</f>
        <v>PrefijoCelular</v>
      </c>
      <c r="E7" s="42"/>
      <c r="F7" s="42"/>
      <c r="G7" s="41"/>
      <c r="H7" s="43"/>
      <c r="I7" s="41"/>
      <c r="J7" s="42" t="s">
        <v>294</v>
      </c>
      <c r="K7" s="42"/>
    </row>
    <row r="8" spans="1:11" ht="27" customHeight="1" x14ac:dyDescent="0.25">
      <c r="A8" s="41" t="s">
        <v>32</v>
      </c>
      <c r="B8" s="42" t="s">
        <v>293</v>
      </c>
      <c r="C8" s="42" t="s">
        <v>295</v>
      </c>
      <c r="D8" s="41" t="str">
        <f>$B$2</f>
        <v>PrefijoCelular</v>
      </c>
      <c r="E8" s="42"/>
      <c r="F8" s="42"/>
      <c r="G8" s="41"/>
      <c r="H8" s="43"/>
      <c r="I8" s="41"/>
      <c r="J8" s="42" t="s">
        <v>294</v>
      </c>
      <c r="K8" s="42"/>
    </row>
    <row r="9" spans="1:11" ht="27" customHeight="1" x14ac:dyDescent="0.25">
      <c r="A9" s="41" t="s">
        <v>26</v>
      </c>
      <c r="B9" s="42" t="s">
        <v>293</v>
      </c>
      <c r="C9" s="42" t="s">
        <v>295</v>
      </c>
      <c r="D9" s="41" t="str">
        <f>$B$2</f>
        <v>PrefijoCelular</v>
      </c>
      <c r="E9" s="42"/>
      <c r="F9" s="42"/>
      <c r="G9" s="41"/>
      <c r="H9" s="43"/>
      <c r="I9" s="41"/>
      <c r="J9" s="42" t="s">
        <v>294</v>
      </c>
      <c r="K9" s="42"/>
    </row>
    <row r="10" spans="1:11" ht="27" customHeight="1" x14ac:dyDescent="0.25"/>
    <row r="11" spans="1:11" ht="41.25" customHeight="1" x14ac:dyDescent="0.25"/>
  </sheetData>
  <mergeCells count="18">
    <mergeCell ref="C5:C6"/>
    <mergeCell ref="A1:B1"/>
    <mergeCell ref="B2:K2"/>
    <mergeCell ref="K5:K6"/>
    <mergeCell ref="I5:I6"/>
    <mergeCell ref="D5:D6"/>
    <mergeCell ref="J5:J6"/>
    <mergeCell ref="B4:C4"/>
    <mergeCell ref="B5:B6"/>
    <mergeCell ref="B3:K3"/>
    <mergeCell ref="G5:H5"/>
    <mergeCell ref="E5:F5"/>
    <mergeCell ref="A5:A6"/>
    <mergeCell ref="G4:H4"/>
    <mergeCell ref="C1:E1"/>
    <mergeCell ref="E4:F4"/>
    <mergeCell ref="F1:I1"/>
    <mergeCell ref="J1:K1"/>
  </mergeCells>
  <hyperlinks>
    <hyperlink ref="A1" location="'Modelo de Dominio'!A1" display="&lt;&lt; Ir al modelo de dominio" xr:uid="{00000000-0004-0000-1400-000000000000}"/>
    <hyperlink ref="C1" location="'Objetos de Dominio'!A1" display="&lt;&lt; Ir al listado de objetos de dominio" xr:uid="{00000000-0004-0000-1400-000001000000}"/>
    <hyperlink ref="F1" location="'C-PrefijoCelular'!A1" display="&lt;&lt; Ir a la caracterización del objeto de dominio" xr:uid="{00000000-0004-0000-1400-000002000000}"/>
    <hyperlink ref="J1" location="'M-PrefijoCelular'!A1" display="Ir al muestreo de datos del objeto de dominio &gt;&gt;"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6"/>
  <sheetViews>
    <sheetView zoomScaleNormal="100" workbookViewId="0"/>
  </sheetViews>
  <sheetFormatPr baseColWidth="10" defaultColWidth="8.7109375" defaultRowHeight="15" x14ac:dyDescent="0.25"/>
  <cols>
    <col min="1" max="1" width="27" customWidth="1"/>
    <col min="2" max="2" width="26.140625" customWidth="1"/>
    <col min="3" max="3" width="19.7109375" customWidth="1"/>
  </cols>
  <sheetData>
    <row r="1" spans="1:3" ht="14.25" customHeight="1" x14ac:dyDescent="0.25">
      <c r="A1" s="4" t="s">
        <v>0</v>
      </c>
      <c r="B1" s="4" t="s">
        <v>55</v>
      </c>
    </row>
    <row r="2" spans="1:3" ht="31.5" customHeight="1" x14ac:dyDescent="0.25">
      <c r="A2" s="44" t="s">
        <v>183</v>
      </c>
      <c r="B2" s="44" t="s">
        <v>296</v>
      </c>
      <c r="C2" s="45" t="s">
        <v>297</v>
      </c>
    </row>
    <row r="3" spans="1:3" ht="14.25" customHeight="1" x14ac:dyDescent="0.25">
      <c r="A3" s="46" t="s">
        <v>116</v>
      </c>
      <c r="B3" s="47" t="s">
        <v>288</v>
      </c>
      <c r="C3" s="48" t="s">
        <v>209</v>
      </c>
    </row>
    <row r="4" spans="1:3" ht="14.25" customHeight="1" x14ac:dyDescent="0.25">
      <c r="A4" s="49">
        <v>1</v>
      </c>
      <c r="B4" s="49" t="s">
        <v>298</v>
      </c>
      <c r="C4" s="49" t="str">
        <f>B4</f>
        <v>+57</v>
      </c>
    </row>
    <row r="5" spans="1:3" ht="14.25" customHeight="1" x14ac:dyDescent="0.25">
      <c r="A5" s="49">
        <v>2</v>
      </c>
      <c r="B5" s="49" t="s">
        <v>299</v>
      </c>
      <c r="C5" s="49" t="str">
        <f>B5</f>
        <v>+91</v>
      </c>
    </row>
    <row r="6" spans="1:3" ht="14.25" customHeight="1" x14ac:dyDescent="0.25">
      <c r="A6" s="49">
        <v>3</v>
      </c>
      <c r="B6" s="49" t="s">
        <v>300</v>
      </c>
      <c r="C6" s="49" t="str">
        <f>B6</f>
        <v>+593</v>
      </c>
    </row>
    <row r="7" spans="1:3" ht="14.25" customHeight="1" x14ac:dyDescent="0.25">
      <c r="A7" s="49">
        <v>4</v>
      </c>
      <c r="B7" s="49" t="s">
        <v>301</v>
      </c>
      <c r="C7" s="49" t="str">
        <f>B7</f>
        <v>+58</v>
      </c>
    </row>
    <row r="8" spans="1:3" ht="14.25" customHeight="1" x14ac:dyDescent="0.25">
      <c r="A8" s="51"/>
      <c r="B8" s="51"/>
    </row>
    <row r="9" spans="1:3" ht="14.25" customHeight="1" x14ac:dyDescent="0.25">
      <c r="A9" s="51"/>
      <c r="B9" s="51"/>
    </row>
    <row r="13" spans="1:3" ht="28.5" customHeight="1" x14ac:dyDescent="0.25">
      <c r="A13" s="52"/>
      <c r="B13" s="53" t="s">
        <v>194</v>
      </c>
    </row>
    <row r="14" spans="1:3" ht="28.5" customHeight="1" x14ac:dyDescent="0.25">
      <c r="A14" s="54"/>
      <c r="B14" s="53" t="s">
        <v>195</v>
      </c>
    </row>
    <row r="15" spans="1:3" ht="28.5" customHeight="1" x14ac:dyDescent="0.25">
      <c r="A15" s="55"/>
      <c r="B15" s="53" t="s">
        <v>196</v>
      </c>
    </row>
    <row r="16" spans="1:3" ht="28.5" customHeight="1" x14ac:dyDescent="0.25">
      <c r="A16" s="56"/>
      <c r="B16" s="53" t="s">
        <v>197</v>
      </c>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12"/>
  <sheetViews>
    <sheetView zoomScaleNormal="100" workbookViewId="0">
      <selection activeCell="K13" sqref="K13"/>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A12</f>
        <v>consultarTodosLosTiposMulta</v>
      </c>
    </row>
    <row r="3" spans="1:22" ht="45" customHeight="1" x14ac:dyDescent="0.25">
      <c r="A3" s="16" t="str">
        <f>'M-TipoMulta'!A3</f>
        <v>id</v>
      </c>
      <c r="B3" s="17" t="str">
        <f>'M-TipoMulta'!A2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80</v>
      </c>
      <c r="P3" s="16" t="s">
        <v>79</v>
      </c>
      <c r="Q3" s="16" t="s">
        <v>80</v>
      </c>
      <c r="R3" s="16" t="s">
        <v>80</v>
      </c>
      <c r="S3" s="16" t="s">
        <v>80</v>
      </c>
      <c r="T3" s="16" t="s">
        <v>81</v>
      </c>
      <c r="U3" s="16" t="s">
        <v>77</v>
      </c>
      <c r="V3" s="85" t="s">
        <v>83</v>
      </c>
    </row>
    <row r="4" spans="1:22" ht="15" customHeight="1" x14ac:dyDescent="0.25">
      <c r="A4" s="16" t="str">
        <f>'M-TipoMulta'!B3</f>
        <v>nombre</v>
      </c>
      <c r="B4" s="17" t="str">
        <f>'M-TipoMulta'!B2</f>
        <v>Representa el nombre del tipo de multa</v>
      </c>
      <c r="C4" s="16" t="s">
        <v>80</v>
      </c>
      <c r="D4" s="16" t="s">
        <v>86</v>
      </c>
      <c r="E4" s="16" t="s">
        <v>77</v>
      </c>
      <c r="F4" s="16">
        <v>4</v>
      </c>
      <c r="G4" s="16">
        <v>50</v>
      </c>
      <c r="H4" s="16" t="s">
        <v>79</v>
      </c>
      <c r="I4" s="16" t="s">
        <v>79</v>
      </c>
      <c r="J4" s="16" t="s">
        <v>79</v>
      </c>
      <c r="K4" s="16" t="s">
        <v>79</v>
      </c>
      <c r="L4" s="16" t="s">
        <v>79</v>
      </c>
      <c r="M4" s="16" t="s">
        <v>79</v>
      </c>
      <c r="N4" s="16" t="s">
        <v>80</v>
      </c>
      <c r="O4" s="16" t="s">
        <v>80</v>
      </c>
      <c r="P4" s="16" t="s">
        <v>79</v>
      </c>
      <c r="Q4" s="16" t="s">
        <v>77</v>
      </c>
      <c r="R4" s="16" t="s">
        <v>77</v>
      </c>
      <c r="S4" s="16" t="s">
        <v>80</v>
      </c>
      <c r="T4" s="16" t="s">
        <v>88</v>
      </c>
      <c r="U4" s="16" t="s">
        <v>80</v>
      </c>
      <c r="V4" s="85" t="s">
        <v>89</v>
      </c>
    </row>
    <row r="5" spans="1:22" ht="15" customHeight="1" x14ac:dyDescent="0.25">
      <c r="A5" s="16" t="str">
        <f>'M-TipoMulta'!C3</f>
        <v>descripcion</v>
      </c>
      <c r="B5" s="17" t="str">
        <f>'M-TipoMulta'!C2</f>
        <v>Representa que hace cada tipo de multa</v>
      </c>
      <c r="C5" s="16" t="s">
        <v>80</v>
      </c>
      <c r="D5" s="16" t="s">
        <v>86</v>
      </c>
      <c r="E5" s="16" t="s">
        <v>77</v>
      </c>
      <c r="F5" s="16">
        <v>10</v>
      </c>
      <c r="G5" s="16">
        <v>300</v>
      </c>
      <c r="H5" s="16" t="s">
        <v>79</v>
      </c>
      <c r="I5" s="16" t="s">
        <v>79</v>
      </c>
      <c r="J5" s="16" t="s">
        <v>79</v>
      </c>
      <c r="K5" s="16" t="s">
        <v>79</v>
      </c>
      <c r="L5" s="16" t="s">
        <v>79</v>
      </c>
      <c r="M5" s="16" t="s">
        <v>79</v>
      </c>
      <c r="N5" s="16" t="s">
        <v>80</v>
      </c>
      <c r="O5" s="16" t="s">
        <v>80</v>
      </c>
      <c r="P5" s="16" t="s">
        <v>79</v>
      </c>
      <c r="Q5" s="16" t="s">
        <v>77</v>
      </c>
      <c r="R5" s="16" t="s">
        <v>77</v>
      </c>
      <c r="S5" s="16" t="s">
        <v>80</v>
      </c>
      <c r="T5" s="16" t="s">
        <v>88</v>
      </c>
      <c r="U5" s="16" t="s">
        <v>80</v>
      </c>
      <c r="V5" s="85" t="s">
        <v>89</v>
      </c>
    </row>
    <row r="7" spans="1:22" ht="15" customHeight="1" x14ac:dyDescent="0.25">
      <c r="A7" s="19" t="s">
        <v>93</v>
      </c>
      <c r="B7" s="19" t="s">
        <v>94</v>
      </c>
      <c r="C7" s="19" t="s">
        <v>95</v>
      </c>
    </row>
    <row r="8" spans="1:22" ht="30" customHeight="1" x14ac:dyDescent="0.25">
      <c r="A8" s="20" t="str">
        <f>'M-TipoMulta'!D3</f>
        <v>Combinación única</v>
      </c>
      <c r="B8" s="21" t="str">
        <f>'M-TipoMulta'!D2</f>
        <v xml:space="preserve">Combinación única indica que no puede existir más de un tipo de multa con el mismo nombre </v>
      </c>
      <c r="C8" s="22" t="s">
        <v>187</v>
      </c>
    </row>
    <row r="10" spans="1:22" x14ac:dyDescent="0.25">
      <c r="A10" s="320" t="s">
        <v>96</v>
      </c>
      <c r="B10" s="321"/>
      <c r="C10" s="323" t="s">
        <v>94</v>
      </c>
      <c r="D10" s="326"/>
      <c r="E10" s="326"/>
      <c r="F10" s="321"/>
      <c r="G10" s="323" t="s">
        <v>97</v>
      </c>
      <c r="H10" s="290"/>
      <c r="I10" s="291"/>
      <c r="J10" s="323" t="s">
        <v>98</v>
      </c>
      <c r="K10" s="290"/>
      <c r="L10" s="290"/>
      <c r="M10" s="290"/>
      <c r="N10" s="291"/>
      <c r="O10" s="323" t="s">
        <v>99</v>
      </c>
      <c r="P10" s="291"/>
      <c r="Q10" s="323" t="s">
        <v>100</v>
      </c>
      <c r="R10" s="291"/>
    </row>
    <row r="11" spans="1:22" x14ac:dyDescent="0.25">
      <c r="A11" s="322"/>
      <c r="B11" s="312"/>
      <c r="C11" s="310"/>
      <c r="D11" s="311"/>
      <c r="E11" s="311"/>
      <c r="F11" s="312"/>
      <c r="G11" s="3" t="s">
        <v>101</v>
      </c>
      <c r="H11" s="3" t="s">
        <v>59</v>
      </c>
      <c r="I11" s="3" t="s">
        <v>94</v>
      </c>
      <c r="J11" s="3" t="s">
        <v>102</v>
      </c>
      <c r="K11" s="325" t="s">
        <v>94</v>
      </c>
      <c r="L11" s="303"/>
      <c r="M11" s="303"/>
      <c r="N11" s="279"/>
      <c r="O11" s="3" t="s">
        <v>103</v>
      </c>
      <c r="P11" s="3" t="s">
        <v>94</v>
      </c>
      <c r="Q11" s="3" t="s">
        <v>104</v>
      </c>
      <c r="R11" s="23" t="s">
        <v>105</v>
      </c>
    </row>
    <row r="12" spans="1:22" ht="15" customHeight="1" x14ac:dyDescent="0.25">
      <c r="A12" s="328" t="s">
        <v>302</v>
      </c>
      <c r="B12" s="279"/>
      <c r="C12" s="307" t="s">
        <v>303</v>
      </c>
      <c r="D12" s="303"/>
      <c r="E12" s="303"/>
      <c r="F12" s="279"/>
      <c r="G12" s="24"/>
      <c r="H12" s="24"/>
      <c r="I12" s="25"/>
      <c r="J12" s="26" t="s">
        <v>304</v>
      </c>
      <c r="K12" s="307" t="s">
        <v>305</v>
      </c>
      <c r="L12" s="303"/>
      <c r="M12" s="303"/>
      <c r="N12" s="279"/>
      <c r="O12" s="24"/>
      <c r="P12" s="2"/>
      <c r="Q12" s="2"/>
      <c r="R12" s="18"/>
    </row>
  </sheetData>
  <mergeCells count="10">
    <mergeCell ref="Q10:R10"/>
    <mergeCell ref="J10:N10"/>
    <mergeCell ref="K12:N12"/>
    <mergeCell ref="C10:F11"/>
    <mergeCell ref="A12:B12"/>
    <mergeCell ref="G10:I10"/>
    <mergeCell ref="O10:P10"/>
    <mergeCell ref="C12:F12"/>
    <mergeCell ref="K11:N11"/>
    <mergeCell ref="A10:B11"/>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V2" location="'C-TipoMulta'!A12" display="#'C-TipoMulta'.A12" xr:uid="{00000000-0004-0000-1600-000002000000}"/>
    <hyperlink ref="A3" location="'M-TipoMulta'!A3" display="#'M-TipoMulta'.A3" xr:uid="{00000000-0004-0000-1600-000003000000}"/>
    <hyperlink ref="B3" location="'M-TipoMulta'!A2" display="#'M-TipoMulta'.A2" xr:uid="{00000000-0004-0000-1600-000004000000}"/>
    <hyperlink ref="A4" location="'M-TipoMulta'!A3" display="#'M-TipoMulta'.A3" xr:uid="{00000000-0004-0000-1600-000005000000}"/>
    <hyperlink ref="B4" location="'M-TipoMulta'!A2" display="#'M-TipoMulta'.A2" xr:uid="{00000000-0004-0000-1600-000006000000}"/>
    <hyperlink ref="A5" location="'M-TipoMulta'!A3" display="#'M-TipoMulta'.A3" xr:uid="{00000000-0004-0000-1600-000007000000}"/>
    <hyperlink ref="B5" location="'M-TipoMulta'!A2" display="#'M-TipoMulta'.A2" xr:uid="{00000000-0004-0000-1600-000008000000}"/>
    <hyperlink ref="A8" location="'M-TipoMulta'!A3" display="#'M-TipoMulta'.A3" xr:uid="{00000000-0004-0000-1600-000009000000}"/>
    <hyperlink ref="B8" location="'M-TipoMulta'!A2" display="#'M-TipoMulta'.A2" xr:uid="{00000000-0004-0000-1600-00000A000000}"/>
    <hyperlink ref="A12" location="'C-TipoMulta'!V2" display="consultarTodosLosTiposMulta" xr:uid="{00000000-0004-0000-1600-00000B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6"/>
  <sheetViews>
    <sheetView showGridLines="0" zoomScaleNormal="100" workbookViewId="0">
      <selection activeCell="A2" sqref="A2"/>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Dominio'!A8</f>
        <v>TipoMulta</v>
      </c>
      <c r="C2" s="290"/>
      <c r="D2" s="290"/>
      <c r="E2" s="291"/>
    </row>
    <row r="3" spans="1:5" ht="30" customHeight="1" x14ac:dyDescent="0.25">
      <c r="A3" s="30" t="s">
        <v>140</v>
      </c>
      <c r="B3" s="336" t="str">
        <f>'Objetos de Dominio'!B8</f>
        <v>Representa los tipos de multa que puede recibir un cliente: por tardanza o por inasistencia.</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c r="B6" s="332" t="s">
        <v>203</v>
      </c>
      <c r="C6" s="279"/>
      <c r="D6" s="31"/>
      <c r="E6" s="31"/>
    </row>
  </sheetData>
  <mergeCells count="7">
    <mergeCell ref="B2:E2"/>
    <mergeCell ref="B4:C5"/>
    <mergeCell ref="B6:C6"/>
    <mergeCell ref="A4:A5"/>
    <mergeCell ref="D4:D5"/>
    <mergeCell ref="E4:E5"/>
    <mergeCell ref="B3:E3"/>
  </mergeCells>
  <hyperlinks>
    <hyperlink ref="A1" location="'Modelo de Dominio'!A1" display="&lt;&lt; Ir al modelo de dominio" xr:uid="{00000000-0004-0000-1700-000000000000}"/>
    <hyperlink ref="B1" location="'Objetos de Dominio'!A1" display="&lt;&lt; Ir al listado de objetos de dominio" xr:uid="{00000000-0004-0000-1700-000001000000}"/>
    <hyperlink ref="C1" location="'C-TipoMulta'!A1" display="&lt;&lt; Ir a la caracterización del objeto de dominio" xr:uid="{00000000-0004-0000-1700-000002000000}"/>
    <hyperlink ref="D1" location="'M-TipoMulta'!A1" display="Ir al muestreo de datos del objeto de dominio &gt;&gt;" xr:uid="{00000000-0004-0000-1700-000003000000}"/>
    <hyperlink ref="E1" location="'E-TipoMulta'!A1" display="Ir al event storming del objeto de dominio &gt;&gt;" xr:uid="{00000000-0004-0000-1700-000004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9"/>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Dominio'!A8</f>
        <v>TipoMulta</v>
      </c>
      <c r="C2" s="290"/>
      <c r="D2" s="290"/>
      <c r="E2" s="290"/>
      <c r="F2" s="290"/>
      <c r="G2" s="290"/>
      <c r="H2" s="290"/>
      <c r="I2" s="290"/>
      <c r="J2" s="290"/>
      <c r="K2" s="291"/>
    </row>
    <row r="3" spans="1:11" ht="30" customHeight="1" x14ac:dyDescent="0.25">
      <c r="A3" s="30" t="s">
        <v>140</v>
      </c>
      <c r="B3" s="306" t="str">
        <f>'Objetos de Dominio'!B8</f>
        <v>Representa los tipos de multa que puede recibir un cliente: por tardanza o por inasistencia.</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168</v>
      </c>
      <c r="B7" s="42" t="s">
        <v>306</v>
      </c>
      <c r="C7" s="42" t="s">
        <v>303</v>
      </c>
      <c r="D7" s="41" t="str">
        <f>$B$2</f>
        <v>TipoMulta</v>
      </c>
      <c r="E7" s="42"/>
      <c r="F7" s="42"/>
      <c r="G7" s="41"/>
      <c r="H7" s="43"/>
      <c r="I7" s="41"/>
      <c r="J7" s="42" t="s">
        <v>307</v>
      </c>
      <c r="K7" s="42"/>
    </row>
    <row r="8" spans="1:11" ht="30" customHeight="1" x14ac:dyDescent="0.25">
      <c r="A8" s="41" t="s">
        <v>32</v>
      </c>
      <c r="B8" s="42" t="s">
        <v>306</v>
      </c>
      <c r="C8" s="42" t="s">
        <v>303</v>
      </c>
      <c r="D8" s="41" t="str">
        <f>$B$2</f>
        <v>TipoMulta</v>
      </c>
      <c r="E8" s="42"/>
      <c r="F8" s="42"/>
      <c r="G8" s="41"/>
      <c r="H8" s="43"/>
      <c r="I8" s="41"/>
      <c r="J8" s="42" t="s">
        <v>307</v>
      </c>
      <c r="K8" s="42"/>
    </row>
    <row r="9" spans="1:11" ht="30" customHeight="1" x14ac:dyDescent="0.25">
      <c r="A9" s="41" t="s">
        <v>26</v>
      </c>
      <c r="B9" s="42" t="s">
        <v>306</v>
      </c>
      <c r="C9" s="42" t="s">
        <v>303</v>
      </c>
      <c r="D9" s="41" t="str">
        <f>$B$2</f>
        <v>TipoMulta</v>
      </c>
      <c r="E9" s="42"/>
      <c r="F9" s="42"/>
      <c r="G9" s="41"/>
      <c r="H9" s="43"/>
      <c r="I9" s="41"/>
      <c r="J9" s="42" t="s">
        <v>307</v>
      </c>
      <c r="K9" s="42"/>
    </row>
  </sheetData>
  <mergeCells count="18">
    <mergeCell ref="D5:D6"/>
    <mergeCell ref="A5:A6"/>
    <mergeCell ref="G4:H4"/>
    <mergeCell ref="E4:F4"/>
    <mergeCell ref="C1:E1"/>
    <mergeCell ref="F1:I1"/>
    <mergeCell ref="J5:J6"/>
    <mergeCell ref="B4:C4"/>
    <mergeCell ref="B5:B6"/>
    <mergeCell ref="G5:H5"/>
    <mergeCell ref="J1:K1"/>
    <mergeCell ref="E5:F5"/>
    <mergeCell ref="I5:I6"/>
    <mergeCell ref="C5:C6"/>
    <mergeCell ref="A1:B1"/>
    <mergeCell ref="B2:K2"/>
    <mergeCell ref="K5:K6"/>
    <mergeCell ref="B3:K3"/>
  </mergeCells>
  <hyperlinks>
    <hyperlink ref="A1" location="'Modelo de Dominio'!A1" display="&lt;&lt; Ir al modelo de dominio" xr:uid="{00000000-0004-0000-1800-000000000000}"/>
    <hyperlink ref="C1" location="'Objetos de Dominio'!A1" display="&lt;&lt; Ir al listado de objetos de dominio" xr:uid="{00000000-0004-0000-1800-000001000000}"/>
    <hyperlink ref="F1" location="'C-TipoMulta'!A1" display="&lt;&lt; Ir a la caracterización del objeto de dominio" xr:uid="{00000000-0004-0000-1800-000002000000}"/>
    <hyperlink ref="J1" location="'M-TipoMulta'!A1" display="Ir al muestreo de datos del objeto de dominio &gt;&gt;" xr:uid="{00000000-0004-0000-1800-000003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7"/>
  <sheetViews>
    <sheetView zoomScaleNormal="100" workbookViewId="0">
      <selection activeCell="B1" sqref="B1"/>
    </sheetView>
  </sheetViews>
  <sheetFormatPr baseColWidth="10" defaultColWidth="8.7109375" defaultRowHeight="15" x14ac:dyDescent="0.25"/>
  <cols>
    <col min="1" max="1" width="25" customWidth="1"/>
    <col min="2" max="2" width="24.42578125" customWidth="1"/>
    <col min="3" max="3" width="40.140625" customWidth="1"/>
    <col min="4" max="4" width="17.7109375" customWidth="1"/>
  </cols>
  <sheetData>
    <row r="1" spans="1:4" ht="14.25" customHeight="1" x14ac:dyDescent="0.25">
      <c r="A1" s="4" t="s">
        <v>0</v>
      </c>
      <c r="B1" s="4" t="s">
        <v>55</v>
      </c>
      <c r="C1" s="4"/>
    </row>
    <row r="2" spans="1:4" ht="39" customHeight="1" x14ac:dyDescent="0.25">
      <c r="A2" s="44" t="s">
        <v>183</v>
      </c>
      <c r="B2" s="44" t="s">
        <v>308</v>
      </c>
      <c r="C2" s="44" t="s">
        <v>309</v>
      </c>
      <c r="D2" s="45" t="s">
        <v>310</v>
      </c>
    </row>
    <row r="3" spans="1:4" ht="14.25" customHeight="1" x14ac:dyDescent="0.25">
      <c r="A3" s="46" t="s">
        <v>116</v>
      </c>
      <c r="B3" s="47" t="s">
        <v>187</v>
      </c>
      <c r="C3" s="47" t="s">
        <v>267</v>
      </c>
      <c r="D3" s="48" t="s">
        <v>189</v>
      </c>
    </row>
    <row r="4" spans="1:4" ht="42.75" customHeight="1" x14ac:dyDescent="0.25">
      <c r="A4" s="49">
        <v>1</v>
      </c>
      <c r="B4" s="49" t="s">
        <v>311</v>
      </c>
      <c r="C4" s="79" t="s">
        <v>312</v>
      </c>
      <c r="D4" s="49" t="str">
        <f>B4</f>
        <v>Tardanza</v>
      </c>
    </row>
    <row r="5" spans="1:4" ht="45" customHeight="1" x14ac:dyDescent="0.25">
      <c r="A5" s="49">
        <v>2</v>
      </c>
      <c r="B5" s="49" t="s">
        <v>313</v>
      </c>
      <c r="C5" s="79" t="s">
        <v>314</v>
      </c>
      <c r="D5" s="49" t="str">
        <f>B5</f>
        <v>Inasistencia</v>
      </c>
    </row>
    <row r="6" spans="1:4" ht="14.25" customHeight="1" x14ac:dyDescent="0.25">
      <c r="A6" s="51"/>
      <c r="B6" s="51"/>
      <c r="C6" s="51"/>
      <c r="D6" s="51"/>
    </row>
    <row r="7" spans="1:4" ht="14.25" customHeight="1" x14ac:dyDescent="0.25">
      <c r="A7" s="51"/>
      <c r="B7" s="51"/>
      <c r="C7" s="51"/>
      <c r="D7" s="51"/>
    </row>
    <row r="8" spans="1:4" ht="14.25" customHeight="1" x14ac:dyDescent="0.25">
      <c r="A8" s="51"/>
      <c r="B8" s="51"/>
      <c r="C8" s="51"/>
    </row>
    <row r="9" spans="1:4" ht="14.25" customHeight="1" x14ac:dyDescent="0.25">
      <c r="A9" s="51"/>
      <c r="B9" s="51"/>
      <c r="C9" s="51"/>
    </row>
    <row r="11" spans="1:4" ht="28.5" customHeight="1" x14ac:dyDescent="0.25">
      <c r="A11" s="52"/>
      <c r="B11" s="53" t="s">
        <v>194</v>
      </c>
    </row>
    <row r="12" spans="1:4" ht="28.5" customHeight="1" x14ac:dyDescent="0.25">
      <c r="A12" s="54"/>
      <c r="B12" s="53" t="s">
        <v>195</v>
      </c>
    </row>
    <row r="13" spans="1:4" ht="28.5" customHeight="1" x14ac:dyDescent="0.25">
      <c r="A13" s="55"/>
      <c r="B13" s="53" t="s">
        <v>284</v>
      </c>
      <c r="C13" s="53"/>
    </row>
    <row r="14" spans="1:4" ht="28.5" customHeight="1" x14ac:dyDescent="0.25">
      <c r="A14" s="56"/>
      <c r="B14" s="53" t="s">
        <v>197</v>
      </c>
      <c r="C14" s="53"/>
    </row>
    <row r="15" spans="1:4" ht="28.5" customHeight="1" x14ac:dyDescent="0.25">
      <c r="B15" s="53"/>
      <c r="C15" s="53"/>
    </row>
    <row r="16" spans="1:4" ht="14.25" customHeight="1" x14ac:dyDescent="0.25">
      <c r="C16" s="53"/>
    </row>
    <row r="17" spans="3:3" ht="14.25" customHeight="1" x14ac:dyDescent="0.25">
      <c r="C17" s="53"/>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1"/>
  <sheetViews>
    <sheetView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A11</f>
        <v>consultarTiposRegistroHora</v>
      </c>
    </row>
    <row r="3" spans="1:22" ht="45" customHeight="1" x14ac:dyDescent="0.25">
      <c r="A3" s="16" t="str">
        <f>'M-TipoRegistroHora'!A3</f>
        <v>id</v>
      </c>
      <c r="B3" s="17" t="str">
        <f>'M-TipoRegistroHora'!A2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83</v>
      </c>
    </row>
    <row r="4" spans="1:22" ht="45" customHeight="1" x14ac:dyDescent="0.25">
      <c r="A4" s="16" t="str">
        <f>'M-TipoRegistroHora'!B3</f>
        <v>nombre</v>
      </c>
      <c r="B4" s="17" t="str">
        <f>'M-TipoRegistroHora'!B2</f>
        <v>Representa el nombre del tipo de hora real que se puede registrar durante una cita</v>
      </c>
      <c r="C4" s="16" t="s">
        <v>80</v>
      </c>
      <c r="D4" s="16" t="s">
        <v>86</v>
      </c>
      <c r="E4" s="16" t="s">
        <v>77</v>
      </c>
      <c r="F4" s="16">
        <v>15</v>
      </c>
      <c r="G4" s="16">
        <v>20</v>
      </c>
      <c r="H4" s="16" t="s">
        <v>79</v>
      </c>
      <c r="I4" s="16" t="s">
        <v>79</v>
      </c>
      <c r="J4" s="16" t="s">
        <v>79</v>
      </c>
      <c r="K4" s="16" t="s">
        <v>79</v>
      </c>
      <c r="L4" s="16" t="s">
        <v>79</v>
      </c>
      <c r="M4" s="17" t="s">
        <v>315</v>
      </c>
      <c r="N4" s="16" t="s">
        <v>80</v>
      </c>
      <c r="O4" s="16" t="s">
        <v>79</v>
      </c>
      <c r="P4" s="16" t="s">
        <v>79</v>
      </c>
      <c r="Q4" s="16" t="s">
        <v>77</v>
      </c>
      <c r="R4" s="16" t="s">
        <v>77</v>
      </c>
      <c r="S4" s="16" t="s">
        <v>80</v>
      </c>
      <c r="T4" s="16" t="s">
        <v>88</v>
      </c>
      <c r="U4" s="16" t="s">
        <v>80</v>
      </c>
      <c r="V4" s="85" t="s">
        <v>89</v>
      </c>
    </row>
    <row r="6" spans="1:22" ht="15" customHeight="1" x14ac:dyDescent="0.25">
      <c r="A6" s="19" t="s">
        <v>93</v>
      </c>
      <c r="B6" s="19" t="s">
        <v>94</v>
      </c>
      <c r="C6" s="19" t="s">
        <v>95</v>
      </c>
    </row>
    <row r="7" spans="1:22" ht="30" customHeight="1" x14ac:dyDescent="0.25">
      <c r="A7" s="20" t="str">
        <f>'M-TipoRegistroHora'!C3</f>
        <v>Combinación única</v>
      </c>
      <c r="B7" s="21" t="str">
        <f>'M-TipoRegistroHora'!C2</f>
        <v>Combinación única que indica que no puede existir más de un tipo de registro de hora con el mismo nombre</v>
      </c>
      <c r="C7" s="22" t="str">
        <f>A4</f>
        <v>nombre</v>
      </c>
    </row>
    <row r="9" spans="1:22" x14ac:dyDescent="0.25">
      <c r="A9" s="320" t="s">
        <v>96</v>
      </c>
      <c r="B9" s="321"/>
      <c r="C9" s="323" t="s">
        <v>94</v>
      </c>
      <c r="D9" s="326"/>
      <c r="E9" s="326"/>
      <c r="F9" s="321"/>
      <c r="G9" s="323" t="s">
        <v>97</v>
      </c>
      <c r="H9" s="290"/>
      <c r="I9" s="291"/>
      <c r="J9" s="323" t="s">
        <v>98</v>
      </c>
      <c r="K9" s="290"/>
      <c r="L9" s="290"/>
      <c r="M9" s="290"/>
      <c r="N9" s="291"/>
      <c r="O9" s="323" t="s">
        <v>99</v>
      </c>
      <c r="P9" s="291"/>
      <c r="Q9" s="323" t="s">
        <v>100</v>
      </c>
      <c r="R9" s="291"/>
    </row>
    <row r="10" spans="1:22" x14ac:dyDescent="0.25">
      <c r="A10" s="322"/>
      <c r="B10" s="312"/>
      <c r="C10" s="310"/>
      <c r="D10" s="311"/>
      <c r="E10" s="311"/>
      <c r="F10" s="312"/>
      <c r="G10" s="3" t="s">
        <v>101</v>
      </c>
      <c r="H10" s="3" t="s">
        <v>59</v>
      </c>
      <c r="I10" s="3" t="s">
        <v>94</v>
      </c>
      <c r="J10" s="3" t="s">
        <v>102</v>
      </c>
      <c r="K10" s="325" t="s">
        <v>94</v>
      </c>
      <c r="L10" s="303"/>
      <c r="M10" s="303"/>
      <c r="N10" s="279"/>
      <c r="O10" s="3" t="s">
        <v>103</v>
      </c>
      <c r="P10" s="3" t="s">
        <v>94</v>
      </c>
      <c r="Q10" s="3" t="s">
        <v>104</v>
      </c>
      <c r="R10" s="23" t="s">
        <v>105</v>
      </c>
    </row>
    <row r="11" spans="1:22" ht="15" customHeight="1" x14ac:dyDescent="0.25">
      <c r="A11" s="328" t="s">
        <v>316</v>
      </c>
      <c r="B11" s="279"/>
      <c r="C11" s="307" t="s">
        <v>317</v>
      </c>
      <c r="D11" s="303"/>
      <c r="E11" s="303"/>
      <c r="F11" s="279"/>
      <c r="G11" s="24"/>
      <c r="H11" s="24"/>
      <c r="I11" s="25"/>
      <c r="J11" s="203" t="s">
        <v>318</v>
      </c>
      <c r="K11" s="307" t="s">
        <v>319</v>
      </c>
      <c r="L11" s="303"/>
      <c r="M11" s="303"/>
      <c r="N11" s="279"/>
      <c r="O11" s="24"/>
      <c r="P11" s="2"/>
      <c r="Q11" s="2"/>
      <c r="R11" s="18"/>
    </row>
  </sheetData>
  <mergeCells count="10">
    <mergeCell ref="Q9:R9"/>
    <mergeCell ref="C11:F11"/>
    <mergeCell ref="O9:P9"/>
    <mergeCell ref="K10:N10"/>
    <mergeCell ref="A9:B10"/>
    <mergeCell ref="J9:N9"/>
    <mergeCell ref="C9:F10"/>
    <mergeCell ref="A11:B11"/>
    <mergeCell ref="K11:N11"/>
    <mergeCell ref="G9:I9"/>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V2" location="'C-TipoRegistroHora'!A11" display="'C-TipoRegistroHora'!A11" xr:uid="{00000000-0004-0000-1A00-000002000000}"/>
    <hyperlink ref="A3" location="'M-TipoRegistroHora'!A3" display="'M-TipoRegistroHora'!A3" xr:uid="{00000000-0004-0000-1A00-000003000000}"/>
    <hyperlink ref="B3" location="'M-TipoRegistroHora'!A2" display="'M-TipoRegistroHora'!A2" xr:uid="{00000000-0004-0000-1A00-000004000000}"/>
    <hyperlink ref="A4" location="'M-TipoRegistroHora'!A3" display="'M-TipoRegistroHora'!A3" xr:uid="{00000000-0004-0000-1A00-000005000000}"/>
    <hyperlink ref="B4" location="'M-TipoRegistroHora'!A2" display="'M-TipoRegistroHora'!A2" xr:uid="{00000000-0004-0000-1A00-000006000000}"/>
    <hyperlink ref="A7" location="'M-TipoRegistroHora'!A3" display="'M-TipoRegistroHora'!A3" xr:uid="{00000000-0004-0000-1A00-000007000000}"/>
    <hyperlink ref="B7" location="'M-TipoRegistroHora'!A2" display="'M-TipoRegistroHora'!A2" xr:uid="{00000000-0004-0000-1A00-000008000000}"/>
    <hyperlink ref="A11" location="'C-TipoRegistroHora'!V2" display="consultarTiposRegistroHora" xr:uid="{00000000-0004-0000-1A00-000009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6"/>
  <sheetViews>
    <sheetView workbookViewId="0">
      <selection activeCell="B1" sqref="B1"/>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Dominio'!A9</f>
        <v>TipoRegistroHora</v>
      </c>
      <c r="C2" s="290"/>
      <c r="D2" s="290"/>
      <c r="E2" s="291"/>
    </row>
    <row r="3" spans="1:5" ht="30" customHeight="1" x14ac:dyDescent="0.25">
      <c r="A3" s="30" t="s">
        <v>140</v>
      </c>
      <c r="B3" s="336" t="str">
        <f>'Objetos de Dominio'!B9</f>
        <v>Representa el catálogo de los distintos momentos en que se puede registrar una hora real durante una cita: llegada del cliente, barbero preparado, inicio y fin de la atención.</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c r="B6" s="332" t="s">
        <v>203</v>
      </c>
      <c r="C6" s="279"/>
      <c r="D6" s="31"/>
      <c r="E6" s="31"/>
    </row>
  </sheetData>
  <mergeCells count="7">
    <mergeCell ref="B2:E2"/>
    <mergeCell ref="B4:C5"/>
    <mergeCell ref="B6:C6"/>
    <mergeCell ref="A4:A5"/>
    <mergeCell ref="D4:D5"/>
    <mergeCell ref="E4:E5"/>
    <mergeCell ref="B3:E3"/>
  </mergeCells>
  <hyperlinks>
    <hyperlink ref="A1" location="'Modelo de Dominio'!A1" display="&lt;&lt; Ir al modelo de dominio" xr:uid="{00000000-0004-0000-1B00-000000000000}"/>
    <hyperlink ref="B1" location="'Objetos de Dominio'!A1" display="&lt;&lt; Ir al listado de objetos de dominio" xr:uid="{00000000-0004-0000-1B00-000001000000}"/>
    <hyperlink ref="C1" location="'C-TipoRegistroHora'!A1" display="&lt;&lt; Ir a la caracterización del objeto de dominio" xr:uid="{00000000-0004-0000-1B00-000002000000}"/>
    <hyperlink ref="D1" location="'M-TipoRegistroHora'!A1" display="Ir al muestreo de datos del objeto de dominio &gt;&gt;" xr:uid="{00000000-0004-0000-1B00-000003000000}"/>
    <hyperlink ref="E1" location="'E-TipoRegistroHora'!A1" display="Ir al event storming del objeto de dominio &gt;&gt;" xr:uid="{00000000-0004-0000-1B00-000004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8"/>
  <sheetViews>
    <sheetView workbookViewId="0">
      <selection activeCell="F17" sqref="F1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Dominio'!A9</f>
        <v>TipoRegistroHora</v>
      </c>
      <c r="C2" s="290"/>
      <c r="D2" s="290"/>
      <c r="E2" s="290"/>
      <c r="F2" s="290"/>
      <c r="G2" s="290"/>
      <c r="H2" s="290"/>
      <c r="I2" s="290"/>
      <c r="J2" s="290"/>
      <c r="K2" s="291"/>
    </row>
    <row r="3" spans="1:11" ht="30" customHeight="1" x14ac:dyDescent="0.25">
      <c r="A3" s="30" t="s">
        <v>140</v>
      </c>
      <c r="B3" s="306" t="str">
        <f>'Objetos de Dominio'!B9</f>
        <v>Representa el catálogo de los distintos momentos en que se puede registrar una hora real durante una cita: llegada del cliente, barbero preparado, inicio y fin de la atención.</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320</v>
      </c>
      <c r="B7" s="42" t="s">
        <v>321</v>
      </c>
      <c r="C7" s="42" t="s">
        <v>322</v>
      </c>
      <c r="D7" s="41" t="str">
        <f>$B$2</f>
        <v>TipoRegistroHora</v>
      </c>
      <c r="E7" s="42"/>
      <c r="F7" s="42"/>
      <c r="G7" s="41"/>
      <c r="H7" s="43"/>
      <c r="I7" s="41"/>
      <c r="J7" s="42" t="s">
        <v>323</v>
      </c>
      <c r="K7" s="42"/>
    </row>
    <row r="8" spans="1:11" ht="30" customHeight="1" x14ac:dyDescent="0.25">
      <c r="A8" s="41" t="s">
        <v>32</v>
      </c>
      <c r="B8" s="42" t="s">
        <v>321</v>
      </c>
      <c r="C8" s="42" t="s">
        <v>322</v>
      </c>
      <c r="D8" s="41" t="str">
        <f>$B$2</f>
        <v>TipoRegistroHora</v>
      </c>
      <c r="E8" s="42"/>
      <c r="F8" s="42"/>
      <c r="G8" s="41"/>
      <c r="H8" s="43"/>
      <c r="I8" s="41"/>
      <c r="J8" s="42" t="s">
        <v>323</v>
      </c>
      <c r="K8" s="42"/>
    </row>
  </sheetData>
  <mergeCells count="18">
    <mergeCell ref="C5:C6"/>
    <mergeCell ref="A5:A6"/>
    <mergeCell ref="G4:H4"/>
    <mergeCell ref="C1:E1"/>
    <mergeCell ref="E4:F4"/>
    <mergeCell ref="F1:I1"/>
    <mergeCell ref="J5:J6"/>
    <mergeCell ref="B4:C4"/>
    <mergeCell ref="B5:B6"/>
    <mergeCell ref="G5:H5"/>
    <mergeCell ref="J1:K1"/>
    <mergeCell ref="E5:F5"/>
    <mergeCell ref="I5:I6"/>
    <mergeCell ref="A1:B1"/>
    <mergeCell ref="B2:K2"/>
    <mergeCell ref="D5:D6"/>
    <mergeCell ref="K5:K6"/>
    <mergeCell ref="B3:K3"/>
  </mergeCells>
  <hyperlinks>
    <hyperlink ref="A1" location="'Modelo de Dominio'!A1" display="&lt;&lt; Ir al modelo de dominio" xr:uid="{00000000-0004-0000-1C00-000000000000}"/>
    <hyperlink ref="C1" location="'Objetos de Dominio'!A1" display="&lt;&lt; Ir al listado de objetos de dominio" xr:uid="{00000000-0004-0000-1C00-000001000000}"/>
    <hyperlink ref="F1" location="'C-TipoRegistroHora'!A1" display="&lt;&lt; Ir a la caracterización del objeto de dominio" xr:uid="{00000000-0004-0000-1C00-000002000000}"/>
    <hyperlink ref="J1" location="'M-TipoRegistroHora'!A1" display="Ir al muestreo de datos del objeto de dominio &gt;&gt;" xr:uid="{00000000-0004-0000-1C00-000003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6"/>
  <sheetViews>
    <sheetView zoomScaleNormal="100" workbookViewId="0">
      <selection activeCell="A3" sqref="A3"/>
    </sheetView>
  </sheetViews>
  <sheetFormatPr baseColWidth="10" defaultColWidth="8.7109375" defaultRowHeight="15" x14ac:dyDescent="0.25"/>
  <cols>
    <col min="1" max="1" width="27" customWidth="1"/>
    <col min="2" max="3" width="30" customWidth="1"/>
  </cols>
  <sheetData>
    <row r="1" spans="1:3" x14ac:dyDescent="0.25">
      <c r="A1" s="4" t="s">
        <v>0</v>
      </c>
      <c r="B1" s="4" t="s">
        <v>55</v>
      </c>
    </row>
    <row r="2" spans="1:3" ht="44.25" customHeight="1" x14ac:dyDescent="0.25">
      <c r="A2" s="44" t="s">
        <v>183</v>
      </c>
      <c r="B2" s="44" t="s">
        <v>324</v>
      </c>
      <c r="C2" s="44" t="s">
        <v>325</v>
      </c>
    </row>
    <row r="3" spans="1:3" ht="14.25" customHeight="1" x14ac:dyDescent="0.25">
      <c r="A3" s="46" t="s">
        <v>116</v>
      </c>
      <c r="B3" s="47" t="s">
        <v>187</v>
      </c>
      <c r="C3" s="48" t="s">
        <v>189</v>
      </c>
    </row>
    <row r="4" spans="1:3" x14ac:dyDescent="0.25">
      <c r="A4" s="49">
        <v>1</v>
      </c>
      <c r="B4" s="49" t="s">
        <v>326</v>
      </c>
      <c r="C4" s="49" t="str">
        <f>B4</f>
        <v>Llegada del cliente</v>
      </c>
    </row>
    <row r="5" spans="1:3" x14ac:dyDescent="0.25">
      <c r="A5" s="49">
        <v>2</v>
      </c>
      <c r="B5" s="49" t="s">
        <v>327</v>
      </c>
      <c r="C5" s="49" t="str">
        <f>B5</f>
        <v>Barbero preparado</v>
      </c>
    </row>
    <row r="6" spans="1:3" x14ac:dyDescent="0.25">
      <c r="A6" s="49">
        <v>3</v>
      </c>
      <c r="B6" s="49" t="s">
        <v>328</v>
      </c>
      <c r="C6" s="49" t="str">
        <f>B6</f>
        <v>Inicio de atención</v>
      </c>
    </row>
    <row r="7" spans="1:3" x14ac:dyDescent="0.25">
      <c r="A7" s="49">
        <v>4</v>
      </c>
      <c r="B7" s="49" t="s">
        <v>329</v>
      </c>
      <c r="C7" s="49" t="str">
        <f>B7</f>
        <v>Fin de atención</v>
      </c>
    </row>
    <row r="13" spans="1:3" ht="30" customHeight="1" x14ac:dyDescent="0.25">
      <c r="A13" s="46"/>
      <c r="B13" s="53" t="s">
        <v>194</v>
      </c>
    </row>
    <row r="14" spans="1:3" ht="30" customHeight="1" x14ac:dyDescent="0.25">
      <c r="A14" s="44"/>
      <c r="B14" s="53" t="s">
        <v>195</v>
      </c>
    </row>
    <row r="15" spans="1:3" ht="30" customHeight="1" x14ac:dyDescent="0.25">
      <c r="A15" s="47"/>
      <c r="B15" s="53" t="s">
        <v>284</v>
      </c>
    </row>
    <row r="16" spans="1:3" ht="30" customHeight="1" x14ac:dyDescent="0.25">
      <c r="A16" s="48"/>
      <c r="B16" s="53" t="s">
        <v>197</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E42"/>
  <sheetViews>
    <sheetView zoomScaleNormal="100" workbookViewId="0">
      <selection activeCell="B1" sqref="B1"/>
    </sheetView>
  </sheetViews>
  <sheetFormatPr baseColWidth="10" defaultColWidth="8.7109375" defaultRowHeight="15" x14ac:dyDescent="0.25"/>
  <cols>
    <col min="1" max="1" width="27" customWidth="1"/>
    <col min="2" max="2" width="45" customWidth="1"/>
    <col min="3" max="3" width="33.28515625" customWidth="1"/>
    <col min="4" max="4" width="24.2851562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5" customWidth="1"/>
    <col min="17" max="17" width="38.42578125" customWidth="1"/>
    <col min="18" max="18" width="38.85546875" customWidth="1"/>
    <col min="19" max="19" width="22.85546875" customWidth="1"/>
    <col min="20" max="20" width="25.85546875" customWidth="1"/>
    <col min="21" max="21" width="18" customWidth="1"/>
    <col min="22" max="22" width="22" customWidth="1"/>
    <col min="23" max="23" width="13" customWidth="1"/>
    <col min="24" max="24" width="15.42578125" customWidth="1"/>
    <col min="25" max="25" width="22" customWidth="1"/>
    <col min="26" max="26" width="26" customWidth="1"/>
    <col min="27" max="31" width="22" customWidth="1"/>
  </cols>
  <sheetData>
    <row r="1" spans="1:31" ht="15" customHeight="1" x14ac:dyDescent="0.25">
      <c r="A1" s="4" t="s">
        <v>0</v>
      </c>
      <c r="B1" s="4" t="s">
        <v>55</v>
      </c>
    </row>
    <row r="2" spans="1:31" ht="15" customHeight="1" x14ac:dyDescent="0.25">
      <c r="A2" s="81" t="s">
        <v>56</v>
      </c>
      <c r="B2" s="81" t="s">
        <v>57</v>
      </c>
      <c r="C2" s="81" t="s">
        <v>58</v>
      </c>
      <c r="D2" s="81" t="s">
        <v>59</v>
      </c>
      <c r="E2" s="81" t="s">
        <v>60</v>
      </c>
      <c r="F2" s="81" t="s">
        <v>61</v>
      </c>
      <c r="G2" s="81" t="s">
        <v>62</v>
      </c>
      <c r="H2" s="81" t="s">
        <v>63</v>
      </c>
      <c r="I2" s="81" t="s">
        <v>64</v>
      </c>
      <c r="J2" s="81" t="s">
        <v>65</v>
      </c>
      <c r="K2" s="81" t="s">
        <v>66</v>
      </c>
      <c r="L2" s="81" t="s">
        <v>67</v>
      </c>
      <c r="M2" s="81" t="s">
        <v>68</v>
      </c>
      <c r="N2" s="81" t="s">
        <v>69</v>
      </c>
      <c r="O2" s="81" t="s">
        <v>70</v>
      </c>
      <c r="P2" s="81" t="s">
        <v>71</v>
      </c>
      <c r="Q2" s="81" t="s">
        <v>72</v>
      </c>
      <c r="R2" s="81" t="s">
        <v>73</v>
      </c>
      <c r="S2" s="81" t="s">
        <v>74</v>
      </c>
      <c r="T2" s="81" t="s">
        <v>75</v>
      </c>
      <c r="U2" s="81" t="s">
        <v>76</v>
      </c>
      <c r="V2" s="82" t="str">
        <f>A21</f>
        <v>registrarCliente</v>
      </c>
      <c r="W2" s="360" t="str">
        <f>A23</f>
        <v>editarContactoCliente</v>
      </c>
      <c r="X2" s="279"/>
      <c r="Y2" s="84" t="str">
        <f>A26</f>
        <v>consultarDatosCliente</v>
      </c>
      <c r="Z2" s="82" t="str">
        <f>A27</f>
        <v>consultarEstadoVetoCliente</v>
      </c>
      <c r="AA2" s="83" t="str">
        <f>A28</f>
        <v>consultarCantidadMultasSinPagar</v>
      </c>
      <c r="AB2" s="360" t="str">
        <f>A29</f>
        <v>vetarCliente</v>
      </c>
      <c r="AC2" s="279"/>
      <c r="AD2" s="279" t="str">
        <f>A31</f>
        <v>quitarVetoCliente</v>
      </c>
      <c r="AE2" s="279"/>
    </row>
    <row r="3" spans="1:31" ht="45" customHeight="1" x14ac:dyDescent="0.25">
      <c r="A3" s="16" t="str">
        <f>'M-Cliente'!A3</f>
        <v>id</v>
      </c>
      <c r="B3" s="17" t="str">
        <f>'M-Cliente'!A2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7" t="s">
        <v>79</v>
      </c>
      <c r="N3" s="16" t="s">
        <v>77</v>
      </c>
      <c r="O3" s="16" t="s">
        <v>80</v>
      </c>
      <c r="P3" s="16" t="s">
        <v>79</v>
      </c>
      <c r="Q3" s="16" t="s">
        <v>79</v>
      </c>
      <c r="R3" s="16" t="s">
        <v>79</v>
      </c>
      <c r="S3" s="16" t="s">
        <v>80</v>
      </c>
      <c r="T3" s="16" t="s">
        <v>81</v>
      </c>
      <c r="U3" s="16" t="s">
        <v>77</v>
      </c>
      <c r="V3" s="85" t="s">
        <v>82</v>
      </c>
      <c r="W3" s="86" t="s">
        <v>84</v>
      </c>
      <c r="X3" s="86" t="s">
        <v>85</v>
      </c>
      <c r="Y3" s="87" t="s">
        <v>83</v>
      </c>
      <c r="Z3" s="85" t="s">
        <v>83</v>
      </c>
      <c r="AA3" s="86" t="s">
        <v>83</v>
      </c>
      <c r="AB3" s="86" t="s">
        <v>84</v>
      </c>
      <c r="AC3" s="86" t="s">
        <v>85</v>
      </c>
      <c r="AD3" s="86" t="s">
        <v>84</v>
      </c>
      <c r="AE3" s="86" t="s">
        <v>85</v>
      </c>
    </row>
    <row r="4" spans="1:31" ht="45" customHeight="1" x14ac:dyDescent="0.25">
      <c r="A4" s="16" t="str">
        <f>'M-Cliente'!B3</f>
        <v>primerNombre</v>
      </c>
      <c r="B4" s="17" t="str">
        <f>'M-Cliente'!B2</f>
        <v>Representa el primer nombre de la persona, que va a estar llendo a la barberia para las citas</v>
      </c>
      <c r="C4" s="16" t="s">
        <v>80</v>
      </c>
      <c r="D4" s="16" t="s">
        <v>86</v>
      </c>
      <c r="E4" s="16" t="s">
        <v>77</v>
      </c>
      <c r="F4" s="16">
        <v>3</v>
      </c>
      <c r="G4" s="16">
        <v>50</v>
      </c>
      <c r="H4" s="16" t="s">
        <v>79</v>
      </c>
      <c r="I4" s="16" t="s">
        <v>79</v>
      </c>
      <c r="J4" s="16" t="s">
        <v>79</v>
      </c>
      <c r="K4" s="16" t="s">
        <v>79</v>
      </c>
      <c r="L4" s="16" t="s">
        <v>79</v>
      </c>
      <c r="M4" s="17" t="s">
        <v>330</v>
      </c>
      <c r="N4" s="16" t="s">
        <v>80</v>
      </c>
      <c r="O4" s="16" t="s">
        <v>80</v>
      </c>
      <c r="P4" s="16" t="s">
        <v>80</v>
      </c>
      <c r="Q4" s="16" t="s">
        <v>77</v>
      </c>
      <c r="R4" s="16" t="s">
        <v>77</v>
      </c>
      <c r="S4" s="16" t="s">
        <v>80</v>
      </c>
      <c r="T4" s="16" t="s">
        <v>88</v>
      </c>
      <c r="U4" s="16" t="s">
        <v>80</v>
      </c>
      <c r="V4" s="85" t="s">
        <v>84</v>
      </c>
      <c r="W4" s="86" t="s">
        <v>82</v>
      </c>
      <c r="X4" s="86" t="s">
        <v>85</v>
      </c>
      <c r="Y4" s="87" t="s">
        <v>89</v>
      </c>
      <c r="Z4" s="85" t="s">
        <v>83</v>
      </c>
      <c r="AA4" s="86" t="s">
        <v>83</v>
      </c>
      <c r="AB4" s="86" t="s">
        <v>82</v>
      </c>
      <c r="AC4" s="86" t="s">
        <v>85</v>
      </c>
      <c r="AD4" s="86" t="s">
        <v>82</v>
      </c>
      <c r="AE4" s="86" t="s">
        <v>85</v>
      </c>
    </row>
    <row r="5" spans="1:31" ht="45" customHeight="1" x14ac:dyDescent="0.25">
      <c r="A5" s="16" t="str">
        <f>'M-Cliente'!C3</f>
        <v>segundoNombre</v>
      </c>
      <c r="B5" s="17" t="str">
        <f>'M-Cliente'!C2</f>
        <v>Representa el segundo nombre de la persona, que va a estar llendo a la barberia para las citas</v>
      </c>
      <c r="C5" s="16" t="s">
        <v>80</v>
      </c>
      <c r="D5" s="16" t="s">
        <v>86</v>
      </c>
      <c r="E5" s="16" t="s">
        <v>80</v>
      </c>
      <c r="F5" s="16">
        <v>0</v>
      </c>
      <c r="G5" s="16">
        <v>50</v>
      </c>
      <c r="H5" s="16" t="s">
        <v>79</v>
      </c>
      <c r="I5" s="16" t="s">
        <v>79</v>
      </c>
      <c r="J5" s="16" t="s">
        <v>79</v>
      </c>
      <c r="K5" s="16" t="s">
        <v>79</v>
      </c>
      <c r="L5" s="16" t="s">
        <v>79</v>
      </c>
      <c r="M5" s="17" t="s">
        <v>330</v>
      </c>
      <c r="N5" s="16" t="s">
        <v>80</v>
      </c>
      <c r="O5" s="16" t="s">
        <v>80</v>
      </c>
      <c r="P5" s="16" t="s">
        <v>80</v>
      </c>
      <c r="Q5" s="16" t="s">
        <v>77</v>
      </c>
      <c r="R5" s="16" t="s">
        <v>77</v>
      </c>
      <c r="S5" s="16" t="s">
        <v>80</v>
      </c>
      <c r="T5" s="16" t="s">
        <v>88</v>
      </c>
      <c r="U5" s="16" t="s">
        <v>80</v>
      </c>
      <c r="V5" s="85" t="s">
        <v>82</v>
      </c>
      <c r="W5" s="86" t="s">
        <v>82</v>
      </c>
      <c r="X5" s="86" t="s">
        <v>85</v>
      </c>
      <c r="Y5" s="87" t="s">
        <v>89</v>
      </c>
      <c r="Z5" s="85" t="s">
        <v>83</v>
      </c>
      <c r="AA5" s="86" t="s">
        <v>83</v>
      </c>
      <c r="AB5" s="86" t="s">
        <v>82</v>
      </c>
      <c r="AC5" s="86" t="s">
        <v>85</v>
      </c>
      <c r="AD5" s="86" t="s">
        <v>82</v>
      </c>
      <c r="AE5" s="86" t="s">
        <v>85</v>
      </c>
    </row>
    <row r="6" spans="1:31" ht="45" customHeight="1" x14ac:dyDescent="0.25">
      <c r="A6" s="16" t="str">
        <f>'M-Cliente'!D3</f>
        <v>primerApellido</v>
      </c>
      <c r="B6" s="17" t="str">
        <f>'M-Cliente'!D2</f>
        <v>Representa el primer apellido de la persona, que va a estar llendo a la barberia para las citas</v>
      </c>
      <c r="C6" s="16" t="s">
        <v>80</v>
      </c>
      <c r="D6" s="16" t="s">
        <v>86</v>
      </c>
      <c r="E6" s="16" t="s">
        <v>77</v>
      </c>
      <c r="F6" s="16">
        <v>3</v>
      </c>
      <c r="G6" s="16">
        <v>50</v>
      </c>
      <c r="H6" s="16" t="s">
        <v>79</v>
      </c>
      <c r="I6" s="16" t="s">
        <v>79</v>
      </c>
      <c r="J6" s="16" t="s">
        <v>79</v>
      </c>
      <c r="K6" s="16" t="s">
        <v>79</v>
      </c>
      <c r="L6" s="16" t="s">
        <v>79</v>
      </c>
      <c r="M6" s="17" t="s">
        <v>330</v>
      </c>
      <c r="N6" s="16" t="s">
        <v>80</v>
      </c>
      <c r="O6" s="16" t="s">
        <v>80</v>
      </c>
      <c r="P6" s="16" t="s">
        <v>80</v>
      </c>
      <c r="Q6" s="16" t="s">
        <v>77</v>
      </c>
      <c r="R6" s="16" t="s">
        <v>77</v>
      </c>
      <c r="S6" s="16" t="s">
        <v>80</v>
      </c>
      <c r="T6" s="16" t="s">
        <v>88</v>
      </c>
      <c r="U6" s="16" t="s">
        <v>80</v>
      </c>
      <c r="V6" s="85" t="s">
        <v>84</v>
      </c>
      <c r="W6" s="86" t="s">
        <v>82</v>
      </c>
      <c r="X6" s="86" t="s">
        <v>85</v>
      </c>
      <c r="Y6" s="87" t="s">
        <v>89</v>
      </c>
      <c r="Z6" s="85" t="s">
        <v>83</v>
      </c>
      <c r="AA6" s="86" t="s">
        <v>83</v>
      </c>
      <c r="AB6" s="86" t="s">
        <v>82</v>
      </c>
      <c r="AC6" s="86" t="s">
        <v>85</v>
      </c>
      <c r="AD6" s="86" t="s">
        <v>82</v>
      </c>
      <c r="AE6" s="86" t="s">
        <v>85</v>
      </c>
    </row>
    <row r="7" spans="1:31" ht="45" customHeight="1" x14ac:dyDescent="0.25">
      <c r="A7" s="16" t="str">
        <f>'M-Cliente'!E3</f>
        <v>segundoApellido</v>
      </c>
      <c r="B7" s="17" t="str">
        <f>'M-Cliente'!E2</f>
        <v>Representa el segundo apellido de la persona, que va a estar llendo a la barberia para las citas</v>
      </c>
      <c r="C7" s="16" t="s">
        <v>80</v>
      </c>
      <c r="D7" s="16" t="s">
        <v>86</v>
      </c>
      <c r="E7" s="16" t="s">
        <v>80</v>
      </c>
      <c r="F7" s="16">
        <v>0</v>
      </c>
      <c r="G7" s="16">
        <v>50</v>
      </c>
      <c r="H7" s="16" t="s">
        <v>79</v>
      </c>
      <c r="I7" s="16" t="s">
        <v>79</v>
      </c>
      <c r="J7" s="16" t="s">
        <v>79</v>
      </c>
      <c r="K7" s="16" t="s">
        <v>79</v>
      </c>
      <c r="L7" s="16" t="s">
        <v>79</v>
      </c>
      <c r="M7" s="17" t="s">
        <v>330</v>
      </c>
      <c r="N7" s="16" t="s">
        <v>80</v>
      </c>
      <c r="O7" s="16" t="s">
        <v>80</v>
      </c>
      <c r="P7" s="16" t="s">
        <v>80</v>
      </c>
      <c r="Q7" s="16" t="s">
        <v>77</v>
      </c>
      <c r="R7" s="16" t="s">
        <v>77</v>
      </c>
      <c r="S7" s="16" t="s">
        <v>80</v>
      </c>
      <c r="T7" s="16" t="s">
        <v>88</v>
      </c>
      <c r="U7" s="16" t="s">
        <v>80</v>
      </c>
      <c r="V7" s="85" t="s">
        <v>82</v>
      </c>
      <c r="W7" s="86" t="s">
        <v>82</v>
      </c>
      <c r="X7" s="86" t="s">
        <v>85</v>
      </c>
      <c r="Y7" s="87" t="s">
        <v>89</v>
      </c>
      <c r="Z7" s="85" t="s">
        <v>83</v>
      </c>
      <c r="AA7" s="86" t="s">
        <v>83</v>
      </c>
      <c r="AB7" s="86" t="s">
        <v>82</v>
      </c>
      <c r="AC7" s="86" t="s">
        <v>85</v>
      </c>
      <c r="AD7" s="86" t="s">
        <v>82</v>
      </c>
      <c r="AE7" s="86" t="s">
        <v>85</v>
      </c>
    </row>
    <row r="8" spans="1:31" ht="45" customHeight="1" x14ac:dyDescent="0.25">
      <c r="A8" s="16" t="str">
        <f>'M-Cliente'!F3</f>
        <v>prefijoCelular</v>
      </c>
      <c r="B8" s="17" t="str">
        <f>'M-Cliente'!F2</f>
        <v>Representa cual es el prefijo del numero de celular del cliente</v>
      </c>
      <c r="C8" s="16" t="s">
        <v>80</v>
      </c>
      <c r="D8" s="106" t="s">
        <v>20</v>
      </c>
      <c r="E8" s="16" t="s">
        <v>77</v>
      </c>
      <c r="F8" s="16" t="s">
        <v>79</v>
      </c>
      <c r="G8" s="16" t="s">
        <v>79</v>
      </c>
      <c r="H8" s="16" t="s">
        <v>79</v>
      </c>
      <c r="I8" s="16" t="s">
        <v>79</v>
      </c>
      <c r="J8" s="16" t="s">
        <v>79</v>
      </c>
      <c r="K8" s="16" t="s">
        <v>79</v>
      </c>
      <c r="L8" s="16" t="s">
        <v>79</v>
      </c>
      <c r="M8" s="107" t="s">
        <v>331</v>
      </c>
      <c r="N8" s="16" t="s">
        <v>80</v>
      </c>
      <c r="O8" s="16" t="s">
        <v>79</v>
      </c>
      <c r="P8" s="16" t="s">
        <v>79</v>
      </c>
      <c r="Q8" s="16" t="s">
        <v>79</v>
      </c>
      <c r="R8" s="16" t="s">
        <v>79</v>
      </c>
      <c r="S8" s="16" t="s">
        <v>80</v>
      </c>
      <c r="T8" s="16" t="s">
        <v>81</v>
      </c>
      <c r="U8" s="16" t="s">
        <v>80</v>
      </c>
      <c r="V8" s="85" t="s">
        <v>84</v>
      </c>
      <c r="W8" s="86" t="s">
        <v>84</v>
      </c>
      <c r="X8" s="86" t="s">
        <v>90</v>
      </c>
      <c r="Y8" s="87" t="s">
        <v>89</v>
      </c>
      <c r="Z8" s="85" t="s">
        <v>83</v>
      </c>
      <c r="AA8" s="86" t="s">
        <v>83</v>
      </c>
      <c r="AB8" s="86" t="s">
        <v>82</v>
      </c>
      <c r="AC8" s="86" t="s">
        <v>85</v>
      </c>
      <c r="AD8" s="86" t="s">
        <v>82</v>
      </c>
      <c r="AE8" s="86" t="s">
        <v>85</v>
      </c>
    </row>
    <row r="9" spans="1:31" ht="57" customHeight="1" x14ac:dyDescent="0.25">
      <c r="A9" s="16" t="str">
        <f>'M-Cliente'!G3</f>
        <v>celular</v>
      </c>
      <c r="B9" s="17" t="str">
        <f>'M-Cliente'!G2</f>
        <v>Representa el numero de celular del cliente, es el dato que el barbero necesita en caso de que tenga que contactarse con el</v>
      </c>
      <c r="C9" s="16" t="s">
        <v>80</v>
      </c>
      <c r="D9" s="16" t="s">
        <v>86</v>
      </c>
      <c r="E9" s="16" t="s">
        <v>77</v>
      </c>
      <c r="F9" s="16">
        <v>6</v>
      </c>
      <c r="G9" s="16">
        <v>15</v>
      </c>
      <c r="H9" s="16" t="s">
        <v>79</v>
      </c>
      <c r="I9" s="16" t="s">
        <v>79</v>
      </c>
      <c r="J9" s="16" t="s">
        <v>79</v>
      </c>
      <c r="K9" s="16" t="s">
        <v>79</v>
      </c>
      <c r="L9" s="17" t="s">
        <v>79</v>
      </c>
      <c r="M9" s="17" t="s">
        <v>332</v>
      </c>
      <c r="N9" s="16" t="s">
        <v>80</v>
      </c>
      <c r="O9" s="16" t="s">
        <v>79</v>
      </c>
      <c r="P9" s="16" t="s">
        <v>79</v>
      </c>
      <c r="Q9" s="16" t="s">
        <v>77</v>
      </c>
      <c r="R9" s="16" t="s">
        <v>77</v>
      </c>
      <c r="S9" s="16" t="s">
        <v>77</v>
      </c>
      <c r="T9" s="16" t="s">
        <v>333</v>
      </c>
      <c r="U9" s="16" t="s">
        <v>80</v>
      </c>
      <c r="V9" s="85" t="s">
        <v>84</v>
      </c>
      <c r="W9" s="86" t="s">
        <v>84</v>
      </c>
      <c r="X9" s="86" t="s">
        <v>90</v>
      </c>
      <c r="Y9" s="87" t="s">
        <v>89</v>
      </c>
      <c r="Z9" s="85" t="s">
        <v>83</v>
      </c>
      <c r="AA9" s="86" t="s">
        <v>83</v>
      </c>
      <c r="AB9" s="86" t="s">
        <v>82</v>
      </c>
      <c r="AC9" s="86" t="s">
        <v>85</v>
      </c>
      <c r="AD9" s="86" t="s">
        <v>82</v>
      </c>
      <c r="AE9" s="86" t="s">
        <v>85</v>
      </c>
    </row>
    <row r="10" spans="1:31" ht="57" customHeight="1" x14ac:dyDescent="0.25">
      <c r="A10" s="16" t="str">
        <f>'M-Cliente'!H3</f>
        <v>elNumeroCelularEsCorrecto</v>
      </c>
      <c r="B10" s="17" t="str">
        <f>'M-Cliente'!H2</f>
        <v>Representa si el numero que ingreso el cliente es correcto o no</v>
      </c>
      <c r="C10" s="16" t="s">
        <v>80</v>
      </c>
      <c r="D10" s="16" t="s">
        <v>334</v>
      </c>
      <c r="E10" s="16" t="s">
        <v>77</v>
      </c>
      <c r="F10" s="16" t="s">
        <v>79</v>
      </c>
      <c r="G10" s="16" t="s">
        <v>79</v>
      </c>
      <c r="H10" s="16" t="s">
        <v>79</v>
      </c>
      <c r="I10" s="16" t="s">
        <v>79</v>
      </c>
      <c r="J10" s="16" t="s">
        <v>79</v>
      </c>
      <c r="K10" s="16" t="s">
        <v>79</v>
      </c>
      <c r="L10" s="17" t="s">
        <v>79</v>
      </c>
      <c r="M10" s="17" t="s">
        <v>79</v>
      </c>
      <c r="N10" s="16" t="s">
        <v>80</v>
      </c>
      <c r="O10" s="16" t="s">
        <v>79</v>
      </c>
      <c r="P10" s="16" t="s">
        <v>79</v>
      </c>
      <c r="Q10" s="16" t="s">
        <v>79</v>
      </c>
      <c r="R10" s="16" t="s">
        <v>79</v>
      </c>
      <c r="S10" s="16" t="s">
        <v>80</v>
      </c>
      <c r="T10" s="16" t="s">
        <v>80</v>
      </c>
      <c r="U10" s="16" t="s">
        <v>80</v>
      </c>
      <c r="V10" s="85" t="s">
        <v>82</v>
      </c>
      <c r="W10" s="86" t="s">
        <v>82</v>
      </c>
      <c r="X10" s="86" t="s">
        <v>90</v>
      </c>
      <c r="Y10" s="87" t="s">
        <v>89</v>
      </c>
      <c r="Z10" s="85" t="s">
        <v>83</v>
      </c>
      <c r="AA10" s="86" t="s">
        <v>83</v>
      </c>
      <c r="AB10" s="86" t="s">
        <v>82</v>
      </c>
      <c r="AC10" s="86" t="s">
        <v>85</v>
      </c>
      <c r="AD10" s="86" t="s">
        <v>82</v>
      </c>
      <c r="AE10" s="86" t="s">
        <v>85</v>
      </c>
    </row>
    <row r="11" spans="1:31" ht="60" customHeight="1" x14ac:dyDescent="0.25">
      <c r="A11" s="16" t="str">
        <f>'M-Cliente'!I3</f>
        <v>estaVetado</v>
      </c>
      <c r="B11" s="17" t="str">
        <f>'M-Cliente'!I2</f>
        <v>Representa si el cliente esta en estado de veto o no, cuando el cliente esta vetado el sistema no va a permitir agendar citas con este cliente con ningun barbero</v>
      </c>
      <c r="C11" s="16" t="s">
        <v>80</v>
      </c>
      <c r="D11" s="16" t="s">
        <v>334</v>
      </c>
      <c r="E11" s="16" t="s">
        <v>77</v>
      </c>
      <c r="F11" s="16" t="s">
        <v>79</v>
      </c>
      <c r="G11" s="16" t="s">
        <v>79</v>
      </c>
      <c r="H11" s="16" t="s">
        <v>79</v>
      </c>
      <c r="I11" s="16" t="s">
        <v>79</v>
      </c>
      <c r="J11" s="16" t="s">
        <v>79</v>
      </c>
      <c r="K11" s="16" t="s">
        <v>79</v>
      </c>
      <c r="L11" s="16" t="s">
        <v>79</v>
      </c>
      <c r="M11" s="17" t="s">
        <v>335</v>
      </c>
      <c r="N11" s="16" t="s">
        <v>77</v>
      </c>
      <c r="O11" s="16" t="s">
        <v>80</v>
      </c>
      <c r="P11" s="16" t="s">
        <v>79</v>
      </c>
      <c r="Q11" s="16" t="s">
        <v>79</v>
      </c>
      <c r="R11" s="16" t="s">
        <v>79</v>
      </c>
      <c r="S11" s="16" t="s">
        <v>80</v>
      </c>
      <c r="T11" s="16" t="s">
        <v>80</v>
      </c>
      <c r="U11" s="16" t="s">
        <v>80</v>
      </c>
      <c r="V11" s="85" t="s">
        <v>82</v>
      </c>
      <c r="W11" s="86" t="s">
        <v>82</v>
      </c>
      <c r="X11" s="86" t="s">
        <v>85</v>
      </c>
      <c r="Y11" s="87" t="s">
        <v>89</v>
      </c>
      <c r="Z11" s="85" t="s">
        <v>89</v>
      </c>
      <c r="AA11" s="86" t="s">
        <v>83</v>
      </c>
      <c r="AB11" s="86" t="s">
        <v>82</v>
      </c>
      <c r="AC11" s="86" t="s">
        <v>90</v>
      </c>
      <c r="AD11" s="86" t="s">
        <v>82</v>
      </c>
      <c r="AE11" s="86" t="s">
        <v>90</v>
      </c>
    </row>
    <row r="12" spans="1:31" ht="15" customHeight="1" x14ac:dyDescent="0.25">
      <c r="A12" s="5"/>
      <c r="B12" s="5"/>
      <c r="C12" s="5"/>
      <c r="D12" s="5"/>
      <c r="E12" s="5"/>
      <c r="F12" s="5"/>
      <c r="G12" s="5"/>
      <c r="H12" s="5"/>
      <c r="I12" s="5"/>
      <c r="J12" s="5"/>
      <c r="K12" s="5"/>
      <c r="L12" s="5"/>
      <c r="M12" s="5"/>
      <c r="N12" s="5"/>
      <c r="O12" s="5"/>
      <c r="P12" s="5"/>
      <c r="Q12" s="5"/>
      <c r="R12" s="5"/>
      <c r="S12" s="5"/>
      <c r="T12" s="5"/>
      <c r="U12" s="5"/>
    </row>
    <row r="13" spans="1:31" ht="15" customHeight="1" x14ac:dyDescent="0.25">
      <c r="A13" s="19" t="s">
        <v>93</v>
      </c>
      <c r="B13" s="19" t="s">
        <v>94</v>
      </c>
      <c r="C13" s="19" t="s">
        <v>95</v>
      </c>
      <c r="D13" s="89"/>
      <c r="E13" s="89"/>
      <c r="F13" s="89"/>
      <c r="G13" s="89"/>
      <c r="H13" s="89"/>
      <c r="I13" s="89"/>
      <c r="J13" s="89"/>
      <c r="K13" s="89"/>
      <c r="L13" s="89"/>
      <c r="M13" s="89"/>
      <c r="N13" s="89"/>
      <c r="O13" s="89"/>
      <c r="P13" s="89"/>
      <c r="Q13" s="89"/>
      <c r="R13" s="89"/>
      <c r="S13" s="89"/>
      <c r="T13" s="89"/>
      <c r="U13" s="89"/>
    </row>
    <row r="14" spans="1:31" ht="15" customHeight="1" x14ac:dyDescent="0.25">
      <c r="A14" s="364" t="str">
        <f>'M-Cliente'!J3</f>
        <v>Combinación única  1</v>
      </c>
      <c r="B14" s="371" t="str">
        <f>'M-Cliente'!J2</f>
        <v>Combinacion única que indica que no puede existir más de un cliente con el mismo prefijo de celular y número de celular</v>
      </c>
      <c r="C14" s="363" t="str">
        <f>A8</f>
        <v>prefijoCelular</v>
      </c>
      <c r="D14" s="5"/>
      <c r="E14" s="5"/>
      <c r="F14" s="5"/>
      <c r="G14" s="5"/>
      <c r="H14" s="5"/>
      <c r="I14" s="5"/>
      <c r="J14" s="5"/>
      <c r="K14" s="5"/>
      <c r="L14" s="5"/>
      <c r="M14" s="5"/>
      <c r="N14" s="5"/>
      <c r="O14" s="5"/>
      <c r="P14" s="5"/>
      <c r="Q14" s="5"/>
      <c r="R14" s="5"/>
      <c r="S14" s="5"/>
      <c r="T14" s="5"/>
      <c r="U14" s="5"/>
    </row>
    <row r="15" spans="1:31" ht="15" customHeight="1" x14ac:dyDescent="0.25">
      <c r="A15" s="284"/>
      <c r="B15" s="284"/>
      <c r="C15" s="284"/>
      <c r="D15" s="5"/>
      <c r="E15" s="5"/>
      <c r="F15" s="5"/>
      <c r="G15" s="5"/>
      <c r="H15" s="5"/>
      <c r="I15" s="5"/>
      <c r="J15" s="5"/>
      <c r="K15" s="5"/>
      <c r="L15" s="5"/>
      <c r="M15" s="5"/>
      <c r="N15" s="5"/>
      <c r="O15" s="5"/>
      <c r="P15" s="5"/>
      <c r="Q15" s="5"/>
      <c r="R15" s="5"/>
      <c r="S15" s="5"/>
      <c r="T15" s="5"/>
      <c r="U15" s="5"/>
    </row>
    <row r="16" spans="1:31" ht="15" customHeight="1" x14ac:dyDescent="0.25">
      <c r="A16" s="284"/>
      <c r="B16" s="284"/>
      <c r="C16" s="281"/>
      <c r="D16" s="5"/>
      <c r="E16" s="5"/>
      <c r="F16" s="5"/>
      <c r="G16" s="5"/>
      <c r="H16" s="5"/>
      <c r="I16" s="5"/>
      <c r="J16" s="5"/>
      <c r="K16" s="5"/>
      <c r="L16" s="5"/>
      <c r="M16" s="5"/>
      <c r="N16" s="5"/>
      <c r="O16" s="5"/>
      <c r="P16" s="5"/>
      <c r="Q16" s="5"/>
      <c r="R16" s="5"/>
      <c r="S16" s="5"/>
      <c r="T16" s="5"/>
      <c r="U16" s="5"/>
    </row>
    <row r="17" spans="1:21" ht="15" customHeight="1" x14ac:dyDescent="0.25">
      <c r="A17" s="281"/>
      <c r="B17" s="281"/>
      <c r="C17" s="121" t="str">
        <f>A9</f>
        <v>celular</v>
      </c>
      <c r="D17" s="5"/>
      <c r="E17" s="5"/>
      <c r="F17" s="5"/>
      <c r="G17" s="5"/>
      <c r="H17" s="5"/>
      <c r="I17" s="5"/>
      <c r="J17" s="5"/>
      <c r="K17" s="5"/>
      <c r="L17" s="5"/>
      <c r="M17" s="5"/>
      <c r="N17" s="5"/>
      <c r="O17" s="5"/>
      <c r="P17" s="5"/>
      <c r="Q17" s="5"/>
      <c r="R17" s="5"/>
      <c r="S17" s="5"/>
      <c r="T17" s="5"/>
      <c r="U17" s="5"/>
    </row>
    <row r="18" spans="1:21" ht="15" customHeight="1" x14ac:dyDescent="0.25">
      <c r="D18" s="5"/>
      <c r="E18" s="5"/>
      <c r="F18" s="5"/>
      <c r="G18" s="5"/>
      <c r="H18" s="5"/>
      <c r="I18" s="5"/>
      <c r="J18" s="5"/>
      <c r="K18" s="5"/>
      <c r="L18" s="5"/>
      <c r="M18" s="5"/>
      <c r="N18" s="5"/>
      <c r="O18" s="5"/>
      <c r="P18" s="5"/>
      <c r="Q18" s="5"/>
      <c r="R18" s="5"/>
      <c r="S18" s="5"/>
      <c r="T18" s="5"/>
      <c r="U18" s="5"/>
    </row>
    <row r="19" spans="1:21" ht="15" customHeight="1" x14ac:dyDescent="0.25">
      <c r="A19" s="320" t="s">
        <v>96</v>
      </c>
      <c r="B19" s="321"/>
      <c r="C19" s="323" t="s">
        <v>94</v>
      </c>
      <c r="D19" s="326"/>
      <c r="E19" s="326"/>
      <c r="F19" s="321"/>
      <c r="G19" s="323" t="s">
        <v>97</v>
      </c>
      <c r="H19" s="290"/>
      <c r="I19" s="291"/>
      <c r="J19" s="323" t="s">
        <v>98</v>
      </c>
      <c r="K19" s="290"/>
      <c r="L19" s="290"/>
      <c r="M19" s="290"/>
      <c r="N19" s="291"/>
      <c r="O19" s="323" t="s">
        <v>99</v>
      </c>
      <c r="P19" s="291"/>
      <c r="Q19" s="323" t="s">
        <v>100</v>
      </c>
      <c r="R19" s="291"/>
      <c r="S19" s="5"/>
      <c r="T19" s="5"/>
      <c r="U19" s="5"/>
    </row>
    <row r="20" spans="1:21" ht="15" customHeight="1" x14ac:dyDescent="0.25">
      <c r="A20" s="322"/>
      <c r="B20" s="312"/>
      <c r="C20" s="310"/>
      <c r="D20" s="311"/>
      <c r="E20" s="311"/>
      <c r="F20" s="312"/>
      <c r="G20" s="3" t="s">
        <v>101</v>
      </c>
      <c r="H20" s="3" t="s">
        <v>59</v>
      </c>
      <c r="I20" s="3" t="s">
        <v>94</v>
      </c>
      <c r="J20" s="3" t="s">
        <v>102</v>
      </c>
      <c r="K20" s="325" t="s">
        <v>94</v>
      </c>
      <c r="L20" s="303"/>
      <c r="M20" s="303"/>
      <c r="N20" s="279"/>
      <c r="O20" s="3" t="s">
        <v>103</v>
      </c>
      <c r="P20" s="3" t="s">
        <v>94</v>
      </c>
      <c r="Q20" s="3" t="s">
        <v>104</v>
      </c>
      <c r="R20" s="23" t="s">
        <v>105</v>
      </c>
    </row>
    <row r="21" spans="1:21" ht="89.25" customHeight="1" x14ac:dyDescent="0.25">
      <c r="A21" s="362" t="s">
        <v>336</v>
      </c>
      <c r="B21" s="309"/>
      <c r="C21" s="336" t="s">
        <v>337</v>
      </c>
      <c r="D21" s="308"/>
      <c r="E21" s="308"/>
      <c r="F21" s="309"/>
      <c r="G21" s="336" t="s">
        <v>338</v>
      </c>
      <c r="H21" s="375" t="s">
        <v>26</v>
      </c>
      <c r="I21" s="336" t="s">
        <v>339</v>
      </c>
      <c r="J21" s="365" t="s">
        <v>26</v>
      </c>
      <c r="K21" s="336" t="s">
        <v>340</v>
      </c>
      <c r="L21" s="308"/>
      <c r="M21" s="308"/>
      <c r="N21" s="309"/>
      <c r="O21" s="105" t="str">
        <f>'P-Cliente'!A6</f>
        <v>P-CLI-0001</v>
      </c>
      <c r="P21" s="25" t="str">
        <f>'P-Cliente'!B6</f>
        <v>Asegurar que los datos requeridos del cliente (nombres, apellidos, prefijo de celular, celular) sean válidos en tipo de dato, longitud, obligatoriedad, formato y rango</v>
      </c>
      <c r="Q21" s="25" t="s">
        <v>341</v>
      </c>
      <c r="R21" s="105" t="s">
        <v>112</v>
      </c>
    </row>
    <row r="22" spans="1:21" ht="51" customHeight="1" x14ac:dyDescent="0.25">
      <c r="A22" s="310"/>
      <c r="B22" s="312"/>
      <c r="C22" s="310"/>
      <c r="D22" s="311"/>
      <c r="E22" s="311"/>
      <c r="F22" s="312"/>
      <c r="G22" s="281"/>
      <c r="H22" s="281"/>
      <c r="I22" s="281"/>
      <c r="J22" s="281"/>
      <c r="K22" s="310"/>
      <c r="L22" s="311"/>
      <c r="M22" s="311"/>
      <c r="N22" s="312"/>
      <c r="O22" s="105" t="str">
        <f>'P-Cliente'!A7</f>
        <v>P-CLI-0002</v>
      </c>
      <c r="P22" s="25" t="str">
        <f>'P-Cliente'!B7</f>
        <v>Asegurar que el número de celular y prefijo de celular no esté siendo utilizado por otro cliente</v>
      </c>
      <c r="Q22" s="25" t="s">
        <v>342</v>
      </c>
      <c r="R22" s="105" t="s">
        <v>112</v>
      </c>
    </row>
    <row r="23" spans="1:21" ht="51" customHeight="1" x14ac:dyDescent="0.25">
      <c r="A23" s="368" t="s">
        <v>343</v>
      </c>
      <c r="B23" s="309"/>
      <c r="C23" s="366" t="s">
        <v>344</v>
      </c>
      <c r="D23" s="308"/>
      <c r="E23" s="308"/>
      <c r="F23" s="309"/>
      <c r="G23" s="111" t="s">
        <v>116</v>
      </c>
      <c r="H23" s="111" t="s">
        <v>117</v>
      </c>
      <c r="I23" s="64" t="s">
        <v>345</v>
      </c>
      <c r="J23" s="377" t="s">
        <v>26</v>
      </c>
      <c r="K23" s="366" t="s">
        <v>346</v>
      </c>
      <c r="L23" s="308"/>
      <c r="M23" s="308"/>
      <c r="N23" s="309"/>
      <c r="O23" s="122" t="str">
        <f>'P-Cliente'!A10</f>
        <v>P-CLI-0005</v>
      </c>
      <c r="P23" s="123" t="str">
        <f>'P-Cliente'!B10</f>
        <v>Asegurar que exista el cliente con el id enviado</v>
      </c>
      <c r="Q23" s="64" t="s">
        <v>347</v>
      </c>
      <c r="R23" s="122" t="s">
        <v>112</v>
      </c>
    </row>
    <row r="24" spans="1:21" ht="38.25" customHeight="1" x14ac:dyDescent="0.25">
      <c r="A24" s="369"/>
      <c r="B24" s="370"/>
      <c r="C24" s="369"/>
      <c r="D24" s="299"/>
      <c r="E24" s="299"/>
      <c r="F24" s="370"/>
      <c r="G24" s="366" t="s">
        <v>348</v>
      </c>
      <c r="H24" s="367" t="s">
        <v>26</v>
      </c>
      <c r="I24" s="366" t="s">
        <v>349</v>
      </c>
      <c r="J24" s="284"/>
      <c r="K24" s="369"/>
      <c r="L24" s="299"/>
      <c r="M24" s="299"/>
      <c r="N24" s="370"/>
      <c r="O24" s="367" t="str">
        <f>'P-Cliente'!A8</f>
        <v>P-CLI-0003</v>
      </c>
      <c r="P24" s="366" t="str">
        <f>'P-Cliente'!B8</f>
        <v>Asegurar que los datos requeridos del cliente para editar su contacto (prefijo de celular y celular) sean válidos en tipo de dato, longitud, obligatoriedad, formato y rango</v>
      </c>
      <c r="Q24" s="366" t="s">
        <v>350</v>
      </c>
      <c r="R24" s="367" t="s">
        <v>112</v>
      </c>
    </row>
    <row r="25" spans="1:21" ht="60" customHeight="1" x14ac:dyDescent="0.25">
      <c r="A25" s="310"/>
      <c r="B25" s="312"/>
      <c r="C25" s="310"/>
      <c r="D25" s="311"/>
      <c r="E25" s="311"/>
      <c r="F25" s="312"/>
      <c r="G25" s="281"/>
      <c r="H25" s="281"/>
      <c r="I25" s="281"/>
      <c r="J25" s="281"/>
      <c r="K25" s="310"/>
      <c r="L25" s="311"/>
      <c r="M25" s="311"/>
      <c r="N25" s="312"/>
      <c r="O25" s="281"/>
      <c r="P25" s="281"/>
      <c r="Q25" s="281"/>
      <c r="R25" s="281"/>
    </row>
    <row r="26" spans="1:21" ht="38.25" customHeight="1" x14ac:dyDescent="0.25">
      <c r="A26" s="373" t="s">
        <v>351</v>
      </c>
      <c r="B26" s="279"/>
      <c r="C26" s="361" t="s">
        <v>352</v>
      </c>
      <c r="D26" s="303"/>
      <c r="E26" s="303"/>
      <c r="F26" s="279"/>
      <c r="G26" s="114" t="s">
        <v>116</v>
      </c>
      <c r="H26" s="114" t="s">
        <v>117</v>
      </c>
      <c r="I26" s="68" t="s">
        <v>353</v>
      </c>
      <c r="J26" s="124" t="s">
        <v>26</v>
      </c>
      <c r="K26" s="361" t="s">
        <v>354</v>
      </c>
      <c r="L26" s="303"/>
      <c r="M26" s="303"/>
      <c r="N26" s="279"/>
      <c r="O26" s="114" t="str">
        <f>'P-Cliente'!A10</f>
        <v>P-CLI-0005</v>
      </c>
      <c r="P26" s="68" t="str">
        <f>'P-Cliente'!B10</f>
        <v>Asegurar que exista el cliente con el id enviado</v>
      </c>
      <c r="Q26" s="68" t="s">
        <v>355</v>
      </c>
      <c r="R26" s="114" t="s">
        <v>112</v>
      </c>
      <c r="S26" s="90"/>
      <c r="T26" s="90"/>
      <c r="U26" s="90"/>
    </row>
    <row r="27" spans="1:21" ht="38.25" customHeight="1" x14ac:dyDescent="0.25">
      <c r="A27" s="372" t="s">
        <v>356</v>
      </c>
      <c r="B27" s="279"/>
      <c r="C27" s="306" t="s">
        <v>357</v>
      </c>
      <c r="D27" s="303"/>
      <c r="E27" s="303"/>
      <c r="F27" s="279"/>
      <c r="G27" s="105" t="s">
        <v>116</v>
      </c>
      <c r="H27" s="105" t="s">
        <v>117</v>
      </c>
      <c r="I27" s="25" t="s">
        <v>353</v>
      </c>
      <c r="J27" s="116" t="s">
        <v>334</v>
      </c>
      <c r="K27" s="306" t="s">
        <v>358</v>
      </c>
      <c r="L27" s="303"/>
      <c r="M27" s="303"/>
      <c r="N27" s="279"/>
      <c r="O27" s="105" t="str">
        <f>'P-Cliente'!A10</f>
        <v>P-CLI-0005</v>
      </c>
      <c r="P27" s="25" t="str">
        <f>'P-Cliente'!B10</f>
        <v>Asegurar que exista el cliente con el id enviado</v>
      </c>
      <c r="Q27" s="25" t="s">
        <v>355</v>
      </c>
      <c r="R27" s="105" t="s">
        <v>112</v>
      </c>
    </row>
    <row r="28" spans="1:21" ht="38.25" customHeight="1" x14ac:dyDescent="0.25">
      <c r="A28" s="374" t="s">
        <v>359</v>
      </c>
      <c r="B28" s="279"/>
      <c r="C28" s="376" t="s">
        <v>360</v>
      </c>
      <c r="D28" s="303"/>
      <c r="E28" s="303"/>
      <c r="F28" s="279"/>
      <c r="G28" s="111" t="s">
        <v>116</v>
      </c>
      <c r="H28" s="111" t="s">
        <v>117</v>
      </c>
      <c r="I28" s="64" t="s">
        <v>353</v>
      </c>
      <c r="J28" s="125" t="s">
        <v>361</v>
      </c>
      <c r="K28" s="376" t="s">
        <v>362</v>
      </c>
      <c r="L28" s="303"/>
      <c r="M28" s="303"/>
      <c r="N28" s="279"/>
      <c r="O28" s="111" t="str">
        <f>'P-Cliente'!A10</f>
        <v>P-CLI-0005</v>
      </c>
      <c r="P28" s="64" t="str">
        <f>'P-Cliente'!B10</f>
        <v>Asegurar que exista el cliente con el id enviado</v>
      </c>
      <c r="Q28" s="64" t="s">
        <v>355</v>
      </c>
      <c r="R28" s="111" t="s">
        <v>112</v>
      </c>
    </row>
    <row r="29" spans="1:21" ht="89.25" customHeight="1" x14ac:dyDescent="0.25">
      <c r="A29" s="362" t="s">
        <v>363</v>
      </c>
      <c r="B29" s="309"/>
      <c r="C29" s="336" t="s">
        <v>364</v>
      </c>
      <c r="D29" s="308"/>
      <c r="E29" s="308"/>
      <c r="F29" s="309"/>
      <c r="G29" s="336" t="s">
        <v>116</v>
      </c>
      <c r="H29" s="375" t="s">
        <v>117</v>
      </c>
      <c r="I29" s="336" t="s">
        <v>365</v>
      </c>
      <c r="J29" s="365" t="s">
        <v>133</v>
      </c>
      <c r="K29" s="336"/>
      <c r="L29" s="308"/>
      <c r="M29" s="308"/>
      <c r="N29" s="309"/>
      <c r="O29" s="105" t="str">
        <f>'P-Cliente'!A10</f>
        <v>P-CLI-0005</v>
      </c>
      <c r="P29" s="25" t="str">
        <f>'P-Cliente'!B10</f>
        <v>Asegurar que exista el cliente con el id enviado</v>
      </c>
      <c r="Q29" s="25" t="s">
        <v>366</v>
      </c>
      <c r="R29" s="105" t="s">
        <v>112</v>
      </c>
    </row>
    <row r="30" spans="1:21" ht="89.25" customHeight="1" x14ac:dyDescent="0.25">
      <c r="A30" s="310"/>
      <c r="B30" s="312"/>
      <c r="C30" s="310"/>
      <c r="D30" s="311"/>
      <c r="E30" s="311"/>
      <c r="F30" s="312"/>
      <c r="G30" s="281"/>
      <c r="H30" s="281"/>
      <c r="I30" s="281"/>
      <c r="J30" s="281"/>
      <c r="K30" s="310"/>
      <c r="L30" s="311"/>
      <c r="M30" s="311"/>
      <c r="N30" s="312"/>
      <c r="O30" s="105" t="str">
        <f>'P-Cliente'!A11</f>
        <v>P-CLI-0006</v>
      </c>
      <c r="P30" s="25" t="str">
        <f>'P-Cliente'!B11</f>
        <v>Asegurar que el cliente tenga al menos una multa sin pagar; si la tiene, se le debe dar el veto</v>
      </c>
      <c r="Q30" s="25" t="s">
        <v>367</v>
      </c>
      <c r="R30" s="105" t="s">
        <v>112</v>
      </c>
    </row>
    <row r="31" spans="1:21" ht="89.25" customHeight="1" x14ac:dyDescent="0.25">
      <c r="A31" s="362" t="s">
        <v>368</v>
      </c>
      <c r="B31" s="309"/>
      <c r="C31" s="336" t="s">
        <v>369</v>
      </c>
      <c r="D31" s="308"/>
      <c r="E31" s="308"/>
      <c r="F31" s="309"/>
      <c r="G31" s="336" t="s">
        <v>116</v>
      </c>
      <c r="H31" s="375" t="s">
        <v>117</v>
      </c>
      <c r="I31" s="336" t="s">
        <v>370</v>
      </c>
      <c r="J31" s="365" t="s">
        <v>133</v>
      </c>
      <c r="K31" s="336"/>
      <c r="L31" s="308"/>
      <c r="M31" s="308"/>
      <c r="N31" s="309"/>
      <c r="O31" s="105" t="str">
        <f>'P-Cliente'!A10</f>
        <v>P-CLI-0005</v>
      </c>
      <c r="P31" s="25" t="str">
        <f>'P-Cliente'!B10</f>
        <v>Asegurar que exista el cliente con el id enviado</v>
      </c>
      <c r="Q31" s="25" t="s">
        <v>366</v>
      </c>
      <c r="R31" s="105" t="s">
        <v>112</v>
      </c>
    </row>
    <row r="32" spans="1:21" ht="89.25" customHeight="1" x14ac:dyDescent="0.25">
      <c r="A32" s="310"/>
      <c r="B32" s="312"/>
      <c r="C32" s="310"/>
      <c r="D32" s="311"/>
      <c r="E32" s="311"/>
      <c r="F32" s="312"/>
      <c r="G32" s="281"/>
      <c r="H32" s="281"/>
      <c r="I32" s="281"/>
      <c r="J32" s="281"/>
      <c r="K32" s="310"/>
      <c r="L32" s="311"/>
      <c r="M32" s="311"/>
      <c r="N32" s="312"/>
      <c r="O32" s="105" t="str">
        <f>'P-Cliente'!A12</f>
        <v>P-CLI-0007</v>
      </c>
      <c r="P32" s="25" t="str">
        <f>'P-Cliente'!B12</f>
        <v>Asegurar que el cliente ya no tenga ninguna multa sin pagar; si es así, se le debe quitar el veto</v>
      </c>
      <c r="Q32" s="25" t="s">
        <v>371</v>
      </c>
      <c r="R32" s="105" t="s">
        <v>112</v>
      </c>
    </row>
    <row r="33" spans="1:18" ht="15" customHeight="1" x14ac:dyDescent="0.25">
      <c r="A33" s="126"/>
      <c r="C33" s="127"/>
      <c r="G33" s="117"/>
      <c r="H33" s="117"/>
      <c r="I33" s="1"/>
      <c r="J33" s="128"/>
      <c r="K33" s="127"/>
      <c r="O33" s="117"/>
      <c r="P33" s="127"/>
      <c r="Q33" s="127"/>
      <c r="R33" s="117"/>
    </row>
    <row r="34" spans="1:18" ht="15" customHeight="1" x14ac:dyDescent="0.25">
      <c r="A34" s="126"/>
      <c r="C34" s="127"/>
      <c r="G34" s="117"/>
      <c r="H34" s="117"/>
      <c r="I34" s="1"/>
      <c r="J34" s="128"/>
      <c r="K34" s="127"/>
      <c r="O34" s="117"/>
      <c r="P34" s="127"/>
      <c r="Q34" s="127"/>
      <c r="R34" s="117"/>
    </row>
    <row r="35" spans="1:18" ht="15" customHeight="1" x14ac:dyDescent="0.25">
      <c r="A35" s="126"/>
      <c r="C35" s="127"/>
      <c r="G35" s="117"/>
      <c r="H35" s="117"/>
      <c r="I35" s="1"/>
      <c r="J35" s="128"/>
      <c r="K35" s="127"/>
      <c r="O35" s="117"/>
      <c r="P35" s="127"/>
      <c r="Q35" s="127"/>
      <c r="R35" s="117"/>
    </row>
    <row r="36" spans="1:18" ht="15" customHeight="1" x14ac:dyDescent="0.25">
      <c r="A36" s="126"/>
      <c r="C36" s="127"/>
      <c r="G36" s="117"/>
      <c r="H36" s="117"/>
      <c r="I36" s="1"/>
      <c r="J36" s="128"/>
      <c r="K36" s="127"/>
      <c r="O36" s="117"/>
      <c r="P36" s="127"/>
      <c r="Q36" s="127"/>
      <c r="R36" s="117"/>
    </row>
    <row r="37" spans="1:18" ht="15" customHeight="1" x14ac:dyDescent="0.25">
      <c r="A37" s="126"/>
      <c r="C37" s="127"/>
      <c r="G37" s="117"/>
      <c r="H37" s="117"/>
      <c r="I37" s="1"/>
      <c r="J37" s="128"/>
      <c r="K37" s="127"/>
      <c r="O37" s="117"/>
      <c r="P37" s="127"/>
      <c r="Q37" s="127"/>
      <c r="R37" s="117"/>
    </row>
    <row r="38" spans="1:18" x14ac:dyDescent="0.25">
      <c r="A38" s="126"/>
      <c r="C38" s="127"/>
      <c r="G38" s="117"/>
      <c r="H38" s="117"/>
      <c r="I38" s="1"/>
      <c r="J38" s="128"/>
      <c r="K38" s="127"/>
      <c r="O38" s="117"/>
      <c r="P38" s="127"/>
      <c r="Q38" s="127"/>
      <c r="R38" s="117"/>
    </row>
    <row r="39" spans="1:18" ht="15" customHeight="1" x14ac:dyDescent="0.25">
      <c r="A39" s="126"/>
      <c r="C39" s="127"/>
      <c r="G39" s="117"/>
      <c r="H39" s="117"/>
      <c r="I39" s="1"/>
      <c r="J39" s="128"/>
      <c r="K39" s="127"/>
      <c r="O39" s="117"/>
      <c r="P39" s="127"/>
      <c r="Q39" s="127"/>
      <c r="R39" s="117"/>
    </row>
    <row r="40" spans="1:18" ht="15" customHeight="1" x14ac:dyDescent="0.25">
      <c r="A40" s="126"/>
      <c r="C40" s="127"/>
      <c r="G40" s="117"/>
      <c r="H40" s="117"/>
      <c r="I40" s="1"/>
      <c r="J40" s="128"/>
      <c r="K40" s="127"/>
      <c r="O40" s="117"/>
      <c r="P40" s="127"/>
      <c r="Q40" s="127"/>
      <c r="R40" s="117"/>
    </row>
    <row r="41" spans="1:18" ht="15" customHeight="1" x14ac:dyDescent="0.25">
      <c r="A41" s="126"/>
      <c r="C41" s="127"/>
      <c r="G41" s="117"/>
      <c r="H41" s="117"/>
      <c r="I41" s="1"/>
      <c r="J41" s="128"/>
      <c r="K41" s="127"/>
      <c r="O41" s="117"/>
      <c r="P41" s="127"/>
      <c r="Q41" s="127"/>
      <c r="R41" s="117"/>
    </row>
    <row r="42" spans="1:18" x14ac:dyDescent="0.25">
      <c r="A42" s="126"/>
      <c r="C42" s="127"/>
      <c r="G42" s="117"/>
      <c r="H42" s="117"/>
      <c r="I42" s="1"/>
      <c r="J42" s="128"/>
      <c r="K42" s="127"/>
      <c r="O42" s="117"/>
      <c r="P42" s="127"/>
      <c r="Q42" s="127"/>
      <c r="R42" s="117"/>
    </row>
  </sheetData>
  <mergeCells count="54">
    <mergeCell ref="J19:N19"/>
    <mergeCell ref="A21:B22"/>
    <mergeCell ref="R24:R25"/>
    <mergeCell ref="Q19:R19"/>
    <mergeCell ref="H29:H30"/>
    <mergeCell ref="Q24:Q25"/>
    <mergeCell ref="G19:I19"/>
    <mergeCell ref="O19:P19"/>
    <mergeCell ref="K21:N22"/>
    <mergeCell ref="O24:O25"/>
    <mergeCell ref="H31:H32"/>
    <mergeCell ref="C23:F25"/>
    <mergeCell ref="C28:F28"/>
    <mergeCell ref="K23:N25"/>
    <mergeCell ref="K28:N28"/>
    <mergeCell ref="C31:F32"/>
    <mergeCell ref="K31:N32"/>
    <mergeCell ref="J23:J25"/>
    <mergeCell ref="K26:N26"/>
    <mergeCell ref="G31:G32"/>
    <mergeCell ref="J29:J30"/>
    <mergeCell ref="K27:N27"/>
    <mergeCell ref="K29:N30"/>
    <mergeCell ref="C29:F30"/>
    <mergeCell ref="B14:B17"/>
    <mergeCell ref="A29:B30"/>
    <mergeCell ref="A19:B20"/>
    <mergeCell ref="I21:I22"/>
    <mergeCell ref="C21:F22"/>
    <mergeCell ref="G24:G25"/>
    <mergeCell ref="A27:B27"/>
    <mergeCell ref="I24:I25"/>
    <mergeCell ref="G29:G30"/>
    <mergeCell ref="A26:B26"/>
    <mergeCell ref="A28:B28"/>
    <mergeCell ref="G21:G22"/>
    <mergeCell ref="C27:F27"/>
    <mergeCell ref="H21:H22"/>
    <mergeCell ref="AB2:AC2"/>
    <mergeCell ref="C26:F26"/>
    <mergeCell ref="A31:B32"/>
    <mergeCell ref="AD2:AE2"/>
    <mergeCell ref="C14:C16"/>
    <mergeCell ref="K20:N20"/>
    <mergeCell ref="A14:A17"/>
    <mergeCell ref="J21:J22"/>
    <mergeCell ref="I29:I30"/>
    <mergeCell ref="J31:J32"/>
    <mergeCell ref="P24:P25"/>
    <mergeCell ref="H24:H25"/>
    <mergeCell ref="C19:F20"/>
    <mergeCell ref="W2:X2"/>
    <mergeCell ref="I31:I32"/>
    <mergeCell ref="A23:B25"/>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V2" location="'C-Cliente'!A21" display="#'C-Cliente'.A21" xr:uid="{00000000-0004-0000-1E00-000002000000}"/>
    <hyperlink ref="W2" location="'C-Cliente'!A23" display="#'C-Cliente'.A23" xr:uid="{00000000-0004-0000-1E00-000003000000}"/>
    <hyperlink ref="Y2" location="'C-Cliente'!A26" display="#'C-Cliente'.A26" xr:uid="{00000000-0004-0000-1E00-000004000000}"/>
    <hyperlink ref="Z2" location="'C-Cliente'!A27" display="#'C-Cliente'.A27" xr:uid="{00000000-0004-0000-1E00-000005000000}"/>
    <hyperlink ref="AA2" location="'C-Cliente'!A28" display="#'C-Cliente'.A28" xr:uid="{00000000-0004-0000-1E00-000006000000}"/>
    <hyperlink ref="AB2" location="'C-Cliente'!A29" display="'C-Cliente'!A29" xr:uid="{00000000-0004-0000-1E00-000007000000}"/>
    <hyperlink ref="AD2" location="'C-Cliente'!A31" display="'C-Cliente'!A31" xr:uid="{00000000-0004-0000-1E00-000008000000}"/>
    <hyperlink ref="A3" location="'M-Cliente'!A3" display="'M-Cliente'!A3" xr:uid="{00000000-0004-0000-1E00-000009000000}"/>
    <hyperlink ref="B3" location="'M-Cliente'!A2" display="'M-Cliente'!A2" xr:uid="{00000000-0004-0000-1E00-00000A000000}"/>
    <hyperlink ref="A4" location="'M-Cliente'!A3" display="'M-Cliente'!A3" xr:uid="{00000000-0004-0000-1E00-00000B000000}"/>
    <hyperlink ref="B4" location="'M-Cliente'!A2" display="'M-Cliente'!A2" xr:uid="{00000000-0004-0000-1E00-00000C000000}"/>
    <hyperlink ref="A5" location="'M-Cliente'!A3" display="'M-Cliente'!A3" xr:uid="{00000000-0004-0000-1E00-00000D000000}"/>
    <hyperlink ref="B5" location="'M-Cliente'!A2" display="'M-Cliente'!A2" xr:uid="{00000000-0004-0000-1E00-00000E000000}"/>
    <hyperlink ref="A6" location="'M-Cliente'!A3" display="'M-Cliente'!A3" xr:uid="{00000000-0004-0000-1E00-00000F000000}"/>
    <hyperlink ref="B6" location="'M-Cliente'!A2" display="'M-Cliente'!A2" xr:uid="{00000000-0004-0000-1E00-000010000000}"/>
    <hyperlink ref="A7" location="'M-Cliente'!A3" display="'M-Cliente'!A3" xr:uid="{00000000-0004-0000-1E00-000011000000}"/>
    <hyperlink ref="B7" location="'M-Cliente'!A2" display="'M-Cliente'!A2" xr:uid="{00000000-0004-0000-1E00-000012000000}"/>
    <hyperlink ref="A8" location="'M-Cliente'!A3" display="'M-Cliente'!A3" xr:uid="{00000000-0004-0000-1E00-000013000000}"/>
    <hyperlink ref="B8" location="'M-Cliente'!A2" display="'M-Cliente'!A2" xr:uid="{00000000-0004-0000-1E00-000014000000}"/>
    <hyperlink ref="D8" location="'C-PrefijoCelular'!A1" display="PrefijoCelular" xr:uid="{00000000-0004-0000-1E00-000015000000}"/>
    <hyperlink ref="A9" location="'M-Cliente'!A3" display="'M-Cliente'!A3" xr:uid="{00000000-0004-0000-1E00-000016000000}"/>
    <hyperlink ref="B9" location="'M-Cliente'!A2" display="'M-Cliente'!A2" xr:uid="{00000000-0004-0000-1E00-000017000000}"/>
    <hyperlink ref="A10" location="'M-Cliente'!A3" display="'M-Cliente'!A3" xr:uid="{00000000-0004-0000-1E00-000018000000}"/>
    <hyperlink ref="B10" location="'M-Cliente'!A2" display="'M-Cliente'!A2" xr:uid="{00000000-0004-0000-1E00-000019000000}"/>
    <hyperlink ref="A11" location="'M-Cliente'!A3" display="'M-Cliente'!A3" xr:uid="{00000000-0004-0000-1E00-00001A000000}"/>
    <hyperlink ref="B11" location="'M-Cliente'!A2" display="'M-Cliente'!A2" xr:uid="{00000000-0004-0000-1E00-00001B000000}"/>
    <hyperlink ref="A14" location="'M-Cliente'!A3" display="'M-Cliente'!A3" xr:uid="{00000000-0004-0000-1E00-00001C000000}"/>
    <hyperlink ref="B14" location="'M-Cliente'!A2" display="'M-Cliente'!A2" xr:uid="{00000000-0004-0000-1E00-00001D000000}"/>
    <hyperlink ref="A21" location="'C-Cliente'!V2" display="registrarCliente" xr:uid="{00000000-0004-0000-1E00-00001E000000}"/>
    <hyperlink ref="A23" location="'C-Cliente'!W2" display="editarContactoCliente" xr:uid="{00000000-0004-0000-1E00-00001F000000}"/>
    <hyperlink ref="A26" location="'C-Cliente'!Y2" display="consultarDatosCliente" xr:uid="{00000000-0004-0000-1E00-000020000000}"/>
    <hyperlink ref="A27" location="'C-Cliente'!Z2" display="consultarEstadoVetoCliente" xr:uid="{00000000-0004-0000-1E00-000021000000}"/>
    <hyperlink ref="A28" location="'C-Cliente'!AA2" display="consultarCantidadMultasSinPagar" xr:uid="{00000000-0004-0000-1E00-000022000000}"/>
    <hyperlink ref="A29" location="'C-Cliente'!AB2" display="vetarCliente" xr:uid="{00000000-0004-0000-1E00-000023000000}"/>
    <hyperlink ref="A31" location="'C-Cliente'!AD2" display="quitarVetoCliente" xr:uid="{00000000-0004-0000-1E00-000024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2"/>
  <sheetViews>
    <sheetView showGridLines="0" zoomScaleNormal="100" workbookViewId="0">
      <selection activeCell="B11" sqref="B11"/>
    </sheetView>
  </sheetViews>
  <sheetFormatPr baseColWidth="10" defaultColWidth="8.7109375" defaultRowHeight="15" x14ac:dyDescent="0.25"/>
  <cols>
    <col min="1" max="1" width="20.7109375" customWidth="1"/>
    <col min="2" max="2" width="28.5703125" customWidth="1"/>
    <col min="3" max="3" width="35.5703125" customWidth="1"/>
    <col min="4" max="4" width="37.140625"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Dominio'!A10</f>
        <v>Cliente</v>
      </c>
      <c r="C2" s="290"/>
      <c r="D2" s="290"/>
      <c r="E2" s="291"/>
    </row>
    <row r="3" spans="1:5" ht="30" customHeight="1" x14ac:dyDescent="0.25">
      <c r="A3" s="30" t="s">
        <v>140</v>
      </c>
      <c r="B3" s="336" t="str">
        <f>'Objetos de Dominio'!B10</f>
        <v xml:space="preserve">Representa a la persona que solicita citas en la barbería. </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48" customHeight="1" x14ac:dyDescent="0.25">
      <c r="A6" s="8" t="s">
        <v>372</v>
      </c>
      <c r="B6" s="332" t="s">
        <v>373</v>
      </c>
      <c r="C6" s="279"/>
      <c r="D6" s="31" t="s">
        <v>26</v>
      </c>
      <c r="E6" s="31"/>
    </row>
    <row r="7" spans="1:5" ht="30" customHeight="1" x14ac:dyDescent="0.25">
      <c r="A7" s="8" t="s">
        <v>374</v>
      </c>
      <c r="B7" s="332" t="s">
        <v>375</v>
      </c>
      <c r="C7" s="279"/>
      <c r="D7" s="31" t="s">
        <v>26</v>
      </c>
      <c r="E7" s="31"/>
    </row>
    <row r="8" spans="1:5" ht="54" customHeight="1" x14ac:dyDescent="0.25">
      <c r="A8" s="8" t="s">
        <v>376</v>
      </c>
      <c r="B8" s="332" t="s">
        <v>377</v>
      </c>
      <c r="C8" s="279"/>
      <c r="D8" s="31" t="s">
        <v>26</v>
      </c>
      <c r="E8" s="31"/>
    </row>
    <row r="9" spans="1:5" ht="54" customHeight="1" x14ac:dyDescent="0.25">
      <c r="A9" s="8" t="s">
        <v>378</v>
      </c>
      <c r="B9" s="332" t="s">
        <v>379</v>
      </c>
      <c r="C9" s="279"/>
      <c r="D9" s="31" t="s">
        <v>50</v>
      </c>
      <c r="E9" s="31"/>
    </row>
    <row r="10" spans="1:5" ht="15" customHeight="1" x14ac:dyDescent="0.25">
      <c r="A10" s="8" t="s">
        <v>380</v>
      </c>
      <c r="B10" s="348" t="s">
        <v>381</v>
      </c>
      <c r="C10" s="279"/>
      <c r="D10" s="31" t="s">
        <v>26</v>
      </c>
      <c r="E10" s="31"/>
    </row>
    <row r="11" spans="1:5" ht="15" customHeight="1" x14ac:dyDescent="0.25">
      <c r="A11" s="8" t="s">
        <v>382</v>
      </c>
      <c r="B11" s="348" t="s">
        <v>383</v>
      </c>
      <c r="C11" s="279"/>
      <c r="D11" s="31" t="s">
        <v>50</v>
      </c>
      <c r="E11" s="31"/>
    </row>
    <row r="12" spans="1:5" ht="15" customHeight="1" x14ac:dyDescent="0.25">
      <c r="A12" s="8" t="s">
        <v>384</v>
      </c>
      <c r="B12" s="348" t="s">
        <v>385</v>
      </c>
      <c r="C12" s="279"/>
      <c r="D12" s="31" t="s">
        <v>50</v>
      </c>
      <c r="E12" s="31"/>
    </row>
  </sheetData>
  <mergeCells count="13">
    <mergeCell ref="A4:A5"/>
    <mergeCell ref="D4:D5"/>
    <mergeCell ref="B2:E2"/>
    <mergeCell ref="B9:C9"/>
    <mergeCell ref="B8:C8"/>
    <mergeCell ref="B6:C6"/>
    <mergeCell ref="B7:C7"/>
    <mergeCell ref="B12:C12"/>
    <mergeCell ref="B4:C5"/>
    <mergeCell ref="E4:E5"/>
    <mergeCell ref="B10:C10"/>
    <mergeCell ref="B3:E3"/>
    <mergeCell ref="B11:C11"/>
  </mergeCells>
  <hyperlinks>
    <hyperlink ref="A1" location="'Modelo de Dominio'!A1" display="&lt;&lt; Ir al modelo de dominio" xr:uid="{00000000-0004-0000-1F00-000000000000}"/>
    <hyperlink ref="B1" location="'Objetos de Dominio'!A1" display="&lt;&lt; Ir al listado de objetos de dominio" xr:uid="{00000000-0004-0000-1F00-000001000000}"/>
    <hyperlink ref="C1" location="'C-Cliente'!A1" display="&lt;&lt; Ir a la caracterización del objeto de dominio" xr:uid="{00000000-0004-0000-1F00-000002000000}"/>
    <hyperlink ref="D1" location="'M-Cliente'!A1" display="Ir al muestreo de datos del objeto de dominio &gt;&gt;" xr:uid="{00000000-0004-0000-1F00-000003000000}"/>
    <hyperlink ref="E1" location="'E-Cliente'!A1" display="Ir al event storming del objeto de dominio &gt;&gt;" xr:uid="{00000000-0004-0000-1F00-000004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4"/>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8.140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Dominio'!A10</f>
        <v>Cliente</v>
      </c>
      <c r="C2" s="290"/>
      <c r="D2" s="290"/>
      <c r="E2" s="290"/>
      <c r="F2" s="290"/>
      <c r="G2" s="290"/>
      <c r="H2" s="290"/>
      <c r="I2" s="290"/>
      <c r="J2" s="290"/>
      <c r="K2" s="291"/>
    </row>
    <row r="3" spans="1:11" ht="30" customHeight="1" x14ac:dyDescent="0.25">
      <c r="A3" s="30" t="s">
        <v>140</v>
      </c>
      <c r="B3" s="306" t="str">
        <f>'Objetos de Dominio'!B10</f>
        <v xml:space="preserve">Representa a la persona que solicita citas en la barbería. </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57" customHeight="1" x14ac:dyDescent="0.25">
      <c r="A7" s="273" t="s">
        <v>26</v>
      </c>
      <c r="B7" s="272" t="s">
        <v>386</v>
      </c>
      <c r="C7" s="272" t="s">
        <v>337</v>
      </c>
      <c r="D7" s="273" t="str">
        <f>$B$2</f>
        <v>Cliente</v>
      </c>
      <c r="E7" s="272" t="s">
        <v>20</v>
      </c>
      <c r="F7" s="272" t="s">
        <v>387</v>
      </c>
      <c r="G7" s="226" t="str">
        <f>'P-Cliente'!A6</f>
        <v>P-CLI-0001</v>
      </c>
      <c r="H7" s="42" t="str">
        <f>'P-Cliente'!B6</f>
        <v>Asegurar que los datos requeridos del cliente (nombres, apellidos, prefijo de celular, celular) sean válidos en tipo de dato, longitud, obligatoriedad, formato y rango</v>
      </c>
      <c r="I7" s="273" t="s">
        <v>388</v>
      </c>
      <c r="J7" s="272" t="s">
        <v>389</v>
      </c>
      <c r="K7" s="272"/>
    </row>
    <row r="8" spans="1:11" ht="42.75" customHeight="1" x14ac:dyDescent="0.25">
      <c r="A8" s="281"/>
      <c r="B8" s="281"/>
      <c r="C8" s="281"/>
      <c r="D8" s="281"/>
      <c r="E8" s="281"/>
      <c r="F8" s="281"/>
      <c r="G8" s="226" t="str">
        <f>'P-Cliente'!A7</f>
        <v>P-CLI-0002</v>
      </c>
      <c r="H8" s="42" t="str">
        <f>'P-Cliente'!B7</f>
        <v>Asegurar que el número de celular y prefijo de celular no esté siendo utilizado por otro cliente</v>
      </c>
      <c r="I8" s="281"/>
      <c r="J8" s="281"/>
      <c r="K8" s="281"/>
    </row>
    <row r="9" spans="1:11" ht="57" customHeight="1" x14ac:dyDescent="0.25">
      <c r="A9" s="41" t="s">
        <v>26</v>
      </c>
      <c r="B9" s="42" t="s">
        <v>390</v>
      </c>
      <c r="C9" s="42" t="s">
        <v>344</v>
      </c>
      <c r="D9" s="41" t="str">
        <f>$B$2</f>
        <v>Cliente</v>
      </c>
      <c r="E9" s="42" t="s">
        <v>20</v>
      </c>
      <c r="F9" s="42" t="s">
        <v>391</v>
      </c>
      <c r="G9" s="226" t="str">
        <f>'P-Cliente'!A8</f>
        <v>P-CLI-0003</v>
      </c>
      <c r="H9" s="42" t="str">
        <f>'P-Cliente'!B8</f>
        <v>Asegurar que los datos requeridos del cliente para editar su contacto (prefijo de celular y celular) sean válidos en tipo de dato, longitud, obligatoriedad, formato y rango</v>
      </c>
      <c r="I9" s="41"/>
      <c r="J9" s="42" t="s">
        <v>392</v>
      </c>
      <c r="K9" s="42"/>
    </row>
    <row r="10" spans="1:11" ht="30" customHeight="1" x14ac:dyDescent="0.25">
      <c r="A10" s="41" t="s">
        <v>32</v>
      </c>
      <c r="B10" s="42" t="s">
        <v>393</v>
      </c>
      <c r="C10" s="42" t="s">
        <v>352</v>
      </c>
      <c r="D10" s="41" t="str">
        <f>$B$2</f>
        <v>Cliente</v>
      </c>
      <c r="E10" s="42" t="s">
        <v>20</v>
      </c>
      <c r="F10" s="42" t="s">
        <v>394</v>
      </c>
      <c r="G10" s="41"/>
      <c r="H10" s="42"/>
      <c r="I10" s="41"/>
      <c r="J10" s="42" t="s">
        <v>395</v>
      </c>
      <c r="K10" s="42"/>
    </row>
    <row r="11" spans="1:11" ht="30" customHeight="1" x14ac:dyDescent="0.25">
      <c r="A11" s="41" t="s">
        <v>26</v>
      </c>
      <c r="B11" s="42" t="s">
        <v>396</v>
      </c>
      <c r="C11" s="42" t="s">
        <v>357</v>
      </c>
      <c r="D11" s="41" t="str">
        <f>$B$2</f>
        <v>Cliente</v>
      </c>
      <c r="E11" s="8"/>
      <c r="F11" s="8"/>
      <c r="G11" s="41"/>
      <c r="H11" s="43"/>
      <c r="I11" s="41"/>
      <c r="J11" s="42" t="s">
        <v>397</v>
      </c>
      <c r="K11" s="42"/>
    </row>
    <row r="12" spans="1:11" ht="30" customHeight="1" x14ac:dyDescent="0.25">
      <c r="A12" s="41" t="s">
        <v>26</v>
      </c>
      <c r="B12" s="42" t="s">
        <v>398</v>
      </c>
      <c r="C12" s="42" t="s">
        <v>360</v>
      </c>
      <c r="D12" s="41" t="str">
        <f>$B$2</f>
        <v>Cliente</v>
      </c>
      <c r="E12" s="42" t="s">
        <v>50</v>
      </c>
      <c r="F12" s="42" t="s">
        <v>399</v>
      </c>
      <c r="G12" s="41"/>
      <c r="H12" s="43"/>
      <c r="I12" s="41"/>
      <c r="J12" s="42" t="s">
        <v>400</v>
      </c>
      <c r="K12" s="42"/>
    </row>
    <row r="13" spans="1:11" ht="33.75" customHeight="1" x14ac:dyDescent="0.25">
      <c r="A13" s="41" t="s">
        <v>320</v>
      </c>
      <c r="B13" s="42" t="s">
        <v>401</v>
      </c>
      <c r="C13" s="42" t="s">
        <v>402</v>
      </c>
      <c r="D13" s="41" t="s">
        <v>26</v>
      </c>
      <c r="E13" s="42" t="s">
        <v>50</v>
      </c>
      <c r="F13" s="42" t="s">
        <v>403</v>
      </c>
      <c r="G13" s="226" t="str">
        <f>'P-Cliente'!A11</f>
        <v>P-CLI-0006</v>
      </c>
      <c r="H13" s="104" t="str">
        <f>'P-Cliente'!B11</f>
        <v>Asegurar que el cliente tenga al menos una multa sin pagar; si la tiene, se le debe dar el veto</v>
      </c>
      <c r="I13" s="41"/>
      <c r="J13" s="42" t="s">
        <v>404</v>
      </c>
      <c r="K13" s="42"/>
    </row>
    <row r="14" spans="1:11" ht="26.25" customHeight="1" x14ac:dyDescent="0.25">
      <c r="A14" s="41" t="s">
        <v>320</v>
      </c>
      <c r="B14" s="42" t="s">
        <v>405</v>
      </c>
      <c r="C14" s="42" t="s">
        <v>406</v>
      </c>
      <c r="D14" s="41" t="s">
        <v>26</v>
      </c>
      <c r="E14" s="42" t="s">
        <v>50</v>
      </c>
      <c r="F14" s="42" t="s">
        <v>407</v>
      </c>
      <c r="G14" s="226" t="str">
        <f>'P-Cliente'!A12</f>
        <v>P-CLI-0007</v>
      </c>
      <c r="H14" s="104" t="str">
        <f>'P-Cliente'!B12</f>
        <v>Asegurar que el cliente ya no tenga ninguna multa sin pagar; si es así, se le debe quitar el veto</v>
      </c>
      <c r="I14" s="41"/>
      <c r="J14" s="42" t="s">
        <v>408</v>
      </c>
      <c r="K14" s="42"/>
    </row>
  </sheetData>
  <mergeCells count="27">
    <mergeCell ref="C1:E1"/>
    <mergeCell ref="J1:K1"/>
    <mergeCell ref="E5:F5"/>
    <mergeCell ref="A7:A8"/>
    <mergeCell ref="I7:I8"/>
    <mergeCell ref="A1:B1"/>
    <mergeCell ref="E4:F4"/>
    <mergeCell ref="F1:I1"/>
    <mergeCell ref="D7:D8"/>
    <mergeCell ref="J7:J8"/>
    <mergeCell ref="B3:K3"/>
    <mergeCell ref="I5:I6"/>
    <mergeCell ref="A5:A6"/>
    <mergeCell ref="G5:H5"/>
    <mergeCell ref="C7:C8"/>
    <mergeCell ref="E7:E8"/>
    <mergeCell ref="K7:K8"/>
    <mergeCell ref="B2:K2"/>
    <mergeCell ref="B5:B6"/>
    <mergeCell ref="D5:D6"/>
    <mergeCell ref="G4:H4"/>
    <mergeCell ref="K5:K6"/>
    <mergeCell ref="J5:J6"/>
    <mergeCell ref="B7:B8"/>
    <mergeCell ref="F7:F8"/>
    <mergeCell ref="B4:C4"/>
    <mergeCell ref="C5:C6"/>
  </mergeCells>
  <hyperlinks>
    <hyperlink ref="A1" location="'Modelo de Dominio'!A1" display="&lt;&lt; Ir al modelo de dominio" xr:uid="{00000000-0004-0000-2000-000000000000}"/>
    <hyperlink ref="C1" location="'Objetos de Dominio'!A1" display="&lt;&lt; Ir al listado de objetos de dominio" xr:uid="{00000000-0004-0000-2000-000001000000}"/>
    <hyperlink ref="F1" location="'C-Cliente'!A1" display="&lt;&lt; Ir a la caracterización del objeto de dominio" xr:uid="{00000000-0004-0000-2000-000002000000}"/>
    <hyperlink ref="J1" location="'M-Cliente'!A1" display="Ir al muestreo de datos del objeto de dominio &gt;&gt;" xr:uid="{00000000-0004-0000-2000-000003000000}"/>
    <hyperlink ref="G7" location="'P-Cliente'!A6" display="#'P-Cliente'.A6" xr:uid="{00000000-0004-0000-2000-000004000000}"/>
    <hyperlink ref="G8" location="'P-Cliente'!A7" display="#'P-Cliente'.A7" xr:uid="{00000000-0004-0000-2000-000005000000}"/>
    <hyperlink ref="G9" location="'P-Cliente'!A8" display="'P-Cliente'!A8" xr:uid="{00000000-0004-0000-2000-000006000000}"/>
    <hyperlink ref="E13" location="'C-Multa'!A1" display="Multa" xr:uid="{00000000-0004-0000-2000-000007000000}"/>
    <hyperlink ref="G13" location="'P-Cliente'!A11" display="'P-Cliente'!A11" xr:uid="{00000000-0004-0000-2000-000008000000}"/>
    <hyperlink ref="E14" location="'C-Multa'!A1" display="Multa" xr:uid="{00000000-0004-0000-2000-000009000000}"/>
    <hyperlink ref="G14" location="'P-Cliente'!A12" display="'P-Cliente'!A12" xr:uid="{00000000-0004-0000-2000-00000A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9"/>
  <sheetViews>
    <sheetView zoomScaleNormal="100" workbookViewId="0">
      <selection activeCell="A3" sqref="A3"/>
    </sheetView>
  </sheetViews>
  <sheetFormatPr baseColWidth="10" defaultColWidth="8.7109375" defaultRowHeight="15" x14ac:dyDescent="0.25"/>
  <cols>
    <col min="1" max="1" width="27" customWidth="1"/>
    <col min="2" max="2" width="26.140625" customWidth="1"/>
    <col min="3" max="3" width="21.85546875" customWidth="1"/>
    <col min="4" max="4" width="22.140625" customWidth="1"/>
    <col min="5" max="5" width="22.42578125" customWidth="1"/>
    <col min="6" max="6" width="19.5703125" customWidth="1"/>
    <col min="7" max="7" width="28.28515625" customWidth="1"/>
    <col min="8" max="8" width="27.7109375" customWidth="1"/>
    <col min="9" max="9" width="35.85546875" customWidth="1"/>
    <col min="10" max="10" width="28.28515625" customWidth="1"/>
  </cols>
  <sheetData>
    <row r="1" spans="1:10" ht="14.25" customHeight="1" x14ac:dyDescent="0.25">
      <c r="A1" s="4" t="s">
        <v>0</v>
      </c>
      <c r="B1" s="4" t="s">
        <v>55</v>
      </c>
      <c r="C1" s="119"/>
      <c r="D1" s="119"/>
      <c r="E1" s="119"/>
      <c r="F1" s="119"/>
      <c r="G1" s="49"/>
      <c r="H1" s="49"/>
      <c r="I1" s="49"/>
      <c r="J1" s="49"/>
    </row>
    <row r="2" spans="1:10" ht="37.5" customHeight="1" x14ac:dyDescent="0.25">
      <c r="A2" s="44" t="s">
        <v>183</v>
      </c>
      <c r="B2" s="44" t="s">
        <v>409</v>
      </c>
      <c r="C2" s="44" t="s">
        <v>410</v>
      </c>
      <c r="D2" s="44" t="s">
        <v>411</v>
      </c>
      <c r="E2" s="44" t="s">
        <v>412</v>
      </c>
      <c r="F2" s="44" t="s">
        <v>413</v>
      </c>
      <c r="G2" s="45" t="s">
        <v>414</v>
      </c>
      <c r="H2" s="45" t="s">
        <v>415</v>
      </c>
      <c r="I2" s="45" t="s">
        <v>416</v>
      </c>
      <c r="J2" s="129" t="s">
        <v>417</v>
      </c>
    </row>
    <row r="3" spans="1:10" ht="14.25" customHeight="1" x14ac:dyDescent="0.25">
      <c r="A3" s="46" t="s">
        <v>116</v>
      </c>
      <c r="B3" s="47" t="s">
        <v>418</v>
      </c>
      <c r="C3" s="47" t="s">
        <v>419</v>
      </c>
      <c r="D3" s="47" t="s">
        <v>420</v>
      </c>
      <c r="E3" s="47" t="s">
        <v>421</v>
      </c>
      <c r="F3" s="130" t="s">
        <v>422</v>
      </c>
      <c r="G3" s="47" t="s">
        <v>423</v>
      </c>
      <c r="H3" s="47" t="s">
        <v>424</v>
      </c>
      <c r="I3" s="131" t="s">
        <v>425</v>
      </c>
      <c r="J3" s="48" t="s">
        <v>426</v>
      </c>
    </row>
    <row r="4" spans="1:10" ht="14.25" customHeight="1" x14ac:dyDescent="0.25">
      <c r="A4" s="49">
        <v>1</v>
      </c>
      <c r="B4" s="49" t="s">
        <v>427</v>
      </c>
      <c r="C4" s="49"/>
      <c r="D4" s="49" t="s">
        <v>428</v>
      </c>
      <c r="E4" s="49"/>
      <c r="F4" s="119" t="str">
        <f>'M-PrefijoCelular'!C4</f>
        <v>+57</v>
      </c>
      <c r="G4" s="49">
        <v>3234528921</v>
      </c>
      <c r="H4" s="49" t="s">
        <v>77</v>
      </c>
      <c r="I4" s="49" t="s">
        <v>429</v>
      </c>
      <c r="J4" s="49" t="str">
        <f>_xlfn.CONCAT(F4,"-",G4)</f>
        <v>+57-3234528921</v>
      </c>
    </row>
    <row r="5" spans="1:10" ht="14.25" customHeight="1" x14ac:dyDescent="0.25">
      <c r="A5" s="49">
        <v>2</v>
      </c>
      <c r="B5" s="49" t="s">
        <v>430</v>
      </c>
      <c r="C5" s="49" t="s">
        <v>431</v>
      </c>
      <c r="D5" s="49" t="s">
        <v>432</v>
      </c>
      <c r="E5" s="49" t="s">
        <v>433</v>
      </c>
      <c r="F5" s="119" t="str">
        <f>'M-PrefijoCelular'!C4</f>
        <v>+57</v>
      </c>
      <c r="G5" s="49">
        <v>3161657782</v>
      </c>
      <c r="H5" s="49" t="s">
        <v>77</v>
      </c>
      <c r="I5" s="49" t="s">
        <v>429</v>
      </c>
      <c r="J5" s="49" t="str">
        <f>_xlfn.CONCAT(F5,"-",G5)</f>
        <v>+57-3161657782</v>
      </c>
    </row>
    <row r="6" spans="1:10" ht="14.25" customHeight="1" x14ac:dyDescent="0.25">
      <c r="A6" s="49">
        <v>3</v>
      </c>
      <c r="B6" s="49" t="s">
        <v>434</v>
      </c>
      <c r="C6" s="49"/>
      <c r="D6" s="49" t="s">
        <v>435</v>
      </c>
      <c r="E6" s="49" t="s">
        <v>432</v>
      </c>
      <c r="F6" s="119" t="str">
        <f>'M-PrefijoCelular'!C4</f>
        <v>+57</v>
      </c>
      <c r="G6" s="49">
        <v>3119884321</v>
      </c>
      <c r="H6" s="49" t="s">
        <v>77</v>
      </c>
      <c r="I6" s="49" t="s">
        <v>429</v>
      </c>
      <c r="J6" s="49" t="str">
        <f>_xlfn.CONCAT(F6,"-",G6)</f>
        <v>+57-3119884321</v>
      </c>
    </row>
    <row r="7" spans="1:10" ht="14.25" customHeight="1" x14ac:dyDescent="0.25">
      <c r="A7" s="49">
        <v>4</v>
      </c>
      <c r="B7" s="49" t="s">
        <v>436</v>
      </c>
      <c r="C7" s="49"/>
      <c r="D7" s="49" t="s">
        <v>437</v>
      </c>
      <c r="E7" s="49"/>
      <c r="F7" s="119" t="str">
        <f>'M-PrefijoCelular'!C7</f>
        <v>+58</v>
      </c>
      <c r="G7" s="49">
        <v>4127359182</v>
      </c>
      <c r="H7" s="49" t="s">
        <v>77</v>
      </c>
      <c r="I7" s="49" t="s">
        <v>429</v>
      </c>
      <c r="J7" s="49" t="str">
        <f>_xlfn.CONCAT(F7,"-",G7)</f>
        <v>+58-4127359182</v>
      </c>
    </row>
    <row r="8" spans="1:10" ht="14.25" customHeight="1" x14ac:dyDescent="0.25">
      <c r="A8" s="49">
        <v>5</v>
      </c>
      <c r="B8" s="49" t="s">
        <v>438</v>
      </c>
      <c r="C8" s="49" t="s">
        <v>439</v>
      </c>
      <c r="D8" s="49" t="s">
        <v>440</v>
      </c>
      <c r="E8" s="49" t="s">
        <v>441</v>
      </c>
      <c r="F8" s="119" t="str">
        <f>'M-PrefijoCelular'!C4</f>
        <v>+57</v>
      </c>
      <c r="G8" s="49">
        <v>3005544332</v>
      </c>
      <c r="H8" s="49" t="s">
        <v>77</v>
      </c>
      <c r="I8" s="49" t="s">
        <v>442</v>
      </c>
      <c r="J8" s="49" t="str">
        <f>_xlfn.CONCAT(F8,"-",G8)</f>
        <v>+57-3005544332</v>
      </c>
    </row>
    <row r="13" spans="1:10" ht="14.25" customHeight="1" x14ac:dyDescent="0.25">
      <c r="B13" s="53"/>
    </row>
    <row r="14" spans="1:10" ht="28.5" customHeight="1" x14ac:dyDescent="0.25">
      <c r="A14" s="52"/>
      <c r="B14" s="53" t="s">
        <v>194</v>
      </c>
    </row>
    <row r="15" spans="1:10" ht="28.5" customHeight="1" x14ac:dyDescent="0.25">
      <c r="A15" s="54"/>
      <c r="B15" s="53" t="s">
        <v>195</v>
      </c>
    </row>
    <row r="16" spans="1:10" ht="28.5" customHeight="1" x14ac:dyDescent="0.25">
      <c r="A16" s="120"/>
      <c r="B16" s="53" t="s">
        <v>443</v>
      </c>
    </row>
    <row r="17" spans="1:2" ht="28.5" customHeight="1" x14ac:dyDescent="0.25">
      <c r="A17" s="132"/>
      <c r="B17" s="53" t="s">
        <v>444</v>
      </c>
    </row>
    <row r="18" spans="1:2" ht="28.5" customHeight="1" x14ac:dyDescent="0.25">
      <c r="A18" s="55"/>
      <c r="B18" s="53" t="s">
        <v>196</v>
      </c>
    </row>
    <row r="19" spans="1:2" ht="28.5" customHeight="1" x14ac:dyDescent="0.25">
      <c r="A19" s="56"/>
      <c r="B19" s="53" t="s">
        <v>197</v>
      </c>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F3" location="'M-PrefijoCelular'!A1" display="prefijoCelular" xr:uid="{00000000-0004-0000-2100-000002000000}"/>
    <hyperlink ref="F4" location="'M-PrefijoCelular'!A4" display="#'M-PrefijoCelular'.A4" xr:uid="{00000000-0004-0000-2100-000003000000}"/>
    <hyperlink ref="F5" location="'M-PrefijoCelular'!A4" display="#'M-PrefijoCelular'.A4" xr:uid="{00000000-0004-0000-2100-000004000000}"/>
    <hyperlink ref="F6" location="'M-PrefijoCelular'!A4" display="#'M-PrefijoCelular'.A4" xr:uid="{00000000-0004-0000-2100-000005000000}"/>
    <hyperlink ref="F7" location="'M-PrefijoCelular'!A7" display="#'M-PrefijoCelular'.A7" xr:uid="{00000000-0004-0000-2100-000006000000}"/>
    <hyperlink ref="F8" location="'M-PrefijoCelular'!A4" display="#'M-PrefijoCelular'.A4" xr:uid="{00000000-0004-0000-2100-000007000000}"/>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13"/>
  <sheetViews>
    <sheetView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s>
  <sheetData>
    <row r="1" spans="1:22" ht="15" customHeight="1" x14ac:dyDescent="0.25">
      <c r="A1" s="4" t="s">
        <v>0</v>
      </c>
      <c r="B1" s="4" t="s">
        <v>55</v>
      </c>
    </row>
    <row r="2" spans="1:2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A13</f>
        <v>consultarCiudades</v>
      </c>
    </row>
    <row r="3" spans="1:22" ht="45" customHeight="1" x14ac:dyDescent="0.25">
      <c r="A3" s="16" t="str">
        <f>'M-Ciudad'!A3</f>
        <v>id</v>
      </c>
      <c r="B3" s="17" t="str">
        <f>'M-Ciudad'!A2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83</v>
      </c>
    </row>
    <row r="4" spans="1:22" ht="45" customHeight="1" x14ac:dyDescent="0.25">
      <c r="A4" s="16" t="str">
        <f>'M-Ciudad'!B3</f>
        <v>nombre</v>
      </c>
      <c r="B4" s="17" t="str">
        <f>'M-Ciudad'!B2</f>
        <v>Representa el nombre de la ciudad en la que puede estar ubicada una sede de la barbería</v>
      </c>
      <c r="C4" s="16" t="s">
        <v>80</v>
      </c>
      <c r="D4" s="16" t="s">
        <v>86</v>
      </c>
      <c r="E4" s="16" t="s">
        <v>77</v>
      </c>
      <c r="F4" s="16">
        <v>3</v>
      </c>
      <c r="G4" s="16">
        <v>30</v>
      </c>
      <c r="H4" s="16" t="s">
        <v>79</v>
      </c>
      <c r="I4" s="16" t="s">
        <v>79</v>
      </c>
      <c r="J4" s="16" t="s">
        <v>79</v>
      </c>
      <c r="K4" s="16" t="s">
        <v>79</v>
      </c>
      <c r="L4" s="16" t="s">
        <v>79</v>
      </c>
      <c r="M4" s="17" t="s">
        <v>218</v>
      </c>
      <c r="N4" s="16" t="s">
        <v>80</v>
      </c>
      <c r="O4" s="16" t="s">
        <v>79</v>
      </c>
      <c r="P4" s="16" t="s">
        <v>79</v>
      </c>
      <c r="Q4" s="16" t="s">
        <v>77</v>
      </c>
      <c r="R4" s="16" t="s">
        <v>77</v>
      </c>
      <c r="S4" s="16" t="s">
        <v>80</v>
      </c>
      <c r="T4" s="16" t="s">
        <v>88</v>
      </c>
      <c r="U4" s="16" t="s">
        <v>80</v>
      </c>
      <c r="V4" s="85" t="s">
        <v>89</v>
      </c>
    </row>
    <row r="5" spans="1:22" ht="15" customHeight="1" x14ac:dyDescent="0.25">
      <c r="A5" s="16" t="str">
        <f>'M-Ciudad'!C3</f>
        <v>departamento</v>
      </c>
      <c r="B5" s="17" t="str">
        <f>'M-Ciudad'!C2</f>
        <v>Representa a qué departamento pertenece esta ciudad</v>
      </c>
      <c r="C5" s="16" t="s">
        <v>80</v>
      </c>
      <c r="D5" s="212" t="s">
        <v>16</v>
      </c>
      <c r="E5" s="16" t="s">
        <v>77</v>
      </c>
      <c r="F5" s="16" t="s">
        <v>79</v>
      </c>
      <c r="G5" s="16" t="s">
        <v>79</v>
      </c>
      <c r="H5" s="16" t="s">
        <v>79</v>
      </c>
      <c r="I5" s="16" t="s">
        <v>79</v>
      </c>
      <c r="J5" s="16" t="s">
        <v>79</v>
      </c>
      <c r="K5" s="16" t="s">
        <v>79</v>
      </c>
      <c r="L5" s="16" t="s">
        <v>79</v>
      </c>
      <c r="M5" s="16" t="s">
        <v>331</v>
      </c>
      <c r="N5" s="16" t="s">
        <v>80</v>
      </c>
      <c r="O5" s="16" t="s">
        <v>79</v>
      </c>
      <c r="P5" s="16" t="s">
        <v>79</v>
      </c>
      <c r="Q5" s="16" t="s">
        <v>79</v>
      </c>
      <c r="R5" s="16" t="s">
        <v>79</v>
      </c>
      <c r="S5" s="16" t="s">
        <v>80</v>
      </c>
      <c r="T5" s="16" t="s">
        <v>81</v>
      </c>
      <c r="U5" s="16" t="s">
        <v>80</v>
      </c>
      <c r="V5" s="85" t="s">
        <v>89</v>
      </c>
    </row>
    <row r="7" spans="1:22" ht="15" customHeight="1" x14ac:dyDescent="0.25">
      <c r="A7" s="19" t="s">
        <v>93</v>
      </c>
      <c r="B7" s="19" t="s">
        <v>94</v>
      </c>
      <c r="C7" s="19" t="s">
        <v>95</v>
      </c>
    </row>
    <row r="8" spans="1:22" ht="30" customHeight="1" x14ac:dyDescent="0.25">
      <c r="A8" s="378" t="str">
        <f>'M-Ciudad'!D3</f>
        <v>Combinación única</v>
      </c>
      <c r="B8" s="379" t="str">
        <f>'M-Ciudad'!D2</f>
        <v>Combinación única que indica que no puede existir más de una ciudad con el mismo nombre dentro de un mismo departamento</v>
      </c>
      <c r="C8" s="22" t="str">
        <f>A4</f>
        <v>nombre</v>
      </c>
    </row>
    <row r="9" spans="1:22" ht="30" customHeight="1" x14ac:dyDescent="0.25">
      <c r="A9" s="281"/>
      <c r="B9" s="281"/>
      <c r="C9" s="22" t="str">
        <f>A5</f>
        <v>departamento</v>
      </c>
    </row>
    <row r="11" spans="1:22" x14ac:dyDescent="0.25">
      <c r="A11" s="320" t="s">
        <v>96</v>
      </c>
      <c r="B11" s="321"/>
      <c r="C11" s="323" t="s">
        <v>94</v>
      </c>
      <c r="D11" s="326"/>
      <c r="E11" s="326"/>
      <c r="F11" s="321"/>
      <c r="G11" s="323" t="s">
        <v>97</v>
      </c>
      <c r="H11" s="290"/>
      <c r="I11" s="291"/>
      <c r="J11" s="323" t="s">
        <v>98</v>
      </c>
      <c r="K11" s="290"/>
      <c r="L11" s="290"/>
      <c r="M11" s="290"/>
      <c r="N11" s="291"/>
      <c r="O11" s="323" t="s">
        <v>99</v>
      </c>
      <c r="P11" s="291"/>
      <c r="Q11" s="323" t="s">
        <v>100</v>
      </c>
      <c r="R11" s="291"/>
    </row>
    <row r="12" spans="1:22" x14ac:dyDescent="0.25">
      <c r="A12" s="322"/>
      <c r="B12" s="312"/>
      <c r="C12" s="310"/>
      <c r="D12" s="311"/>
      <c r="E12" s="311"/>
      <c r="F12" s="312"/>
      <c r="G12" s="3" t="s">
        <v>101</v>
      </c>
      <c r="H12" s="3" t="s">
        <v>59</v>
      </c>
      <c r="I12" s="3" t="s">
        <v>94</v>
      </c>
      <c r="J12" s="3" t="s">
        <v>102</v>
      </c>
      <c r="K12" s="325" t="s">
        <v>94</v>
      </c>
      <c r="L12" s="303"/>
      <c r="M12" s="303"/>
      <c r="N12" s="279"/>
      <c r="O12" s="3" t="s">
        <v>103</v>
      </c>
      <c r="P12" s="3" t="s">
        <v>94</v>
      </c>
      <c r="Q12" s="3" t="s">
        <v>104</v>
      </c>
      <c r="R12" s="23" t="s">
        <v>105</v>
      </c>
    </row>
    <row r="13" spans="1:22" ht="15" customHeight="1" x14ac:dyDescent="0.25">
      <c r="A13" s="328" t="s">
        <v>445</v>
      </c>
      <c r="B13" s="279"/>
      <c r="C13" s="307" t="s">
        <v>446</v>
      </c>
      <c r="D13" s="303"/>
      <c r="E13" s="303"/>
      <c r="F13" s="279"/>
      <c r="G13" s="24"/>
      <c r="H13" s="24"/>
      <c r="I13" s="25"/>
      <c r="J13" s="203" t="s">
        <v>447</v>
      </c>
      <c r="K13" s="307" t="s">
        <v>448</v>
      </c>
      <c r="L13" s="303"/>
      <c r="M13" s="303"/>
      <c r="N13" s="279"/>
      <c r="O13" s="24"/>
      <c r="P13" s="2"/>
      <c r="Q13" s="2"/>
      <c r="R13" s="18"/>
    </row>
  </sheetData>
  <mergeCells count="12">
    <mergeCell ref="C13:F13"/>
    <mergeCell ref="K13:N13"/>
    <mergeCell ref="A8:A9"/>
    <mergeCell ref="O11:P11"/>
    <mergeCell ref="Q11:R11"/>
    <mergeCell ref="J11:N11"/>
    <mergeCell ref="A11:B12"/>
    <mergeCell ref="K12:N12"/>
    <mergeCell ref="B8:B9"/>
    <mergeCell ref="A13:B13"/>
    <mergeCell ref="C11:F12"/>
    <mergeCell ref="G11:I11"/>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V2" location="'C-Ciudad'!A13" display="'C-Ciudad'!A13" xr:uid="{00000000-0004-0000-2200-000002000000}"/>
    <hyperlink ref="A3" location="'M-Ciudad'!A3" display="'M-Ciudad'!A3" xr:uid="{00000000-0004-0000-2200-000003000000}"/>
    <hyperlink ref="B3" location="'M-Ciudad'!A2" display="'M-Ciudad'!A2" xr:uid="{00000000-0004-0000-2200-000004000000}"/>
    <hyperlink ref="A4" location="'M-Ciudad'!A3" display="'M-Ciudad'!A3" xr:uid="{00000000-0004-0000-2200-000005000000}"/>
    <hyperlink ref="B4" location="'M-Ciudad'!A2" display="'M-Ciudad'!A2" xr:uid="{00000000-0004-0000-2200-000006000000}"/>
    <hyperlink ref="A5" location="'M-Ciudad'!A3" display="'M-Ciudad'!A3" xr:uid="{00000000-0004-0000-2200-000007000000}"/>
    <hyperlink ref="B5" location="'M-Ciudad'!A2" display="'M-Ciudad'!A2" xr:uid="{00000000-0004-0000-2200-000008000000}"/>
    <hyperlink ref="D5" location="'C-Departamento'!A1" display="Departamento" xr:uid="{00000000-0004-0000-2200-000009000000}"/>
    <hyperlink ref="A8" location="'M-Ciudad'!A3" display="'M-Ciudad'!A3" xr:uid="{00000000-0004-0000-2200-00000A000000}"/>
    <hyperlink ref="B8" location="'M-Ciudad'!A2" display="'M-Ciudad'!A2" xr:uid="{00000000-0004-0000-2200-00000B000000}"/>
    <hyperlink ref="A13" location="'C-Ciudad'!V2" display="consultarCiudades" xr:uid="{00000000-0004-0000-2200-00000C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6"/>
  <sheetViews>
    <sheetView workbookViewId="0"/>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Dominio'!A11</f>
        <v>Ciudad</v>
      </c>
      <c r="C2" s="290"/>
      <c r="D2" s="290"/>
      <c r="E2" s="291"/>
    </row>
    <row r="3" spans="1:5" ht="30" customHeight="1" x14ac:dyDescent="0.25">
      <c r="A3" s="30" t="s">
        <v>140</v>
      </c>
      <c r="B3" s="336" t="str">
        <f>'Objetos de Dominio'!B11</f>
        <v>Representa cada una de las ciudades, pertenecientes a un departamento, en las que puede estar ubicada una sede de la barbería.</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c r="B6" s="332" t="s">
        <v>203</v>
      </c>
      <c r="C6" s="279"/>
      <c r="D6" s="31"/>
      <c r="E6" s="31"/>
    </row>
  </sheetData>
  <mergeCells count="7">
    <mergeCell ref="B2:E2"/>
    <mergeCell ref="B4:C5"/>
    <mergeCell ref="B6:C6"/>
    <mergeCell ref="A4:A5"/>
    <mergeCell ref="D4:D5"/>
    <mergeCell ref="E4:E5"/>
    <mergeCell ref="B3:E3"/>
  </mergeCells>
  <hyperlinks>
    <hyperlink ref="A1" location="'Modelo de Dominio'!A1" display="&lt;&lt; Ir al modelo de dominio" xr:uid="{00000000-0004-0000-2300-000000000000}"/>
    <hyperlink ref="B1" location="'Objetos de Dominio'!A1" display="&lt;&lt; Ir al listado de objetos de dominio" xr:uid="{00000000-0004-0000-2300-000001000000}"/>
    <hyperlink ref="C1" location="'C-Ciudad'!A1" display="&lt;&lt; Ir a la caracterización del objeto de dominio" xr:uid="{00000000-0004-0000-2300-000002000000}"/>
    <hyperlink ref="D1" location="'M-Ciudad'!A1" display="Ir al muestreo de datos del objeto de dominio &gt;&gt;" xr:uid="{00000000-0004-0000-2300-000003000000}"/>
    <hyperlink ref="E1" location="'E-Ciudad'!A1" display="Ir al event storming del objeto de dominio &gt;&gt;" xr:uid="{00000000-0004-0000-2300-000004000000}"/>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7"/>
  <sheetViews>
    <sheetView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Dominio'!A11</f>
        <v>Ciudad</v>
      </c>
      <c r="C2" s="290"/>
      <c r="D2" s="290"/>
      <c r="E2" s="290"/>
      <c r="F2" s="290"/>
      <c r="G2" s="290"/>
      <c r="H2" s="290"/>
      <c r="I2" s="290"/>
      <c r="J2" s="290"/>
      <c r="K2" s="291"/>
    </row>
    <row r="3" spans="1:11" ht="30" customHeight="1" x14ac:dyDescent="0.25">
      <c r="A3" s="30" t="s">
        <v>140</v>
      </c>
      <c r="B3" s="306" t="str">
        <f>'Objetos de Dominio'!B11</f>
        <v>Representa cada una de las ciudades, pertenecientes a un departamento, en las que puede estar ubicada una sede de la barbería.</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168</v>
      </c>
      <c r="B7" s="42" t="s">
        <v>449</v>
      </c>
      <c r="C7" s="42" t="s">
        <v>450</v>
      </c>
      <c r="D7" s="41" t="str">
        <f>$B$2</f>
        <v>Ciudad</v>
      </c>
      <c r="E7" s="42" t="s">
        <v>16</v>
      </c>
      <c r="F7" s="42" t="s">
        <v>451</v>
      </c>
      <c r="G7" s="41"/>
      <c r="H7" s="43"/>
      <c r="I7" s="41"/>
      <c r="J7" s="42" t="s">
        <v>452</v>
      </c>
      <c r="K7" s="42"/>
    </row>
  </sheetData>
  <mergeCells count="18">
    <mergeCell ref="C5:C6"/>
    <mergeCell ref="A5:A6"/>
    <mergeCell ref="G4:H4"/>
    <mergeCell ref="C1:E1"/>
    <mergeCell ref="E4:F4"/>
    <mergeCell ref="F1:I1"/>
    <mergeCell ref="J5:J6"/>
    <mergeCell ref="B4:C4"/>
    <mergeCell ref="B5:B6"/>
    <mergeCell ref="G5:H5"/>
    <mergeCell ref="J1:K1"/>
    <mergeCell ref="E5:F5"/>
    <mergeCell ref="I5:I6"/>
    <mergeCell ref="A1:B1"/>
    <mergeCell ref="B2:K2"/>
    <mergeCell ref="D5:D6"/>
    <mergeCell ref="K5:K6"/>
    <mergeCell ref="B3:K3"/>
  </mergeCells>
  <hyperlinks>
    <hyperlink ref="A1" location="'Modelo de Dominio'!A1" display="&lt;&lt; Ir al modelo de dominio" xr:uid="{00000000-0004-0000-2400-000000000000}"/>
    <hyperlink ref="C1" location="'Objetos de Dominio'!A1" display="&lt;&lt; Ir al listado de objetos de dominio" xr:uid="{00000000-0004-0000-2400-000001000000}"/>
    <hyperlink ref="F1" location="'C-Ciudad'!A1" display="&lt;&lt; Ir a la caracterización del objeto de dominio" xr:uid="{00000000-0004-0000-2400-000002000000}"/>
    <hyperlink ref="J1" location="'M-Ciudad'!A1" display="Ir al muestreo de datos del objeto de dominio &gt;&gt;" xr:uid="{00000000-0004-0000-2400-000003000000}"/>
    <hyperlink ref="E7" location="'C-Departamento'!A1" display="Departamento" xr:uid="{00000000-0004-0000-2400-000004000000}"/>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8"/>
  <sheetViews>
    <sheetView zoomScaleNormal="100" workbookViewId="0">
      <selection activeCell="B1" sqref="B1"/>
    </sheetView>
  </sheetViews>
  <sheetFormatPr baseColWidth="10" defaultColWidth="8.7109375" defaultRowHeight="15" x14ac:dyDescent="0.25"/>
  <cols>
    <col min="1" max="1" width="27" customWidth="1"/>
    <col min="2" max="2" width="26" customWidth="1"/>
    <col min="3" max="3" width="28" customWidth="1"/>
    <col min="4" max="4" width="34" customWidth="1"/>
  </cols>
  <sheetData>
    <row r="1" spans="1:4" x14ac:dyDescent="0.25">
      <c r="A1" s="4" t="s">
        <v>0</v>
      </c>
      <c r="B1" s="4" t="s">
        <v>55</v>
      </c>
    </row>
    <row r="2" spans="1:4" ht="44.25" customHeight="1" x14ac:dyDescent="0.25">
      <c r="A2" s="44" t="s">
        <v>183</v>
      </c>
      <c r="B2" s="44" t="s">
        <v>453</v>
      </c>
      <c r="C2" s="44" t="s">
        <v>454</v>
      </c>
      <c r="D2" s="44" t="s">
        <v>455</v>
      </c>
    </row>
    <row r="3" spans="1:4" ht="14.25" customHeight="1" x14ac:dyDescent="0.25">
      <c r="A3" s="46" t="s">
        <v>116</v>
      </c>
      <c r="B3" s="47" t="s">
        <v>187</v>
      </c>
      <c r="C3" s="130" t="s">
        <v>456</v>
      </c>
      <c r="D3" s="48" t="s">
        <v>189</v>
      </c>
    </row>
    <row r="4" spans="1:4" x14ac:dyDescent="0.25">
      <c r="A4" s="49">
        <v>1</v>
      </c>
      <c r="B4" s="49" t="s">
        <v>457</v>
      </c>
      <c r="C4" s="119" t="str">
        <f>'M-Departamento'!C4</f>
        <v>Antioquia</v>
      </c>
      <c r="D4" s="49" t="str">
        <f>_xlfn.CONCAT(B4,"-",C4)</f>
        <v>Medellín-Antioquia</v>
      </c>
    </row>
    <row r="5" spans="1:4" x14ac:dyDescent="0.25">
      <c r="A5" s="49">
        <v>2</v>
      </c>
      <c r="B5" s="49" t="s">
        <v>458</v>
      </c>
      <c r="C5" s="119" t="str">
        <f>'M-Departamento'!C4</f>
        <v>Antioquia</v>
      </c>
      <c r="D5" s="49" t="str">
        <f>_xlfn.CONCAT(B5,"-",C5)</f>
        <v>Rionegro-Antioquia</v>
      </c>
    </row>
    <row r="6" spans="1:4" x14ac:dyDescent="0.25">
      <c r="A6" s="49">
        <v>3</v>
      </c>
      <c r="B6" s="49" t="s">
        <v>459</v>
      </c>
      <c r="C6" s="119" t="str">
        <f>'M-Departamento'!C5</f>
        <v>Cundinamarca</v>
      </c>
      <c r="D6" s="49" t="str">
        <f>_xlfn.CONCAT(B6,"-",C6)</f>
        <v>Bogotá-Cundinamarca</v>
      </c>
    </row>
    <row r="7" spans="1:4" x14ac:dyDescent="0.25">
      <c r="A7" s="49">
        <v>4</v>
      </c>
      <c r="B7" s="49" t="s">
        <v>460</v>
      </c>
      <c r="C7" s="119" t="str">
        <f>'M-Departamento'!C6</f>
        <v>Valle del Cauca</v>
      </c>
      <c r="D7" s="49" t="str">
        <f>_xlfn.CONCAT(B7,"-",C7)</f>
        <v>Cali-Valle del Cauca</v>
      </c>
    </row>
    <row r="8" spans="1:4" x14ac:dyDescent="0.25">
      <c r="A8" s="49">
        <v>5</v>
      </c>
      <c r="B8" s="49" t="s">
        <v>461</v>
      </c>
      <c r="C8" s="119" t="str">
        <f>'M-Departamento'!C7</f>
        <v>Atlántico</v>
      </c>
      <c r="D8" s="49" t="str">
        <f>_xlfn.CONCAT(B8,"-",C8)</f>
        <v>Barranquilla-Atlántico</v>
      </c>
    </row>
    <row r="14" spans="1:4" ht="30" customHeight="1" x14ac:dyDescent="0.25">
      <c r="A14" s="44"/>
      <c r="B14" s="53" t="s">
        <v>194</v>
      </c>
    </row>
    <row r="15" spans="1:4" ht="34.5" customHeight="1" x14ac:dyDescent="0.25">
      <c r="A15" s="46"/>
      <c r="B15" s="53" t="s">
        <v>195</v>
      </c>
    </row>
    <row r="16" spans="1:4" ht="45" customHeight="1" x14ac:dyDescent="0.25">
      <c r="A16" s="47"/>
      <c r="B16" s="53" t="s">
        <v>443</v>
      </c>
    </row>
    <row r="17" spans="1:2" ht="30" customHeight="1" x14ac:dyDescent="0.25">
      <c r="A17" s="118"/>
      <c r="B17" s="53" t="s">
        <v>233</v>
      </c>
    </row>
    <row r="18" spans="1:2" ht="30" customHeight="1" x14ac:dyDescent="0.25">
      <c r="A18" s="48"/>
      <c r="B18" s="53" t="s">
        <v>197</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C4" location="'M-Departamento'!A4" display="#'M-Departamento'.A4" xr:uid="{00000000-0004-0000-2500-000002000000}"/>
    <hyperlink ref="C5" location="'M-Departamento'!A4" display="#'M-Departamento'.A4" xr:uid="{00000000-0004-0000-2500-000003000000}"/>
    <hyperlink ref="C6" location="'M-Departamento'!A5" display="#'M-Departamento'.A5" xr:uid="{00000000-0004-0000-2500-000004000000}"/>
    <hyperlink ref="C7" location="'M-Departamento'!A6" display="#'M-Departamento'.A6" xr:uid="{00000000-0004-0000-2500-000005000000}"/>
    <hyperlink ref="C8" location="'M-Departamento'!A7" display="#'M-Departamento'.A7" xr:uid="{00000000-0004-0000-2500-000006000000}"/>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25"/>
  <sheetViews>
    <sheetView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9"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8" width="22" customWidth="1"/>
  </cols>
  <sheetData>
    <row r="1" spans="1:28" ht="15" customHeight="1" x14ac:dyDescent="0.25">
      <c r="A1" s="4" t="s">
        <v>0</v>
      </c>
      <c r="B1" s="4" t="s">
        <v>55</v>
      </c>
    </row>
    <row r="2" spans="1:28"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A15</f>
        <v>registrarSede</v>
      </c>
      <c r="W2" s="242" t="str">
        <f>A17</f>
        <v>consultarDatosSede</v>
      </c>
      <c r="X2" s="553" t="str">
        <f>A18</f>
        <v>cambiarNombreSede</v>
      </c>
      <c r="Y2" s="315"/>
      <c r="Z2" s="305" t="str">
        <f>A21</f>
        <v>cambiarDireccionSede</v>
      </c>
      <c r="AA2" s="279"/>
      <c r="AB2" s="242" t="str">
        <f>A23</f>
        <v>darDeBajaSede</v>
      </c>
    </row>
    <row r="3" spans="1:28" ht="45" customHeight="1" x14ac:dyDescent="0.25">
      <c r="A3" s="16" t="str">
        <f>'M-Sede'!A3</f>
        <v>id</v>
      </c>
      <c r="B3" s="17" t="str">
        <f>'M-Sede'!A2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82</v>
      </c>
      <c r="W3" s="215" t="s">
        <v>83</v>
      </c>
      <c r="X3" s="244" t="s">
        <v>84</v>
      </c>
      <c r="Y3" s="244" t="s">
        <v>85</v>
      </c>
      <c r="Z3" s="85" t="s">
        <v>84</v>
      </c>
      <c r="AA3" s="85" t="s">
        <v>85</v>
      </c>
      <c r="AB3" s="215" t="s">
        <v>84</v>
      </c>
    </row>
    <row r="4" spans="1:28" x14ac:dyDescent="0.25">
      <c r="A4" s="16" t="str">
        <f>'M-Sede'!B3</f>
        <v>ciudad</v>
      </c>
      <c r="B4" s="17" t="str">
        <f>'M-Sede'!B2</f>
        <v>Representa a qué ciudad pertenece esta sede</v>
      </c>
      <c r="C4" s="16" t="s">
        <v>80</v>
      </c>
      <c r="D4" s="212" t="s">
        <v>28</v>
      </c>
      <c r="E4" s="16" t="s">
        <v>77</v>
      </c>
      <c r="F4" s="16" t="s">
        <v>79</v>
      </c>
      <c r="G4" s="16" t="s">
        <v>79</v>
      </c>
      <c r="H4" s="16" t="s">
        <v>79</v>
      </c>
      <c r="I4" s="16" t="s">
        <v>79</v>
      </c>
      <c r="J4" s="16" t="s">
        <v>79</v>
      </c>
      <c r="K4" s="16" t="s">
        <v>79</v>
      </c>
      <c r="L4" s="16" t="s">
        <v>79</v>
      </c>
      <c r="M4" s="16" t="s">
        <v>331</v>
      </c>
      <c r="N4" s="16" t="s">
        <v>80</v>
      </c>
      <c r="O4" s="16" t="s">
        <v>79</v>
      </c>
      <c r="P4" s="16" t="s">
        <v>79</v>
      </c>
      <c r="Q4" s="16" t="s">
        <v>79</v>
      </c>
      <c r="R4" s="16" t="s">
        <v>79</v>
      </c>
      <c r="S4" s="16" t="s">
        <v>80</v>
      </c>
      <c r="T4" s="16" t="s">
        <v>81</v>
      </c>
      <c r="U4" s="16" t="s">
        <v>80</v>
      </c>
      <c r="V4" s="85" t="s">
        <v>84</v>
      </c>
      <c r="W4" s="215" t="s">
        <v>89</v>
      </c>
      <c r="X4" s="244" t="s">
        <v>82</v>
      </c>
      <c r="Y4" s="244" t="s">
        <v>85</v>
      </c>
      <c r="Z4" s="85" t="s">
        <v>82</v>
      </c>
      <c r="AA4" s="85" t="s">
        <v>85</v>
      </c>
      <c r="AB4" s="215" t="s">
        <v>82</v>
      </c>
    </row>
    <row r="5" spans="1:28" x14ac:dyDescent="0.25">
      <c r="A5" s="16" t="str">
        <f>'M-Sede'!C3</f>
        <v>barberia</v>
      </c>
      <c r="B5" s="17" t="str">
        <f>'M-Sede'!C2</f>
        <v>Representa a qué barbería pertenece esta sede</v>
      </c>
      <c r="C5" s="16" t="s">
        <v>80</v>
      </c>
      <c r="D5" s="212" t="s">
        <v>8</v>
      </c>
      <c r="E5" s="16" t="s">
        <v>77</v>
      </c>
      <c r="F5" s="16" t="s">
        <v>79</v>
      </c>
      <c r="G5" s="16" t="s">
        <v>79</v>
      </c>
      <c r="H5" s="16" t="s">
        <v>79</v>
      </c>
      <c r="I5" s="16" t="s">
        <v>79</v>
      </c>
      <c r="J5" s="16" t="s">
        <v>79</v>
      </c>
      <c r="K5" s="16" t="s">
        <v>79</v>
      </c>
      <c r="L5" s="16" t="s">
        <v>79</v>
      </c>
      <c r="M5" s="16" t="s">
        <v>331</v>
      </c>
      <c r="N5" s="16" t="s">
        <v>80</v>
      </c>
      <c r="O5" s="16" t="s">
        <v>79</v>
      </c>
      <c r="P5" s="16" t="s">
        <v>79</v>
      </c>
      <c r="Q5" s="16" t="s">
        <v>79</v>
      </c>
      <c r="R5" s="16" t="s">
        <v>79</v>
      </c>
      <c r="S5" s="16" t="s">
        <v>80</v>
      </c>
      <c r="T5" s="16" t="s">
        <v>81</v>
      </c>
      <c r="U5" s="16" t="s">
        <v>80</v>
      </c>
      <c r="V5" s="85" t="s">
        <v>84</v>
      </c>
      <c r="W5" s="215" t="s">
        <v>83</v>
      </c>
      <c r="X5" s="244" t="s">
        <v>82</v>
      </c>
      <c r="Y5" s="244" t="s">
        <v>85</v>
      </c>
      <c r="Z5" s="85" t="s">
        <v>82</v>
      </c>
      <c r="AA5" s="85" t="s">
        <v>85</v>
      </c>
      <c r="AB5" s="215" t="s">
        <v>82</v>
      </c>
    </row>
    <row r="6" spans="1:28" ht="45" customHeight="1" x14ac:dyDescent="0.25">
      <c r="A6" s="16" t="str">
        <f>'M-Sede'!D3</f>
        <v>nombre</v>
      </c>
      <c r="B6" s="17" t="str">
        <f>'M-Sede'!D2</f>
        <v>Representa el nombre con el que se identifica esta sede dentro de la barbería a la que pertenece</v>
      </c>
      <c r="C6" s="16" t="s">
        <v>80</v>
      </c>
      <c r="D6" s="16" t="s">
        <v>86</v>
      </c>
      <c r="E6" s="16" t="s">
        <v>77</v>
      </c>
      <c r="F6" s="16">
        <v>2</v>
      </c>
      <c r="G6" s="16">
        <v>50</v>
      </c>
      <c r="H6" s="16" t="s">
        <v>79</v>
      </c>
      <c r="I6" s="16" t="s">
        <v>79</v>
      </c>
      <c r="J6" s="16" t="s">
        <v>79</v>
      </c>
      <c r="K6" s="16" t="s">
        <v>79</v>
      </c>
      <c r="L6" s="16" t="s">
        <v>79</v>
      </c>
      <c r="M6" s="16" t="s">
        <v>462</v>
      </c>
      <c r="N6" s="16" t="s">
        <v>80</v>
      </c>
      <c r="O6" s="16" t="s">
        <v>79</v>
      </c>
      <c r="P6" s="16" t="s">
        <v>79</v>
      </c>
      <c r="Q6" s="16" t="s">
        <v>77</v>
      </c>
      <c r="R6" s="16" t="s">
        <v>77</v>
      </c>
      <c r="S6" s="16" t="s">
        <v>80</v>
      </c>
      <c r="T6" s="16" t="s">
        <v>88</v>
      </c>
      <c r="U6" s="16" t="s">
        <v>80</v>
      </c>
      <c r="V6" s="85" t="s">
        <v>84</v>
      </c>
      <c r="W6" s="215" t="s">
        <v>89</v>
      </c>
      <c r="X6" s="244" t="s">
        <v>84</v>
      </c>
      <c r="Y6" s="244" t="s">
        <v>90</v>
      </c>
      <c r="Z6" s="85" t="s">
        <v>82</v>
      </c>
      <c r="AA6" s="85" t="s">
        <v>85</v>
      </c>
      <c r="AB6" s="215" t="s">
        <v>82</v>
      </c>
    </row>
    <row r="7" spans="1:28" ht="90" customHeight="1" x14ac:dyDescent="0.25">
      <c r="A7" s="16" t="str">
        <f>'M-Sede'!E3</f>
        <v>direccion</v>
      </c>
      <c r="B7" s="17" t="str">
        <f>'M-Sede'!E2</f>
        <v>Representa la dirección física en la que está ubicada esta sede</v>
      </c>
      <c r="C7" s="16" t="s">
        <v>80</v>
      </c>
      <c r="D7" s="16" t="s">
        <v>86</v>
      </c>
      <c r="E7" s="16" t="s">
        <v>77</v>
      </c>
      <c r="F7" s="16">
        <v>5</v>
      </c>
      <c r="G7" s="16">
        <v>100</v>
      </c>
      <c r="H7" s="16" t="s">
        <v>79</v>
      </c>
      <c r="I7" s="16" t="s">
        <v>79</v>
      </c>
      <c r="J7" s="16" t="s">
        <v>79</v>
      </c>
      <c r="K7" s="16" t="s">
        <v>79</v>
      </c>
      <c r="L7" s="17" t="s">
        <v>463</v>
      </c>
      <c r="M7" s="17" t="s">
        <v>464</v>
      </c>
      <c r="N7" s="16" t="s">
        <v>80</v>
      </c>
      <c r="O7" s="16" t="s">
        <v>79</v>
      </c>
      <c r="P7" s="16" t="s">
        <v>79</v>
      </c>
      <c r="Q7" s="16" t="s">
        <v>77</v>
      </c>
      <c r="R7" s="16" t="s">
        <v>77</v>
      </c>
      <c r="S7" s="16" t="s">
        <v>80</v>
      </c>
      <c r="T7" s="16" t="s">
        <v>88</v>
      </c>
      <c r="U7" s="16" t="s">
        <v>80</v>
      </c>
      <c r="V7" s="85" t="s">
        <v>84</v>
      </c>
      <c r="W7" s="215" t="s">
        <v>89</v>
      </c>
      <c r="X7" s="244" t="s">
        <v>82</v>
      </c>
      <c r="Y7" s="244" t="s">
        <v>85</v>
      </c>
      <c r="Z7" s="85" t="s">
        <v>84</v>
      </c>
      <c r="AA7" s="85" t="s">
        <v>90</v>
      </c>
      <c r="AB7" s="215" t="s">
        <v>82</v>
      </c>
    </row>
    <row r="9" spans="1:28" ht="15" customHeight="1" x14ac:dyDescent="0.25">
      <c r="A9" s="19" t="s">
        <v>93</v>
      </c>
      <c r="B9" s="19" t="s">
        <v>94</v>
      </c>
      <c r="C9" s="19" t="s">
        <v>95</v>
      </c>
    </row>
    <row r="10" spans="1:28" ht="30" customHeight="1" x14ac:dyDescent="0.25">
      <c r="A10" s="378" t="str">
        <f>'M-Sede'!F3</f>
        <v>Combinación única</v>
      </c>
      <c r="B10" s="379" t="str">
        <f>'M-Sede'!F2</f>
        <v>Combinación única que indica que una misma barbería no puede tener dos sedes con el mismo nombre</v>
      </c>
      <c r="C10" s="22" t="str">
        <f>A5</f>
        <v>barberia</v>
      </c>
    </row>
    <row r="11" spans="1:28" ht="30" customHeight="1" x14ac:dyDescent="0.25">
      <c r="A11" s="281"/>
      <c r="B11" s="281"/>
      <c r="C11" s="22" t="str">
        <f>A6</f>
        <v>nombre</v>
      </c>
    </row>
    <row r="13" spans="1:28" x14ac:dyDescent="0.25">
      <c r="A13" s="320" t="s">
        <v>96</v>
      </c>
      <c r="B13" s="321"/>
      <c r="C13" s="323" t="s">
        <v>94</v>
      </c>
      <c r="D13" s="326"/>
      <c r="E13" s="326"/>
      <c r="F13" s="321"/>
      <c r="G13" s="323" t="s">
        <v>97</v>
      </c>
      <c r="H13" s="290"/>
      <c r="I13" s="291"/>
      <c r="J13" s="323" t="s">
        <v>98</v>
      </c>
      <c r="K13" s="290"/>
      <c r="L13" s="290"/>
      <c r="M13" s="290"/>
      <c r="N13" s="291"/>
      <c r="O13" s="323" t="s">
        <v>99</v>
      </c>
      <c r="P13" s="291"/>
      <c r="Q13" s="323" t="s">
        <v>100</v>
      </c>
      <c r="R13" s="291"/>
    </row>
    <row r="14" spans="1:28" x14ac:dyDescent="0.25">
      <c r="A14" s="322"/>
      <c r="B14" s="312"/>
      <c r="C14" s="310"/>
      <c r="D14" s="311"/>
      <c r="E14" s="311"/>
      <c r="F14" s="312"/>
      <c r="G14" s="3" t="s">
        <v>101</v>
      </c>
      <c r="H14" s="3" t="s">
        <v>59</v>
      </c>
      <c r="I14" s="3" t="s">
        <v>94</v>
      </c>
      <c r="J14" s="3" t="s">
        <v>102</v>
      </c>
      <c r="K14" s="325" t="s">
        <v>94</v>
      </c>
      <c r="L14" s="303"/>
      <c r="M14" s="303"/>
      <c r="N14" s="279"/>
      <c r="O14" s="3" t="s">
        <v>103</v>
      </c>
      <c r="P14" s="3" t="s">
        <v>94</v>
      </c>
      <c r="Q14" s="3" t="s">
        <v>104</v>
      </c>
      <c r="R14" s="23" t="s">
        <v>105</v>
      </c>
    </row>
    <row r="15" spans="1:28" ht="15" customHeight="1" x14ac:dyDescent="0.25">
      <c r="A15" s="328" t="s">
        <v>465</v>
      </c>
      <c r="B15" s="309"/>
      <c r="C15" s="307" t="s">
        <v>466</v>
      </c>
      <c r="D15" s="308"/>
      <c r="E15" s="308"/>
      <c r="F15" s="309"/>
      <c r="G15" s="324" t="s">
        <v>467</v>
      </c>
      <c r="H15" s="324" t="s">
        <v>30</v>
      </c>
      <c r="I15" s="306" t="s">
        <v>468</v>
      </c>
      <c r="J15" s="316" t="s">
        <v>30</v>
      </c>
      <c r="K15" s="307" t="s">
        <v>469</v>
      </c>
      <c r="L15" s="308"/>
      <c r="M15" s="308"/>
      <c r="N15" s="309"/>
      <c r="O15" s="24" t="str">
        <f>'P-Sede'!A6</f>
        <v>P-SED-0001</v>
      </c>
      <c r="P15" s="2" t="str">
        <f>'P-Sede'!B6</f>
        <v>Asegurar que los datos requeridos de la sede (barbería, ciudad, nombre, dirección) sean válidos en tipo de dato, longitud, obligatoriedad, formato y rango</v>
      </c>
      <c r="Q15" s="2" t="s">
        <v>470</v>
      </c>
      <c r="R15" s="18" t="s">
        <v>112</v>
      </c>
    </row>
    <row r="16" spans="1:28" ht="45" x14ac:dyDescent="0.25">
      <c r="A16" s="322"/>
      <c r="B16" s="312"/>
      <c r="C16" s="310"/>
      <c r="D16" s="311"/>
      <c r="E16" s="311"/>
      <c r="F16" s="312"/>
      <c r="G16" s="281"/>
      <c r="H16" s="281"/>
      <c r="I16" s="281"/>
      <c r="J16" s="281"/>
      <c r="K16" s="310"/>
      <c r="L16" s="311"/>
      <c r="M16" s="311"/>
      <c r="N16" s="312"/>
      <c r="O16" s="24" t="str">
        <f>'P-Sede'!A7</f>
        <v>P-SED-0002</v>
      </c>
      <c r="P16" s="2" t="str">
        <f>'P-Sede'!B7</f>
        <v>Asegurar que no exista otra sede con el mismo nombre en la misma barbería</v>
      </c>
      <c r="Q16" s="2" t="s">
        <v>471</v>
      </c>
      <c r="R16" s="18" t="s">
        <v>112</v>
      </c>
    </row>
    <row r="17" spans="1:18" ht="45" x14ac:dyDescent="0.25">
      <c r="A17" s="327" t="s">
        <v>472</v>
      </c>
      <c r="B17" s="319"/>
      <c r="C17" s="317" t="s">
        <v>473</v>
      </c>
      <c r="D17" s="318"/>
      <c r="E17" s="318"/>
      <c r="F17" s="319"/>
      <c r="G17" s="232" t="s">
        <v>116</v>
      </c>
      <c r="H17" s="232" t="s">
        <v>117</v>
      </c>
      <c r="I17" s="220" t="s">
        <v>474</v>
      </c>
      <c r="J17" s="233" t="s">
        <v>30</v>
      </c>
      <c r="K17" s="317" t="s">
        <v>475</v>
      </c>
      <c r="L17" s="318"/>
      <c r="M17" s="318"/>
      <c r="N17" s="319"/>
      <c r="O17" s="232" t="str">
        <f>'P-Sede'!A8</f>
        <v>P-SED-0003</v>
      </c>
      <c r="P17" s="231" t="str">
        <f>'P-Sede'!B8</f>
        <v>Asegurar que exista la sede con el id enviado</v>
      </c>
      <c r="Q17" s="231" t="s">
        <v>476</v>
      </c>
      <c r="R17" s="234" t="s">
        <v>112</v>
      </c>
    </row>
    <row r="18" spans="1:18" ht="45" x14ac:dyDescent="0.25">
      <c r="A18" s="330" t="s">
        <v>477</v>
      </c>
      <c r="B18" s="404"/>
      <c r="C18" s="313" t="s">
        <v>478</v>
      </c>
      <c r="D18" s="408"/>
      <c r="E18" s="408"/>
      <c r="F18" s="404"/>
      <c r="G18" s="236" t="s">
        <v>116</v>
      </c>
      <c r="H18" s="236" t="s">
        <v>117</v>
      </c>
      <c r="I18" s="237" t="s">
        <v>479</v>
      </c>
      <c r="J18" s="528" t="s">
        <v>30</v>
      </c>
      <c r="K18" s="313" t="s">
        <v>480</v>
      </c>
      <c r="L18" s="408"/>
      <c r="M18" s="408"/>
      <c r="N18" s="404"/>
      <c r="O18" s="236" t="str">
        <f>'P-Sede'!A8</f>
        <v>P-SED-0003</v>
      </c>
      <c r="P18" s="235" t="str">
        <f>'P-Sede'!B8</f>
        <v>Asegurar que exista la sede con el id enviado</v>
      </c>
      <c r="Q18" s="235" t="s">
        <v>476</v>
      </c>
      <c r="R18" s="239" t="s">
        <v>112</v>
      </c>
    </row>
    <row r="19" spans="1:18" ht="105" x14ac:dyDescent="0.25">
      <c r="A19" s="529"/>
      <c r="B19" s="530"/>
      <c r="C19" s="531"/>
      <c r="D19" s="532"/>
      <c r="E19" s="532"/>
      <c r="F19" s="530"/>
      <c r="G19" s="533" t="s">
        <v>128</v>
      </c>
      <c r="H19" s="533" t="s">
        <v>30</v>
      </c>
      <c r="I19" s="534" t="s">
        <v>481</v>
      </c>
      <c r="J19" s="535"/>
      <c r="K19" s="531"/>
      <c r="L19" s="532"/>
      <c r="M19" s="532"/>
      <c r="N19" s="530"/>
      <c r="O19" s="236" t="str">
        <f>'P-Sede'!A6</f>
        <v>P-SED-0001</v>
      </c>
      <c r="P19" s="235" t="str">
        <f>'P-Sede'!B6</f>
        <v>Asegurar que los datos requeridos de la sede (barbería, ciudad, nombre, dirección) sean válidos en tipo de dato, longitud, obligatoriedad, formato y rango</v>
      </c>
      <c r="Q19" s="235" t="s">
        <v>470</v>
      </c>
      <c r="R19" s="239" t="s">
        <v>112</v>
      </c>
    </row>
    <row r="20" spans="1:18" ht="45" x14ac:dyDescent="0.25">
      <c r="A20" s="536"/>
      <c r="B20" s="406"/>
      <c r="C20" s="409"/>
      <c r="D20" s="405"/>
      <c r="E20" s="405"/>
      <c r="F20" s="406"/>
      <c r="G20" s="537"/>
      <c r="H20" s="537"/>
      <c r="I20" s="538"/>
      <c r="J20" s="401"/>
      <c r="K20" s="409"/>
      <c r="L20" s="405"/>
      <c r="M20" s="405"/>
      <c r="N20" s="406"/>
      <c r="O20" s="236" t="str">
        <f>'P-Sede'!A7</f>
        <v>P-SED-0002</v>
      </c>
      <c r="P20" s="235" t="str">
        <f>'P-Sede'!B7</f>
        <v>Asegurar que no exista otra sede con el mismo nombre en la misma barbería</v>
      </c>
      <c r="Q20" s="235" t="s">
        <v>471</v>
      </c>
      <c r="R20" s="239" t="s">
        <v>112</v>
      </c>
    </row>
    <row r="21" spans="1:18" ht="45" x14ac:dyDescent="0.25">
      <c r="A21" s="328" t="s">
        <v>482</v>
      </c>
      <c r="B21" s="309"/>
      <c r="C21" s="307" t="s">
        <v>483</v>
      </c>
      <c r="D21" s="308"/>
      <c r="E21" s="308"/>
      <c r="F21" s="309"/>
      <c r="G21" s="24" t="s">
        <v>116</v>
      </c>
      <c r="H21" s="24" t="s">
        <v>117</v>
      </c>
      <c r="I21" s="25" t="s">
        <v>479</v>
      </c>
      <c r="J21" s="316" t="s">
        <v>30</v>
      </c>
      <c r="K21" s="307" t="s">
        <v>484</v>
      </c>
      <c r="L21" s="308"/>
      <c r="M21" s="308"/>
      <c r="N21" s="309"/>
      <c r="O21" s="24" t="str">
        <f>'P-Sede'!A8</f>
        <v>P-SED-0003</v>
      </c>
      <c r="P21" s="2" t="str">
        <f>'P-Sede'!B8</f>
        <v>Asegurar que exista la sede con el id enviado</v>
      </c>
      <c r="Q21" s="2" t="s">
        <v>476</v>
      </c>
      <c r="R21" s="18" t="s">
        <v>112</v>
      </c>
    </row>
    <row r="22" spans="1:18" ht="105" x14ac:dyDescent="0.25">
      <c r="A22" s="322"/>
      <c r="B22" s="312"/>
      <c r="C22" s="310"/>
      <c r="D22" s="311"/>
      <c r="E22" s="311"/>
      <c r="F22" s="312"/>
      <c r="G22" s="24" t="s">
        <v>485</v>
      </c>
      <c r="H22" s="24" t="s">
        <v>30</v>
      </c>
      <c r="I22" s="25" t="s">
        <v>486</v>
      </c>
      <c r="J22" s="281"/>
      <c r="K22" s="310"/>
      <c r="L22" s="311"/>
      <c r="M22" s="311"/>
      <c r="N22" s="312"/>
      <c r="O22" s="24" t="str">
        <f>'P-Sede'!A6</f>
        <v>P-SED-0001</v>
      </c>
      <c r="P22" s="2" t="str">
        <f>'P-Sede'!B6</f>
        <v>Asegurar que los datos requeridos de la sede (barbería, ciudad, nombre, dirección) sean válidos en tipo de dato, longitud, obligatoriedad, formato y rango</v>
      </c>
      <c r="Q22" s="2" t="s">
        <v>470</v>
      </c>
      <c r="R22" s="18" t="s">
        <v>112</v>
      </c>
    </row>
    <row r="23" spans="1:18" ht="45" x14ac:dyDescent="0.25">
      <c r="A23" s="327" t="s">
        <v>487</v>
      </c>
      <c r="B23" s="539"/>
      <c r="C23" s="317" t="s">
        <v>488</v>
      </c>
      <c r="D23" s="540"/>
      <c r="E23" s="540"/>
      <c r="F23" s="539"/>
      <c r="G23" s="541" t="s">
        <v>116</v>
      </c>
      <c r="H23" s="541" t="s">
        <v>117</v>
      </c>
      <c r="I23" s="504" t="s">
        <v>489</v>
      </c>
      <c r="J23" s="542" t="s">
        <v>133</v>
      </c>
      <c r="K23" s="540"/>
      <c r="L23" s="540"/>
      <c r="M23" s="540"/>
      <c r="N23" s="539"/>
      <c r="O23" s="232" t="str">
        <f>'P-Sede'!A8</f>
        <v>P-SED-0003</v>
      </c>
      <c r="P23" s="231" t="str">
        <f>'P-Sede'!B8</f>
        <v>Asegurar que exista la sede con el id enviado</v>
      </c>
      <c r="Q23" s="231" t="s">
        <v>476</v>
      </c>
      <c r="R23" s="234" t="s">
        <v>112</v>
      </c>
    </row>
    <row r="24" spans="1:18" ht="60" x14ac:dyDescent="0.25">
      <c r="A24" s="543"/>
      <c r="B24" s="544"/>
      <c r="C24" s="545"/>
      <c r="D24" s="546"/>
      <c r="E24" s="546"/>
      <c r="F24" s="544"/>
      <c r="G24" s="547"/>
      <c r="H24" s="547"/>
      <c r="I24" s="547"/>
      <c r="J24" s="545"/>
      <c r="K24" s="546"/>
      <c r="L24" s="546"/>
      <c r="M24" s="546"/>
      <c r="N24" s="544"/>
      <c r="O24" s="232" t="str">
        <f>'P-Sede'!A9</f>
        <v>P-SED-0004</v>
      </c>
      <c r="P24" s="231" t="str">
        <f>'P-Sede'!B9</f>
        <v>Asegurar que la sede no tenga barberos trabajando actualmente en ella antes de darla de baja</v>
      </c>
      <c r="Q24" s="231" t="s">
        <v>490</v>
      </c>
      <c r="R24" s="234" t="s">
        <v>112</v>
      </c>
    </row>
    <row r="25" spans="1:18" ht="75" x14ac:dyDescent="0.25">
      <c r="A25" s="548"/>
      <c r="B25" s="549"/>
      <c r="C25" s="550"/>
      <c r="D25" s="551"/>
      <c r="E25" s="551"/>
      <c r="F25" s="549"/>
      <c r="G25" s="552"/>
      <c r="H25" s="552"/>
      <c r="I25" s="552"/>
      <c r="J25" s="550"/>
      <c r="K25" s="551"/>
      <c r="L25" s="551"/>
      <c r="M25" s="551"/>
      <c r="N25" s="549"/>
      <c r="O25" s="232" t="str">
        <f>'P-Sede'!A10</f>
        <v>P-SED-0005</v>
      </c>
      <c r="P25" s="231" t="str">
        <f>'P-Sede'!B10</f>
        <v>Asegurar que la sede no tenga citas futuras en estado Agendada antes de darla de baja; las citas pasadas se conservan como historial</v>
      </c>
      <c r="Q25" s="231" t="s">
        <v>491</v>
      </c>
      <c r="R25" s="234" t="s">
        <v>112</v>
      </c>
    </row>
  </sheetData>
  <mergeCells count="38">
    <mergeCell ref="C17:F17"/>
    <mergeCell ref="K17:N17"/>
    <mergeCell ref="G13:I13"/>
    <mergeCell ref="X2:Y2"/>
    <mergeCell ref="K21:N22"/>
    <mergeCell ref="J23:N25"/>
    <mergeCell ref="J13:N13"/>
    <mergeCell ref="J15:J16"/>
    <mergeCell ref="J18:J20"/>
    <mergeCell ref="Q13:R13"/>
    <mergeCell ref="K14:N14"/>
    <mergeCell ref="K18:N20"/>
    <mergeCell ref="A23:B25"/>
    <mergeCell ref="A21:B22"/>
    <mergeCell ref="I23:I25"/>
    <mergeCell ref="G19:G20"/>
    <mergeCell ref="C23:F25"/>
    <mergeCell ref="C21:F22"/>
    <mergeCell ref="H23:H25"/>
    <mergeCell ref="H19:H20"/>
    <mergeCell ref="C18:F20"/>
    <mergeCell ref="G23:G25"/>
    <mergeCell ref="Z2:AA2"/>
    <mergeCell ref="A15:B16"/>
    <mergeCell ref="A18:B20"/>
    <mergeCell ref="J21:J22"/>
    <mergeCell ref="A17:B17"/>
    <mergeCell ref="A10:A11"/>
    <mergeCell ref="H15:H16"/>
    <mergeCell ref="I19:I20"/>
    <mergeCell ref="C13:F14"/>
    <mergeCell ref="I15:I16"/>
    <mergeCell ref="C15:F16"/>
    <mergeCell ref="K15:N16"/>
    <mergeCell ref="O13:P13"/>
    <mergeCell ref="B10:B11"/>
    <mergeCell ref="A13:B14"/>
    <mergeCell ref="G15:G16"/>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V2" location="'C-Sede'!A15" display="'C-Sede'!A15" xr:uid="{00000000-0004-0000-2600-000002000000}"/>
    <hyperlink ref="W2" location="'C-Sede'!A17" display="'C-Sede'!A17" xr:uid="{00000000-0004-0000-2600-000003000000}"/>
    <hyperlink ref="X2" location="'C-Sede'!A18" display="'C-Sede'!A18" xr:uid="{00000000-0004-0000-2600-000004000000}"/>
    <hyperlink ref="Z2" location="'C-Sede'!A21" display="'C-Sede'!A21" xr:uid="{00000000-0004-0000-2600-000005000000}"/>
    <hyperlink ref="AB2" location="'C-Sede'!A23" display="'C-Sede'!A23" xr:uid="{00000000-0004-0000-2600-000006000000}"/>
    <hyperlink ref="A3" location="'M-Sede'!A3" display="'M-Sede'!A3" xr:uid="{00000000-0004-0000-2600-000007000000}"/>
    <hyperlink ref="B3" location="'M-Sede'!A2" display="'M-Sede'!A2" xr:uid="{00000000-0004-0000-2600-000008000000}"/>
    <hyperlink ref="A4" location="'M-Sede'!A3" display="'M-Sede'!A3" xr:uid="{00000000-0004-0000-2600-000009000000}"/>
    <hyperlink ref="B4" location="'M-Sede'!A2" display="'M-Sede'!A2" xr:uid="{00000000-0004-0000-2600-00000A000000}"/>
    <hyperlink ref="D4" location="'C-Ciudad'!A1" display="Ciudad" xr:uid="{00000000-0004-0000-2600-00000B000000}"/>
    <hyperlink ref="A5" location="'M-Sede'!A3" display="'M-Sede'!A3" xr:uid="{00000000-0004-0000-2600-00000C000000}"/>
    <hyperlink ref="B5" location="'M-Sede'!A2" display="'M-Sede'!A2" xr:uid="{00000000-0004-0000-2600-00000D000000}"/>
    <hyperlink ref="D5" location="'C-Barberia'!A1" display="Barberia" xr:uid="{00000000-0004-0000-2600-00000E000000}"/>
    <hyperlink ref="A6" location="'M-Sede'!A3" display="'M-Sede'!A3" xr:uid="{00000000-0004-0000-2600-00000F000000}"/>
    <hyperlink ref="B6" location="'M-Sede'!A2" display="'M-Sede'!A2" xr:uid="{00000000-0004-0000-2600-000010000000}"/>
    <hyperlink ref="A7" location="'M-Sede'!A3" display="'M-Sede'!A3" xr:uid="{00000000-0004-0000-2600-000011000000}"/>
    <hyperlink ref="B7" location="'M-Sede'!A2" display="'M-Sede'!A2" xr:uid="{00000000-0004-0000-2600-000012000000}"/>
    <hyperlink ref="A10" location="'M-Sede'!A3" display="'M-Sede'!A3" xr:uid="{00000000-0004-0000-2600-000013000000}"/>
    <hyperlink ref="B10" location="'M-Sede'!A2" display="'M-Sede'!A2" xr:uid="{00000000-0004-0000-2600-000014000000}"/>
    <hyperlink ref="A15" location="'C-Sede'!V2" display="registrarSede" xr:uid="{00000000-0004-0000-2600-000015000000}"/>
    <hyperlink ref="A17" location="'C-Sede'!W2" display="consultarDatosSede" xr:uid="{00000000-0004-0000-2600-000016000000}"/>
    <hyperlink ref="A18" location="'C-Sede'!X2" display="cambiarNombreSede" xr:uid="{00000000-0004-0000-2600-000017000000}"/>
    <hyperlink ref="A21" location="'C-Sede'!Z2" display="cambiarDireccionSede" xr:uid="{00000000-0004-0000-2600-000018000000}"/>
    <hyperlink ref="A23" location="'C-Sede'!AB2" display="darDeBajaSede" xr:uid="{00000000-0004-0000-2600-000019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0"/>
  <sheetViews>
    <sheetView workbookViewId="0">
      <selection activeCell="B1" sqref="B1"/>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Dominio'!A12</f>
        <v>Sede</v>
      </c>
      <c r="C2" s="290"/>
      <c r="D2" s="290"/>
      <c r="E2" s="291"/>
    </row>
    <row r="3" spans="1:5" ht="30" customHeight="1" x14ac:dyDescent="0.25">
      <c r="A3" s="30" t="s">
        <v>140</v>
      </c>
      <c r="B3" s="336" t="str">
        <f>'Objetos de Dominio'!B12</f>
        <v>Representa cada una de las sucursales físicas de una barbería, ubicada en una ciudad puntual, donde se ofrecen los servicios y trabajan los barberos.</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492</v>
      </c>
      <c r="B6" s="332" t="s">
        <v>493</v>
      </c>
      <c r="C6" s="279"/>
      <c r="D6" s="31" t="s">
        <v>30</v>
      </c>
      <c r="E6" s="31"/>
    </row>
    <row r="7" spans="1:5" ht="30" customHeight="1" x14ac:dyDescent="0.25">
      <c r="A7" s="8" t="s">
        <v>494</v>
      </c>
      <c r="B7" s="332" t="s">
        <v>495</v>
      </c>
      <c r="C7" s="279"/>
      <c r="D7" s="31" t="s">
        <v>30</v>
      </c>
      <c r="E7" s="31"/>
    </row>
    <row r="8" spans="1:5" ht="30" customHeight="1" x14ac:dyDescent="0.25">
      <c r="A8" s="8" t="s">
        <v>496</v>
      </c>
      <c r="B8" s="332" t="s">
        <v>497</v>
      </c>
      <c r="C8" s="279"/>
      <c r="D8" s="31" t="s">
        <v>30</v>
      </c>
      <c r="E8" s="31"/>
    </row>
    <row r="9" spans="1:5" ht="30" customHeight="1" x14ac:dyDescent="0.25">
      <c r="A9" s="8" t="s">
        <v>498</v>
      </c>
      <c r="B9" s="332" t="s">
        <v>499</v>
      </c>
      <c r="C9" s="279"/>
      <c r="D9" s="31" t="s">
        <v>32</v>
      </c>
      <c r="E9" s="31"/>
    </row>
    <row r="10" spans="1:5" ht="30" customHeight="1" x14ac:dyDescent="0.25">
      <c r="A10" s="8" t="s">
        <v>500</v>
      </c>
      <c r="B10" s="332" t="s">
        <v>501</v>
      </c>
      <c r="C10" s="279"/>
      <c r="D10" s="31" t="s">
        <v>46</v>
      </c>
      <c r="E10" s="31"/>
    </row>
  </sheetData>
  <mergeCells count="11">
    <mergeCell ref="A4:A5"/>
    <mergeCell ref="D4:D5"/>
    <mergeCell ref="E4:E5"/>
    <mergeCell ref="B10:C10"/>
    <mergeCell ref="B3:E3"/>
    <mergeCell ref="B2:E2"/>
    <mergeCell ref="B9:C9"/>
    <mergeCell ref="B8:C8"/>
    <mergeCell ref="B4:C5"/>
    <mergeCell ref="B6:C6"/>
    <mergeCell ref="B7:C7"/>
  </mergeCells>
  <hyperlinks>
    <hyperlink ref="A1" location="'Modelo de Dominio'!A1" display="&lt;&lt; Ir al modelo de dominio" xr:uid="{00000000-0004-0000-2700-000000000000}"/>
    <hyperlink ref="B1" location="'Objetos de Dominio'!A1" display="&lt;&lt; Ir al listado de objetos de dominio" xr:uid="{00000000-0004-0000-2700-000001000000}"/>
    <hyperlink ref="C1" location="'C-Sede'!A1" display="&lt;&lt; Ir a la caracterización del objeto de dominio" xr:uid="{00000000-0004-0000-2700-000002000000}"/>
    <hyperlink ref="D1" location="'M-Sede'!A1" display="Ir al muestreo de datos del objeto de dominio &gt;&gt;" xr:uid="{00000000-0004-0000-2700-000003000000}"/>
    <hyperlink ref="E1" location="'E-Sede'!A1" display="Ir al event storming del objeto de dominio &gt;&gt;" xr:uid="{00000000-0004-0000-2700-000004000000}"/>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9"/>
  <sheetViews>
    <sheetView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Dominio'!A12</f>
        <v>Sede</v>
      </c>
      <c r="C2" s="290"/>
      <c r="D2" s="290"/>
      <c r="E2" s="290"/>
      <c r="F2" s="290"/>
      <c r="G2" s="290"/>
      <c r="H2" s="290"/>
      <c r="I2" s="290"/>
      <c r="J2" s="290"/>
      <c r="K2" s="291"/>
    </row>
    <row r="3" spans="1:11" ht="30" customHeight="1" x14ac:dyDescent="0.25">
      <c r="A3" s="30" t="s">
        <v>140</v>
      </c>
      <c r="B3" s="306" t="str">
        <f>'Objetos de Dominio'!B12</f>
        <v>Representa cada una de las sucursales físicas de una barbería, ubicada en una ciudad puntual, donde se ofrecen los servicios y trabajan los barberos.</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272" t="s">
        <v>168</v>
      </c>
      <c r="B7" s="272" t="s">
        <v>502</v>
      </c>
      <c r="C7" s="273" t="s">
        <v>503</v>
      </c>
      <c r="D7" s="272" t="str">
        <f>$B$2</f>
        <v>Sede</v>
      </c>
      <c r="E7" s="42" t="s">
        <v>8</v>
      </c>
      <c r="F7" s="41" t="s">
        <v>504</v>
      </c>
      <c r="G7" s="43" t="str">
        <f>'P-Sede'!A6</f>
        <v>P-SED-0001</v>
      </c>
      <c r="H7" s="41" t="str">
        <f>'P-Sede'!B6</f>
        <v>Asegurar que los datos requeridos de la sede (barbería, ciudad, nombre, dirección) sean válidos en tipo de dato, longitud, obligatoriedad, formato y rango</v>
      </c>
      <c r="I7" s="272"/>
      <c r="J7" s="272" t="s">
        <v>505</v>
      </c>
      <c r="K7" s="272"/>
    </row>
    <row r="8" spans="1:11" ht="30" customHeight="1" x14ac:dyDescent="0.25">
      <c r="A8" s="281"/>
      <c r="B8" s="281"/>
      <c r="C8" s="281"/>
      <c r="D8" s="281"/>
      <c r="E8" s="42" t="s">
        <v>28</v>
      </c>
      <c r="F8" s="41" t="s">
        <v>506</v>
      </c>
      <c r="G8" s="43" t="str">
        <f>'P-Sede'!A7</f>
        <v>P-SED-0002</v>
      </c>
      <c r="H8" s="41" t="str">
        <f>'P-Sede'!B7</f>
        <v>Asegurar que no exista otra sede con el mismo nombre en la misma barbería</v>
      </c>
      <c r="I8" s="281"/>
      <c r="J8" s="281"/>
      <c r="K8" s="281"/>
    </row>
    <row r="9" spans="1:11" ht="30" customHeight="1" x14ac:dyDescent="0.25">
      <c r="A9" s="42" t="s">
        <v>168</v>
      </c>
      <c r="B9" s="42" t="s">
        <v>507</v>
      </c>
      <c r="C9" s="41" t="s">
        <v>508</v>
      </c>
      <c r="D9" s="42" t="str">
        <f>$B$2</f>
        <v>Sede</v>
      </c>
      <c r="E9" s="42" t="s">
        <v>28</v>
      </c>
      <c r="F9" s="41" t="s">
        <v>509</v>
      </c>
      <c r="G9" s="43"/>
      <c r="H9" s="41"/>
      <c r="I9" s="42"/>
      <c r="J9" s="42" t="s">
        <v>510</v>
      </c>
      <c r="K9" s="42"/>
    </row>
    <row r="10" spans="1:11" ht="30" customHeight="1" x14ac:dyDescent="0.25">
      <c r="A10" s="42" t="s">
        <v>32</v>
      </c>
      <c r="B10" s="42" t="s">
        <v>507</v>
      </c>
      <c r="C10" s="41" t="s">
        <v>511</v>
      </c>
      <c r="D10" s="42" t="str">
        <f>$B$2</f>
        <v>Sede</v>
      </c>
      <c r="E10" s="42" t="s">
        <v>28</v>
      </c>
      <c r="F10" s="41" t="s">
        <v>509</v>
      </c>
      <c r="G10" s="43"/>
      <c r="H10" s="41"/>
      <c r="I10" s="42"/>
      <c r="J10" s="42" t="s">
        <v>510</v>
      </c>
      <c r="K10" s="42"/>
    </row>
    <row r="11" spans="1:11" ht="30" customHeight="1" x14ac:dyDescent="0.25">
      <c r="A11" s="42" t="s">
        <v>26</v>
      </c>
      <c r="B11" s="42" t="s">
        <v>507</v>
      </c>
      <c r="C11" s="41" t="s">
        <v>512</v>
      </c>
      <c r="D11" s="42" t="str">
        <f>$B$2</f>
        <v>Sede</v>
      </c>
      <c r="E11" s="42" t="s">
        <v>28</v>
      </c>
      <c r="F11" s="41" t="s">
        <v>509</v>
      </c>
      <c r="G11" s="43"/>
      <c r="H11" s="41"/>
      <c r="I11" s="42"/>
      <c r="J11" s="42" t="s">
        <v>510</v>
      </c>
      <c r="K11" s="42"/>
    </row>
    <row r="12" spans="1:11" ht="30" customHeight="1" x14ac:dyDescent="0.25">
      <c r="A12" s="272" t="s">
        <v>168</v>
      </c>
      <c r="B12" s="272" t="s">
        <v>513</v>
      </c>
      <c r="C12" s="273" t="s">
        <v>478</v>
      </c>
      <c r="D12" s="272" t="str">
        <f>$B$2</f>
        <v>Sede</v>
      </c>
      <c r="E12" s="42"/>
      <c r="F12" s="41"/>
      <c r="G12" s="43" t="str">
        <f>'P-Sede'!A8</f>
        <v>P-SED-0003</v>
      </c>
      <c r="H12" s="41" t="str">
        <f>'P-Sede'!B8</f>
        <v>Asegurar que exista la sede con el id enviado</v>
      </c>
      <c r="I12" s="272"/>
      <c r="J12" s="272" t="s">
        <v>514</v>
      </c>
      <c r="K12" s="272"/>
    </row>
    <row r="13" spans="1:11" ht="30" customHeight="1" x14ac:dyDescent="0.25">
      <c r="A13" s="284"/>
      <c r="B13" s="284"/>
      <c r="C13" s="284"/>
      <c r="D13" s="284"/>
      <c r="E13" s="42"/>
      <c r="F13" s="41"/>
      <c r="G13" s="43" t="str">
        <f>'P-Sede'!A6</f>
        <v>P-SED-0001</v>
      </c>
      <c r="H13" s="41" t="str">
        <f>'P-Sede'!B6</f>
        <v>Asegurar que los datos requeridos de la sede (barbería, ciudad, nombre, dirección) sean válidos en tipo de dato, longitud, obligatoriedad, formato y rango</v>
      </c>
      <c r="I13" s="284"/>
      <c r="J13" s="284"/>
      <c r="K13" s="284"/>
    </row>
    <row r="14" spans="1:11" ht="30" customHeight="1" x14ac:dyDescent="0.25">
      <c r="A14" s="281"/>
      <c r="B14" s="281"/>
      <c r="C14" s="281"/>
      <c r="D14" s="281"/>
      <c r="E14" s="42"/>
      <c r="F14" s="41"/>
      <c r="G14" s="43" t="str">
        <f>'P-Sede'!A7</f>
        <v>P-SED-0002</v>
      </c>
      <c r="H14" s="41" t="str">
        <f>'P-Sede'!B7</f>
        <v>Asegurar que no exista otra sede con el mismo nombre en la misma barbería</v>
      </c>
      <c r="I14" s="281"/>
      <c r="J14" s="281"/>
      <c r="K14" s="281"/>
    </row>
    <row r="15" spans="1:11" ht="30" customHeight="1" x14ac:dyDescent="0.25">
      <c r="A15" s="272" t="s">
        <v>168</v>
      </c>
      <c r="B15" s="272" t="s">
        <v>515</v>
      </c>
      <c r="C15" s="273" t="s">
        <v>483</v>
      </c>
      <c r="D15" s="272" t="str">
        <f>$B$2</f>
        <v>Sede</v>
      </c>
      <c r="E15" s="42"/>
      <c r="F15" s="41"/>
      <c r="G15" s="43" t="str">
        <f>'P-Sede'!A8</f>
        <v>P-SED-0003</v>
      </c>
      <c r="H15" s="41" t="str">
        <f>'P-Sede'!B8</f>
        <v>Asegurar que exista la sede con el id enviado</v>
      </c>
      <c r="I15" s="272"/>
      <c r="J15" s="272" t="s">
        <v>516</v>
      </c>
      <c r="K15" s="272"/>
    </row>
    <row r="16" spans="1:11" ht="30" customHeight="1" x14ac:dyDescent="0.25">
      <c r="A16" s="281"/>
      <c r="B16" s="281"/>
      <c r="C16" s="281"/>
      <c r="D16" s="281"/>
      <c r="E16" s="42"/>
      <c r="F16" s="41"/>
      <c r="G16" s="43" t="str">
        <f>'P-Sede'!A6</f>
        <v>P-SED-0001</v>
      </c>
      <c r="H16" s="41" t="str">
        <f>'P-Sede'!B6</f>
        <v>Asegurar que los datos requeridos de la sede (barbería, ciudad, nombre, dirección) sean válidos en tipo de dato, longitud, obligatoriedad, formato y rango</v>
      </c>
      <c r="I16" s="281"/>
      <c r="J16" s="281"/>
      <c r="K16" s="281"/>
    </row>
    <row r="17" spans="1:11" ht="30" customHeight="1" x14ac:dyDescent="0.25">
      <c r="A17" s="272" t="s">
        <v>168</v>
      </c>
      <c r="B17" s="272" t="s">
        <v>517</v>
      </c>
      <c r="C17" s="273" t="s">
        <v>488</v>
      </c>
      <c r="D17" s="272" t="str">
        <f>$B$2</f>
        <v>Sede</v>
      </c>
      <c r="E17" s="42" t="s">
        <v>32</v>
      </c>
      <c r="F17" s="41" t="s">
        <v>518</v>
      </c>
      <c r="G17" s="43" t="str">
        <f>'P-Sede'!A8</f>
        <v>P-SED-0003</v>
      </c>
      <c r="H17" s="41" t="str">
        <f>'P-Sede'!B8</f>
        <v>Asegurar que exista la sede con el id enviado</v>
      </c>
      <c r="I17" s="272"/>
      <c r="J17" s="272" t="s">
        <v>519</v>
      </c>
      <c r="K17" s="272" t="s">
        <v>520</v>
      </c>
    </row>
    <row r="18" spans="1:11" ht="30" customHeight="1" x14ac:dyDescent="0.25">
      <c r="A18" s="284"/>
      <c r="B18" s="284"/>
      <c r="C18" s="284"/>
      <c r="D18" s="284"/>
      <c r="E18" s="42" t="s">
        <v>46</v>
      </c>
      <c r="F18" s="41" t="s">
        <v>521</v>
      </c>
      <c r="G18" s="43" t="str">
        <f>'P-Sede'!A9</f>
        <v>P-SED-0004</v>
      </c>
      <c r="H18" s="41" t="str">
        <f>'P-Sede'!B9</f>
        <v>Asegurar que la sede no tenga barberos trabajando actualmente en ella antes de darla de baja</v>
      </c>
      <c r="I18" s="284"/>
      <c r="J18" s="284"/>
      <c r="K18" s="284"/>
    </row>
    <row r="19" spans="1:11" ht="30" customHeight="1" x14ac:dyDescent="0.25">
      <c r="A19" s="281"/>
      <c r="B19" s="281"/>
      <c r="C19" s="281"/>
      <c r="D19" s="281"/>
      <c r="E19" s="42" t="s">
        <v>44</v>
      </c>
      <c r="F19" s="41" t="s">
        <v>522</v>
      </c>
      <c r="G19" s="43" t="str">
        <f>'P-Sede'!A10</f>
        <v>P-SED-0005</v>
      </c>
      <c r="H19" s="41" t="str">
        <f>'P-Sede'!B10</f>
        <v>Asegurar que la sede no tenga citas futuras en estado Agendada antes de darla de baja; las citas pasadas se conservan como historial</v>
      </c>
      <c r="I19" s="281"/>
      <c r="J19" s="281"/>
      <c r="K19" s="281"/>
    </row>
  </sheetData>
  <mergeCells count="46">
    <mergeCell ref="K5:K6"/>
    <mergeCell ref="C1:E1"/>
    <mergeCell ref="K17:K19"/>
    <mergeCell ref="A17:A19"/>
    <mergeCell ref="D12:D14"/>
    <mergeCell ref="C17:C19"/>
    <mergeCell ref="A12:A14"/>
    <mergeCell ref="C12:C14"/>
    <mergeCell ref="K12:K14"/>
    <mergeCell ref="I15:I16"/>
    <mergeCell ref="C15:C16"/>
    <mergeCell ref="K15:K16"/>
    <mergeCell ref="J15:J16"/>
    <mergeCell ref="J12:J14"/>
    <mergeCell ref="A5:A6"/>
    <mergeCell ref="D15:D16"/>
    <mergeCell ref="J17:J19"/>
    <mergeCell ref="B12:B14"/>
    <mergeCell ref="G5:H5"/>
    <mergeCell ref="C7:C8"/>
    <mergeCell ref="D17:D19"/>
    <mergeCell ref="B5:B6"/>
    <mergeCell ref="D5:D6"/>
    <mergeCell ref="B17:B19"/>
    <mergeCell ref="J5:J6"/>
    <mergeCell ref="I12:I14"/>
    <mergeCell ref="A15:A16"/>
    <mergeCell ref="B7:B8"/>
    <mergeCell ref="I17:I19"/>
    <mergeCell ref="A7:A8"/>
    <mergeCell ref="B4:C4"/>
    <mergeCell ref="C5:C6"/>
    <mergeCell ref="B15:B16"/>
    <mergeCell ref="J1:K1"/>
    <mergeCell ref="E5:F5"/>
    <mergeCell ref="I7:I8"/>
    <mergeCell ref="A1:B1"/>
    <mergeCell ref="E4:F4"/>
    <mergeCell ref="F1:I1"/>
    <mergeCell ref="D7:D8"/>
    <mergeCell ref="J7:J8"/>
    <mergeCell ref="I5:I6"/>
    <mergeCell ref="B3:K3"/>
    <mergeCell ref="K7:K8"/>
    <mergeCell ref="B2:K2"/>
    <mergeCell ref="G4:H4"/>
  </mergeCells>
  <hyperlinks>
    <hyperlink ref="A1" location="'Modelo de Dominio'!A1" display="&lt;&lt; Ir al modelo de dominio" xr:uid="{00000000-0004-0000-2800-000000000000}"/>
    <hyperlink ref="C1" location="'Objetos de Dominio'!A1" display="&lt;&lt; Ir al listado de objetos de dominio" xr:uid="{00000000-0004-0000-2800-000001000000}"/>
    <hyperlink ref="F1" location="'C-Sede'!A1" display="&lt;&lt; Ir a la caracterización del objeto de dominio" xr:uid="{00000000-0004-0000-2800-000002000000}"/>
    <hyperlink ref="J1" location="'M-Sede'!A1" display="Ir al muestreo de datos del objeto de dominio &gt;&gt;" xr:uid="{00000000-0004-0000-2800-000003000000}"/>
    <hyperlink ref="E7" location="'C-Barberia'!A1" display="Barberia" xr:uid="{00000000-0004-0000-2800-000004000000}"/>
    <hyperlink ref="G7" location="'P-Sede'!A6" display="'P-Sede'!A6" xr:uid="{00000000-0004-0000-2800-000005000000}"/>
    <hyperlink ref="E8" location="'C-Ciudad'!A1" display="Ciudad" xr:uid="{00000000-0004-0000-2800-000006000000}"/>
    <hyperlink ref="G8" location="'P-Sede'!A7" display="'P-Sede'!A7" xr:uid="{00000000-0004-0000-2800-000007000000}"/>
    <hyperlink ref="E9" location="'C-Ciudad'!A1" display="Ciudad" xr:uid="{00000000-0004-0000-2800-000008000000}"/>
    <hyperlink ref="E10" location="'C-Ciudad'!A1" display="Ciudad" xr:uid="{00000000-0004-0000-2800-000009000000}"/>
    <hyperlink ref="E11" location="'C-Ciudad'!A1" display="Ciudad" xr:uid="{00000000-0004-0000-2800-00000A000000}"/>
    <hyperlink ref="G12" location="'P-Sede'!A8" display="'P-Sede'!A8" xr:uid="{00000000-0004-0000-2800-00000B000000}"/>
    <hyperlink ref="G13" location="'P-Sede'!A6" display="'P-Sede'!A6" xr:uid="{00000000-0004-0000-2800-00000C000000}"/>
    <hyperlink ref="G14" location="'P-Sede'!A7" display="'P-Sede'!A7" xr:uid="{00000000-0004-0000-2800-00000D000000}"/>
    <hyperlink ref="G15" location="'P-Sede'!A8" display="'P-Sede'!A8" xr:uid="{00000000-0004-0000-2800-00000E000000}"/>
    <hyperlink ref="G16" location="'P-Sede'!A6" display="'P-Sede'!A6" xr:uid="{00000000-0004-0000-2800-00000F000000}"/>
    <hyperlink ref="E17" location="'C-Barbero'!A1" display="Barbero" xr:uid="{00000000-0004-0000-2800-000010000000}"/>
    <hyperlink ref="G17" location="'P-Sede'!A8" display="'P-Sede'!A8" xr:uid="{00000000-0004-0000-2800-000011000000}"/>
    <hyperlink ref="E18" location="'C-Cita'!A1" display="Cita" xr:uid="{00000000-0004-0000-2800-000012000000}"/>
    <hyperlink ref="G18" location="'P-Sede'!A9" display="'P-Sede'!A9" xr:uid="{00000000-0004-0000-2800-000013000000}"/>
    <hyperlink ref="E19" location="'C-Agenda'!A1" display="Agenda" xr:uid="{00000000-0004-0000-2800-000014000000}"/>
    <hyperlink ref="G19" location="'P-Sede'!A10" display="'P-Sede'!A10" xr:uid="{00000000-0004-0000-2800-000015000000}"/>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7"/>
  <sheetViews>
    <sheetView zoomScaleNormal="100" workbookViewId="0">
      <selection activeCell="B1" sqref="B1"/>
    </sheetView>
  </sheetViews>
  <sheetFormatPr baseColWidth="10" defaultColWidth="8.7109375" defaultRowHeight="15" x14ac:dyDescent="0.25"/>
  <cols>
    <col min="1" max="1" width="27" customWidth="1"/>
    <col min="2" max="2" width="26.140625" bestFit="1" customWidth="1"/>
    <col min="3" max="3" width="30" customWidth="1"/>
    <col min="4" max="5" width="26" customWidth="1"/>
    <col min="6" max="6" width="40" customWidth="1"/>
  </cols>
  <sheetData>
    <row r="1" spans="1:6" x14ac:dyDescent="0.25">
      <c r="A1" s="4" t="s">
        <v>0</v>
      </c>
      <c r="B1" s="4" t="s">
        <v>55</v>
      </c>
    </row>
    <row r="2" spans="1:6" ht="44.25" customHeight="1" x14ac:dyDescent="0.25">
      <c r="A2" s="44" t="s">
        <v>183</v>
      </c>
      <c r="B2" s="44" t="s">
        <v>523</v>
      </c>
      <c r="C2" s="44" t="s">
        <v>524</v>
      </c>
      <c r="D2" s="44" t="s">
        <v>525</v>
      </c>
      <c r="E2" s="44" t="s">
        <v>526</v>
      </c>
      <c r="F2" s="44" t="s">
        <v>527</v>
      </c>
    </row>
    <row r="3" spans="1:6" ht="14.25" customHeight="1" x14ac:dyDescent="0.25">
      <c r="A3" s="46" t="s">
        <v>116</v>
      </c>
      <c r="B3" s="118" t="s">
        <v>528</v>
      </c>
      <c r="C3" s="118" t="s">
        <v>529</v>
      </c>
      <c r="D3" s="47" t="s">
        <v>187</v>
      </c>
      <c r="E3" s="47" t="s">
        <v>530</v>
      </c>
      <c r="F3" s="48" t="s">
        <v>189</v>
      </c>
    </row>
    <row r="4" spans="1:6" x14ac:dyDescent="0.25">
      <c r="A4" s="49">
        <v>1</v>
      </c>
      <c r="B4" s="119" t="str">
        <f>'M-Ciudad'!D4</f>
        <v>Medellín-Antioquia</v>
      </c>
      <c r="C4" s="119" t="str">
        <f>'M-Barberia'!D4</f>
        <v>900123456-7</v>
      </c>
      <c r="D4" s="49" t="s">
        <v>531</v>
      </c>
      <c r="E4" s="49" t="s">
        <v>532</v>
      </c>
      <c r="F4" s="49" t="str">
        <f>_xlfn.CONCAT(C4,"-",D4)</f>
        <v>900123456-7-Sede Poblado</v>
      </c>
    </row>
    <row r="5" spans="1:6" x14ac:dyDescent="0.25">
      <c r="A5" s="49">
        <v>2</v>
      </c>
      <c r="B5" s="119" t="str">
        <f>'M-Ciudad'!D4</f>
        <v>Medellín-Antioquia</v>
      </c>
      <c r="C5" s="119" t="str">
        <f>'M-Barberia'!D4</f>
        <v>900123456-7</v>
      </c>
      <c r="D5" s="49" t="s">
        <v>533</v>
      </c>
      <c r="E5" s="49" t="s">
        <v>534</v>
      </c>
      <c r="F5" s="49" t="str">
        <f>_xlfn.CONCAT(C5,"-",D5)</f>
        <v>900123456-7-Sede Laureles</v>
      </c>
    </row>
    <row r="6" spans="1:6" x14ac:dyDescent="0.25">
      <c r="A6" s="49">
        <v>3</v>
      </c>
      <c r="B6" s="119" t="str">
        <f>'M-Ciudad'!D5</f>
        <v>Rionegro-Antioquia</v>
      </c>
      <c r="C6" s="119" t="str">
        <f>'M-Barberia'!D4</f>
        <v>900123456-7</v>
      </c>
      <c r="D6" s="49" t="s">
        <v>535</v>
      </c>
      <c r="E6" s="49" t="s">
        <v>536</v>
      </c>
      <c r="F6" s="49" t="str">
        <f>_xlfn.CONCAT(C6,"-",D6)</f>
        <v>900123456-7-Sede Rionegro</v>
      </c>
    </row>
    <row r="7" spans="1:6" x14ac:dyDescent="0.25">
      <c r="A7" s="49">
        <v>4</v>
      </c>
      <c r="B7" s="119" t="str">
        <f>'M-Ciudad'!D6</f>
        <v>Bogotá-Cundinamarca</v>
      </c>
      <c r="C7" s="119" t="str">
        <f>'M-Barberia'!D5</f>
        <v>900654321-9</v>
      </c>
      <c r="D7" s="49" t="s">
        <v>537</v>
      </c>
      <c r="E7" s="49" t="s">
        <v>538</v>
      </c>
      <c r="F7" s="49" t="str">
        <f>_xlfn.CONCAT(C7,"-",D7)</f>
        <v>900654321-9-Sede Centro</v>
      </c>
    </row>
    <row r="13" spans="1:6" ht="30" customHeight="1" x14ac:dyDescent="0.25">
      <c r="A13" s="44"/>
      <c r="B13" s="53" t="s">
        <v>194</v>
      </c>
    </row>
    <row r="14" spans="1:6" ht="45" customHeight="1" x14ac:dyDescent="0.25">
      <c r="A14" s="46"/>
      <c r="B14" s="53" t="s">
        <v>195</v>
      </c>
    </row>
    <row r="15" spans="1:6" ht="45" customHeight="1" x14ac:dyDescent="0.25">
      <c r="A15" s="118"/>
      <c r="B15" s="53" t="s">
        <v>443</v>
      </c>
    </row>
    <row r="16" spans="1:6" ht="35.25" customHeight="1" x14ac:dyDescent="0.25">
      <c r="A16" s="47"/>
      <c r="B16" s="53" t="s">
        <v>539</v>
      </c>
    </row>
    <row r="17" spans="1:2" ht="30" customHeight="1" x14ac:dyDescent="0.25">
      <c r="A17" s="48"/>
      <c r="B17" s="53" t="s">
        <v>197</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4" location="'M-Ciudad'!A4" display="#'M-Ciudad'.A4" xr:uid="{00000000-0004-0000-2900-000002000000}"/>
    <hyperlink ref="C4" location="'M-Barberia'!A4" display="#'M-Barberia'.A4" xr:uid="{00000000-0004-0000-2900-000003000000}"/>
    <hyperlink ref="B5" location="'M-Ciudad'!A4" display="#'M-Ciudad'.A4" xr:uid="{00000000-0004-0000-2900-000004000000}"/>
    <hyperlink ref="C5" location="'M-Barberia'!A4" display="#'M-Barberia'.A4" xr:uid="{00000000-0004-0000-2900-000005000000}"/>
    <hyperlink ref="B6" location="'M-Ciudad'!A5" display="#'M-Ciudad'.A5" xr:uid="{00000000-0004-0000-2900-000006000000}"/>
    <hyperlink ref="C6" location="'M-Barberia'!A4" display="#'M-Barberia'.A4" xr:uid="{00000000-0004-0000-2900-000007000000}"/>
    <hyperlink ref="B7" location="'M-Ciudad'!A6" display="#'M-Ciudad'.A6" xr:uid="{00000000-0004-0000-2900-000008000000}"/>
    <hyperlink ref="C7" location="'M-Barberia'!A5" display="#'M-Barberia'.A5" xr:uid="{00000000-0004-0000-2900-000009000000}"/>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3"/>
  <sheetViews>
    <sheetView zoomScaleNormal="100" workbookViewId="0">
      <selection activeCell="E15" sqref="E15"/>
    </sheetView>
  </sheetViews>
  <sheetFormatPr baseColWidth="10" defaultColWidth="8.7109375" defaultRowHeight="15" x14ac:dyDescent="0.25"/>
  <cols>
    <col min="1" max="1" width="37" customWidth="1"/>
    <col min="2" max="2" width="45" customWidth="1"/>
    <col min="3" max="3" width="33.28515625" bestFit="1" customWidth="1"/>
    <col min="4" max="4" width="26.7109375" customWidth="1"/>
    <col min="5" max="5" width="18" customWidth="1"/>
    <col min="6" max="6" width="25.42578125" bestFit="1" customWidth="1"/>
    <col min="7" max="7" width="28" customWidth="1"/>
    <col min="8" max="8" width="19"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 min="23" max="23" width="14.85546875" customWidth="1"/>
    <col min="24" max="24" width="17.140625" customWidth="1"/>
    <col min="25" max="25" width="26.28515625" customWidth="1"/>
    <col min="26" max="26" width="18.7109375" customWidth="1"/>
    <col min="27" max="27" width="14.5703125" bestFit="1" customWidth="1"/>
    <col min="28" max="29" width="14.85546875" customWidth="1"/>
    <col min="30" max="30" width="17" bestFit="1" customWidth="1"/>
    <col min="31" max="32" width="17.28515625" bestFit="1" customWidth="1"/>
    <col min="33" max="34" width="17.28515625" customWidth="1"/>
  </cols>
  <sheetData>
    <row r="1" spans="1:32" ht="15" customHeight="1" x14ac:dyDescent="0.25">
      <c r="A1" s="4" t="s">
        <v>0</v>
      </c>
      <c r="B1" s="4" t="s">
        <v>55</v>
      </c>
    </row>
    <row r="2" spans="1:32"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A20</f>
        <v>registrarBarbero</v>
      </c>
      <c r="W2" s="360" t="str">
        <f>A23</f>
        <v>editarContactoBarbero</v>
      </c>
      <c r="X2" s="279"/>
      <c r="Y2" s="243" t="str">
        <f>A26</f>
        <v>consultarDatosBarbero</v>
      </c>
      <c r="Z2" s="392" t="str">
        <f>A27</f>
        <v>desactivarBarbero</v>
      </c>
      <c r="AA2" s="279"/>
      <c r="AB2" s="360" t="str">
        <f>A29</f>
        <v>reactivarBarbero</v>
      </c>
      <c r="AC2" s="279"/>
      <c r="AD2" s="382" t="str">
        <f>A30</f>
        <v>cambiarSedeDeTrabajoBarbero</v>
      </c>
      <c r="AE2" s="315"/>
      <c r="AF2" s="82" t="str">
        <f>A32</f>
        <v>consultarServiciosSedeBarbero</v>
      </c>
    </row>
    <row r="3" spans="1:32" ht="45" x14ac:dyDescent="0.25">
      <c r="A3" s="16" t="str">
        <f>'M-Barbero'!A3</f>
        <v>id</v>
      </c>
      <c r="B3" s="17" t="str">
        <f>'M-Barbero'!A2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80</v>
      </c>
      <c r="R3" s="16" t="s">
        <v>80</v>
      </c>
      <c r="S3" s="16" t="s">
        <v>80</v>
      </c>
      <c r="T3" s="16" t="s">
        <v>81</v>
      </c>
      <c r="U3" s="16" t="s">
        <v>77</v>
      </c>
      <c r="V3" s="85" t="s">
        <v>82</v>
      </c>
      <c r="W3" s="86" t="s">
        <v>84</v>
      </c>
      <c r="X3" s="86" t="s">
        <v>85</v>
      </c>
      <c r="Y3" s="244" t="s">
        <v>83</v>
      </c>
      <c r="Z3" s="24" t="s">
        <v>84</v>
      </c>
      <c r="AA3" s="24" t="s">
        <v>85</v>
      </c>
      <c r="AB3" s="86" t="s">
        <v>84</v>
      </c>
      <c r="AC3" s="86" t="s">
        <v>85</v>
      </c>
      <c r="AD3" s="251" t="s">
        <v>84</v>
      </c>
      <c r="AE3" s="251" t="s">
        <v>85</v>
      </c>
      <c r="AF3" s="85" t="s">
        <v>84</v>
      </c>
    </row>
    <row r="4" spans="1:32" ht="45" x14ac:dyDescent="0.25">
      <c r="A4" s="16" t="str">
        <f>'M-Barbero'!B3</f>
        <v>primerNombre</v>
      </c>
      <c r="B4" s="17" t="str">
        <f>'M-Barbero'!B2</f>
        <v>Representa el primer nombre del barbero que trabaja en barbería</v>
      </c>
      <c r="C4" s="16" t="s">
        <v>80</v>
      </c>
      <c r="D4" s="16" t="s">
        <v>86</v>
      </c>
      <c r="E4" s="16" t="s">
        <v>77</v>
      </c>
      <c r="F4" s="16">
        <v>3</v>
      </c>
      <c r="G4" s="16">
        <v>50</v>
      </c>
      <c r="H4" s="16" t="s">
        <v>79</v>
      </c>
      <c r="I4" s="16" t="s">
        <v>79</v>
      </c>
      <c r="J4" s="16" t="s">
        <v>79</v>
      </c>
      <c r="K4" s="16" t="s">
        <v>79</v>
      </c>
      <c r="L4" s="16" t="s">
        <v>79</v>
      </c>
      <c r="M4" s="17" t="s">
        <v>330</v>
      </c>
      <c r="N4" s="16" t="s">
        <v>80</v>
      </c>
      <c r="O4" s="16" t="s">
        <v>80</v>
      </c>
      <c r="P4" s="16" t="s">
        <v>80</v>
      </c>
      <c r="Q4" s="16" t="s">
        <v>77</v>
      </c>
      <c r="R4" s="16" t="s">
        <v>77</v>
      </c>
      <c r="S4" s="16" t="s">
        <v>80</v>
      </c>
      <c r="T4" s="16" t="s">
        <v>540</v>
      </c>
      <c r="U4" s="16" t="s">
        <v>80</v>
      </c>
      <c r="V4" s="85" t="s">
        <v>84</v>
      </c>
      <c r="W4" s="86" t="s">
        <v>82</v>
      </c>
      <c r="X4" s="86" t="s">
        <v>85</v>
      </c>
      <c r="Y4" s="244" t="s">
        <v>89</v>
      </c>
      <c r="Z4" s="24" t="s">
        <v>82</v>
      </c>
      <c r="AA4" s="24" t="s">
        <v>85</v>
      </c>
      <c r="AB4" s="86" t="s">
        <v>82</v>
      </c>
      <c r="AC4" s="86" t="s">
        <v>85</v>
      </c>
      <c r="AD4" s="251" t="s">
        <v>82</v>
      </c>
      <c r="AE4" s="251" t="s">
        <v>85</v>
      </c>
      <c r="AF4" s="85" t="s">
        <v>83</v>
      </c>
    </row>
    <row r="5" spans="1:32" ht="45" x14ac:dyDescent="0.25">
      <c r="A5" s="16" t="str">
        <f>'M-Barbero'!C3</f>
        <v>segundoNombre</v>
      </c>
      <c r="B5" s="17" t="str">
        <f>'M-Barbero'!C2</f>
        <v>Representa el segundo nombre del barbero que trabaja en barbería</v>
      </c>
      <c r="C5" s="16" t="s">
        <v>80</v>
      </c>
      <c r="D5" s="16" t="s">
        <v>86</v>
      </c>
      <c r="E5" s="16" t="s">
        <v>80</v>
      </c>
      <c r="F5" s="16">
        <v>0</v>
      </c>
      <c r="G5" s="16">
        <v>50</v>
      </c>
      <c r="H5" s="16" t="s">
        <v>79</v>
      </c>
      <c r="I5" s="16" t="s">
        <v>79</v>
      </c>
      <c r="J5" s="16" t="s">
        <v>79</v>
      </c>
      <c r="K5" s="16" t="s">
        <v>79</v>
      </c>
      <c r="L5" s="16" t="s">
        <v>79</v>
      </c>
      <c r="M5" s="17" t="s">
        <v>330</v>
      </c>
      <c r="N5" s="16" t="s">
        <v>80</v>
      </c>
      <c r="O5" s="16" t="s">
        <v>80</v>
      </c>
      <c r="P5" s="16" t="s">
        <v>80</v>
      </c>
      <c r="Q5" s="16" t="s">
        <v>77</v>
      </c>
      <c r="R5" s="16" t="s">
        <v>77</v>
      </c>
      <c r="S5" s="16" t="s">
        <v>80</v>
      </c>
      <c r="T5" s="16" t="s">
        <v>540</v>
      </c>
      <c r="U5" s="16" t="s">
        <v>80</v>
      </c>
      <c r="V5" s="85" t="s">
        <v>82</v>
      </c>
      <c r="W5" s="86" t="s">
        <v>82</v>
      </c>
      <c r="X5" s="86" t="s">
        <v>85</v>
      </c>
      <c r="Y5" s="244" t="s">
        <v>89</v>
      </c>
      <c r="Z5" s="24" t="s">
        <v>82</v>
      </c>
      <c r="AA5" s="24" t="s">
        <v>85</v>
      </c>
      <c r="AB5" s="86" t="s">
        <v>82</v>
      </c>
      <c r="AC5" s="86" t="s">
        <v>85</v>
      </c>
      <c r="AD5" s="251" t="s">
        <v>82</v>
      </c>
      <c r="AE5" s="251" t="s">
        <v>85</v>
      </c>
      <c r="AF5" s="85" t="s">
        <v>83</v>
      </c>
    </row>
    <row r="6" spans="1:32" ht="45" x14ac:dyDescent="0.25">
      <c r="A6" s="16" t="str">
        <f>'M-Barbero'!D3</f>
        <v>primerApellido</v>
      </c>
      <c r="B6" s="17" t="str">
        <f>'M-Barbero'!D2</f>
        <v>Representa el primer apellido del barbero que trabaja en la barbería</v>
      </c>
      <c r="C6" s="16" t="s">
        <v>80</v>
      </c>
      <c r="D6" s="16" t="s">
        <v>86</v>
      </c>
      <c r="E6" s="16" t="s">
        <v>77</v>
      </c>
      <c r="F6" s="16">
        <v>3</v>
      </c>
      <c r="G6" s="16">
        <v>50</v>
      </c>
      <c r="H6" s="16" t="s">
        <v>79</v>
      </c>
      <c r="I6" s="16" t="s">
        <v>79</v>
      </c>
      <c r="J6" s="16" t="s">
        <v>79</v>
      </c>
      <c r="K6" s="16" t="s">
        <v>79</v>
      </c>
      <c r="L6" s="16" t="s">
        <v>79</v>
      </c>
      <c r="M6" s="17" t="s">
        <v>541</v>
      </c>
      <c r="N6" s="16" t="s">
        <v>80</v>
      </c>
      <c r="O6" s="16" t="s">
        <v>80</v>
      </c>
      <c r="P6" s="16" t="s">
        <v>80</v>
      </c>
      <c r="Q6" s="16" t="s">
        <v>77</v>
      </c>
      <c r="R6" s="16" t="s">
        <v>77</v>
      </c>
      <c r="S6" s="16" t="s">
        <v>80</v>
      </c>
      <c r="T6" s="16" t="s">
        <v>540</v>
      </c>
      <c r="U6" s="16" t="s">
        <v>80</v>
      </c>
      <c r="V6" s="85" t="s">
        <v>84</v>
      </c>
      <c r="W6" s="86" t="s">
        <v>82</v>
      </c>
      <c r="X6" s="86" t="s">
        <v>85</v>
      </c>
      <c r="Y6" s="244" t="s">
        <v>89</v>
      </c>
      <c r="Z6" s="24" t="s">
        <v>82</v>
      </c>
      <c r="AA6" s="24" t="s">
        <v>85</v>
      </c>
      <c r="AB6" s="86" t="s">
        <v>82</v>
      </c>
      <c r="AC6" s="86" t="s">
        <v>85</v>
      </c>
      <c r="AD6" s="251" t="s">
        <v>82</v>
      </c>
      <c r="AE6" s="251" t="s">
        <v>85</v>
      </c>
      <c r="AF6" s="85" t="s">
        <v>83</v>
      </c>
    </row>
    <row r="7" spans="1:32" ht="45" x14ac:dyDescent="0.25">
      <c r="A7" s="16" t="str">
        <f>'M-Barbero'!E3</f>
        <v>segundoApellido</v>
      </c>
      <c r="B7" s="17" t="str">
        <f>'M-Barbero'!E2</f>
        <v>Representa el segundo apellido del barbero que trabaja en la barbería</v>
      </c>
      <c r="C7" s="16" t="s">
        <v>80</v>
      </c>
      <c r="D7" s="16" t="s">
        <v>86</v>
      </c>
      <c r="E7" s="16" t="s">
        <v>80</v>
      </c>
      <c r="F7" s="16">
        <v>0</v>
      </c>
      <c r="G7" s="16">
        <v>50</v>
      </c>
      <c r="H7" s="16" t="s">
        <v>79</v>
      </c>
      <c r="I7" s="16" t="s">
        <v>79</v>
      </c>
      <c r="J7" s="16" t="s">
        <v>79</v>
      </c>
      <c r="K7" s="16" t="s">
        <v>79</v>
      </c>
      <c r="L7" s="16" t="s">
        <v>79</v>
      </c>
      <c r="M7" s="17" t="s">
        <v>541</v>
      </c>
      <c r="N7" s="16" t="s">
        <v>80</v>
      </c>
      <c r="O7" s="16" t="s">
        <v>80</v>
      </c>
      <c r="P7" s="16" t="s">
        <v>80</v>
      </c>
      <c r="Q7" s="16" t="s">
        <v>77</v>
      </c>
      <c r="R7" s="16" t="s">
        <v>77</v>
      </c>
      <c r="S7" s="16" t="s">
        <v>80</v>
      </c>
      <c r="T7" s="16" t="s">
        <v>540</v>
      </c>
      <c r="U7" s="16" t="s">
        <v>80</v>
      </c>
      <c r="V7" s="85" t="s">
        <v>82</v>
      </c>
      <c r="W7" s="86" t="s">
        <v>82</v>
      </c>
      <c r="X7" s="86" t="s">
        <v>85</v>
      </c>
      <c r="Y7" s="244" t="s">
        <v>89</v>
      </c>
      <c r="Z7" s="24" t="s">
        <v>82</v>
      </c>
      <c r="AA7" s="24" t="s">
        <v>85</v>
      </c>
      <c r="AB7" s="86" t="s">
        <v>82</v>
      </c>
      <c r="AC7" s="86" t="s">
        <v>85</v>
      </c>
      <c r="AD7" s="251" t="s">
        <v>82</v>
      </c>
      <c r="AE7" s="251" t="s">
        <v>85</v>
      </c>
      <c r="AF7" s="85" t="s">
        <v>83</v>
      </c>
    </row>
    <row r="8" spans="1:32" ht="30" x14ac:dyDescent="0.25">
      <c r="A8" s="16" t="str">
        <f>'M-Barbero'!F3</f>
        <v>prefijo</v>
      </c>
      <c r="B8" s="17" t="str">
        <f>'M-Barbero'!F2</f>
        <v>Representa cual es el prefijo del numero de celular del barbero</v>
      </c>
      <c r="C8" s="16" t="s">
        <v>80</v>
      </c>
      <c r="D8" s="106" t="s">
        <v>20</v>
      </c>
      <c r="E8" s="16" t="s">
        <v>77</v>
      </c>
      <c r="F8" s="16" t="s">
        <v>79</v>
      </c>
      <c r="G8" s="16" t="s">
        <v>79</v>
      </c>
      <c r="H8" s="16" t="s">
        <v>79</v>
      </c>
      <c r="I8" s="16" t="s">
        <v>79</v>
      </c>
      <c r="J8" s="16" t="s">
        <v>79</v>
      </c>
      <c r="K8" s="16" t="s">
        <v>79</v>
      </c>
      <c r="L8" s="16" t="s">
        <v>79</v>
      </c>
      <c r="M8" s="107" t="s">
        <v>331</v>
      </c>
      <c r="N8" s="16" t="s">
        <v>80</v>
      </c>
      <c r="O8" s="16" t="s">
        <v>79</v>
      </c>
      <c r="P8" s="16" t="s">
        <v>79</v>
      </c>
      <c r="Q8" s="16" t="s">
        <v>79</v>
      </c>
      <c r="R8" s="16" t="s">
        <v>79</v>
      </c>
      <c r="S8" s="16" t="s">
        <v>80</v>
      </c>
      <c r="T8" s="16" t="s">
        <v>81</v>
      </c>
      <c r="U8" s="16" t="s">
        <v>80</v>
      </c>
      <c r="V8" s="85" t="s">
        <v>84</v>
      </c>
      <c r="W8" s="86" t="s">
        <v>84</v>
      </c>
      <c r="X8" s="86" t="s">
        <v>90</v>
      </c>
      <c r="Y8" s="244" t="s">
        <v>89</v>
      </c>
      <c r="Z8" s="24" t="s">
        <v>82</v>
      </c>
      <c r="AA8" s="24" t="s">
        <v>85</v>
      </c>
      <c r="AB8" s="86" t="s">
        <v>82</v>
      </c>
      <c r="AC8" s="86" t="s">
        <v>85</v>
      </c>
      <c r="AD8" s="251" t="s">
        <v>82</v>
      </c>
      <c r="AE8" s="251" t="s">
        <v>85</v>
      </c>
      <c r="AF8" s="85" t="s">
        <v>83</v>
      </c>
    </row>
    <row r="9" spans="1:32" ht="45" x14ac:dyDescent="0.25">
      <c r="A9" s="16" t="str">
        <f>'M-Barbero'!G3</f>
        <v>celular</v>
      </c>
      <c r="B9" s="17" t="str">
        <f>'M-Barbero'!G2</f>
        <v>Representa el número de celular del barbero, es el dato que el cliente necesita en caso de que tenga que contactarse con el</v>
      </c>
      <c r="C9" s="16" t="s">
        <v>80</v>
      </c>
      <c r="D9" s="16" t="s">
        <v>86</v>
      </c>
      <c r="E9" s="16" t="s">
        <v>77</v>
      </c>
      <c r="F9" s="16">
        <v>6</v>
      </c>
      <c r="G9" s="16">
        <v>15</v>
      </c>
      <c r="H9" s="16" t="s">
        <v>79</v>
      </c>
      <c r="I9" s="16" t="s">
        <v>79</v>
      </c>
      <c r="J9" s="16" t="s">
        <v>79</v>
      </c>
      <c r="K9" s="16" t="s">
        <v>79</v>
      </c>
      <c r="L9" s="17" t="s">
        <v>79</v>
      </c>
      <c r="M9" s="17" t="s">
        <v>332</v>
      </c>
      <c r="N9" s="16" t="s">
        <v>80</v>
      </c>
      <c r="O9" s="16" t="s">
        <v>79</v>
      </c>
      <c r="P9" s="16" t="s">
        <v>79</v>
      </c>
      <c r="Q9" s="16" t="s">
        <v>77</v>
      </c>
      <c r="R9" s="16" t="s">
        <v>77</v>
      </c>
      <c r="S9" s="16" t="s">
        <v>77</v>
      </c>
      <c r="T9" s="16" t="s">
        <v>333</v>
      </c>
      <c r="U9" s="16" t="s">
        <v>80</v>
      </c>
      <c r="V9" s="85" t="s">
        <v>84</v>
      </c>
      <c r="W9" s="86" t="s">
        <v>84</v>
      </c>
      <c r="X9" s="86" t="s">
        <v>90</v>
      </c>
      <c r="Y9" s="244" t="s">
        <v>89</v>
      </c>
      <c r="Z9" s="24" t="s">
        <v>82</v>
      </c>
      <c r="AA9" s="24" t="s">
        <v>85</v>
      </c>
      <c r="AB9" s="86" t="s">
        <v>82</v>
      </c>
      <c r="AC9" s="86" t="s">
        <v>85</v>
      </c>
      <c r="AD9" s="251" t="s">
        <v>82</v>
      </c>
      <c r="AE9" s="251" t="s">
        <v>85</v>
      </c>
      <c r="AF9" s="85" t="s">
        <v>83</v>
      </c>
    </row>
    <row r="10" spans="1:32" ht="45" customHeight="1" x14ac:dyDescent="0.25">
      <c r="A10" s="16" t="str">
        <f>'M-Barbero'!H3</f>
        <v>elNumeroCelularEsCorrecto</v>
      </c>
      <c r="B10" s="17" t="str">
        <f>'M-Barbero'!H2</f>
        <v>Representa si el numero que ingreso el cliente es correcto o no</v>
      </c>
      <c r="C10" s="16" t="s">
        <v>80</v>
      </c>
      <c r="D10" s="16" t="s">
        <v>334</v>
      </c>
      <c r="E10" s="16" t="s">
        <v>77</v>
      </c>
      <c r="F10" s="16" t="s">
        <v>79</v>
      </c>
      <c r="G10" s="16" t="s">
        <v>79</v>
      </c>
      <c r="H10" s="16" t="s">
        <v>79</v>
      </c>
      <c r="I10" s="16" t="s">
        <v>79</v>
      </c>
      <c r="J10" s="16" t="s">
        <v>79</v>
      </c>
      <c r="K10" s="16" t="s">
        <v>79</v>
      </c>
      <c r="L10" s="16" t="s">
        <v>79</v>
      </c>
      <c r="M10" s="17" t="s">
        <v>542</v>
      </c>
      <c r="N10" s="16" t="s">
        <v>80</v>
      </c>
      <c r="O10" s="16" t="s">
        <v>79</v>
      </c>
      <c r="P10" s="16" t="s">
        <v>79</v>
      </c>
      <c r="Q10" s="16" t="s">
        <v>79</v>
      </c>
      <c r="R10" s="16" t="s">
        <v>79</v>
      </c>
      <c r="S10" s="16" t="s">
        <v>80</v>
      </c>
      <c r="T10" s="16" t="s">
        <v>80</v>
      </c>
      <c r="U10" s="16" t="s">
        <v>80</v>
      </c>
      <c r="V10" s="85" t="s">
        <v>84</v>
      </c>
      <c r="W10" s="86" t="s">
        <v>82</v>
      </c>
      <c r="X10" s="86" t="s">
        <v>85</v>
      </c>
      <c r="Y10" s="244" t="s">
        <v>83</v>
      </c>
      <c r="Z10" s="24" t="s">
        <v>84</v>
      </c>
      <c r="AA10" s="24" t="s">
        <v>90</v>
      </c>
      <c r="AB10" s="86" t="s">
        <v>84</v>
      </c>
      <c r="AC10" s="86" t="s">
        <v>90</v>
      </c>
      <c r="AD10" s="251" t="s">
        <v>82</v>
      </c>
      <c r="AE10" s="251" t="s">
        <v>85</v>
      </c>
      <c r="AF10" s="85" t="s">
        <v>83</v>
      </c>
    </row>
    <row r="11" spans="1:32" ht="60" customHeight="1" x14ac:dyDescent="0.25">
      <c r="A11" s="16" t="str">
        <f>'M-Barbero'!I3</f>
        <v>vigente</v>
      </c>
      <c r="B11" s="17" t="str">
        <f>'M-Barbero'!I2</f>
        <v>Representa si el barbero sigue o no trabajando en la barberia</v>
      </c>
      <c r="C11" s="16" t="s">
        <v>80</v>
      </c>
      <c r="D11" s="16" t="s">
        <v>334</v>
      </c>
      <c r="E11" s="16" t="s">
        <v>77</v>
      </c>
      <c r="F11" s="16" t="s">
        <v>79</v>
      </c>
      <c r="G11" s="16" t="s">
        <v>79</v>
      </c>
      <c r="H11" s="16" t="s">
        <v>79</v>
      </c>
      <c r="I11" s="16" t="s">
        <v>79</v>
      </c>
      <c r="J11" s="16" t="s">
        <v>79</v>
      </c>
      <c r="K11" s="16" t="s">
        <v>79</v>
      </c>
      <c r="L11" s="16" t="s">
        <v>79</v>
      </c>
      <c r="M11" s="17" t="s">
        <v>79</v>
      </c>
      <c r="N11" s="16" t="s">
        <v>77</v>
      </c>
      <c r="O11" s="16" t="s">
        <v>79</v>
      </c>
      <c r="P11" s="16" t="s">
        <v>79</v>
      </c>
      <c r="Q11" s="16" t="s">
        <v>79</v>
      </c>
      <c r="R11" s="16" t="s">
        <v>79</v>
      </c>
      <c r="S11" s="16" t="s">
        <v>80</v>
      </c>
      <c r="T11" s="16" t="s">
        <v>77</v>
      </c>
      <c r="U11" s="16" t="s">
        <v>77</v>
      </c>
      <c r="V11" s="85" t="s">
        <v>82</v>
      </c>
      <c r="W11" s="86" t="s">
        <v>82</v>
      </c>
      <c r="X11" s="86" t="s">
        <v>85</v>
      </c>
      <c r="Y11" s="244" t="s">
        <v>89</v>
      </c>
      <c r="Z11" s="24" t="s">
        <v>82</v>
      </c>
      <c r="AA11" s="24" t="s">
        <v>85</v>
      </c>
      <c r="AB11" s="86" t="s">
        <v>82</v>
      </c>
      <c r="AC11" s="86" t="s">
        <v>85</v>
      </c>
      <c r="AD11" s="251" t="s">
        <v>82</v>
      </c>
      <c r="AE11" s="251" t="s">
        <v>85</v>
      </c>
      <c r="AF11" s="85" t="s">
        <v>83</v>
      </c>
    </row>
    <row r="12" spans="1:32" ht="30" x14ac:dyDescent="0.25">
      <c r="A12" s="16" t="str">
        <f>'M-Barbero'!J3</f>
        <v>sedeDeTrabajo</v>
      </c>
      <c r="B12" s="17" t="str">
        <f>'M-Barbero'!J2</f>
        <v>Representa cual es la sede y la barberia donde trabaja el barbero</v>
      </c>
      <c r="C12" s="16" t="s">
        <v>80</v>
      </c>
      <c r="D12" s="106" t="s">
        <v>30</v>
      </c>
      <c r="E12" s="16" t="s">
        <v>77</v>
      </c>
      <c r="F12" s="16" t="s">
        <v>79</v>
      </c>
      <c r="G12" s="16" t="s">
        <v>79</v>
      </c>
      <c r="H12" s="16" t="s">
        <v>79</v>
      </c>
      <c r="I12" s="16" t="s">
        <v>79</v>
      </c>
      <c r="J12" s="16" t="s">
        <v>79</v>
      </c>
      <c r="K12" s="16" t="s">
        <v>79</v>
      </c>
      <c r="L12" s="16" t="s">
        <v>79</v>
      </c>
      <c r="M12" s="107" t="s">
        <v>331</v>
      </c>
      <c r="N12" s="16" t="s">
        <v>80</v>
      </c>
      <c r="O12" s="16" t="s">
        <v>79</v>
      </c>
      <c r="P12" s="16" t="s">
        <v>79</v>
      </c>
      <c r="Q12" s="16" t="s">
        <v>79</v>
      </c>
      <c r="R12" s="16" t="s">
        <v>79</v>
      </c>
      <c r="S12" s="16" t="s">
        <v>80</v>
      </c>
      <c r="T12" s="16" t="s">
        <v>81</v>
      </c>
      <c r="U12" s="16" t="s">
        <v>80</v>
      </c>
      <c r="V12" s="85" t="s">
        <v>84</v>
      </c>
      <c r="W12" s="86" t="s">
        <v>82</v>
      </c>
      <c r="X12" s="86" t="s">
        <v>85</v>
      </c>
      <c r="Y12" s="244" t="s">
        <v>89</v>
      </c>
      <c r="Z12" s="24" t="s">
        <v>82</v>
      </c>
      <c r="AA12" s="24" t="s">
        <v>85</v>
      </c>
      <c r="AB12" s="86" t="s">
        <v>82</v>
      </c>
      <c r="AC12" s="86" t="s">
        <v>85</v>
      </c>
      <c r="AD12" s="251" t="s">
        <v>84</v>
      </c>
      <c r="AE12" s="251" t="s">
        <v>90</v>
      </c>
      <c r="AF12" s="85" t="s">
        <v>83</v>
      </c>
    </row>
    <row r="14" spans="1:32" ht="15" customHeight="1" x14ac:dyDescent="0.25">
      <c r="A14" s="19" t="s">
        <v>93</v>
      </c>
      <c r="B14" s="19" t="s">
        <v>94</v>
      </c>
      <c r="C14" s="19" t="s">
        <v>95</v>
      </c>
    </row>
    <row r="15" spans="1:32" ht="23.25" customHeight="1" x14ac:dyDescent="0.25">
      <c r="A15" s="364" t="str">
        <f>'M-Barbero'!K3</f>
        <v>Combinación única  1</v>
      </c>
      <c r="B15" s="371" t="str">
        <f>'M-Barbero'!K2</f>
        <v>Combinacion única que indica que no puede existir más de un barbero con el mismo prefijo de celular y número de celular</v>
      </c>
      <c r="C15" s="22" t="str">
        <f>A8</f>
        <v>prefijo</v>
      </c>
    </row>
    <row r="16" spans="1:32" ht="21" customHeight="1" x14ac:dyDescent="0.25">
      <c r="A16" s="281"/>
      <c r="B16" s="281"/>
      <c r="C16" s="22" t="str">
        <f>A9</f>
        <v>celular</v>
      </c>
    </row>
    <row r="18" spans="1:18" x14ac:dyDescent="0.25">
      <c r="A18" s="320" t="s">
        <v>96</v>
      </c>
      <c r="B18" s="321"/>
      <c r="C18" s="323" t="s">
        <v>94</v>
      </c>
      <c r="D18" s="326"/>
      <c r="E18" s="326"/>
      <c r="F18" s="321"/>
      <c r="G18" s="323" t="s">
        <v>97</v>
      </c>
      <c r="H18" s="290"/>
      <c r="I18" s="291"/>
      <c r="J18" s="323" t="s">
        <v>98</v>
      </c>
      <c r="K18" s="290"/>
      <c r="L18" s="290"/>
      <c r="M18" s="290"/>
      <c r="N18" s="291"/>
      <c r="O18" s="323" t="s">
        <v>99</v>
      </c>
      <c r="P18" s="291"/>
      <c r="Q18" s="323" t="s">
        <v>100</v>
      </c>
      <c r="R18" s="291"/>
    </row>
    <row r="19" spans="1:18" x14ac:dyDescent="0.25">
      <c r="A19" s="322"/>
      <c r="B19" s="312"/>
      <c r="C19" s="310"/>
      <c r="D19" s="311"/>
      <c r="E19" s="311"/>
      <c r="F19" s="312"/>
      <c r="G19" s="3" t="s">
        <v>101</v>
      </c>
      <c r="H19" s="3" t="s">
        <v>59</v>
      </c>
      <c r="I19" s="3" t="s">
        <v>94</v>
      </c>
      <c r="J19" s="3" t="s">
        <v>102</v>
      </c>
      <c r="K19" s="325" t="s">
        <v>94</v>
      </c>
      <c r="L19" s="303"/>
      <c r="M19" s="303"/>
      <c r="N19" s="279"/>
      <c r="O19" s="3" t="s">
        <v>103</v>
      </c>
      <c r="P19" s="3" t="s">
        <v>94</v>
      </c>
      <c r="Q19" s="3" t="s">
        <v>104</v>
      </c>
      <c r="R19" s="23" t="s">
        <v>105</v>
      </c>
    </row>
    <row r="20" spans="1:18" ht="89.25" customHeight="1" x14ac:dyDescent="0.25">
      <c r="A20" s="395" t="s">
        <v>543</v>
      </c>
      <c r="B20" s="309"/>
      <c r="C20" s="336" t="s">
        <v>544</v>
      </c>
      <c r="D20" s="308"/>
      <c r="E20" s="308"/>
      <c r="F20" s="309"/>
      <c r="G20" s="336" t="s">
        <v>545</v>
      </c>
      <c r="H20" s="375" t="s">
        <v>32</v>
      </c>
      <c r="I20" s="336" t="s">
        <v>546</v>
      </c>
      <c r="J20" s="365" t="s">
        <v>32</v>
      </c>
      <c r="K20" s="336" t="s">
        <v>547</v>
      </c>
      <c r="L20" s="308"/>
      <c r="M20" s="308"/>
      <c r="N20" s="309"/>
      <c r="O20" s="105" t="str">
        <f>'P-Barbero'!A6</f>
        <v>P-BAR-0001</v>
      </c>
      <c r="P20" s="25" t="str">
        <f>'P-Barbero'!B6</f>
        <v>Asegurar que los datos requeridos del barbero (nombre, apellido, prefijo de celular, celular, sede de trabajo) sean válidos en tipo de dato, longitud, obligatoriedad, formato y rango</v>
      </c>
      <c r="Q20" s="25" t="s">
        <v>548</v>
      </c>
      <c r="R20" s="110" t="s">
        <v>112</v>
      </c>
    </row>
    <row r="21" spans="1:18" ht="60" customHeight="1" x14ac:dyDescent="0.25">
      <c r="A21" s="299"/>
      <c r="B21" s="370"/>
      <c r="C21" s="369"/>
      <c r="D21" s="299"/>
      <c r="E21" s="299"/>
      <c r="F21" s="370"/>
      <c r="G21" s="284"/>
      <c r="H21" s="284"/>
      <c r="I21" s="284"/>
      <c r="J21" s="284"/>
      <c r="K21" s="369"/>
      <c r="L21" s="299"/>
      <c r="M21" s="299"/>
      <c r="N21" s="370"/>
      <c r="O21" s="105" t="str">
        <f>'P-Barbero'!A7</f>
        <v>P-BAR-0002</v>
      </c>
      <c r="P21" s="25" t="str">
        <f>'P-Barbero'!B7</f>
        <v>Asegurar que el número de celular y prefijo de celular no esté siendo utilizado por otro barbero</v>
      </c>
      <c r="Q21" s="25" t="s">
        <v>549</v>
      </c>
      <c r="R21" s="110" t="s">
        <v>112</v>
      </c>
    </row>
    <row r="22" spans="1:18" ht="60" customHeight="1" x14ac:dyDescent="0.25">
      <c r="A22" s="311"/>
      <c r="B22" s="312"/>
      <c r="C22" s="310"/>
      <c r="D22" s="311"/>
      <c r="E22" s="311"/>
      <c r="F22" s="312"/>
      <c r="G22" s="281"/>
      <c r="H22" s="281"/>
      <c r="I22" s="281"/>
      <c r="J22" s="281"/>
      <c r="K22" s="310"/>
      <c r="L22" s="311"/>
      <c r="M22" s="311"/>
      <c r="N22" s="312"/>
      <c r="O22" s="105" t="str">
        <f>'P-Barbero'!A10</f>
        <v>P-BAR-0006</v>
      </c>
      <c r="P22" s="25" t="str">
        <f>'P-Barbero'!B10</f>
        <v>Asegurar que el barbero halla puesto un si en el atributo elNumeroCelularEsCorrecto</v>
      </c>
      <c r="Q22" s="25" t="s">
        <v>550</v>
      </c>
      <c r="R22" s="110" t="s">
        <v>112</v>
      </c>
    </row>
    <row r="23" spans="1:18" ht="60" customHeight="1" x14ac:dyDescent="0.25">
      <c r="A23" s="396" t="s">
        <v>551</v>
      </c>
      <c r="B23" s="309"/>
      <c r="C23" s="366" t="s">
        <v>552</v>
      </c>
      <c r="D23" s="308"/>
      <c r="E23" s="308"/>
      <c r="F23" s="309"/>
      <c r="G23" s="111" t="s">
        <v>116</v>
      </c>
      <c r="H23" s="111" t="s">
        <v>117</v>
      </c>
      <c r="I23" s="64" t="s">
        <v>553</v>
      </c>
      <c r="J23" s="377" t="s">
        <v>32</v>
      </c>
      <c r="K23" s="366" t="s">
        <v>554</v>
      </c>
      <c r="L23" s="308"/>
      <c r="M23" s="308"/>
      <c r="N23" s="309"/>
      <c r="O23" s="91" t="str">
        <f>'P-Barbero'!A11</f>
        <v>P-BAR-0007</v>
      </c>
      <c r="P23" s="91" t="str">
        <f>'P-Barbero'!B11</f>
        <v>Asegurar que exista el barbero con el id enviado</v>
      </c>
      <c r="Q23" s="64" t="s">
        <v>555</v>
      </c>
      <c r="R23" s="112" t="s">
        <v>112</v>
      </c>
    </row>
    <row r="24" spans="1:18" ht="46.5" customHeight="1" x14ac:dyDescent="0.25">
      <c r="A24" s="299"/>
      <c r="B24" s="370"/>
      <c r="C24" s="369"/>
      <c r="D24" s="299"/>
      <c r="E24" s="299"/>
      <c r="F24" s="370"/>
      <c r="G24" s="367" t="s">
        <v>348</v>
      </c>
      <c r="H24" s="367" t="s">
        <v>32</v>
      </c>
      <c r="I24" s="366" t="s">
        <v>556</v>
      </c>
      <c r="J24" s="284"/>
      <c r="K24" s="369"/>
      <c r="L24" s="299"/>
      <c r="M24" s="299"/>
      <c r="N24" s="370"/>
      <c r="O24" s="367" t="str">
        <f>'P-Barbero'!A9</f>
        <v>P-BAR-0004</v>
      </c>
      <c r="P24" s="366" t="str">
        <f>'P-Barbero'!B9</f>
        <v>Asegurar que los datos requeridos del barbero para editar su contacto (prefijo de celular, celular) sean válidos en tipo de dato, longitud, obligatoriedad, formato y rango</v>
      </c>
      <c r="Q24" s="366" t="s">
        <v>557</v>
      </c>
      <c r="R24" s="398" t="s">
        <v>112</v>
      </c>
    </row>
    <row r="25" spans="1:18" ht="47.25" customHeight="1" x14ac:dyDescent="0.25">
      <c r="A25" s="311"/>
      <c r="B25" s="312"/>
      <c r="C25" s="310"/>
      <c r="D25" s="311"/>
      <c r="E25" s="311"/>
      <c r="F25" s="312"/>
      <c r="G25" s="281"/>
      <c r="H25" s="281"/>
      <c r="I25" s="281"/>
      <c r="J25" s="281"/>
      <c r="K25" s="310"/>
      <c r="L25" s="311"/>
      <c r="M25" s="311"/>
      <c r="N25" s="312"/>
      <c r="O25" s="281"/>
      <c r="P25" s="281"/>
      <c r="Q25" s="281"/>
      <c r="R25" s="399"/>
    </row>
    <row r="26" spans="1:18" ht="51" customHeight="1" x14ac:dyDescent="0.25">
      <c r="A26" s="391" t="s">
        <v>558</v>
      </c>
      <c r="B26" s="315"/>
      <c r="C26" s="381" t="s">
        <v>559</v>
      </c>
      <c r="D26" s="314"/>
      <c r="E26" s="314"/>
      <c r="F26" s="315"/>
      <c r="G26" s="253" t="s">
        <v>116</v>
      </c>
      <c r="H26" s="253" t="s">
        <v>117</v>
      </c>
      <c r="I26" s="237" t="s">
        <v>560</v>
      </c>
      <c r="J26" s="254" t="s">
        <v>32</v>
      </c>
      <c r="K26" s="393" t="s">
        <v>561</v>
      </c>
      <c r="L26" s="314"/>
      <c r="M26" s="314"/>
      <c r="N26" s="315"/>
      <c r="O26" s="253" t="str">
        <f>'P-Barbero'!A11</f>
        <v>P-BAR-0007</v>
      </c>
      <c r="P26" s="237" t="str">
        <f>'P-Barbero'!B11</f>
        <v>Asegurar que exista el barbero con el id enviado</v>
      </c>
      <c r="Q26" s="237" t="s">
        <v>562</v>
      </c>
      <c r="R26" s="255" t="s">
        <v>112</v>
      </c>
    </row>
    <row r="27" spans="1:18" ht="65.25" customHeight="1" x14ac:dyDescent="0.25">
      <c r="A27" s="397" t="s">
        <v>563</v>
      </c>
      <c r="B27" s="386"/>
      <c r="C27" s="384" t="s">
        <v>564</v>
      </c>
      <c r="D27" s="385"/>
      <c r="E27" s="385"/>
      <c r="F27" s="386"/>
      <c r="G27" s="384" t="s">
        <v>116</v>
      </c>
      <c r="H27" s="384" t="s">
        <v>117</v>
      </c>
      <c r="I27" s="394" t="s">
        <v>565</v>
      </c>
      <c r="J27" s="384" t="s">
        <v>133</v>
      </c>
      <c r="K27" s="385"/>
      <c r="L27" s="385"/>
      <c r="M27" s="385"/>
      <c r="N27" s="386"/>
      <c r="O27" s="257" t="str">
        <f>'P-Barbero'!A8</f>
        <v>P-BAR-0003</v>
      </c>
      <c r="P27" s="258" t="str">
        <f>'P-Barbero'!B8</f>
        <v>Asegurar que el barbero no tenga citas futuras pendientes antes de dejar de trabajar en la barbería</v>
      </c>
      <c r="Q27" s="258" t="s">
        <v>566</v>
      </c>
      <c r="R27" s="259" t="s">
        <v>112</v>
      </c>
    </row>
    <row r="28" spans="1:18" ht="65.25" customHeight="1" x14ac:dyDescent="0.25">
      <c r="A28" s="387"/>
      <c r="B28" s="389"/>
      <c r="C28" s="387"/>
      <c r="D28" s="388"/>
      <c r="E28" s="388"/>
      <c r="F28" s="389"/>
      <c r="G28" s="390"/>
      <c r="H28" s="390"/>
      <c r="I28" s="390"/>
      <c r="J28" s="387"/>
      <c r="K28" s="388"/>
      <c r="L28" s="388"/>
      <c r="M28" s="388"/>
      <c r="N28" s="389"/>
      <c r="O28" s="257" t="str">
        <f>'P-Barbero'!A11</f>
        <v>P-BAR-0007</v>
      </c>
      <c r="P28" s="258" t="str">
        <f>'P-Barbero'!B11</f>
        <v>Asegurar que exista el barbero con el id enviado</v>
      </c>
      <c r="Q28" s="258" t="s">
        <v>567</v>
      </c>
      <c r="R28" s="259" t="s">
        <v>112</v>
      </c>
    </row>
    <row r="29" spans="1:18" ht="51" customHeight="1" x14ac:dyDescent="0.25">
      <c r="A29" s="407" t="s">
        <v>568</v>
      </c>
      <c r="B29" s="319"/>
      <c r="C29" s="383" t="s">
        <v>569</v>
      </c>
      <c r="D29" s="318"/>
      <c r="E29" s="318"/>
      <c r="F29" s="319"/>
      <c r="G29" s="219" t="s">
        <v>116</v>
      </c>
      <c r="H29" s="219" t="s">
        <v>117</v>
      </c>
      <c r="I29" s="220" t="s">
        <v>565</v>
      </c>
      <c r="J29" s="383" t="s">
        <v>133</v>
      </c>
      <c r="K29" s="318"/>
      <c r="L29" s="318"/>
      <c r="M29" s="318"/>
      <c r="N29" s="319"/>
      <c r="O29" s="219" t="str">
        <f>'P-Barbero'!A11</f>
        <v>P-BAR-0007</v>
      </c>
      <c r="P29" s="220" t="str">
        <f>'P-Barbero'!B11</f>
        <v>Asegurar que exista el barbero con el id enviado</v>
      </c>
      <c r="Q29" s="220" t="s">
        <v>570</v>
      </c>
      <c r="R29" s="221" t="s">
        <v>112</v>
      </c>
    </row>
    <row r="30" spans="1:18" ht="51" customHeight="1" x14ac:dyDescent="0.25">
      <c r="A30" s="403" t="s">
        <v>571</v>
      </c>
      <c r="B30" s="404"/>
      <c r="C30" s="381" t="s">
        <v>572</v>
      </c>
      <c r="D30" s="408"/>
      <c r="E30" s="408"/>
      <c r="F30" s="404"/>
      <c r="G30" s="252" t="s">
        <v>116</v>
      </c>
      <c r="H30" s="256" t="s">
        <v>117</v>
      </c>
      <c r="I30" s="252" t="s">
        <v>573</v>
      </c>
      <c r="J30" s="400" t="s">
        <v>32</v>
      </c>
      <c r="K30" s="381" t="s">
        <v>574</v>
      </c>
      <c r="L30" s="408"/>
      <c r="M30" s="408"/>
      <c r="N30" s="404"/>
      <c r="O30" s="253" t="str">
        <f>'P-Barbero'!A11</f>
        <v>P-BAR-0007</v>
      </c>
      <c r="P30" s="237" t="str">
        <f>'P-Barbero'!B11</f>
        <v>Asegurar que exista el barbero con el id enviado</v>
      </c>
      <c r="Q30" s="237" t="s">
        <v>575</v>
      </c>
      <c r="R30" s="255" t="s">
        <v>112</v>
      </c>
    </row>
    <row r="31" spans="1:18" ht="51" customHeight="1" x14ac:dyDescent="0.25">
      <c r="A31" s="405"/>
      <c r="B31" s="406"/>
      <c r="C31" s="409"/>
      <c r="D31" s="405"/>
      <c r="E31" s="405"/>
      <c r="F31" s="406"/>
      <c r="G31" s="252" t="s">
        <v>576</v>
      </c>
      <c r="H31" s="256" t="s">
        <v>32</v>
      </c>
      <c r="I31" s="252" t="s">
        <v>577</v>
      </c>
      <c r="J31" s="401"/>
      <c r="K31" s="409"/>
      <c r="L31" s="405"/>
      <c r="M31" s="405"/>
      <c r="N31" s="406"/>
      <c r="O31" s="253" t="str">
        <f>'P-Barbero'!A12</f>
        <v>P-BAR-0008</v>
      </c>
      <c r="P31" s="237" t="str">
        <f>'P-Barbero'!B12</f>
        <v>Asegurar que el barbero no tenga citas futuras en estado Agendada antes de cambiar de sede o de barbería</v>
      </c>
      <c r="Q31" s="237" t="s">
        <v>578</v>
      </c>
      <c r="R31" s="255" t="s">
        <v>112</v>
      </c>
    </row>
    <row r="32" spans="1:18" ht="89.25" customHeight="1" x14ac:dyDescent="0.25">
      <c r="A32" s="395" t="s">
        <v>579</v>
      </c>
      <c r="B32" s="309"/>
      <c r="C32" s="336" t="s">
        <v>580</v>
      </c>
      <c r="D32" s="308"/>
      <c r="E32" s="308"/>
      <c r="F32" s="309"/>
      <c r="G32" s="336" t="s">
        <v>116</v>
      </c>
      <c r="H32" s="375" t="s">
        <v>117</v>
      </c>
      <c r="I32" s="336" t="s">
        <v>581</v>
      </c>
      <c r="J32" s="402" t="s">
        <v>582</v>
      </c>
      <c r="K32" s="336" t="s">
        <v>583</v>
      </c>
      <c r="L32" s="308"/>
      <c r="M32" s="308"/>
      <c r="N32" s="309"/>
      <c r="O32" s="105" t="str">
        <f>'P-Barbero'!A11</f>
        <v>P-BAR-0007</v>
      </c>
      <c r="P32" s="25" t="str">
        <f>'P-Barbero'!B11</f>
        <v>Asegurar que exista el barbero con el id enviado</v>
      </c>
      <c r="Q32" s="25" t="s">
        <v>584</v>
      </c>
      <c r="R32" s="110" t="s">
        <v>112</v>
      </c>
    </row>
    <row r="33" spans="1:18" ht="89.25" customHeight="1" x14ac:dyDescent="0.25">
      <c r="A33" s="311"/>
      <c r="B33" s="312"/>
      <c r="C33" s="310"/>
      <c r="D33" s="311"/>
      <c r="E33" s="311"/>
      <c r="F33" s="312"/>
      <c r="G33" s="281"/>
      <c r="H33" s="281"/>
      <c r="I33" s="281"/>
      <c r="J33" s="281"/>
      <c r="K33" s="310"/>
      <c r="L33" s="311"/>
      <c r="M33" s="311"/>
      <c r="N33" s="312"/>
      <c r="O33" s="105" t="str">
        <f>'P-Servicio'!A13</f>
        <v>P-SER-0008</v>
      </c>
      <c r="P33" s="25" t="str">
        <f>'P-Servicio'!B13</f>
        <v>Asegurar que el barbero solo pueda consultar los servicios disponibles de la sede en la que trabaja actualmente (su sedeDeTrabajo)</v>
      </c>
      <c r="Q33" s="25" t="s">
        <v>585</v>
      </c>
      <c r="R33" s="110" t="s">
        <v>112</v>
      </c>
    </row>
  </sheetData>
  <mergeCells count="54">
    <mergeCell ref="I32:I33"/>
    <mergeCell ref="C30:F31"/>
    <mergeCell ref="Q24:Q25"/>
    <mergeCell ref="K30:N31"/>
    <mergeCell ref="K32:N33"/>
    <mergeCell ref="J29:N29"/>
    <mergeCell ref="A32:B33"/>
    <mergeCell ref="R24:R25"/>
    <mergeCell ref="C23:F25"/>
    <mergeCell ref="K19:N19"/>
    <mergeCell ref="K23:N25"/>
    <mergeCell ref="J30:J31"/>
    <mergeCell ref="G24:G25"/>
    <mergeCell ref="I24:I25"/>
    <mergeCell ref="J23:J25"/>
    <mergeCell ref="J32:J33"/>
    <mergeCell ref="A30:B31"/>
    <mergeCell ref="A29:B29"/>
    <mergeCell ref="G20:G22"/>
    <mergeCell ref="O24:O25"/>
    <mergeCell ref="A18:B19"/>
    <mergeCell ref="G18:I18"/>
    <mergeCell ref="B15:B16"/>
    <mergeCell ref="A26:B26"/>
    <mergeCell ref="H27:H28"/>
    <mergeCell ref="Z2:AA2"/>
    <mergeCell ref="K26:N26"/>
    <mergeCell ref="I27:I28"/>
    <mergeCell ref="A20:B22"/>
    <mergeCell ref="A23:B25"/>
    <mergeCell ref="A15:A16"/>
    <mergeCell ref="J20:J22"/>
    <mergeCell ref="J18:N18"/>
    <mergeCell ref="A27:B28"/>
    <mergeCell ref="C18:F19"/>
    <mergeCell ref="Q18:R18"/>
    <mergeCell ref="O18:P18"/>
    <mergeCell ref="I20:I22"/>
    <mergeCell ref="AB2:AC2"/>
    <mergeCell ref="C26:F26"/>
    <mergeCell ref="H20:H22"/>
    <mergeCell ref="AD2:AE2"/>
    <mergeCell ref="H32:H33"/>
    <mergeCell ref="C29:F29"/>
    <mergeCell ref="C20:F22"/>
    <mergeCell ref="C27:F28"/>
    <mergeCell ref="K20:N22"/>
    <mergeCell ref="J27:N28"/>
    <mergeCell ref="P24:P25"/>
    <mergeCell ref="C32:F33"/>
    <mergeCell ref="H24:H25"/>
    <mergeCell ref="G32:G33"/>
    <mergeCell ref="W2:X2"/>
    <mergeCell ref="G27:G28"/>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V2" location="'C-Barbero'!A20" display="#'C-Barbero'.A21" xr:uid="{00000000-0004-0000-2A00-000002000000}"/>
    <hyperlink ref="W2" location="'C-Barbero'!A23" display="#'C-Barbero'.A24" xr:uid="{00000000-0004-0000-2A00-000003000000}"/>
    <hyperlink ref="Y2" location="'C-Barbero'!A26" display="#'C-Barbero'.A29" xr:uid="{00000000-0004-0000-2A00-000004000000}"/>
    <hyperlink ref="Z2" location="'C-Barbero'!A27" display="#'C-Barbero'.A30" xr:uid="{00000000-0004-0000-2A00-000005000000}"/>
    <hyperlink ref="AB2" location="'C-Barbero'!A29" display="#'C-Barbero'.A33" xr:uid="{00000000-0004-0000-2A00-000006000000}"/>
    <hyperlink ref="AD2" location="'C-Barbero'!A30" display="'C-Barbero'!A35" xr:uid="{00000000-0004-0000-2A00-000007000000}"/>
    <hyperlink ref="AF2" location="'C-Barbero'!A32" display="'C-Barbero'!A32" xr:uid="{00000000-0004-0000-2A00-000008000000}"/>
    <hyperlink ref="A3" location="'M-Barbero'!A3" display="#'M-Barbero'.A3" xr:uid="{00000000-0004-0000-2A00-000009000000}"/>
    <hyperlink ref="B3" location="'M-Barbero'!A2" display="#'M-Barbero'.A2" xr:uid="{00000000-0004-0000-2A00-00000A000000}"/>
    <hyperlink ref="A4" location="'M-Barbero'!A3" display="#'M-Barbero'.A3" xr:uid="{00000000-0004-0000-2A00-00000B000000}"/>
    <hyperlink ref="B4" location="'M-Barbero'!A2" display="#'M-Barbero'.A2" xr:uid="{00000000-0004-0000-2A00-00000C000000}"/>
    <hyperlink ref="A5" location="'M-Barbero'!A3" display="#'M-Barbero'.A3" xr:uid="{00000000-0004-0000-2A00-00000D000000}"/>
    <hyperlink ref="B5" location="'M-Barbero'!A2" display="#'M-Barbero'.A2" xr:uid="{00000000-0004-0000-2A00-00000E000000}"/>
    <hyperlink ref="A6" location="'M-Barbero'!A3" display="#'M-Barbero'.A3" xr:uid="{00000000-0004-0000-2A00-00000F000000}"/>
    <hyperlink ref="B6" location="'M-Barbero'!A2" display="#'M-Barbero'.A2" xr:uid="{00000000-0004-0000-2A00-000010000000}"/>
    <hyperlink ref="A7" location="'M-Barbero'!A3" display="#'M-Barbero'.A3" xr:uid="{00000000-0004-0000-2A00-000011000000}"/>
    <hyperlink ref="B7" location="'M-Barbero'!A2" display="#'M-Barbero'.A2" xr:uid="{00000000-0004-0000-2A00-000012000000}"/>
    <hyperlink ref="A8" location="'M-Barbero'!A3" display="#'M-Barbero'.A3" xr:uid="{00000000-0004-0000-2A00-000013000000}"/>
    <hyperlink ref="B8" location="'M-Barbero'!A2" display="#'M-Barbero'.A2" xr:uid="{00000000-0004-0000-2A00-000014000000}"/>
    <hyperlink ref="D8" location="'C-PrefijoCelular'!A1" display="PrefijoCelular" xr:uid="{00000000-0004-0000-2A00-000015000000}"/>
    <hyperlink ref="A9" location="'M-Barbero'!A3" display="#'M-Barbero'.A3" xr:uid="{00000000-0004-0000-2A00-000016000000}"/>
    <hyperlink ref="B9" location="'M-Barbero'!A2" display="#'M-Barbero'.A2" xr:uid="{00000000-0004-0000-2A00-000017000000}"/>
    <hyperlink ref="A10" location="'M-Barbero'!A3" display="'M-Barbero'!A3" xr:uid="{00000000-0004-0000-2A00-000018000000}"/>
    <hyperlink ref="B10" location="'M-Barbero'!A2" display="'M-Barbero'!A2" xr:uid="{00000000-0004-0000-2A00-000019000000}"/>
    <hyperlink ref="A11" location="'M-Barbero'!A3" display="#'M-Barbero'.A3" xr:uid="{00000000-0004-0000-2A00-00001A000000}"/>
    <hyperlink ref="B11" location="'M-Barbero'!A2" display="#'M-Barbero'.A2" xr:uid="{00000000-0004-0000-2A00-00001B000000}"/>
    <hyperlink ref="A12" location="'M-Barbero'!A3" display="'M-Barbero'!A3" xr:uid="{00000000-0004-0000-2A00-00001C000000}"/>
    <hyperlink ref="B12" location="'M-Barbero'!A2" display="'M-Barbero'!A2" xr:uid="{00000000-0004-0000-2A00-00001D000000}"/>
    <hyperlink ref="D12" location="'C-Sede'!A1" display="Sede" xr:uid="{00000000-0004-0000-2A00-00001E000000}"/>
    <hyperlink ref="A15" location="'M-Barbero'!A3" display="#'M-Barbero'.A3" xr:uid="{00000000-0004-0000-2A00-00001F000000}"/>
    <hyperlink ref="B15" location="'M-Barbero'!A2" display="#'M-Barbero'.A2" xr:uid="{00000000-0004-0000-2A00-000020000000}"/>
    <hyperlink ref="A20" location="'C-Barbero'!V2" display="registrarBarbero" xr:uid="{00000000-0004-0000-2A00-000021000000}"/>
    <hyperlink ref="A23" location="'C-Barbero'!W2" display="editarContactoBarbero" xr:uid="{00000000-0004-0000-2A00-000022000000}"/>
    <hyperlink ref="A26" location="'C-Barbero'!Y2" display="consultarDatosBarbero" xr:uid="{00000000-0004-0000-2A00-000023000000}"/>
    <hyperlink ref="A27" location="'C-Barbero'!Z2" display="desactivarBarbero" xr:uid="{00000000-0004-0000-2A00-000024000000}"/>
    <hyperlink ref="A29" location="'C-Barbero'!AB2" display="reactivarBarbero" xr:uid="{00000000-0004-0000-2A00-000025000000}"/>
    <hyperlink ref="A30" location="'C-Barbero'!AD2" display="cambiarSedeDeTrabajoBarbero" xr:uid="{00000000-0004-0000-2A00-000026000000}"/>
    <hyperlink ref="A32" location="'C-Barbero'!AF2" display="consultarServiciosSedeBarbero" xr:uid="{00000000-0004-0000-2A00-000027000000}"/>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3"/>
  <sheetViews>
    <sheetView showGridLines="0" zoomScaleNormal="100" workbookViewId="0">
      <selection activeCell="A12" sqref="A12"/>
    </sheetView>
  </sheetViews>
  <sheetFormatPr baseColWidth="10" defaultColWidth="8.7109375" defaultRowHeight="15" x14ac:dyDescent="0.25"/>
  <cols>
    <col min="1" max="1" width="20.7109375" customWidth="1"/>
    <col min="2" max="2" width="28.5703125" customWidth="1"/>
    <col min="3" max="3" width="35.5703125" customWidth="1"/>
    <col min="4" max="4" width="37.140625"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Dominio'!A13</f>
        <v>Barbero</v>
      </c>
      <c r="C2" s="290"/>
      <c r="D2" s="290"/>
      <c r="E2" s="291"/>
    </row>
    <row r="3" spans="1:5" ht="30" customHeight="1" x14ac:dyDescent="0.25">
      <c r="A3" s="30" t="s">
        <v>140</v>
      </c>
      <c r="B3" s="336" t="str">
        <f>'Objetos de Dominio'!B13</f>
        <v>Representa a un trabajador de la barbería que atiende clientes según los servicios que sabe realizar, organiza su propio horario y tiene su agenda personal para atender todas las citas que valla teniendo.</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47.25" customHeight="1" x14ac:dyDescent="0.25">
      <c r="A6" s="8" t="s">
        <v>586</v>
      </c>
      <c r="B6" s="332" t="s">
        <v>587</v>
      </c>
      <c r="C6" s="279"/>
      <c r="D6" s="31" t="s">
        <v>32</v>
      </c>
      <c r="E6" s="31"/>
    </row>
    <row r="7" spans="1:5" ht="30" customHeight="1" x14ac:dyDescent="0.25">
      <c r="A7" s="8" t="s">
        <v>588</v>
      </c>
      <c r="B7" s="332" t="s">
        <v>589</v>
      </c>
      <c r="C7" s="279"/>
      <c r="D7" s="31" t="s">
        <v>32</v>
      </c>
      <c r="E7" s="31"/>
    </row>
    <row r="8" spans="1:5" ht="30" customHeight="1" x14ac:dyDescent="0.25">
      <c r="A8" s="8" t="s">
        <v>590</v>
      </c>
      <c r="B8" s="332" t="s">
        <v>591</v>
      </c>
      <c r="C8" s="279"/>
      <c r="D8" s="31" t="s">
        <v>46</v>
      </c>
      <c r="E8" s="31"/>
    </row>
    <row r="9" spans="1:5" ht="42.75" customHeight="1" x14ac:dyDescent="0.25">
      <c r="A9" s="8" t="s">
        <v>592</v>
      </c>
      <c r="B9" s="332" t="s">
        <v>593</v>
      </c>
      <c r="C9" s="279"/>
      <c r="D9" s="31" t="s">
        <v>32</v>
      </c>
      <c r="E9" s="31"/>
    </row>
    <row r="10" spans="1:5" ht="33" customHeight="1" x14ac:dyDescent="0.25">
      <c r="A10" s="8" t="s">
        <v>594</v>
      </c>
      <c r="B10" s="332" t="s">
        <v>595</v>
      </c>
      <c r="C10" s="279"/>
      <c r="D10" s="31" t="s">
        <v>32</v>
      </c>
      <c r="E10" s="31"/>
    </row>
    <row r="11" spans="1:5" ht="15" customHeight="1" x14ac:dyDescent="0.25">
      <c r="A11" s="8" t="s">
        <v>596</v>
      </c>
      <c r="B11" s="348" t="s">
        <v>597</v>
      </c>
      <c r="C11" s="279"/>
      <c r="D11" s="31" t="s">
        <v>32</v>
      </c>
      <c r="E11" s="31"/>
    </row>
    <row r="12" spans="1:5" ht="28.5" customHeight="1" x14ac:dyDescent="0.25">
      <c r="A12" s="8" t="s">
        <v>598</v>
      </c>
      <c r="B12" s="348" t="s">
        <v>599</v>
      </c>
      <c r="C12" s="279"/>
      <c r="D12" s="31" t="s">
        <v>46</v>
      </c>
      <c r="E12" s="31"/>
    </row>
    <row r="13" spans="1:5" ht="28.5" customHeight="1" x14ac:dyDescent="0.25"/>
  </sheetData>
  <mergeCells count="13">
    <mergeCell ref="B11:C11"/>
    <mergeCell ref="A4:A5"/>
    <mergeCell ref="B12:C12"/>
    <mergeCell ref="D4:D5"/>
    <mergeCell ref="E4:E5"/>
    <mergeCell ref="B10:C10"/>
    <mergeCell ref="B3:E3"/>
    <mergeCell ref="B2:E2"/>
    <mergeCell ref="B9:C9"/>
    <mergeCell ref="B8:C8"/>
    <mergeCell ref="B4:C5"/>
    <mergeCell ref="B6:C6"/>
    <mergeCell ref="B7:C7"/>
  </mergeCells>
  <hyperlinks>
    <hyperlink ref="A1" location="'Modelo de Dominio'!A1" display="&lt;&lt; Ir al modelo de dominio" xr:uid="{00000000-0004-0000-2B00-000000000000}"/>
    <hyperlink ref="B1" location="'Objetos de Dominio'!A1" display="&lt;&lt; Ir al listado de objetos de dominio" xr:uid="{00000000-0004-0000-2B00-000001000000}"/>
    <hyperlink ref="C1" location="'C-Barbero'!A1" display="&lt;&lt; Ir a la caracterización del objeto de dominio" xr:uid="{00000000-0004-0000-2B00-000002000000}"/>
    <hyperlink ref="D1" location="'M-Barbero'!A1" display="Ir al muestreo de datos del objeto de dominio &gt;&gt;" xr:uid="{00000000-0004-0000-2B00-000003000000}"/>
    <hyperlink ref="E1" location="'E-Barbero'!A1" display="Ir al event storming del objeto de dominio &gt;&gt;" xr:uid="{00000000-0004-0000-2B00-000004000000}"/>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7"/>
  <sheetViews>
    <sheetView showGridLines="0" zoomScaleNormal="100" workbookViewId="0">
      <selection activeCell="C1" sqref="C1:E1"/>
    </sheetView>
  </sheetViews>
  <sheetFormatPr baseColWidth="10" defaultColWidth="8.7109375" defaultRowHeight="15" x14ac:dyDescent="0.25"/>
  <cols>
    <col min="1" max="1" width="22.42578125"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Dominio'!A13</f>
        <v>Barbero</v>
      </c>
      <c r="C2" s="290"/>
      <c r="D2" s="290"/>
      <c r="E2" s="290"/>
      <c r="F2" s="290"/>
      <c r="G2" s="290"/>
      <c r="H2" s="290"/>
      <c r="I2" s="290"/>
      <c r="J2" s="290"/>
      <c r="K2" s="291"/>
    </row>
    <row r="3" spans="1:11" ht="30" customHeight="1" x14ac:dyDescent="0.25">
      <c r="A3" s="30" t="s">
        <v>140</v>
      </c>
      <c r="B3" s="306" t="str">
        <f>'Objetos de Dominio'!B13</f>
        <v>Representa a un trabajador de la barbería que atiende clientes según los servicios que sabe realizar, organiza su propio horario y tiene su agenda personal para atender todas las citas que valla teniendo.</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273" t="s">
        <v>168</v>
      </c>
      <c r="B7" s="272" t="s">
        <v>601</v>
      </c>
      <c r="C7" s="272" t="s">
        <v>544</v>
      </c>
      <c r="D7" s="273" t="s">
        <v>32</v>
      </c>
      <c r="E7" s="272"/>
      <c r="F7" s="418"/>
      <c r="G7" s="226" t="str">
        <f>'P-Barbero'!A6</f>
        <v>P-BAR-0001</v>
      </c>
      <c r="H7" s="249" t="s">
        <v>602</v>
      </c>
      <c r="I7" s="416" t="s">
        <v>388</v>
      </c>
      <c r="J7" s="272" t="s">
        <v>603</v>
      </c>
      <c r="K7" s="272"/>
    </row>
    <row r="8" spans="1:11" ht="30" customHeight="1" x14ac:dyDescent="0.25">
      <c r="A8" s="281"/>
      <c r="B8" s="281"/>
      <c r="C8" s="281"/>
      <c r="D8" s="281"/>
      <c r="E8" s="281"/>
      <c r="F8" s="417"/>
      <c r="G8" s="226" t="str">
        <f>'P-Barbero'!A7</f>
        <v>P-BAR-0002</v>
      </c>
      <c r="H8" s="249" t="s">
        <v>602</v>
      </c>
      <c r="I8" s="417"/>
      <c r="J8" s="281"/>
      <c r="K8" s="281"/>
    </row>
    <row r="9" spans="1:11" ht="30" customHeight="1" x14ac:dyDescent="0.25">
      <c r="A9" s="41" t="s">
        <v>32</v>
      </c>
      <c r="B9" s="42" t="s">
        <v>390</v>
      </c>
      <c r="C9" s="42" t="s">
        <v>552</v>
      </c>
      <c r="D9" s="41" t="s">
        <v>32</v>
      </c>
      <c r="E9" s="42"/>
      <c r="F9" s="245"/>
      <c r="G9" s="260" t="str">
        <f>'P-Barbero'!A9</f>
        <v>P-BAR-0004</v>
      </c>
      <c r="H9" s="261" t="s">
        <v>602</v>
      </c>
      <c r="I9" s="246"/>
      <c r="J9" s="42" t="s">
        <v>604</v>
      </c>
      <c r="K9" s="42"/>
    </row>
    <row r="10" spans="1:11" ht="30" customHeight="1" x14ac:dyDescent="0.25">
      <c r="A10" s="41" t="s">
        <v>26</v>
      </c>
      <c r="B10" s="42" t="s">
        <v>605</v>
      </c>
      <c r="C10" s="42" t="s">
        <v>606</v>
      </c>
      <c r="D10" s="273" t="s">
        <v>32</v>
      </c>
      <c r="E10" s="42"/>
      <c r="F10" s="245"/>
      <c r="G10" s="246"/>
      <c r="H10" s="247"/>
      <c r="I10" s="246"/>
      <c r="J10" s="42" t="s">
        <v>607</v>
      </c>
      <c r="K10" s="42"/>
    </row>
    <row r="11" spans="1:11" ht="30" customHeight="1" x14ac:dyDescent="0.25">
      <c r="A11" s="41" t="s">
        <v>32</v>
      </c>
      <c r="B11" s="42" t="s">
        <v>605</v>
      </c>
      <c r="C11" s="42" t="s">
        <v>608</v>
      </c>
      <c r="D11" s="281"/>
      <c r="E11" s="42"/>
      <c r="F11" s="245"/>
      <c r="G11" s="246"/>
      <c r="H11" s="247"/>
      <c r="I11" s="246"/>
      <c r="J11" s="42" t="s">
        <v>607</v>
      </c>
      <c r="K11" s="42"/>
    </row>
    <row r="12" spans="1:11" ht="39.75" customHeight="1" x14ac:dyDescent="0.25">
      <c r="A12" s="273" t="s">
        <v>32</v>
      </c>
      <c r="B12" s="272" t="s">
        <v>609</v>
      </c>
      <c r="C12" s="272" t="s">
        <v>610</v>
      </c>
      <c r="D12" s="273" t="s">
        <v>32</v>
      </c>
      <c r="E12" s="42" t="s">
        <v>46</v>
      </c>
      <c r="F12" s="245" t="s">
        <v>611</v>
      </c>
      <c r="G12" s="226" t="str">
        <f>'P-Barbero'!A8</f>
        <v>P-BAR-0003</v>
      </c>
      <c r="H12" s="249" t="s">
        <v>602</v>
      </c>
      <c r="I12" s="416"/>
      <c r="J12" s="272" t="s">
        <v>612</v>
      </c>
      <c r="K12" s="272"/>
    </row>
    <row r="13" spans="1:11" ht="39.75" customHeight="1" x14ac:dyDescent="0.25">
      <c r="A13" s="281"/>
      <c r="B13" s="281"/>
      <c r="C13" s="281"/>
      <c r="D13" s="281"/>
      <c r="E13" s="42" t="s">
        <v>44</v>
      </c>
      <c r="F13" s="245" t="s">
        <v>522</v>
      </c>
      <c r="G13" s="226"/>
      <c r="H13" s="249"/>
      <c r="I13" s="417"/>
      <c r="J13" s="281"/>
      <c r="K13" s="281"/>
    </row>
    <row r="14" spans="1:11" ht="27" customHeight="1" x14ac:dyDescent="0.25">
      <c r="A14" s="41" t="s">
        <v>32</v>
      </c>
      <c r="B14" s="42" t="s">
        <v>613</v>
      </c>
      <c r="C14" s="42" t="s">
        <v>614</v>
      </c>
      <c r="D14" s="41" t="s">
        <v>32</v>
      </c>
      <c r="E14" s="42"/>
      <c r="F14" s="245"/>
      <c r="G14" s="226"/>
      <c r="H14" s="249"/>
      <c r="I14" s="246"/>
      <c r="J14" s="42" t="s">
        <v>615</v>
      </c>
      <c r="K14" s="42"/>
    </row>
    <row r="15" spans="1:11" ht="30" customHeight="1" x14ac:dyDescent="0.25">
      <c r="A15" s="273" t="s">
        <v>32</v>
      </c>
      <c r="B15" s="272" t="s">
        <v>616</v>
      </c>
      <c r="C15" s="272" t="s">
        <v>617</v>
      </c>
      <c r="D15" s="273" t="s">
        <v>32</v>
      </c>
      <c r="E15" s="42" t="s">
        <v>30</v>
      </c>
      <c r="F15" s="245" t="s">
        <v>618</v>
      </c>
      <c r="G15" s="410" t="str">
        <f>'P-Barbero'!A12</f>
        <v>P-BAR-0008</v>
      </c>
      <c r="H15" s="413" t="s">
        <v>602</v>
      </c>
      <c r="I15" s="416"/>
      <c r="J15" s="272" t="s">
        <v>619</v>
      </c>
      <c r="K15" s="272"/>
    </row>
    <row r="16" spans="1:11" ht="40.5" x14ac:dyDescent="0.25">
      <c r="A16" s="284"/>
      <c r="B16" s="284"/>
      <c r="C16" s="284"/>
      <c r="D16" s="284"/>
      <c r="E16" s="42" t="s">
        <v>44</v>
      </c>
      <c r="F16" s="245" t="s">
        <v>522</v>
      </c>
      <c r="G16" s="411"/>
      <c r="H16" s="414"/>
      <c r="I16" s="419"/>
      <c r="J16" s="284"/>
      <c r="K16" s="284"/>
    </row>
    <row r="17" spans="1:11" ht="30" customHeight="1" x14ac:dyDescent="0.25">
      <c r="A17" s="281"/>
      <c r="B17" s="281"/>
      <c r="C17" s="281"/>
      <c r="D17" s="281"/>
      <c r="E17" s="42" t="s">
        <v>46</v>
      </c>
      <c r="F17" s="245" t="s">
        <v>1344</v>
      </c>
      <c r="G17" s="412"/>
      <c r="H17" s="415"/>
      <c r="I17" s="417"/>
      <c r="J17" s="281"/>
      <c r="K17" s="281"/>
    </row>
  </sheetData>
  <mergeCells count="44">
    <mergeCell ref="J1:K1"/>
    <mergeCell ref="E5:F5"/>
    <mergeCell ref="K12:K13"/>
    <mergeCell ref="J7:J8"/>
    <mergeCell ref="K15:K17"/>
    <mergeCell ref="G5:H5"/>
    <mergeCell ref="J12:J13"/>
    <mergeCell ref="E7:E8"/>
    <mergeCell ref="K7:K8"/>
    <mergeCell ref="B2:K2"/>
    <mergeCell ref="B5:B6"/>
    <mergeCell ref="A1:B1"/>
    <mergeCell ref="F1:I1"/>
    <mergeCell ref="C1:E1"/>
    <mergeCell ref="D10:D11"/>
    <mergeCell ref="J5:J6"/>
    <mergeCell ref="B3:K3"/>
    <mergeCell ref="I5:I6"/>
    <mergeCell ref="A5:A6"/>
    <mergeCell ref="D15:D17"/>
    <mergeCell ref="B12:B13"/>
    <mergeCell ref="C15:C17"/>
    <mergeCell ref="C7:C8"/>
    <mergeCell ref="E4:F4"/>
    <mergeCell ref="A12:A13"/>
    <mergeCell ref="C12:C13"/>
    <mergeCell ref="I12:I13"/>
    <mergeCell ref="D7:D8"/>
    <mergeCell ref="G4:H4"/>
    <mergeCell ref="B4:C4"/>
    <mergeCell ref="A7:A8"/>
    <mergeCell ref="I7:I8"/>
    <mergeCell ref="J15:J17"/>
    <mergeCell ref="B7:B8"/>
    <mergeCell ref="F7:F8"/>
    <mergeCell ref="B15:B17"/>
    <mergeCell ref="A15:A17"/>
    <mergeCell ref="I15:I17"/>
    <mergeCell ref="D12:D13"/>
    <mergeCell ref="K5:K6"/>
    <mergeCell ref="C5:C6"/>
    <mergeCell ref="G15:G17"/>
    <mergeCell ref="H15:H17"/>
    <mergeCell ref="D5:D6"/>
  </mergeCells>
  <hyperlinks>
    <hyperlink ref="A1" location="'Modelo de Dominio'!A1" display="&lt;&lt; Ir al modelo de dominio" xr:uid="{00000000-0004-0000-2C00-000000000000}"/>
    <hyperlink ref="C1" location="'Objetos de Dominio'!A1" display="&lt;&lt; Ir al listado de objetos de dominio" xr:uid="{00000000-0004-0000-2C00-000001000000}"/>
    <hyperlink ref="F1" location="'C-Barbero'!A1" display="&lt;&lt; Ir a la caracterización del objeto de dominio" xr:uid="{00000000-0004-0000-2C00-000002000000}"/>
    <hyperlink ref="J1" location="'M-Barbero'!A1" display="Ir al muestreo de datos del objeto de dominio &gt;&gt;" xr:uid="{00000000-0004-0000-2C00-000003000000}"/>
    <hyperlink ref="G7" location="'P-Barbero'!A6" display="#'P-Barbero'.A6" xr:uid="{00000000-0004-0000-2C00-000004000000}"/>
    <hyperlink ref="H7" location="'P-Barbero'!B6" display="aquí" xr:uid="{00000000-0004-0000-2C00-000005000000}"/>
    <hyperlink ref="G8" location="'P-Barbero'!A7" display="#'P-Barbero'.A7" xr:uid="{00000000-0004-0000-2C00-000006000000}"/>
    <hyperlink ref="H8" location="'P-Barbero'!B7" display="aquí" xr:uid="{00000000-0004-0000-2C00-000007000000}"/>
    <hyperlink ref="G9" location="'P-Barbero'!A9" display="#'P-Barbero'.A9" xr:uid="{00000000-0004-0000-2C00-000008000000}"/>
    <hyperlink ref="H9" location="'P-Barbero'!B9" display="aquí" xr:uid="{00000000-0004-0000-2C00-000009000000}"/>
    <hyperlink ref="E12" location="'C-Cita'!A1" display="Cita" xr:uid="{00000000-0004-0000-2C00-00000A000000}"/>
    <hyperlink ref="G12" location="'P-Barbero'!A8" display="#'P-Barbero'.A8" xr:uid="{00000000-0004-0000-2C00-00000B000000}"/>
    <hyperlink ref="H12" location="'P-Barbero'!B8" display="aquí" xr:uid="{00000000-0004-0000-2C00-00000C000000}"/>
    <hyperlink ref="E13" location="'C-Agenda'!A1" display="Agenda" xr:uid="{00000000-0004-0000-2C00-00000D000000}"/>
    <hyperlink ref="E15" location="'C-Sede'!A1" display="Sede" xr:uid="{00000000-0004-0000-2C00-00000E000000}"/>
    <hyperlink ref="E16" location="'C-Agenda'!A1" display="Agenda" xr:uid="{00000000-0004-0000-2C00-000011000000}"/>
    <hyperlink ref="E17" location="'C-Cita'!A1" display="Cita" xr:uid="{00000000-0004-0000-2C00-000012000000}"/>
    <hyperlink ref="G15" location="'P-Barbero'!A12" display="'P-Barbero'!A13" xr:uid="{00000000-0004-0000-2C00-000013000000}"/>
    <hyperlink ref="H15" location="'P-Barbero'!B12" display="aquí" xr:uid="{00000000-0004-0000-2C00-000014000000}"/>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20"/>
  <sheetViews>
    <sheetView zoomScaleNormal="100" workbookViewId="0"/>
  </sheetViews>
  <sheetFormatPr baseColWidth="10" defaultColWidth="8.7109375" defaultRowHeight="15" x14ac:dyDescent="0.25"/>
  <cols>
    <col min="1" max="1" width="27" customWidth="1"/>
    <col min="2" max="2" width="26.140625" customWidth="1"/>
    <col min="3" max="3" width="21.42578125" customWidth="1"/>
    <col min="4" max="4" width="19.42578125" customWidth="1"/>
    <col min="5" max="5" width="20.42578125" customWidth="1"/>
    <col min="6" max="6" width="20.5703125" customWidth="1"/>
    <col min="7" max="7" width="21" customWidth="1"/>
    <col min="8" max="8" width="27.7109375" customWidth="1"/>
    <col min="9" max="10" width="33" customWidth="1"/>
    <col min="11" max="11" width="42" customWidth="1"/>
    <col min="12" max="12" width="36.7109375" customWidth="1"/>
    <col min="13" max="13" width="42" customWidth="1"/>
  </cols>
  <sheetData>
    <row r="1" spans="1:11" ht="14.25" customHeight="1" x14ac:dyDescent="0.25">
      <c r="A1" s="4" t="s">
        <v>0</v>
      </c>
      <c r="B1" s="4" t="s">
        <v>55</v>
      </c>
      <c r="C1" s="77"/>
      <c r="D1" s="77"/>
      <c r="E1" s="77"/>
      <c r="F1" s="77"/>
      <c r="H1" s="49"/>
    </row>
    <row r="2" spans="1:11" ht="39" customHeight="1" x14ac:dyDescent="0.25">
      <c r="A2" s="44" t="s">
        <v>183</v>
      </c>
      <c r="B2" s="44" t="s">
        <v>620</v>
      </c>
      <c r="C2" s="44" t="s">
        <v>621</v>
      </c>
      <c r="D2" s="44" t="s">
        <v>622</v>
      </c>
      <c r="E2" s="44" t="s">
        <v>623</v>
      </c>
      <c r="F2" s="44" t="s">
        <v>624</v>
      </c>
      <c r="G2" s="44" t="s">
        <v>625</v>
      </c>
      <c r="H2" s="45" t="s">
        <v>415</v>
      </c>
      <c r="I2" s="44" t="s">
        <v>626</v>
      </c>
      <c r="J2" s="44" t="s">
        <v>627</v>
      </c>
      <c r="K2" s="45" t="s">
        <v>628</v>
      </c>
    </row>
    <row r="3" spans="1:11" ht="14.25" customHeight="1" x14ac:dyDescent="0.25">
      <c r="A3" s="46" t="s">
        <v>116</v>
      </c>
      <c r="B3" s="47" t="s">
        <v>418</v>
      </c>
      <c r="C3" s="47" t="s">
        <v>419</v>
      </c>
      <c r="D3" s="47" t="s">
        <v>420</v>
      </c>
      <c r="E3" s="47" t="s">
        <v>421</v>
      </c>
      <c r="F3" s="118" t="s">
        <v>288</v>
      </c>
      <c r="G3" s="47" t="s">
        <v>423</v>
      </c>
      <c r="H3" s="47" t="s">
        <v>424</v>
      </c>
      <c r="I3" s="99" t="s">
        <v>629</v>
      </c>
      <c r="J3" s="118" t="s">
        <v>630</v>
      </c>
      <c r="K3" s="48" t="s">
        <v>426</v>
      </c>
    </row>
    <row r="4" spans="1:11" ht="14.25" customHeight="1" x14ac:dyDescent="0.25">
      <c r="A4" s="49">
        <v>1</v>
      </c>
      <c r="B4" s="49" t="s">
        <v>427</v>
      </c>
      <c r="C4" s="49" t="s">
        <v>631</v>
      </c>
      <c r="D4" s="49" t="s">
        <v>632</v>
      </c>
      <c r="E4" s="49" t="s">
        <v>633</v>
      </c>
      <c r="F4" s="119" t="str">
        <f>'M-PrefijoCelular'!C4</f>
        <v>+57</v>
      </c>
      <c r="G4" s="49">
        <v>3245627890</v>
      </c>
      <c r="H4" s="49" t="s">
        <v>77</v>
      </c>
      <c r="I4" s="49" t="s">
        <v>442</v>
      </c>
      <c r="J4" s="119" t="str">
        <f>'M-Sede'!F4</f>
        <v>900123456-7-Sede Poblado</v>
      </c>
      <c r="K4" s="49" t="str">
        <f>_xlfn.CONCAT(F4,"-",G4)</f>
        <v>+57-3245627890</v>
      </c>
    </row>
    <row r="5" spans="1:11" ht="14.25" customHeight="1" x14ac:dyDescent="0.25">
      <c r="A5" s="49">
        <v>2</v>
      </c>
      <c r="B5" s="49" t="s">
        <v>427</v>
      </c>
      <c r="C5" s="49" t="s">
        <v>634</v>
      </c>
      <c r="D5" s="49" t="s">
        <v>635</v>
      </c>
      <c r="E5" s="49" t="s">
        <v>636</v>
      </c>
      <c r="F5" s="119" t="str">
        <f>'M-PrefijoCelular'!C4</f>
        <v>+57</v>
      </c>
      <c r="G5" s="49">
        <v>3124518923</v>
      </c>
      <c r="H5" s="49" t="s">
        <v>77</v>
      </c>
      <c r="I5" s="49" t="s">
        <v>442</v>
      </c>
      <c r="J5" s="119" t="str">
        <f>'M-Sede'!F4</f>
        <v>900123456-7-Sede Poblado</v>
      </c>
      <c r="K5" s="49" t="str">
        <f>_xlfn.CONCAT(F5,"-",G5)</f>
        <v>+57-3124518923</v>
      </c>
    </row>
    <row r="6" spans="1:11" ht="14.25" customHeight="1" x14ac:dyDescent="0.25">
      <c r="A6" s="49">
        <v>3</v>
      </c>
      <c r="B6" s="49" t="s">
        <v>637</v>
      </c>
      <c r="C6" s="49"/>
      <c r="D6" s="49" t="s">
        <v>638</v>
      </c>
      <c r="E6" s="49"/>
      <c r="F6" s="119" t="str">
        <f>'M-PrefijoCelular'!C4</f>
        <v>+57</v>
      </c>
      <c r="G6" s="49">
        <v>3214533321</v>
      </c>
      <c r="H6" s="49" t="s">
        <v>77</v>
      </c>
      <c r="I6" s="49" t="s">
        <v>442</v>
      </c>
      <c r="J6" s="119" t="str">
        <f>'M-Sede'!F4</f>
        <v>900123456-7-Sede Poblado</v>
      </c>
      <c r="K6" s="49" t="str">
        <f>_xlfn.CONCAT(F6,"-",G6)</f>
        <v>+57-3214533321</v>
      </c>
    </row>
    <row r="7" spans="1:11" ht="14.25" customHeight="1" x14ac:dyDescent="0.25">
      <c r="A7" s="49">
        <v>4</v>
      </c>
      <c r="B7" s="49" t="s">
        <v>639</v>
      </c>
      <c r="C7" s="49"/>
      <c r="D7" s="49" t="s">
        <v>432</v>
      </c>
      <c r="E7" s="49" t="s">
        <v>640</v>
      </c>
      <c r="F7" s="119" t="str">
        <f>'M-PrefijoCelular'!C5</f>
        <v>+91</v>
      </c>
      <c r="G7" s="49">
        <v>9876543210</v>
      </c>
      <c r="H7" s="49" t="s">
        <v>77</v>
      </c>
      <c r="I7" s="49" t="s">
        <v>429</v>
      </c>
      <c r="J7" s="119" t="str">
        <f>'M-Sede'!F4</f>
        <v>900123456-7-Sede Poblado</v>
      </c>
      <c r="K7" s="49" t="str">
        <f>_xlfn.CONCAT(F7,"-",G7)</f>
        <v>+91-9876543210</v>
      </c>
    </row>
    <row r="8" spans="1:11" ht="14.25" customHeight="1" x14ac:dyDescent="0.25">
      <c r="A8" s="49">
        <v>5</v>
      </c>
      <c r="B8" s="49" t="s">
        <v>427</v>
      </c>
      <c r="C8" s="49" t="s">
        <v>637</v>
      </c>
      <c r="D8" s="49" t="s">
        <v>641</v>
      </c>
      <c r="E8" s="49" t="s">
        <v>433</v>
      </c>
      <c r="F8" s="119" t="str">
        <f>'M-PrefijoCelular'!C6</f>
        <v>+593</v>
      </c>
      <c r="G8" s="49">
        <v>998765432</v>
      </c>
      <c r="H8" s="49" t="s">
        <v>77</v>
      </c>
      <c r="I8" s="49" t="s">
        <v>429</v>
      </c>
      <c r="J8" s="119" t="str">
        <f>'M-Sede'!F4</f>
        <v>900123456-7-Sede Poblado</v>
      </c>
      <c r="K8" s="49" t="str">
        <f>_xlfn.CONCAT(F8,"-",G8)</f>
        <v>+593-998765432</v>
      </c>
    </row>
    <row r="14" spans="1:11" ht="28.5" customHeight="1" x14ac:dyDescent="0.25">
      <c r="A14" s="52"/>
      <c r="B14" s="53" t="s">
        <v>194</v>
      </c>
    </row>
    <row r="15" spans="1:11" ht="28.5" customHeight="1" x14ac:dyDescent="0.25">
      <c r="A15" s="54"/>
      <c r="B15" s="53" t="s">
        <v>195</v>
      </c>
    </row>
    <row r="16" spans="1:11" ht="28.5" customHeight="1" x14ac:dyDescent="0.25">
      <c r="A16" s="120"/>
      <c r="B16" s="53" t="s">
        <v>443</v>
      </c>
    </row>
    <row r="17" spans="1:2" ht="45" customHeight="1" x14ac:dyDescent="0.25">
      <c r="A17" s="103"/>
      <c r="B17" s="53" t="s">
        <v>642</v>
      </c>
    </row>
    <row r="18" spans="1:2" ht="28.5" customHeight="1" x14ac:dyDescent="0.25">
      <c r="A18" s="55"/>
      <c r="B18" s="53" t="s">
        <v>196</v>
      </c>
    </row>
    <row r="19" spans="1:2" ht="28.5" customHeight="1" x14ac:dyDescent="0.25">
      <c r="A19" s="56"/>
      <c r="B19" s="53" t="s">
        <v>197</v>
      </c>
    </row>
    <row r="20" spans="1:2" x14ac:dyDescent="0.25">
      <c r="B20" s="53"/>
    </row>
  </sheetData>
  <hyperlinks>
    <hyperlink ref="A1" location="'Modelo de Dominio'!A1" display="&lt;&lt;&lt;&lt; Ir al modulo de dominio" xr:uid="{00000000-0004-0000-2D00-000000000000}"/>
    <hyperlink ref="B1" location="'Objetos de Dominio'!A1" display="&lt;&lt;&lt;&lt; Ir a objetos de dominio" xr:uid="{00000000-0004-0000-2D00-000001000000}"/>
    <hyperlink ref="F4" location="'M-PrefijoCelular'!A4" display="#'M-PrefijoCelular'.A4" xr:uid="{00000000-0004-0000-2D00-000002000000}"/>
    <hyperlink ref="J4" location="'M-Sede'!A4" display="'M-Sede'!A4" xr:uid="{00000000-0004-0000-2D00-000003000000}"/>
    <hyperlink ref="F5" location="'M-PrefijoCelular'!A4" display="#'M-PrefijoCelular'.A4" xr:uid="{00000000-0004-0000-2D00-000004000000}"/>
    <hyperlink ref="J5" location="'M-Sede'!A4" display="'M-Sede'!A4" xr:uid="{00000000-0004-0000-2D00-000005000000}"/>
    <hyperlink ref="F6" location="'M-PrefijoCelular'!A4" display="#'M-PrefijoCelular'.A4" xr:uid="{00000000-0004-0000-2D00-000006000000}"/>
    <hyperlink ref="J6" location="'M-Sede'!A4" display="'M-Sede'!A4" xr:uid="{00000000-0004-0000-2D00-000007000000}"/>
    <hyperlink ref="F7" location="'M-PrefijoCelular'!A5" display="#'M-PrefijoCelular'.A5" xr:uid="{00000000-0004-0000-2D00-000008000000}"/>
    <hyperlink ref="J7" location="'M-Sede'!A4" display="'M-Sede'!A4" xr:uid="{00000000-0004-0000-2D00-000009000000}"/>
    <hyperlink ref="F8" location="'M-PrefijoCelular'!A6" display="#'M-PrefijoCelular'.A6" xr:uid="{00000000-0004-0000-2D00-00000A000000}"/>
    <hyperlink ref="J8" location="'M-Sede'!A4" display="'M-Sede'!A4" xr:uid="{00000000-0004-0000-2D00-00000B000000}"/>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30"/>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35.7109375" customWidth="1"/>
    <col min="4" max="4" width="26.7109375" customWidth="1"/>
    <col min="5" max="5" width="11" bestFit="1" customWidth="1"/>
    <col min="6" max="6" width="25.42578125" customWidth="1"/>
    <col min="7" max="7" width="25.7109375" customWidth="1"/>
    <col min="8" max="8" width="18" customWidth="1"/>
    <col min="9" max="9" width="21.28515625" customWidth="1"/>
    <col min="10" max="10" width="21.85546875" customWidth="1"/>
    <col min="11" max="11" width="20.28515625" customWidth="1"/>
    <col min="12" max="12" width="17.710937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2" width="22" customWidth="1"/>
    <col min="23" max="24" width="24.28515625" customWidth="1"/>
  </cols>
  <sheetData>
    <row r="1" spans="1:24" ht="15" customHeight="1" x14ac:dyDescent="0.25">
      <c r="A1" s="4" t="s">
        <v>0</v>
      </c>
      <c r="B1" s="4" t="s">
        <v>55</v>
      </c>
    </row>
    <row r="2" spans="1:24" ht="15" customHeight="1" x14ac:dyDescent="0.25">
      <c r="A2" s="81" t="s">
        <v>56</v>
      </c>
      <c r="B2" s="81" t="s">
        <v>57</v>
      </c>
      <c r="C2" s="81" t="s">
        <v>58</v>
      </c>
      <c r="D2" s="81" t="s">
        <v>59</v>
      </c>
      <c r="E2" s="81" t="s">
        <v>60</v>
      </c>
      <c r="F2" s="81" t="s">
        <v>61</v>
      </c>
      <c r="G2" s="81" t="s">
        <v>62</v>
      </c>
      <c r="H2" s="81" t="s">
        <v>63</v>
      </c>
      <c r="I2" s="81" t="s">
        <v>64</v>
      </c>
      <c r="J2" s="81" t="s">
        <v>65</v>
      </c>
      <c r="K2" s="81" t="s">
        <v>66</v>
      </c>
      <c r="L2" s="81" t="s">
        <v>67</v>
      </c>
      <c r="M2" s="81" t="s">
        <v>68</v>
      </c>
      <c r="N2" s="81" t="s">
        <v>69</v>
      </c>
      <c r="O2" s="81" t="s">
        <v>70</v>
      </c>
      <c r="P2" s="81" t="s">
        <v>71</v>
      </c>
      <c r="Q2" s="81" t="s">
        <v>72</v>
      </c>
      <c r="R2" s="81" t="s">
        <v>73</v>
      </c>
      <c r="S2" s="81" t="s">
        <v>74</v>
      </c>
      <c r="T2" s="81" t="s">
        <v>75</v>
      </c>
      <c r="U2" s="81" t="s">
        <v>76</v>
      </c>
      <c r="V2" s="82" t="str">
        <f>A23</f>
        <v>definirHorarioBarberia</v>
      </c>
      <c r="W2" s="58" t="str">
        <f>A26</f>
        <v>consultarHorariosBarberia</v>
      </c>
      <c r="X2" s="59" t="str">
        <f>A27</f>
        <v>desactivarHorarioBarberia</v>
      </c>
    </row>
    <row r="3" spans="1:24" ht="45" customHeight="1" x14ac:dyDescent="0.25">
      <c r="A3" s="16" t="str">
        <f>'M-HorarioBarberia'!A3</f>
        <v>id</v>
      </c>
      <c r="B3" s="17" t="str">
        <f>'M-HorarioBarberia'!A2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7" t="s">
        <v>79</v>
      </c>
      <c r="N3" s="16" t="s">
        <v>80</v>
      </c>
      <c r="O3" s="16" t="s">
        <v>79</v>
      </c>
      <c r="P3" s="16" t="s">
        <v>79</v>
      </c>
      <c r="Q3" s="16" t="s">
        <v>79</v>
      </c>
      <c r="R3" s="16" t="s">
        <v>79</v>
      </c>
      <c r="S3" s="16" t="s">
        <v>80</v>
      </c>
      <c r="T3" s="16" t="s">
        <v>81</v>
      </c>
      <c r="U3" s="16" t="s">
        <v>77</v>
      </c>
      <c r="V3" s="85" t="s">
        <v>82</v>
      </c>
      <c r="W3" s="86" t="s">
        <v>83</v>
      </c>
      <c r="X3" s="87" t="s">
        <v>84</v>
      </c>
    </row>
    <row r="4" spans="1:24" ht="30" customHeight="1" x14ac:dyDescent="0.25">
      <c r="A4" s="16" t="str">
        <f>'M-HorarioBarberia'!B3</f>
        <v>sedeDeLaBarberia</v>
      </c>
      <c r="B4" s="17" t="str">
        <f>'M-HorarioBarberia'!B2</f>
        <v>Representa a cual barberia y sede pertenece el horario de apertura y cierre</v>
      </c>
      <c r="C4" s="16" t="s">
        <v>80</v>
      </c>
      <c r="D4" s="106" t="s">
        <v>30</v>
      </c>
      <c r="E4" s="16" t="s">
        <v>77</v>
      </c>
      <c r="F4" s="16" t="s">
        <v>79</v>
      </c>
      <c r="G4" s="16" t="s">
        <v>79</v>
      </c>
      <c r="H4" s="16" t="s">
        <v>79</v>
      </c>
      <c r="I4" s="16" t="s">
        <v>79</v>
      </c>
      <c r="J4" s="16" t="s">
        <v>79</v>
      </c>
      <c r="K4" s="16" t="s">
        <v>79</v>
      </c>
      <c r="L4" s="16" t="s">
        <v>79</v>
      </c>
      <c r="M4" s="17" t="s">
        <v>331</v>
      </c>
      <c r="N4" s="16" t="s">
        <v>80</v>
      </c>
      <c r="O4" s="16" t="s">
        <v>79</v>
      </c>
      <c r="P4" s="16" t="s">
        <v>79</v>
      </c>
      <c r="Q4" s="16" t="s">
        <v>79</v>
      </c>
      <c r="R4" s="16" t="s">
        <v>79</v>
      </c>
      <c r="S4" s="16" t="s">
        <v>80</v>
      </c>
      <c r="T4" s="16" t="s">
        <v>81</v>
      </c>
      <c r="U4" s="16" t="s">
        <v>80</v>
      </c>
      <c r="V4" s="85" t="s">
        <v>84</v>
      </c>
      <c r="W4" s="86" t="s">
        <v>89</v>
      </c>
      <c r="X4" s="87" t="s">
        <v>82</v>
      </c>
    </row>
    <row r="5" spans="1:24" ht="30" customHeight="1" x14ac:dyDescent="0.25">
      <c r="A5" s="16" t="str">
        <f>'M-HorarioBarberia'!C3</f>
        <v>diaDeLaSemana</v>
      </c>
      <c r="B5" s="17" t="str">
        <f>'M-HorarioBarberia'!C2</f>
        <v>Representa el día de la semana en el que la barberia abre</v>
      </c>
      <c r="C5" s="16" t="s">
        <v>80</v>
      </c>
      <c r="D5" s="106" t="s">
        <v>14</v>
      </c>
      <c r="E5" s="16" t="s">
        <v>77</v>
      </c>
      <c r="F5" s="16" t="s">
        <v>79</v>
      </c>
      <c r="G5" s="16" t="s">
        <v>79</v>
      </c>
      <c r="H5" s="16" t="s">
        <v>79</v>
      </c>
      <c r="I5" s="16" t="s">
        <v>79</v>
      </c>
      <c r="J5" s="16" t="s">
        <v>79</v>
      </c>
      <c r="K5" s="16" t="s">
        <v>79</v>
      </c>
      <c r="L5" s="16" t="s">
        <v>79</v>
      </c>
      <c r="M5" s="17" t="s">
        <v>331</v>
      </c>
      <c r="N5" s="16" t="s">
        <v>80</v>
      </c>
      <c r="O5" s="16" t="s">
        <v>79</v>
      </c>
      <c r="P5" s="16" t="s">
        <v>79</v>
      </c>
      <c r="Q5" s="16" t="s">
        <v>79</v>
      </c>
      <c r="R5" s="16" t="s">
        <v>79</v>
      </c>
      <c r="S5" s="16" t="s">
        <v>80</v>
      </c>
      <c r="T5" s="16" t="s">
        <v>81</v>
      </c>
      <c r="U5" s="16" t="s">
        <v>80</v>
      </c>
      <c r="V5" s="85" t="s">
        <v>84</v>
      </c>
      <c r="W5" s="86" t="s">
        <v>89</v>
      </c>
      <c r="X5" s="87" t="s">
        <v>82</v>
      </c>
    </row>
    <row r="6" spans="1:24" ht="27.75" customHeight="1" x14ac:dyDescent="0.25">
      <c r="A6" s="16" t="str">
        <f>'M-HorarioBarberia'!D3</f>
        <v>horaApertura</v>
      </c>
      <c r="B6" s="17" t="str">
        <f>'M-HorarioBarberia'!D2</f>
        <v>Representa la hora a la que abre la barbería</v>
      </c>
      <c r="C6" s="16" t="s">
        <v>80</v>
      </c>
      <c r="D6" s="16" t="s">
        <v>643</v>
      </c>
      <c r="E6" s="16" t="s">
        <v>77</v>
      </c>
      <c r="F6" s="16" t="s">
        <v>79</v>
      </c>
      <c r="G6" s="16" t="s">
        <v>79</v>
      </c>
      <c r="H6" s="16" t="s">
        <v>79</v>
      </c>
      <c r="I6" s="16" t="s">
        <v>79</v>
      </c>
      <c r="J6" s="16" t="s">
        <v>79</v>
      </c>
      <c r="K6" s="16" t="s">
        <v>79</v>
      </c>
      <c r="L6" s="16" t="s">
        <v>79</v>
      </c>
      <c r="M6" s="17" t="s">
        <v>79</v>
      </c>
      <c r="N6" s="16" t="s">
        <v>80</v>
      </c>
      <c r="O6" s="16" t="s">
        <v>80</v>
      </c>
      <c r="P6" s="16" t="s">
        <v>79</v>
      </c>
      <c r="Q6" s="16" t="s">
        <v>79</v>
      </c>
      <c r="R6" s="16" t="s">
        <v>79</v>
      </c>
      <c r="S6" s="16" t="s">
        <v>80</v>
      </c>
      <c r="T6" s="16" t="s">
        <v>644</v>
      </c>
      <c r="U6" s="16" t="s">
        <v>80</v>
      </c>
      <c r="V6" s="85" t="s">
        <v>84</v>
      </c>
      <c r="W6" s="86" t="s">
        <v>89</v>
      </c>
      <c r="X6" s="87" t="s">
        <v>82</v>
      </c>
    </row>
    <row r="7" spans="1:24" ht="27.75" customHeight="1" x14ac:dyDescent="0.25">
      <c r="A7" s="16" t="str">
        <f>'M-HorarioBarberia'!E3</f>
        <v>horaCierre</v>
      </c>
      <c r="B7" s="17" t="str">
        <f>'M-HorarioBarberia'!E2</f>
        <v>Representa la hora a la que cierra la barbería</v>
      </c>
      <c r="C7" s="16" t="s">
        <v>80</v>
      </c>
      <c r="D7" s="16" t="s">
        <v>643</v>
      </c>
      <c r="E7" s="16" t="s">
        <v>77</v>
      </c>
      <c r="F7" s="16" t="s">
        <v>79</v>
      </c>
      <c r="G7" s="16" t="s">
        <v>79</v>
      </c>
      <c r="H7" s="16" t="s">
        <v>79</v>
      </c>
      <c r="I7" s="16" t="s">
        <v>79</v>
      </c>
      <c r="J7" s="16" t="s">
        <v>79</v>
      </c>
      <c r="K7" s="16" t="s">
        <v>79</v>
      </c>
      <c r="L7" s="16" t="s">
        <v>79</v>
      </c>
      <c r="M7" s="17" t="s">
        <v>645</v>
      </c>
      <c r="N7" s="16" t="s">
        <v>80</v>
      </c>
      <c r="O7" s="16" t="s">
        <v>80</v>
      </c>
      <c r="P7" s="16" t="s">
        <v>79</v>
      </c>
      <c r="Q7" s="16" t="s">
        <v>79</v>
      </c>
      <c r="R7" s="16" t="s">
        <v>79</v>
      </c>
      <c r="S7" s="16" t="s">
        <v>80</v>
      </c>
      <c r="T7" s="16" t="s">
        <v>644</v>
      </c>
      <c r="U7" s="16" t="s">
        <v>80</v>
      </c>
      <c r="V7" s="85" t="s">
        <v>84</v>
      </c>
      <c r="W7" s="86" t="s">
        <v>89</v>
      </c>
      <c r="X7" s="87" t="s">
        <v>82</v>
      </c>
    </row>
    <row r="8" spans="1:24" ht="45" customHeight="1" x14ac:dyDescent="0.25">
      <c r="A8" s="16" t="str">
        <f>'M-HorarioBarberia'!F3</f>
        <v>fechaCreacion</v>
      </c>
      <c r="B8" s="17" t="str">
        <f>'M-HorarioBarberia'!F2</f>
        <v>Representa la fecha en el que el administrador definio el horario de la barberia. Es un dato calculado que toma la fecha del sistema en ese momento</v>
      </c>
      <c r="C8" s="16" t="s">
        <v>80</v>
      </c>
      <c r="D8" s="16" t="s">
        <v>646</v>
      </c>
      <c r="E8" s="16" t="s">
        <v>77</v>
      </c>
      <c r="F8" s="16" t="s">
        <v>79</v>
      </c>
      <c r="G8" s="16" t="s">
        <v>79</v>
      </c>
      <c r="H8" s="16" t="s">
        <v>79</v>
      </c>
      <c r="I8" s="16" t="s">
        <v>79</v>
      </c>
      <c r="J8" s="16" t="s">
        <v>79</v>
      </c>
      <c r="K8" s="16" t="s">
        <v>79</v>
      </c>
      <c r="L8" s="16" t="s">
        <v>79</v>
      </c>
      <c r="M8" s="17" t="s">
        <v>79</v>
      </c>
      <c r="N8" s="16" t="s">
        <v>80</v>
      </c>
      <c r="O8" s="16" t="s">
        <v>80</v>
      </c>
      <c r="P8" s="16" t="s">
        <v>79</v>
      </c>
      <c r="Q8" s="16" t="s">
        <v>79</v>
      </c>
      <c r="R8" s="16" t="s">
        <v>79</v>
      </c>
      <c r="S8" s="16" t="s">
        <v>80</v>
      </c>
      <c r="T8" s="16" t="s">
        <v>647</v>
      </c>
      <c r="U8" s="16" t="s">
        <v>77</v>
      </c>
      <c r="V8" s="85" t="s">
        <v>82</v>
      </c>
      <c r="W8" s="86" t="s">
        <v>83</v>
      </c>
      <c r="X8" s="87" t="s">
        <v>82</v>
      </c>
    </row>
    <row r="9" spans="1:24" ht="45" customHeight="1" x14ac:dyDescent="0.25">
      <c r="A9" s="16" t="str">
        <f>'M-HorarioBarberia'!G3</f>
        <v>fechaDesactivacion</v>
      </c>
      <c r="B9" s="17" t="str">
        <f>'M-HorarioBarberia'!G2</f>
        <v>Representa la fecha en la que este horario dejó de estar vigente. Es un dato calculado que toma la fecha del sistema en ese momento</v>
      </c>
      <c r="C9" s="16" t="s">
        <v>80</v>
      </c>
      <c r="D9" s="16" t="s">
        <v>646</v>
      </c>
      <c r="E9" s="16" t="s">
        <v>80</v>
      </c>
      <c r="F9" s="16" t="s">
        <v>79</v>
      </c>
      <c r="G9" s="16" t="s">
        <v>79</v>
      </c>
      <c r="H9" s="16" t="s">
        <v>79</v>
      </c>
      <c r="I9" s="16" t="s">
        <v>79</v>
      </c>
      <c r="J9" s="16" t="s">
        <v>79</v>
      </c>
      <c r="K9" s="16" t="s">
        <v>79</v>
      </c>
      <c r="L9" s="16" t="s">
        <v>79</v>
      </c>
      <c r="M9" s="17" t="s">
        <v>79</v>
      </c>
      <c r="N9" s="16" t="s">
        <v>80</v>
      </c>
      <c r="O9" s="16" t="s">
        <v>80</v>
      </c>
      <c r="P9" s="16" t="s">
        <v>79</v>
      </c>
      <c r="Q9" s="16" t="s">
        <v>79</v>
      </c>
      <c r="R9" s="16" t="s">
        <v>79</v>
      </c>
      <c r="S9" s="16" t="s">
        <v>80</v>
      </c>
      <c r="T9" s="16" t="s">
        <v>647</v>
      </c>
      <c r="U9" s="16" t="s">
        <v>77</v>
      </c>
      <c r="V9" s="85" t="s">
        <v>82</v>
      </c>
      <c r="W9" s="86" t="s">
        <v>83</v>
      </c>
      <c r="X9" s="87" t="s">
        <v>82</v>
      </c>
    </row>
    <row r="10" spans="1:24" ht="60" customHeight="1" x14ac:dyDescent="0.25">
      <c r="A10" s="16" t="str">
        <f>'M-HorarioBarberia'!H3</f>
        <v>vigente</v>
      </c>
      <c r="B10" s="17" t="str">
        <f>'M-HorarioBarberia'!H2</f>
        <v>Representa si este horario lo sigue o no vigente en la barberia. Una vez que el administrador desactive el horario de la barberia, no se puede volver a cambiar</v>
      </c>
      <c r="C10" s="16" t="s">
        <v>80</v>
      </c>
      <c r="D10" s="133" t="s">
        <v>334</v>
      </c>
      <c r="E10" s="16" t="s">
        <v>77</v>
      </c>
      <c r="F10" s="16" t="s">
        <v>79</v>
      </c>
      <c r="G10" s="16" t="s">
        <v>79</v>
      </c>
      <c r="H10" s="16" t="s">
        <v>79</v>
      </c>
      <c r="I10" s="16" t="s">
        <v>79</v>
      </c>
      <c r="J10" s="16" t="s">
        <v>79</v>
      </c>
      <c r="K10" s="16" t="s">
        <v>79</v>
      </c>
      <c r="L10" s="16" t="s">
        <v>79</v>
      </c>
      <c r="M10" s="17" t="s">
        <v>648</v>
      </c>
      <c r="N10" s="16" t="s">
        <v>80</v>
      </c>
      <c r="O10" s="16" t="s">
        <v>80</v>
      </c>
      <c r="P10" s="16" t="s">
        <v>79</v>
      </c>
      <c r="Q10" s="16" t="s">
        <v>79</v>
      </c>
      <c r="R10" s="16" t="s">
        <v>79</v>
      </c>
      <c r="S10" s="16" t="s">
        <v>80</v>
      </c>
      <c r="T10" s="16" t="s">
        <v>77</v>
      </c>
      <c r="U10" s="16" t="s">
        <v>77</v>
      </c>
      <c r="V10" s="85" t="s">
        <v>82</v>
      </c>
      <c r="W10" s="86" t="s">
        <v>83</v>
      </c>
      <c r="X10" s="87" t="s">
        <v>82</v>
      </c>
    </row>
    <row r="11" spans="1:24" ht="15" customHeight="1" x14ac:dyDescent="0.25">
      <c r="A11" s="5"/>
      <c r="B11" s="5"/>
      <c r="C11" s="5"/>
      <c r="D11" s="5"/>
      <c r="E11" s="5"/>
      <c r="F11" s="5"/>
      <c r="G11" s="5"/>
      <c r="H11" s="5"/>
      <c r="I11" s="5"/>
      <c r="J11" s="5"/>
      <c r="K11" s="5"/>
      <c r="L11" s="5"/>
      <c r="M11" s="5"/>
      <c r="N11" s="5"/>
      <c r="O11" s="5"/>
      <c r="P11" s="5"/>
      <c r="Q11" s="5"/>
      <c r="R11" s="5"/>
      <c r="S11" s="5"/>
      <c r="T11" s="5"/>
      <c r="U11" s="5"/>
    </row>
    <row r="12" spans="1:24" ht="15" customHeight="1" x14ac:dyDescent="0.25">
      <c r="A12" s="19" t="s">
        <v>93</v>
      </c>
      <c r="B12" s="19" t="s">
        <v>94</v>
      </c>
      <c r="C12" s="19" t="s">
        <v>95</v>
      </c>
      <c r="D12" s="89"/>
      <c r="E12" s="89"/>
      <c r="F12" s="89"/>
      <c r="G12" s="89"/>
      <c r="H12" s="89"/>
      <c r="I12" s="89"/>
      <c r="J12" s="89"/>
      <c r="K12" s="89"/>
      <c r="L12" s="89"/>
      <c r="M12" s="89"/>
      <c r="N12" s="89"/>
      <c r="O12" s="89"/>
      <c r="P12" s="89"/>
      <c r="Q12" s="89"/>
      <c r="R12" s="89"/>
      <c r="S12" s="89"/>
      <c r="T12" s="89"/>
      <c r="U12" s="89"/>
    </row>
    <row r="13" spans="1:24" x14ac:dyDescent="0.25">
      <c r="A13" s="364" t="str">
        <f>'M-HorarioBarberia'!I3</f>
        <v>Combinación única</v>
      </c>
      <c r="B13" s="371" t="str">
        <f>'M-HorarioBarberia'!I2</f>
        <v>Combinación única que indica que, entre los horarios vigentes, no puede existir más de un horario para la sede de una barberia el mismo día de la semana con la misma hora de apertura, la misma hora de cierre, fecha de creacion y fecha de desactivacion</v>
      </c>
      <c r="C13" s="22" t="str">
        <f t="shared" ref="C13:C18" si="0">A4</f>
        <v>sedeDeLaBarberia</v>
      </c>
    </row>
    <row r="14" spans="1:24" ht="15" customHeight="1" x14ac:dyDescent="0.25">
      <c r="A14" s="284"/>
      <c r="B14" s="284"/>
      <c r="C14" s="22" t="str">
        <f t="shared" si="0"/>
        <v>diaDeLaSemana</v>
      </c>
      <c r="D14" s="5"/>
      <c r="E14" s="5"/>
      <c r="F14" s="5"/>
      <c r="G14" s="5"/>
      <c r="H14" s="5"/>
      <c r="I14" s="5"/>
      <c r="J14" s="5"/>
      <c r="K14" s="5"/>
      <c r="L14" s="5"/>
      <c r="M14" s="5"/>
      <c r="N14" s="5"/>
      <c r="O14" s="5"/>
      <c r="P14" s="5"/>
      <c r="Q14" s="5"/>
      <c r="R14" s="5"/>
      <c r="S14" s="5"/>
      <c r="T14" s="5"/>
      <c r="U14" s="5"/>
    </row>
    <row r="15" spans="1:24" ht="15" customHeight="1" x14ac:dyDescent="0.25">
      <c r="A15" s="284"/>
      <c r="B15" s="284"/>
      <c r="C15" s="22" t="str">
        <f t="shared" si="0"/>
        <v>horaApertura</v>
      </c>
      <c r="D15" s="5"/>
      <c r="E15" s="5"/>
      <c r="F15" s="5"/>
      <c r="G15" s="5"/>
      <c r="H15" s="5"/>
      <c r="I15" s="5"/>
      <c r="J15" s="5"/>
      <c r="K15" s="5"/>
      <c r="L15" s="5"/>
      <c r="M15" s="5"/>
      <c r="N15" s="5"/>
      <c r="O15" s="5"/>
      <c r="P15" s="5"/>
      <c r="Q15" s="5"/>
      <c r="R15" s="5"/>
      <c r="S15" s="5"/>
      <c r="T15" s="5"/>
      <c r="U15" s="5"/>
    </row>
    <row r="16" spans="1:24" ht="24" customHeight="1" x14ac:dyDescent="0.25">
      <c r="A16" s="284"/>
      <c r="B16" s="284"/>
      <c r="C16" s="22" t="str">
        <f t="shared" si="0"/>
        <v>horaCierre</v>
      </c>
      <c r="D16" s="5"/>
      <c r="E16" s="5"/>
      <c r="F16" s="5"/>
      <c r="G16" s="5"/>
      <c r="H16" s="5"/>
      <c r="I16" s="5"/>
      <c r="J16" s="5"/>
      <c r="K16" s="5"/>
      <c r="L16" s="5"/>
      <c r="M16" s="5"/>
      <c r="N16" s="5"/>
      <c r="O16" s="5"/>
      <c r="P16" s="5"/>
      <c r="Q16" s="5"/>
      <c r="R16" s="5"/>
      <c r="S16" s="5"/>
      <c r="T16" s="5"/>
      <c r="U16" s="5"/>
    </row>
    <row r="17" spans="1:21" ht="15" customHeight="1" x14ac:dyDescent="0.25">
      <c r="A17" s="284"/>
      <c r="B17" s="284"/>
      <c r="C17" s="22" t="str">
        <f t="shared" si="0"/>
        <v>fechaCreacion</v>
      </c>
    </row>
    <row r="18" spans="1:21" ht="15" customHeight="1" x14ac:dyDescent="0.25">
      <c r="A18" s="281"/>
      <c r="B18" s="281"/>
      <c r="C18" s="22" t="str">
        <f t="shared" si="0"/>
        <v>fechaDesactivacion</v>
      </c>
    </row>
    <row r="19" spans="1:21" ht="15" customHeight="1" x14ac:dyDescent="0.25">
      <c r="D19" s="90"/>
      <c r="E19" s="90"/>
      <c r="F19" s="90"/>
      <c r="G19" s="90"/>
      <c r="H19" s="90"/>
      <c r="I19" s="90"/>
      <c r="J19" s="90"/>
      <c r="K19" s="90"/>
      <c r="L19" s="90"/>
      <c r="M19" s="90"/>
      <c r="N19" s="90"/>
      <c r="O19" s="90"/>
      <c r="P19" s="90"/>
      <c r="Q19" s="90"/>
      <c r="R19" s="90"/>
      <c r="S19" s="90"/>
      <c r="T19" s="90"/>
      <c r="U19" s="90"/>
    </row>
    <row r="20" spans="1:21" ht="15" customHeight="1" x14ac:dyDescent="0.25">
      <c r="A20" s="77"/>
      <c r="B20" s="77"/>
    </row>
    <row r="21" spans="1:21" ht="15" customHeight="1" x14ac:dyDescent="0.25">
      <c r="A21" s="320" t="s">
        <v>96</v>
      </c>
      <c r="B21" s="321"/>
      <c r="C21" s="323" t="s">
        <v>94</v>
      </c>
      <c r="D21" s="326"/>
      <c r="E21" s="326"/>
      <c r="F21" s="321"/>
      <c r="G21" s="323" t="s">
        <v>97</v>
      </c>
      <c r="H21" s="290"/>
      <c r="I21" s="291"/>
      <c r="J21" s="323" t="s">
        <v>98</v>
      </c>
      <c r="K21" s="290"/>
      <c r="L21" s="290"/>
      <c r="M21" s="290"/>
      <c r="N21" s="291"/>
      <c r="O21" s="323" t="s">
        <v>99</v>
      </c>
      <c r="P21" s="291"/>
      <c r="Q21" s="323" t="s">
        <v>100</v>
      </c>
      <c r="R21" s="291"/>
    </row>
    <row r="22" spans="1:21" ht="15" customHeight="1" x14ac:dyDescent="0.25">
      <c r="A22" s="322"/>
      <c r="B22" s="312"/>
      <c r="C22" s="310"/>
      <c r="D22" s="311"/>
      <c r="E22" s="311"/>
      <c r="F22" s="312"/>
      <c r="G22" s="3" t="s">
        <v>101</v>
      </c>
      <c r="H22" s="3" t="s">
        <v>59</v>
      </c>
      <c r="I22" s="3" t="s">
        <v>94</v>
      </c>
      <c r="J22" s="3" t="s">
        <v>102</v>
      </c>
      <c r="K22" s="325" t="s">
        <v>94</v>
      </c>
      <c r="L22" s="303"/>
      <c r="M22" s="303"/>
      <c r="N22" s="279"/>
      <c r="O22" s="3" t="s">
        <v>103</v>
      </c>
      <c r="P22" s="3" t="s">
        <v>94</v>
      </c>
      <c r="Q22" s="3" t="s">
        <v>104</v>
      </c>
      <c r="R22" s="23" t="s">
        <v>105</v>
      </c>
    </row>
    <row r="23" spans="1:21" ht="76.5" customHeight="1" x14ac:dyDescent="0.25">
      <c r="A23" s="395" t="s">
        <v>649</v>
      </c>
      <c r="B23" s="309"/>
      <c r="C23" s="336" t="s">
        <v>650</v>
      </c>
      <c r="D23" s="308"/>
      <c r="E23" s="308"/>
      <c r="F23" s="309"/>
      <c r="G23" s="336" t="s">
        <v>651</v>
      </c>
      <c r="H23" s="375" t="s">
        <v>34</v>
      </c>
      <c r="I23" s="336" t="s">
        <v>652</v>
      </c>
      <c r="J23" s="365" t="s">
        <v>34</v>
      </c>
      <c r="K23" s="336" t="s">
        <v>653</v>
      </c>
      <c r="L23" s="308"/>
      <c r="M23" s="308"/>
      <c r="N23" s="309"/>
      <c r="O23" s="105" t="str">
        <f>'P-HorarioBarberia'!A6</f>
        <v>P-HBA-0001</v>
      </c>
      <c r="P23" s="25" t="str">
        <f>'P-HorarioBarberia'!B6</f>
        <v>Asegurar que los datos requeridos (sede de la barbería, día de la semana, hora de apertura, hora de cierre) sean válidos en tipo de dato, longitud, obligatoriedad, formato y rango</v>
      </c>
      <c r="Q23" s="25" t="s">
        <v>654</v>
      </c>
      <c r="R23" s="110" t="s">
        <v>112</v>
      </c>
    </row>
    <row r="24" spans="1:21" ht="63.75" customHeight="1" x14ac:dyDescent="0.25">
      <c r="A24" s="299"/>
      <c r="B24" s="370"/>
      <c r="C24" s="369"/>
      <c r="D24" s="299"/>
      <c r="E24" s="299"/>
      <c r="F24" s="370"/>
      <c r="G24" s="284"/>
      <c r="H24" s="284"/>
      <c r="I24" s="284"/>
      <c r="J24" s="284"/>
      <c r="K24" s="369"/>
      <c r="L24" s="299"/>
      <c r="M24" s="299"/>
      <c r="N24" s="370"/>
      <c r="O24" s="105" t="str">
        <f>'P-HorarioBarberia'!A7</f>
        <v>P-HBA-0002</v>
      </c>
      <c r="P24" s="25" t="str">
        <f>'P-HorarioBarberia'!B7</f>
        <v>Asegurar que no exista otro horario vigente para la misma sede de la barbería y el mismo día de la semana; un mismo día puede tener varios horarios siempre que sus periodos de vigencia (fecha de creación y fecha de desactivación) sean distintos</v>
      </c>
      <c r="Q24" s="25" t="s">
        <v>655</v>
      </c>
      <c r="R24" s="110" t="s">
        <v>112</v>
      </c>
    </row>
    <row r="25" spans="1:21" ht="38.25" customHeight="1" x14ac:dyDescent="0.25">
      <c r="A25" s="311"/>
      <c r="B25" s="312"/>
      <c r="C25" s="310"/>
      <c r="D25" s="311"/>
      <c r="E25" s="311"/>
      <c r="F25" s="312"/>
      <c r="G25" s="281"/>
      <c r="H25" s="281"/>
      <c r="I25" s="281"/>
      <c r="J25" s="281"/>
      <c r="K25" s="310"/>
      <c r="L25" s="311"/>
      <c r="M25" s="311"/>
      <c r="N25" s="312"/>
      <c r="O25" s="105" t="str">
        <f>'P-HorarioBarberia'!A11</f>
        <v>P-HBA-0006</v>
      </c>
      <c r="P25" s="25" t="str">
        <f>'P-HorarioBarberia'!B11</f>
        <v>Asegurar que la hora de cierre sea mayor a la hora de apertura</v>
      </c>
      <c r="Q25" s="25" t="s">
        <v>656</v>
      </c>
      <c r="R25" s="110" t="s">
        <v>112</v>
      </c>
    </row>
    <row r="26" spans="1:21" ht="38.25" customHeight="1" x14ac:dyDescent="0.25">
      <c r="A26" s="423" t="s">
        <v>657</v>
      </c>
      <c r="B26" s="279"/>
      <c r="C26" s="366" t="s">
        <v>658</v>
      </c>
      <c r="D26" s="303"/>
      <c r="E26" s="303"/>
      <c r="F26" s="279"/>
      <c r="G26" s="111"/>
      <c r="H26" s="111"/>
      <c r="I26" s="64"/>
      <c r="J26" s="125" t="s">
        <v>659</v>
      </c>
      <c r="K26" s="376" t="s">
        <v>660</v>
      </c>
      <c r="L26" s="303"/>
      <c r="M26" s="303"/>
      <c r="N26" s="279"/>
      <c r="O26" s="111"/>
      <c r="P26" s="64"/>
      <c r="Q26" s="64"/>
      <c r="R26" s="112"/>
    </row>
    <row r="27" spans="1:21" ht="63.75" customHeight="1" x14ac:dyDescent="0.25">
      <c r="A27" s="422" t="s">
        <v>661</v>
      </c>
      <c r="B27" s="309"/>
      <c r="C27" s="421" t="s">
        <v>662</v>
      </c>
      <c r="D27" s="308"/>
      <c r="E27" s="308"/>
      <c r="F27" s="309"/>
      <c r="G27" s="420" t="s">
        <v>116</v>
      </c>
      <c r="H27" s="420" t="s">
        <v>117</v>
      </c>
      <c r="I27" s="421" t="s">
        <v>663</v>
      </c>
      <c r="J27" s="421" t="s">
        <v>133</v>
      </c>
      <c r="K27" s="308"/>
      <c r="L27" s="308"/>
      <c r="M27" s="308"/>
      <c r="N27" s="309"/>
      <c r="O27" s="114" t="str">
        <f>'P-HorarioBarberia'!A8</f>
        <v>P-HBA-0003</v>
      </c>
      <c r="P27" s="68" t="str">
        <f>'P-HorarioBarberia'!B8</f>
        <v>Asegurar que queden desactivados todos los horarios de barbero que dependen del horario de la barbería que se está desactivando</v>
      </c>
      <c r="Q27" s="68" t="s">
        <v>664</v>
      </c>
      <c r="R27" s="115" t="s">
        <v>112</v>
      </c>
    </row>
    <row r="28" spans="1:21" ht="127.5" customHeight="1" x14ac:dyDescent="0.25">
      <c r="A28" s="380"/>
      <c r="B28" s="370"/>
      <c r="C28" s="369"/>
      <c r="D28" s="299"/>
      <c r="E28" s="299"/>
      <c r="F28" s="370"/>
      <c r="G28" s="284"/>
      <c r="H28" s="284"/>
      <c r="I28" s="284"/>
      <c r="J28" s="369"/>
      <c r="K28" s="299"/>
      <c r="L28" s="299"/>
      <c r="M28" s="299"/>
      <c r="N28" s="370"/>
      <c r="O28" s="114" t="str">
        <f>'P-HorarioBarberia'!A9</f>
        <v>P-HBA-0004</v>
      </c>
      <c r="P28" s="68" t="str">
        <f>'P-HorarioBarberia'!B9</f>
        <v>Asegurar que queden canceladas, en el estado Cancelación por cambio de políticas de la barbería, todas las citas futuras asociadas a las agendas de los horarios de barbero desactivados. Se consideran futuras las citas cuya agenda tenga una fecha posterior a la fecha actual</v>
      </c>
      <c r="Q28" s="68" t="s">
        <v>665</v>
      </c>
      <c r="R28" s="115" t="s">
        <v>112</v>
      </c>
    </row>
    <row r="29" spans="1:21" ht="63.75" customHeight="1" x14ac:dyDescent="0.25">
      <c r="A29" s="380"/>
      <c r="B29" s="370"/>
      <c r="C29" s="369"/>
      <c r="D29" s="299"/>
      <c r="E29" s="299"/>
      <c r="F29" s="370"/>
      <c r="G29" s="284"/>
      <c r="H29" s="284"/>
      <c r="I29" s="284"/>
      <c r="J29" s="369"/>
      <c r="K29" s="299"/>
      <c r="L29" s="299"/>
      <c r="M29" s="299"/>
      <c r="N29" s="370"/>
      <c r="O29" s="114" t="str">
        <f>'P-HorarioBarberia'!A10</f>
        <v>P-HBA-0005</v>
      </c>
      <c r="P29" s="68" t="str">
        <f>'P-HorarioBarberia'!B10</f>
        <v>Asegurar que exista el horario de la barbería con el id enviado</v>
      </c>
      <c r="Q29" s="68" t="s">
        <v>666</v>
      </c>
      <c r="R29" s="115" t="s">
        <v>112</v>
      </c>
    </row>
    <row r="30" spans="1:21" ht="51" customHeight="1" x14ac:dyDescent="0.25">
      <c r="A30" s="322"/>
      <c r="B30" s="312"/>
      <c r="C30" s="310"/>
      <c r="D30" s="311"/>
      <c r="E30" s="311"/>
      <c r="F30" s="312"/>
      <c r="G30" s="281"/>
      <c r="H30" s="281"/>
      <c r="I30" s="281"/>
      <c r="J30" s="310"/>
      <c r="K30" s="311"/>
      <c r="L30" s="311"/>
      <c r="M30" s="311"/>
      <c r="N30" s="312"/>
      <c r="O30" s="114" t="str">
        <f>'P-HorarioBarberia'!A12</f>
        <v>P-HBA-0007</v>
      </c>
      <c r="P30" s="68" t="str">
        <f>'P-HorarioBarberia'!B12</f>
        <v>Asegurar que el horario de la barbería que se va a desactivar se encuentre vigente</v>
      </c>
      <c r="Q30" s="68" t="s">
        <v>667</v>
      </c>
      <c r="R30" s="115" t="s">
        <v>112</v>
      </c>
    </row>
  </sheetData>
  <mergeCells count="25">
    <mergeCell ref="A13:A18"/>
    <mergeCell ref="J21:N21"/>
    <mergeCell ref="A23:B25"/>
    <mergeCell ref="Q21:R21"/>
    <mergeCell ref="A27:B30"/>
    <mergeCell ref="A21:B22"/>
    <mergeCell ref="I23:I25"/>
    <mergeCell ref="C23:F25"/>
    <mergeCell ref="K23:N25"/>
    <mergeCell ref="C21:F22"/>
    <mergeCell ref="H23:H25"/>
    <mergeCell ref="J23:J25"/>
    <mergeCell ref="C27:F30"/>
    <mergeCell ref="A26:B26"/>
    <mergeCell ref="H27:H30"/>
    <mergeCell ref="O21:P21"/>
    <mergeCell ref="G27:G30"/>
    <mergeCell ref="B13:B18"/>
    <mergeCell ref="I27:I30"/>
    <mergeCell ref="J27:N30"/>
    <mergeCell ref="G23:G25"/>
    <mergeCell ref="K22:N22"/>
    <mergeCell ref="K26:N26"/>
    <mergeCell ref="C26:F26"/>
    <mergeCell ref="G21:I21"/>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V2" location="'C-HorarioBarberia'!A23" display="#'C-HorarioBarberia'.A21" xr:uid="{00000000-0004-0000-2E00-000002000000}"/>
    <hyperlink ref="W2" location="'C-HorarioBarberia'!A26" display="#'C-HorarioBarberia'.A24" xr:uid="{00000000-0004-0000-2E00-000003000000}"/>
    <hyperlink ref="X2" location="'C-HorarioBarberia'!A27" display="#'C-HorarioBarberia'.A25" xr:uid="{00000000-0004-0000-2E00-000004000000}"/>
    <hyperlink ref="A3" location="'M-HorarioBarberia'!A3" display="'M-HorarioBarberia'!A3" xr:uid="{00000000-0004-0000-2E00-000005000000}"/>
    <hyperlink ref="B3" location="'M-HorarioBarberia'!A2" display="'M-HorarioBarberia'!A2" xr:uid="{00000000-0004-0000-2E00-000006000000}"/>
    <hyperlink ref="A4" location="'M-HorarioBarberia'!A3" display="'M-HorarioBarberia'!A3" xr:uid="{00000000-0004-0000-2E00-000007000000}"/>
    <hyperlink ref="B4" location="'M-HorarioBarberia'!A2" display="'M-HorarioBarberia'!A2" xr:uid="{00000000-0004-0000-2E00-000008000000}"/>
    <hyperlink ref="D4" location="'C-Sede'!A1" display="Sede" xr:uid="{00000000-0004-0000-2E00-000009000000}"/>
    <hyperlink ref="A5" location="'M-HorarioBarberia'!A3" display="'M-HorarioBarberia'!A3" xr:uid="{00000000-0004-0000-2E00-00000A000000}"/>
    <hyperlink ref="B5" location="'M-HorarioBarberia'!A2" display="'M-HorarioBarberia'!A2" xr:uid="{00000000-0004-0000-2E00-00000B000000}"/>
    <hyperlink ref="D5" location="'C-DiaSemana'!A1" display="DiaSemana" xr:uid="{00000000-0004-0000-2E00-00000C000000}"/>
    <hyperlink ref="A6" location="'M-HorarioBarberia'!A3" display="'M-HorarioBarberia'!A3" xr:uid="{00000000-0004-0000-2E00-00000D000000}"/>
    <hyperlink ref="B6" location="'M-HorarioBarberia'!A2" display="'M-HorarioBarberia'!A2" xr:uid="{00000000-0004-0000-2E00-00000E000000}"/>
    <hyperlink ref="A7" location="'M-HorarioBarberia'!A3" display="'M-HorarioBarberia'!A3" xr:uid="{00000000-0004-0000-2E00-00000F000000}"/>
    <hyperlink ref="B7" location="'M-HorarioBarberia'!A2" display="'M-HorarioBarberia'!A2" xr:uid="{00000000-0004-0000-2E00-000010000000}"/>
    <hyperlink ref="A8" location="'M-HorarioBarberia'!A3" display="'M-HorarioBarberia'!A3" xr:uid="{00000000-0004-0000-2E00-000011000000}"/>
    <hyperlink ref="B8" location="'M-HorarioBarberia'!A2" display="'M-HorarioBarberia'!A2" xr:uid="{00000000-0004-0000-2E00-000012000000}"/>
    <hyperlink ref="A9" location="'M-HorarioBarberia'!A3" display="'M-HorarioBarberia'!A3" xr:uid="{00000000-0004-0000-2E00-000013000000}"/>
    <hyperlink ref="B9" location="'M-HorarioBarberia'!A2" display="'M-HorarioBarberia'!A2" xr:uid="{00000000-0004-0000-2E00-000014000000}"/>
    <hyperlink ref="A10" location="'M-HorarioBarberia'!A3" display="'M-HorarioBarberia'!A3" xr:uid="{00000000-0004-0000-2E00-000015000000}"/>
    <hyperlink ref="B10" location="'M-HorarioBarberia'!A2" display="'M-HorarioBarberia'!A2" xr:uid="{00000000-0004-0000-2E00-000016000000}"/>
    <hyperlink ref="A13" location="'M-HorarioBarberia'!A3" display="'M-HorarioBarberia'!A3" xr:uid="{00000000-0004-0000-2E00-000017000000}"/>
    <hyperlink ref="B13" location="'M-HorarioBarberia'!A2" display="'M-HorarioBarberia'!A2" xr:uid="{00000000-0004-0000-2E00-000018000000}"/>
    <hyperlink ref="A23" location="'C-HorarioBarberia'!V2" display="definirHorarioBarberia" xr:uid="{00000000-0004-0000-2E00-000019000000}"/>
    <hyperlink ref="A26" location="'C-HorarioBarberia'!W2" display="consultarHorariosBarberia" xr:uid="{00000000-0004-0000-2E00-00001A000000}"/>
    <hyperlink ref="A27" location="'C-HorarioBarberia'!X2" display="desactivarHorarioBarberia" xr:uid="{00000000-0004-0000-2E00-00001B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6"/>
  <sheetViews>
    <sheetView showGridLines="0" zoomScaleNormal="100" workbookViewId="0">
      <selection activeCell="B1" sqref="B1"/>
    </sheetView>
  </sheetViews>
  <sheetFormatPr baseColWidth="10" defaultColWidth="8.7109375" defaultRowHeight="15" x14ac:dyDescent="0.25"/>
  <cols>
    <col min="1" max="1" width="21.28515625" customWidth="1"/>
    <col min="2" max="2" width="29.140625" customWidth="1"/>
    <col min="3" max="3" width="35.5703125" customWidth="1"/>
    <col min="4" max="4" width="37.140625"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Dominio'!A14</f>
        <v>HorarioBarberia</v>
      </c>
      <c r="C2" s="290"/>
      <c r="D2" s="290"/>
      <c r="E2" s="291"/>
    </row>
    <row r="3" spans="1:5" ht="30" customHeight="1" x14ac:dyDescent="0.25">
      <c r="A3" s="30" t="s">
        <v>140</v>
      </c>
      <c r="B3" s="336" t="str">
        <f>'Objetos de Dominio'!B14</f>
        <v>Representa, día por día, a qué hora abre y cierra el negocio; es el límite dentro del cual debe caber el horario de cualquier barbero.</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49.5" customHeight="1" x14ac:dyDescent="0.25">
      <c r="A6" s="8" t="s">
        <v>668</v>
      </c>
      <c r="B6" s="332" t="s">
        <v>669</v>
      </c>
      <c r="C6" s="279"/>
      <c r="D6" s="31" t="s">
        <v>34</v>
      </c>
      <c r="E6" s="31"/>
    </row>
    <row r="7" spans="1:5" ht="30" customHeight="1" x14ac:dyDescent="0.25">
      <c r="A7" s="8" t="s">
        <v>670</v>
      </c>
      <c r="B7" s="332" t="s">
        <v>671</v>
      </c>
      <c r="C7" s="279"/>
      <c r="D7" s="31" t="s">
        <v>34</v>
      </c>
      <c r="E7" s="31"/>
    </row>
    <row r="8" spans="1:5" ht="30" customHeight="1" x14ac:dyDescent="0.25">
      <c r="A8" s="8" t="s">
        <v>672</v>
      </c>
      <c r="B8" s="332" t="s">
        <v>673</v>
      </c>
      <c r="C8" s="279"/>
      <c r="D8" s="31" t="s">
        <v>42</v>
      </c>
      <c r="E8" s="31"/>
    </row>
    <row r="9" spans="1:5" ht="58.5" customHeight="1" x14ac:dyDescent="0.25">
      <c r="A9" s="8" t="s">
        <v>674</v>
      </c>
      <c r="B9" s="332" t="s">
        <v>675</v>
      </c>
      <c r="C9" s="279"/>
      <c r="D9" s="31" t="s">
        <v>46</v>
      </c>
      <c r="E9" s="31"/>
    </row>
    <row r="10" spans="1:5" ht="30" customHeight="1" x14ac:dyDescent="0.25">
      <c r="A10" s="8" t="s">
        <v>676</v>
      </c>
      <c r="B10" s="332" t="s">
        <v>677</v>
      </c>
      <c r="C10" s="279"/>
      <c r="D10" s="31" t="s">
        <v>34</v>
      </c>
      <c r="E10" s="31"/>
    </row>
    <row r="11" spans="1:5" ht="30" customHeight="1" x14ac:dyDescent="0.25">
      <c r="A11" s="8" t="s">
        <v>678</v>
      </c>
      <c r="B11" s="332" t="s">
        <v>679</v>
      </c>
      <c r="C11" s="279"/>
      <c r="D11" s="31" t="s">
        <v>34</v>
      </c>
      <c r="E11" s="31"/>
    </row>
    <row r="12" spans="1:5" ht="27.75" customHeight="1" x14ac:dyDescent="0.25">
      <c r="A12" s="8" t="s">
        <v>680</v>
      </c>
      <c r="B12" s="332" t="s">
        <v>681</v>
      </c>
      <c r="C12" s="279"/>
      <c r="D12" s="31" t="s">
        <v>34</v>
      </c>
      <c r="E12" s="31"/>
    </row>
    <row r="14" spans="1:5" ht="14.25" customHeight="1" x14ac:dyDescent="0.25"/>
    <row r="15" spans="1:5" ht="14.25" customHeight="1" x14ac:dyDescent="0.25"/>
    <row r="16" spans="1:5" ht="14.25" customHeight="1" x14ac:dyDescent="0.25"/>
  </sheetData>
  <mergeCells count="13">
    <mergeCell ref="A4:A5"/>
    <mergeCell ref="D4:D5"/>
    <mergeCell ref="B2:E2"/>
    <mergeCell ref="B9:C9"/>
    <mergeCell ref="B8:C8"/>
    <mergeCell ref="B6:C6"/>
    <mergeCell ref="B7:C7"/>
    <mergeCell ref="B12:C12"/>
    <mergeCell ref="B4:C5"/>
    <mergeCell ref="E4:E5"/>
    <mergeCell ref="B10:C10"/>
    <mergeCell ref="B3:E3"/>
    <mergeCell ref="B11:C11"/>
  </mergeCells>
  <hyperlinks>
    <hyperlink ref="A1" location="'Modelo de Dominio'!A1" display="&lt;&lt; Ir al modelo de dominio" xr:uid="{00000000-0004-0000-2F00-000000000000}"/>
    <hyperlink ref="B1" location="'Objetos de Dominio'!A1" display="&lt;&lt; Ir al listado de objetos de dominio" xr:uid="{00000000-0004-0000-2F00-000001000000}"/>
    <hyperlink ref="C1" location="'C-HorarioBarberia'!A1" display="&lt;&lt; Ir a la caracterización del objeto de dominio" xr:uid="{00000000-0004-0000-2F00-000002000000}"/>
    <hyperlink ref="D1" location="'M-HorarioBarberia'!A1" display="Ir al muestreo de datos del objeto de dominio &gt;&gt;" xr:uid="{00000000-0004-0000-2F00-000003000000}"/>
    <hyperlink ref="E1" location="'E-HorarioBarberia'!A1" display="Ir al event storming del objeto de dominio &gt;&gt;" xr:uid="{00000000-0004-0000-2F00-000004000000}"/>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6"/>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7.28515625" customWidth="1"/>
    <col min="8" max="8" width="51.28515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Dominio'!A14</f>
        <v>HorarioBarberia</v>
      </c>
      <c r="C2" s="290"/>
      <c r="D2" s="290"/>
      <c r="E2" s="290"/>
      <c r="F2" s="290"/>
      <c r="G2" s="290"/>
      <c r="H2" s="290"/>
      <c r="I2" s="290"/>
      <c r="J2" s="290"/>
      <c r="K2" s="291"/>
    </row>
    <row r="3" spans="1:11" ht="30" customHeight="1" x14ac:dyDescent="0.25">
      <c r="A3" s="72" t="s">
        <v>140</v>
      </c>
      <c r="B3" s="302" t="str">
        <f>'Objetos de Dominio'!B14</f>
        <v>Representa, día por día, a qué hora abre y cierra el negocio; es el límite dentro del cual debe caber el horario de cualquier barbero.</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57" customHeight="1" x14ac:dyDescent="0.25">
      <c r="A7" s="273" t="s">
        <v>168</v>
      </c>
      <c r="B7" s="273" t="s">
        <v>682</v>
      </c>
      <c r="C7" s="273" t="s">
        <v>650</v>
      </c>
      <c r="D7" s="273" t="str">
        <f>$B$2</f>
        <v>HorarioBarberia</v>
      </c>
      <c r="E7" s="273"/>
      <c r="F7" s="273"/>
      <c r="G7" s="75" t="str">
        <f>'P-HorarioBarberia'!A6</f>
        <v>P-HBA-0001</v>
      </c>
      <c r="H7" s="134" t="str">
        <f>'P-HorarioBarberia'!B6</f>
        <v>Asegurar que los datos requeridos (sede de la barbería, día de la semana, hora de apertura, hora de cierre) sean válidos en tipo de dato, longitud, obligatoriedad, formato y rango</v>
      </c>
      <c r="I7" s="273"/>
      <c r="J7" s="273" t="s">
        <v>683</v>
      </c>
      <c r="K7" s="272"/>
    </row>
    <row r="8" spans="1:11" ht="42.75" customHeight="1" x14ac:dyDescent="0.25">
      <c r="A8" s="284"/>
      <c r="B8" s="284"/>
      <c r="C8" s="284"/>
      <c r="D8" s="284"/>
      <c r="E8" s="284"/>
      <c r="F8" s="284"/>
      <c r="G8" s="75" t="str">
        <f>'P-HorarioBarberia'!A7</f>
        <v>P-HBA-0002</v>
      </c>
      <c r="H8" s="134" t="str">
        <f>'P-HorarioBarberia'!B7</f>
        <v>Asegurar que no exista otro horario vigente para la misma sede de la barbería y el mismo día de la semana; un mismo día puede tener varios horarios siempre que sus periodos de vigencia (fecha de creación y fecha de desactivación) sean distintos</v>
      </c>
      <c r="I8" s="281"/>
      <c r="J8" s="284"/>
      <c r="K8" s="281"/>
    </row>
    <row r="9" spans="1:11" ht="42.75" customHeight="1" x14ac:dyDescent="0.25">
      <c r="A9" s="281"/>
      <c r="B9" s="281"/>
      <c r="C9" s="281"/>
      <c r="D9" s="281"/>
      <c r="E9" s="281"/>
      <c r="F9" s="281"/>
      <c r="G9" s="75" t="str">
        <f>'P-HorarioBarberia'!A11</f>
        <v>P-HBA-0006</v>
      </c>
      <c r="H9" s="134" t="str">
        <f>'P-HorarioBarberia'!B11</f>
        <v>Asegurar que la hora de cierre sea mayor a la hora de apertura</v>
      </c>
      <c r="I9" s="135"/>
      <c r="J9" s="281"/>
      <c r="K9" s="135"/>
    </row>
    <row r="10" spans="1:11" ht="30" customHeight="1" x14ac:dyDescent="0.25">
      <c r="A10" s="41" t="s">
        <v>168</v>
      </c>
      <c r="B10" s="42" t="s">
        <v>684</v>
      </c>
      <c r="C10" s="42" t="s">
        <v>658</v>
      </c>
      <c r="D10" s="41" t="str">
        <f>$B$2</f>
        <v>HorarioBarberia</v>
      </c>
      <c r="E10" s="42"/>
      <c r="F10" s="42"/>
      <c r="G10" s="41"/>
      <c r="H10" s="136"/>
      <c r="I10" s="41"/>
      <c r="J10" s="42" t="s">
        <v>685</v>
      </c>
      <c r="K10" s="42"/>
    </row>
    <row r="11" spans="1:11" ht="30" customHeight="1" x14ac:dyDescent="0.25">
      <c r="A11" s="41" t="s">
        <v>32</v>
      </c>
      <c r="B11" s="42" t="s">
        <v>684</v>
      </c>
      <c r="C11" s="42" t="s">
        <v>686</v>
      </c>
      <c r="D11" s="41" t="str">
        <f>$B$2</f>
        <v>HorarioBarberia</v>
      </c>
      <c r="E11" s="42"/>
      <c r="F11" s="42"/>
      <c r="G11" s="41"/>
      <c r="H11" s="136"/>
      <c r="I11" s="41"/>
      <c r="J11" s="42" t="s">
        <v>685</v>
      </c>
      <c r="K11" s="42"/>
    </row>
    <row r="12" spans="1:11" ht="30" customHeight="1" x14ac:dyDescent="0.25">
      <c r="A12" s="41" t="s">
        <v>26</v>
      </c>
      <c r="B12" s="42" t="s">
        <v>684</v>
      </c>
      <c r="C12" s="42" t="s">
        <v>687</v>
      </c>
      <c r="D12" s="41" t="str">
        <f>$B$2</f>
        <v>HorarioBarberia</v>
      </c>
      <c r="E12" s="42"/>
      <c r="F12" s="42"/>
      <c r="G12" s="41"/>
      <c r="H12" s="136"/>
      <c r="I12" s="41"/>
      <c r="J12" s="42" t="s">
        <v>685</v>
      </c>
      <c r="K12" s="42"/>
    </row>
    <row r="13" spans="1:11" ht="30" customHeight="1" x14ac:dyDescent="0.25">
      <c r="A13" s="273" t="s">
        <v>168</v>
      </c>
      <c r="B13" s="273" t="s">
        <v>688</v>
      </c>
      <c r="C13" s="273" t="s">
        <v>662</v>
      </c>
      <c r="D13" s="273" t="str">
        <f>$B$2</f>
        <v>HorarioBarberia</v>
      </c>
      <c r="E13" s="42" t="s">
        <v>42</v>
      </c>
      <c r="F13" s="42" t="s">
        <v>689</v>
      </c>
      <c r="G13" s="75" t="str">
        <f>'P-HorarioBarberia'!A8</f>
        <v>P-HBA-0003</v>
      </c>
      <c r="H13" s="137" t="str">
        <f>'P-HorarioBarberia'!B8</f>
        <v>Asegurar que queden desactivados todos los horarios de barbero que dependen del horario de la barbería que se está desactivando</v>
      </c>
      <c r="I13" s="273"/>
      <c r="J13" s="273" t="s">
        <v>690</v>
      </c>
      <c r="K13" s="273"/>
    </row>
    <row r="14" spans="1:11" ht="54" customHeight="1" x14ac:dyDescent="0.25">
      <c r="A14" s="284"/>
      <c r="B14" s="284"/>
      <c r="C14" s="284"/>
      <c r="D14" s="284"/>
      <c r="E14" s="42" t="s">
        <v>44</v>
      </c>
      <c r="F14" s="42" t="s">
        <v>691</v>
      </c>
      <c r="G14" s="424" t="str">
        <f>'P-HorarioBarberia'!A9</f>
        <v>P-HBA-0004</v>
      </c>
      <c r="H14" s="273" t="str">
        <f>'P-HorarioBarberia'!B9</f>
        <v>Asegurar que queden canceladas, en el estado Cancelación por cambio de políticas de la barbería, todas las citas futuras asociadas a las agendas de los horarios de barbero desactivados. Se consideran futuras las citas cuya agenda tenga una fecha posterior a la fecha actual</v>
      </c>
      <c r="I14" s="284"/>
      <c r="J14" s="284"/>
      <c r="K14" s="284"/>
    </row>
    <row r="15" spans="1:11" ht="27" customHeight="1" x14ac:dyDescent="0.25">
      <c r="A15" s="284"/>
      <c r="B15" s="284"/>
      <c r="C15" s="284"/>
      <c r="D15" s="284"/>
      <c r="E15" s="42" t="s">
        <v>46</v>
      </c>
      <c r="F15" s="42" t="s">
        <v>692</v>
      </c>
      <c r="G15" s="281"/>
      <c r="H15" s="281"/>
      <c r="I15" s="284"/>
      <c r="J15" s="284"/>
      <c r="K15" s="284"/>
    </row>
    <row r="16" spans="1:11" ht="27" customHeight="1" x14ac:dyDescent="0.25">
      <c r="A16" s="281"/>
      <c r="B16" s="281"/>
      <c r="C16" s="281"/>
      <c r="D16" s="281"/>
      <c r="E16" s="42" t="s">
        <v>18</v>
      </c>
      <c r="F16" s="42" t="s">
        <v>693</v>
      </c>
      <c r="G16" s="75" t="str">
        <f>'P-HorarioBarberia'!A12</f>
        <v>P-HBA-0007</v>
      </c>
      <c r="H16" s="137" t="str">
        <f>'P-HorarioBarberia'!B12</f>
        <v>Asegurar que el horario de la barbería que se va a desactivar se encuentre vigente</v>
      </c>
      <c r="I16" s="281"/>
      <c r="J16" s="281"/>
      <c r="K16" s="281"/>
    </row>
  </sheetData>
  <mergeCells count="36">
    <mergeCell ref="J1:K1"/>
    <mergeCell ref="E5:F5"/>
    <mergeCell ref="I7:I8"/>
    <mergeCell ref="G14:G15"/>
    <mergeCell ref="K13:K16"/>
    <mergeCell ref="K5:K6"/>
    <mergeCell ref="A1:B1"/>
    <mergeCell ref="E4:F4"/>
    <mergeCell ref="C7:C9"/>
    <mergeCell ref="F1:I1"/>
    <mergeCell ref="E7:E9"/>
    <mergeCell ref="B7:B9"/>
    <mergeCell ref="B3:K3"/>
    <mergeCell ref="I5:I6"/>
    <mergeCell ref="A5:A6"/>
    <mergeCell ref="B2:K2"/>
    <mergeCell ref="G4:H4"/>
    <mergeCell ref="B4:C4"/>
    <mergeCell ref="C1:E1"/>
    <mergeCell ref="G5:H5"/>
    <mergeCell ref="K7:K8"/>
    <mergeCell ref="J7:J9"/>
    <mergeCell ref="B5:B6"/>
    <mergeCell ref="D5:D6"/>
    <mergeCell ref="J5:J6"/>
    <mergeCell ref="A13:A16"/>
    <mergeCell ref="H14:H15"/>
    <mergeCell ref="C13:C16"/>
    <mergeCell ref="I13:I16"/>
    <mergeCell ref="A7:A9"/>
    <mergeCell ref="D7:D9"/>
    <mergeCell ref="B13:B16"/>
    <mergeCell ref="D13:D16"/>
    <mergeCell ref="F7:F9"/>
    <mergeCell ref="C5:C6"/>
    <mergeCell ref="J13:J16"/>
  </mergeCells>
  <hyperlinks>
    <hyperlink ref="A1" location="'Modelo de Dominio'!A1" display="&lt;&lt; Ir al modelo de dominio" xr:uid="{00000000-0004-0000-3000-000000000000}"/>
    <hyperlink ref="C1" location="'Objetos de Dominio'!A1" display="&lt;&lt; Ir al listado de objetos de dominio" xr:uid="{00000000-0004-0000-3000-000001000000}"/>
    <hyperlink ref="F1" location="'C-HorarioBarberia'!A1" display="&lt;&lt; Ir a la caracterización del objeto de dominio" xr:uid="{00000000-0004-0000-3000-000002000000}"/>
    <hyperlink ref="J1" location="'M-HorarioBarberia'!A1" display="Ir al muestreo de datos del objeto de dominio &gt;&gt;" xr:uid="{00000000-0004-0000-3000-000003000000}"/>
    <hyperlink ref="G7" location="'P-HorarioBarberia'!A6" display="#'P-HorarioBarberia'.A6" xr:uid="{00000000-0004-0000-3000-000004000000}"/>
    <hyperlink ref="G8" location="'P-HorarioBarberia'!A7" display="#'P-HorarioBarberia'.A7" xr:uid="{00000000-0004-0000-3000-000005000000}"/>
    <hyperlink ref="G9" location="'P-HorarioBarberia'!A11" display="#'P-HorarioBarberia'.A11" xr:uid="{00000000-0004-0000-3000-000006000000}"/>
    <hyperlink ref="G13" location="'P-HorarioBarberia'!A8" display="'P-HorarioBarberia'!A8" xr:uid="{00000000-0004-0000-3000-000007000000}"/>
    <hyperlink ref="G14" location="'P-HorarioBarberia'!A9" display="'P-HorarioBarberia'!A9" xr:uid="{00000000-0004-0000-3000-000008000000}"/>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2"/>
  <sheetViews>
    <sheetView zoomScale="115" zoomScaleNormal="115" workbookViewId="0">
      <selection activeCell="B1" sqref="B1"/>
    </sheetView>
  </sheetViews>
  <sheetFormatPr baseColWidth="10" defaultColWidth="8.7109375" defaultRowHeight="15" x14ac:dyDescent="0.25"/>
  <cols>
    <col min="1" max="1" width="27" customWidth="1"/>
    <col min="2" max="3" width="26.140625" customWidth="1"/>
    <col min="4" max="4" width="15.7109375" customWidth="1"/>
    <col min="5" max="5" width="17.42578125" customWidth="1"/>
    <col min="6" max="6" width="24.85546875" customWidth="1"/>
    <col min="7" max="7" width="38.7109375" customWidth="1"/>
    <col min="8" max="8" width="24.42578125" customWidth="1"/>
    <col min="9" max="9" width="44.28515625" customWidth="1"/>
  </cols>
  <sheetData>
    <row r="1" spans="1:9" ht="14.25" customHeight="1" x14ac:dyDescent="0.25">
      <c r="A1" s="4" t="s">
        <v>0</v>
      </c>
      <c r="B1" s="4" t="s">
        <v>55</v>
      </c>
      <c r="C1" s="4"/>
    </row>
    <row r="2" spans="1:9" ht="42" customHeight="1" x14ac:dyDescent="0.25">
      <c r="A2" s="45" t="s">
        <v>183</v>
      </c>
      <c r="B2" s="45" t="s">
        <v>694</v>
      </c>
      <c r="C2" s="45" t="s">
        <v>695</v>
      </c>
      <c r="D2" s="45" t="s">
        <v>696</v>
      </c>
      <c r="E2" s="45" t="s">
        <v>697</v>
      </c>
      <c r="F2" s="44" t="s">
        <v>698</v>
      </c>
      <c r="G2" s="44" t="s">
        <v>699</v>
      </c>
      <c r="H2" s="44" t="s">
        <v>700</v>
      </c>
      <c r="I2" s="45" t="s">
        <v>701</v>
      </c>
    </row>
    <row r="3" spans="1:9" ht="23.25" customHeight="1" x14ac:dyDescent="0.25">
      <c r="A3" s="46" t="s">
        <v>116</v>
      </c>
      <c r="B3" s="118" t="s">
        <v>702</v>
      </c>
      <c r="C3" s="118" t="s">
        <v>703</v>
      </c>
      <c r="D3" s="138" t="s">
        <v>704</v>
      </c>
      <c r="E3" s="47" t="s">
        <v>705</v>
      </c>
      <c r="F3" s="99" t="s">
        <v>706</v>
      </c>
      <c r="G3" s="99" t="s">
        <v>707</v>
      </c>
      <c r="H3" s="99" t="s">
        <v>629</v>
      </c>
      <c r="I3" s="48" t="s">
        <v>189</v>
      </c>
    </row>
    <row r="4" spans="1:9" ht="30" customHeight="1" x14ac:dyDescent="0.25">
      <c r="A4" s="49">
        <v>1</v>
      </c>
      <c r="B4" s="213" t="str">
        <f>'M-Sede'!F4</f>
        <v>900123456-7-Sede Poblado</v>
      </c>
      <c r="C4" s="139" t="str">
        <f>'M-DiaSemana'!C4</f>
        <v>Lunes</v>
      </c>
      <c r="D4" s="140">
        <v>0.375</v>
      </c>
      <c r="E4" s="140">
        <v>0.79166666666666663</v>
      </c>
      <c r="F4" s="141">
        <v>45242</v>
      </c>
      <c r="G4" s="140" t="s">
        <v>647</v>
      </c>
      <c r="H4" s="140" t="s">
        <v>77</v>
      </c>
      <c r="I4" s="79" t="str">
        <f t="shared" ref="I4:I10" si="0">_xlfn.CONCAT(B4,"-",C4,"-",TEXT(D4,"hh:mm"),"-",TEXT(E4,"hh:mm"),"-",TEXT(F4,"dd/mm/yyyy"),"-",TEXT(G4,"dd/mm/yyyy"))</f>
        <v>900123456-7-Sede Poblado-Lunes-09:00-19:00-12/11/2023-1/01/1000</v>
      </c>
    </row>
    <row r="5" spans="1:9" ht="30" customHeight="1" x14ac:dyDescent="0.25">
      <c r="A5" s="49">
        <v>2</v>
      </c>
      <c r="B5" s="139" t="str">
        <f>'M-Sede'!F4</f>
        <v>900123456-7-Sede Poblado</v>
      </c>
      <c r="C5" s="139" t="str">
        <f>'M-DiaSemana'!C5</f>
        <v>Martes</v>
      </c>
      <c r="D5" s="140">
        <v>0.375</v>
      </c>
      <c r="E5" s="140">
        <v>0.79166666666666663</v>
      </c>
      <c r="F5" s="141">
        <v>45242</v>
      </c>
      <c r="G5" s="140" t="s">
        <v>647</v>
      </c>
      <c r="H5" s="140" t="s">
        <v>77</v>
      </c>
      <c r="I5" s="79" t="str">
        <f t="shared" si="0"/>
        <v>900123456-7-Sede Poblado-Martes-09:00-19:00-12/11/2023-1/01/1000</v>
      </c>
    </row>
    <row r="6" spans="1:9" ht="30" customHeight="1" x14ac:dyDescent="0.25">
      <c r="A6" s="49">
        <v>3</v>
      </c>
      <c r="B6" s="139" t="str">
        <f>'M-Sede'!F4</f>
        <v>900123456-7-Sede Poblado</v>
      </c>
      <c r="C6" s="139" t="str">
        <f>'M-DiaSemana'!C6</f>
        <v>Miércoles</v>
      </c>
      <c r="D6" s="140">
        <v>0.375</v>
      </c>
      <c r="E6" s="140">
        <v>0.79166666666666663</v>
      </c>
      <c r="F6" s="141">
        <v>45242</v>
      </c>
      <c r="G6" s="140" t="s">
        <v>647</v>
      </c>
      <c r="H6" s="140" t="s">
        <v>77</v>
      </c>
      <c r="I6" s="79" t="str">
        <f t="shared" si="0"/>
        <v>900123456-7-Sede Poblado-Miércoles-09:00-19:00-12/11/2023-1/01/1000</v>
      </c>
    </row>
    <row r="7" spans="1:9" ht="30" customHeight="1" x14ac:dyDescent="0.25">
      <c r="A7" s="49">
        <v>4</v>
      </c>
      <c r="B7" s="139" t="str">
        <f>'M-Sede'!F4</f>
        <v>900123456-7-Sede Poblado</v>
      </c>
      <c r="C7" s="139" t="str">
        <f>'M-DiaSemana'!C7</f>
        <v>Jueves</v>
      </c>
      <c r="D7" s="140">
        <v>0.375</v>
      </c>
      <c r="E7" s="140">
        <v>0.79166666666666663</v>
      </c>
      <c r="F7" s="141">
        <v>45242</v>
      </c>
      <c r="G7" s="140" t="s">
        <v>647</v>
      </c>
      <c r="H7" s="140" t="s">
        <v>77</v>
      </c>
      <c r="I7" s="79" t="str">
        <f t="shared" si="0"/>
        <v>900123456-7-Sede Poblado-Jueves-09:00-19:00-12/11/2023-1/01/1000</v>
      </c>
    </row>
    <row r="8" spans="1:9" ht="30" customHeight="1" x14ac:dyDescent="0.25">
      <c r="A8" s="49">
        <v>5</v>
      </c>
      <c r="B8" s="139" t="str">
        <f>'M-Sede'!F4</f>
        <v>900123456-7-Sede Poblado</v>
      </c>
      <c r="C8" s="139" t="str">
        <f>'M-DiaSemana'!C8</f>
        <v>Viernes</v>
      </c>
      <c r="D8" s="140">
        <v>0.375</v>
      </c>
      <c r="E8" s="140">
        <v>0.79166666666666663</v>
      </c>
      <c r="F8" s="141">
        <v>45242</v>
      </c>
      <c r="G8" s="140" t="s">
        <v>647</v>
      </c>
      <c r="H8" s="140" t="s">
        <v>77</v>
      </c>
      <c r="I8" s="79" t="str">
        <f t="shared" si="0"/>
        <v>900123456-7-Sede Poblado-Viernes-09:00-19:00-12/11/2023-1/01/1000</v>
      </c>
    </row>
    <row r="9" spans="1:9" ht="30" customHeight="1" x14ac:dyDescent="0.25">
      <c r="A9" s="49">
        <v>6</v>
      </c>
      <c r="B9" s="139" t="str">
        <f>'M-Sede'!F4</f>
        <v>900123456-7-Sede Poblado</v>
      </c>
      <c r="C9" s="139" t="str">
        <f>'M-DiaSemana'!C9</f>
        <v>Sábado</v>
      </c>
      <c r="D9" s="140">
        <v>0.33333333333333331</v>
      </c>
      <c r="E9" s="140">
        <v>0.875</v>
      </c>
      <c r="F9" s="141">
        <v>45638</v>
      </c>
      <c r="G9" s="140" t="s">
        <v>647</v>
      </c>
      <c r="H9" s="140" t="s">
        <v>77</v>
      </c>
      <c r="I9" s="79" t="str">
        <f t="shared" si="0"/>
        <v>900123456-7-Sede Poblado-Sábado-08:00-21:00-12/12/2024-1/01/1000</v>
      </c>
    </row>
    <row r="10" spans="1:9" ht="30" customHeight="1" x14ac:dyDescent="0.25">
      <c r="A10" s="49">
        <v>7</v>
      </c>
      <c r="B10" s="139" t="str">
        <f>'M-Sede'!F4</f>
        <v>900123456-7-Sede Poblado</v>
      </c>
      <c r="C10" s="139" t="str">
        <f>'M-DiaSemana'!C11</f>
        <v>Festivo</v>
      </c>
      <c r="D10" s="140">
        <v>0.41666666666666669</v>
      </c>
      <c r="E10" s="140">
        <v>0.625</v>
      </c>
      <c r="F10" s="141">
        <v>45638</v>
      </c>
      <c r="G10" s="140" t="s">
        <v>647</v>
      </c>
      <c r="H10" s="140" t="s">
        <v>77</v>
      </c>
      <c r="I10" s="79" t="str">
        <f t="shared" si="0"/>
        <v>900123456-7-Sede Poblado-Festivo-10:00-15:00-12/12/2024-1/01/1000</v>
      </c>
    </row>
    <row r="16" spans="1:9" ht="28.5" customHeight="1" x14ac:dyDescent="0.25">
      <c r="A16" s="52"/>
      <c r="B16" s="53" t="s">
        <v>194</v>
      </c>
      <c r="C16" s="53"/>
    </row>
    <row r="17" spans="1:3" ht="28.5" customHeight="1" x14ac:dyDescent="0.25">
      <c r="A17" s="54"/>
      <c r="B17" s="53" t="s">
        <v>195</v>
      </c>
      <c r="C17" s="53"/>
    </row>
    <row r="18" spans="1:3" ht="28.5" customHeight="1" x14ac:dyDescent="0.25">
      <c r="A18" s="120"/>
      <c r="B18" s="53" t="s">
        <v>443</v>
      </c>
      <c r="C18" s="53"/>
    </row>
    <row r="19" spans="1:3" ht="45" customHeight="1" x14ac:dyDescent="0.25">
      <c r="A19" s="103"/>
      <c r="B19" s="53" t="s">
        <v>642</v>
      </c>
      <c r="C19" s="53"/>
    </row>
    <row r="20" spans="1:3" ht="28.5" customHeight="1" x14ac:dyDescent="0.25">
      <c r="A20" s="142"/>
      <c r="B20" s="53" t="s">
        <v>539</v>
      </c>
      <c r="C20" s="53"/>
    </row>
    <row r="21" spans="1:3" ht="28.5" customHeight="1" x14ac:dyDescent="0.25">
      <c r="A21" s="143"/>
      <c r="B21" s="53" t="s">
        <v>197</v>
      </c>
      <c r="C21" s="53"/>
    </row>
    <row r="22" spans="1:3" x14ac:dyDescent="0.25">
      <c r="B22" s="53"/>
      <c r="C22" s="53"/>
    </row>
  </sheetData>
  <hyperlinks>
    <hyperlink ref="A1" location="'Modelo de Dominio'!A1" display="&lt;&lt;&lt;&lt; Ir al modulo de dominio" xr:uid="{00000000-0004-0000-3100-000000000000}"/>
    <hyperlink ref="B1" location="'Objetos de Dominio'!A1" display="&lt;&lt;&lt;&lt; Ir a objetos de dominio" xr:uid="{00000000-0004-0000-3100-000001000000}"/>
    <hyperlink ref="C3" location="'M-DiaSemana'!A1" display="diaDeLaSemana" xr:uid="{00000000-0004-0000-3100-000002000000}"/>
    <hyperlink ref="B4" location="'M-Sede'!A4" display="'M-Sede'!A4" xr:uid="{00000000-0004-0000-3100-000003000000}"/>
    <hyperlink ref="C4" location="'M-DiaSemana'!A4" display="#'M-DiaSemana'.A4" xr:uid="{00000000-0004-0000-3100-000004000000}"/>
    <hyperlink ref="B5" location="'M-Sede'!A4" display="'M-Sede'!A4" xr:uid="{00000000-0004-0000-3100-000005000000}"/>
    <hyperlink ref="C5" location="'M-DiaSemana'!A5" display="#'M-DiaSemana'.A5" xr:uid="{00000000-0004-0000-3100-000006000000}"/>
    <hyperlink ref="B6" location="'M-Sede'!A4" display="'M-Sede'!A4" xr:uid="{00000000-0004-0000-3100-000007000000}"/>
    <hyperlink ref="C6" location="'M-DiaSemana'!A6" display="#'M-DiaSemana'.A6" xr:uid="{00000000-0004-0000-3100-000008000000}"/>
    <hyperlink ref="B7" location="'M-Sede'!A4" display="'M-Sede'!A4" xr:uid="{00000000-0004-0000-3100-000009000000}"/>
    <hyperlink ref="C7" location="'M-DiaSemana'!A7" display="#'M-DiaSemana'.A7" xr:uid="{00000000-0004-0000-3100-00000A000000}"/>
    <hyperlink ref="B8" location="'M-Sede'!A4" display="'M-Sede'!A4" xr:uid="{00000000-0004-0000-3100-00000B000000}"/>
    <hyperlink ref="C8" location="'M-DiaSemana'!A8" display="#'M-DiaSemana'.A8" xr:uid="{00000000-0004-0000-3100-00000C000000}"/>
    <hyperlink ref="B9" location="'M-Sede'!A4" display="'M-Sede'!A4" xr:uid="{00000000-0004-0000-3100-00000D000000}"/>
    <hyperlink ref="C9" location="'M-DiaSemana'!A9" display="#'M-DiaSemana'.A9" xr:uid="{00000000-0004-0000-3100-00000E000000}"/>
    <hyperlink ref="B10" location="'M-Sede'!A4" display="'M-Sede'!A4" xr:uid="{00000000-0004-0000-3100-00000F000000}"/>
    <hyperlink ref="C10" location="'M-DiaSemana'!A11" display="#'M-DiaSemana'.A11" xr:uid="{00000000-0004-0000-3100-000010000000}"/>
  </hyperlink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D28"/>
  <sheetViews>
    <sheetView zoomScale="115" zoomScaleNormal="115"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2" width="22" customWidth="1"/>
    <col min="23" max="23" width="13" customWidth="1"/>
    <col min="24" max="24" width="15.42578125" customWidth="1"/>
    <col min="25" max="25" width="27.85546875" customWidth="1"/>
    <col min="26" max="28" width="22" customWidth="1"/>
    <col min="29" max="30" width="13" customWidth="1"/>
  </cols>
  <sheetData>
    <row r="1" spans="1:30" ht="15" customHeight="1" x14ac:dyDescent="0.25">
      <c r="A1" s="4" t="s">
        <v>0</v>
      </c>
      <c r="B1" s="4" t="s">
        <v>55</v>
      </c>
    </row>
    <row r="2" spans="1:30" ht="15" customHeight="1" x14ac:dyDescent="0.25">
      <c r="A2" s="81" t="s">
        <v>56</v>
      </c>
      <c r="B2" s="81" t="s">
        <v>57</v>
      </c>
      <c r="C2" s="81" t="s">
        <v>58</v>
      </c>
      <c r="D2" s="81" t="s">
        <v>59</v>
      </c>
      <c r="E2" s="81" t="s">
        <v>60</v>
      </c>
      <c r="F2" s="81" t="s">
        <v>61</v>
      </c>
      <c r="G2" s="81" t="s">
        <v>62</v>
      </c>
      <c r="H2" s="81" t="s">
        <v>63</v>
      </c>
      <c r="I2" s="81" t="s">
        <v>64</v>
      </c>
      <c r="J2" s="81" t="s">
        <v>65</v>
      </c>
      <c r="K2" s="81" t="s">
        <v>66</v>
      </c>
      <c r="L2" s="81" t="s">
        <v>67</v>
      </c>
      <c r="M2" s="81" t="s">
        <v>68</v>
      </c>
      <c r="N2" s="81" t="s">
        <v>69</v>
      </c>
      <c r="O2" s="81" t="s">
        <v>70</v>
      </c>
      <c r="P2" s="81" t="s">
        <v>71</v>
      </c>
      <c r="Q2" s="81" t="s">
        <v>72</v>
      </c>
      <c r="R2" s="81" t="s">
        <v>73</v>
      </c>
      <c r="S2" s="81" t="s">
        <v>74</v>
      </c>
      <c r="T2" s="81" t="s">
        <v>75</v>
      </c>
      <c r="U2" s="81" t="s">
        <v>76</v>
      </c>
      <c r="V2" s="82" t="str">
        <f>A16</f>
        <v>ofrecerServicioNuevo</v>
      </c>
      <c r="W2" s="360" t="str">
        <f>A18</f>
        <v>editarServicio</v>
      </c>
      <c r="X2" s="279"/>
      <c r="Y2" s="84" t="str">
        <f>A21</f>
        <v>consultarServiciosDisponibles</v>
      </c>
      <c r="Z2" s="305" t="str">
        <f>A22</f>
        <v>retirarServicio</v>
      </c>
      <c r="AA2" s="279"/>
      <c r="AB2" s="429" t="str">
        <f>A26</f>
        <v>reactivarServicio</v>
      </c>
      <c r="AC2" s="279"/>
      <c r="AD2" s="222" t="str">
        <f>A28</f>
        <v>consultarServiciosNoDisponibles</v>
      </c>
    </row>
    <row r="3" spans="1:30" ht="45" customHeight="1" x14ac:dyDescent="0.25">
      <c r="A3" s="16" t="str">
        <f>'M-Servicio'!A3</f>
        <v>id</v>
      </c>
      <c r="B3" s="17" t="str">
        <f>'M-Servicio'!A2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82</v>
      </c>
      <c r="W3" s="86" t="s">
        <v>84</v>
      </c>
      <c r="X3" s="86" t="s">
        <v>85</v>
      </c>
      <c r="Y3" s="87" t="s">
        <v>83</v>
      </c>
      <c r="Z3" s="85" t="s">
        <v>84</v>
      </c>
      <c r="AA3" s="85" t="s">
        <v>85</v>
      </c>
      <c r="AB3" s="215" t="s">
        <v>84</v>
      </c>
      <c r="AC3" s="215" t="s">
        <v>85</v>
      </c>
      <c r="AD3" s="215" t="s">
        <v>83</v>
      </c>
    </row>
    <row r="4" spans="1:30" ht="45" customHeight="1" x14ac:dyDescent="0.25">
      <c r="A4" s="16" t="str">
        <f>'M-Servicio'!B3</f>
        <v>sedeDeLaBarberia</v>
      </c>
      <c r="B4" s="17" t="str">
        <f>'M-Servicio'!B2</f>
        <v>Representa a cual barberia y sede va a pertenecer el servicio</v>
      </c>
      <c r="C4" s="16" t="s">
        <v>80</v>
      </c>
      <c r="D4" s="212" t="s">
        <v>30</v>
      </c>
      <c r="E4" s="16" t="s">
        <v>77</v>
      </c>
      <c r="F4" s="16" t="s">
        <v>79</v>
      </c>
      <c r="G4" s="16" t="s">
        <v>79</v>
      </c>
      <c r="H4" s="16" t="s">
        <v>79</v>
      </c>
      <c r="I4" s="16" t="s">
        <v>79</v>
      </c>
      <c r="J4" s="16" t="s">
        <v>79</v>
      </c>
      <c r="K4" s="16" t="s">
        <v>79</v>
      </c>
      <c r="L4" s="16" t="s">
        <v>79</v>
      </c>
      <c r="M4" s="17" t="s">
        <v>331</v>
      </c>
      <c r="N4" s="16" t="s">
        <v>80</v>
      </c>
      <c r="O4" s="16" t="s">
        <v>79</v>
      </c>
      <c r="P4" s="16" t="s">
        <v>79</v>
      </c>
      <c r="Q4" s="16" t="s">
        <v>79</v>
      </c>
      <c r="R4" s="16" t="s">
        <v>79</v>
      </c>
      <c r="S4" s="16" t="s">
        <v>80</v>
      </c>
      <c r="T4" s="16" t="s">
        <v>81</v>
      </c>
      <c r="U4" s="16" t="s">
        <v>80</v>
      </c>
      <c r="V4" s="85" t="s">
        <v>84</v>
      </c>
      <c r="W4" s="86" t="s">
        <v>82</v>
      </c>
      <c r="X4" s="86" t="s">
        <v>85</v>
      </c>
      <c r="Y4" s="87" t="s">
        <v>83</v>
      </c>
      <c r="Z4" s="85" t="s">
        <v>82</v>
      </c>
      <c r="AA4" s="85" t="s">
        <v>85</v>
      </c>
      <c r="AB4" s="215" t="s">
        <v>82</v>
      </c>
      <c r="AC4" s="215" t="s">
        <v>85</v>
      </c>
      <c r="AD4" s="215" t="s">
        <v>83</v>
      </c>
    </row>
    <row r="5" spans="1:30" ht="45" customHeight="1" x14ac:dyDescent="0.25">
      <c r="A5" s="16" t="str">
        <f>'M-Servicio'!C3</f>
        <v>nombre</v>
      </c>
      <c r="B5" s="17" t="str">
        <f>'M-Servicio'!C2</f>
        <v>Representa el nombre del servicio que va estar en la barberia, para que el barbero elija los servicios que el sabe hacer</v>
      </c>
      <c r="C5" s="16" t="s">
        <v>80</v>
      </c>
      <c r="D5" s="16" t="s">
        <v>86</v>
      </c>
      <c r="E5" s="16" t="s">
        <v>77</v>
      </c>
      <c r="F5" s="16">
        <v>3</v>
      </c>
      <c r="G5" s="16">
        <v>50</v>
      </c>
      <c r="H5" s="16" t="s">
        <v>79</v>
      </c>
      <c r="I5" s="16" t="s">
        <v>79</v>
      </c>
      <c r="J5" s="16" t="s">
        <v>79</v>
      </c>
      <c r="K5" s="16" t="s">
        <v>79</v>
      </c>
      <c r="L5" s="16" t="s">
        <v>79</v>
      </c>
      <c r="M5" s="17" t="s">
        <v>708</v>
      </c>
      <c r="N5" s="16" t="s">
        <v>80</v>
      </c>
      <c r="O5" s="16" t="s">
        <v>79</v>
      </c>
      <c r="P5" s="16" t="s">
        <v>79</v>
      </c>
      <c r="Q5" s="16" t="s">
        <v>77</v>
      </c>
      <c r="R5" s="16" t="s">
        <v>77</v>
      </c>
      <c r="S5" s="16" t="s">
        <v>80</v>
      </c>
      <c r="T5" s="16" t="s">
        <v>88</v>
      </c>
      <c r="U5" s="16" t="s">
        <v>80</v>
      </c>
      <c r="V5" s="85" t="s">
        <v>84</v>
      </c>
      <c r="W5" s="86" t="s">
        <v>84</v>
      </c>
      <c r="X5" s="86" t="s">
        <v>90</v>
      </c>
      <c r="Y5" s="87" t="s">
        <v>89</v>
      </c>
      <c r="Z5" s="85" t="s">
        <v>82</v>
      </c>
      <c r="AA5" s="85" t="s">
        <v>85</v>
      </c>
      <c r="AB5" s="215" t="s">
        <v>82</v>
      </c>
      <c r="AC5" s="215" t="s">
        <v>85</v>
      </c>
      <c r="AD5" s="215" t="s">
        <v>89</v>
      </c>
    </row>
    <row r="6" spans="1:30" ht="45" customHeight="1" x14ac:dyDescent="0.25">
      <c r="A6" s="16" t="str">
        <f>'M-Servicio'!D3</f>
        <v>descripcion</v>
      </c>
      <c r="B6" s="17" t="str">
        <f>'M-Servicio'!D2</f>
        <v>Representa una descripcion de que va a hacer cada servicio en la barberia, para que el barbero sepa que hace el servicio</v>
      </c>
      <c r="C6" s="16" t="s">
        <v>80</v>
      </c>
      <c r="D6" s="16" t="s">
        <v>86</v>
      </c>
      <c r="E6" s="16" t="s">
        <v>80</v>
      </c>
      <c r="F6" s="16">
        <v>0</v>
      </c>
      <c r="G6" s="16">
        <v>200</v>
      </c>
      <c r="H6" s="16" t="s">
        <v>79</v>
      </c>
      <c r="I6" s="16" t="s">
        <v>79</v>
      </c>
      <c r="J6" s="16" t="s">
        <v>79</v>
      </c>
      <c r="K6" s="16" t="s">
        <v>79</v>
      </c>
      <c r="L6" s="16" t="s">
        <v>79</v>
      </c>
      <c r="M6" s="17" t="s">
        <v>236</v>
      </c>
      <c r="N6" s="16" t="s">
        <v>80</v>
      </c>
      <c r="O6" s="16" t="s">
        <v>79</v>
      </c>
      <c r="P6" s="16" t="s">
        <v>79</v>
      </c>
      <c r="Q6" s="16" t="s">
        <v>77</v>
      </c>
      <c r="R6" s="16" t="s">
        <v>77</v>
      </c>
      <c r="S6" s="16" t="s">
        <v>80</v>
      </c>
      <c r="T6" s="16" t="s">
        <v>88</v>
      </c>
      <c r="U6" s="16" t="s">
        <v>80</v>
      </c>
      <c r="V6" s="85" t="s">
        <v>84</v>
      </c>
      <c r="W6" s="86" t="s">
        <v>84</v>
      </c>
      <c r="X6" s="86" t="s">
        <v>90</v>
      </c>
      <c r="Y6" s="87" t="s">
        <v>89</v>
      </c>
      <c r="Z6" s="85" t="s">
        <v>82</v>
      </c>
      <c r="AA6" s="85" t="s">
        <v>85</v>
      </c>
      <c r="AB6" s="215" t="s">
        <v>82</v>
      </c>
      <c r="AC6" s="215" t="s">
        <v>85</v>
      </c>
      <c r="AD6" s="215" t="s">
        <v>89</v>
      </c>
    </row>
    <row r="7" spans="1:30" ht="30" customHeight="1" x14ac:dyDescent="0.25">
      <c r="A7" s="16" t="str">
        <f>'M-Servicio'!E3</f>
        <v>precio</v>
      </c>
      <c r="B7" s="17" t="str">
        <f>'M-Servicio'!E2</f>
        <v>Representa cuanto va a valer el servicio en pesos colombianos</v>
      </c>
      <c r="C7" s="16" t="s">
        <v>80</v>
      </c>
      <c r="D7" s="16" t="s">
        <v>361</v>
      </c>
      <c r="E7" s="16" t="s">
        <v>77</v>
      </c>
      <c r="F7" s="16" t="s">
        <v>79</v>
      </c>
      <c r="G7" s="16" t="s">
        <v>79</v>
      </c>
      <c r="H7" s="16" t="s">
        <v>79</v>
      </c>
      <c r="I7" s="16" t="s">
        <v>79</v>
      </c>
      <c r="J7" s="16">
        <v>0</v>
      </c>
      <c r="K7" s="88">
        <v>2000000</v>
      </c>
      <c r="L7" s="16" t="s">
        <v>79</v>
      </c>
      <c r="M7" s="16" t="s">
        <v>79</v>
      </c>
      <c r="N7" s="16" t="s">
        <v>80</v>
      </c>
      <c r="O7" s="16" t="s">
        <v>79</v>
      </c>
      <c r="P7" s="16" t="s">
        <v>79</v>
      </c>
      <c r="Q7" s="16" t="s">
        <v>79</v>
      </c>
      <c r="R7" s="16" t="s">
        <v>79</v>
      </c>
      <c r="S7" s="16" t="s">
        <v>80</v>
      </c>
      <c r="T7" s="16">
        <v>0</v>
      </c>
      <c r="U7" s="16" t="s">
        <v>80</v>
      </c>
      <c r="V7" s="85" t="s">
        <v>84</v>
      </c>
      <c r="W7" s="86" t="s">
        <v>84</v>
      </c>
      <c r="X7" s="86" t="s">
        <v>90</v>
      </c>
      <c r="Y7" s="87" t="s">
        <v>89</v>
      </c>
      <c r="Z7" s="85" t="s">
        <v>82</v>
      </c>
      <c r="AA7" s="85" t="s">
        <v>85</v>
      </c>
      <c r="AB7" s="215" t="s">
        <v>82</v>
      </c>
      <c r="AC7" s="215" t="s">
        <v>85</v>
      </c>
      <c r="AD7" s="215" t="s">
        <v>89</v>
      </c>
    </row>
    <row r="8" spans="1:30" ht="30" customHeight="1" x14ac:dyDescent="0.25">
      <c r="A8" s="16" t="str">
        <f>'M-Servicio'!F3</f>
        <v>disponible</v>
      </c>
      <c r="B8" s="17" t="str">
        <f>'M-Servicio'!F2</f>
        <v>Representa si el servicio sigue o no disponible en la barberia</v>
      </c>
      <c r="C8" s="16" t="s">
        <v>80</v>
      </c>
      <c r="D8" s="16" t="s">
        <v>334</v>
      </c>
      <c r="E8" s="16" t="s">
        <v>77</v>
      </c>
      <c r="F8" s="16" t="s">
        <v>79</v>
      </c>
      <c r="G8" s="16" t="s">
        <v>79</v>
      </c>
      <c r="H8" s="16" t="s">
        <v>79</v>
      </c>
      <c r="I8" s="16" t="s">
        <v>79</v>
      </c>
      <c r="J8" s="16" t="s">
        <v>79</v>
      </c>
      <c r="K8" s="16" t="s">
        <v>79</v>
      </c>
      <c r="L8" s="16" t="s">
        <v>79</v>
      </c>
      <c r="M8" s="16" t="s">
        <v>79</v>
      </c>
      <c r="N8" s="16" t="s">
        <v>80</v>
      </c>
      <c r="O8" s="16" t="s">
        <v>79</v>
      </c>
      <c r="P8" s="16" t="s">
        <v>79</v>
      </c>
      <c r="Q8" s="16" t="s">
        <v>79</v>
      </c>
      <c r="R8" s="16" t="s">
        <v>79</v>
      </c>
      <c r="S8" s="16" t="s">
        <v>80</v>
      </c>
      <c r="T8" s="16" t="s">
        <v>77</v>
      </c>
      <c r="U8" s="16" t="s">
        <v>77</v>
      </c>
      <c r="V8" s="85" t="s">
        <v>82</v>
      </c>
      <c r="W8" s="86" t="s">
        <v>82</v>
      </c>
      <c r="X8" s="86" t="s">
        <v>85</v>
      </c>
      <c r="Y8" s="87" t="s">
        <v>83</v>
      </c>
      <c r="Z8" s="85" t="s">
        <v>82</v>
      </c>
      <c r="AA8" s="85" t="s">
        <v>90</v>
      </c>
      <c r="AB8" s="215" t="s">
        <v>82</v>
      </c>
      <c r="AC8" s="215" t="s">
        <v>90</v>
      </c>
      <c r="AD8" s="215" t="s">
        <v>83</v>
      </c>
    </row>
    <row r="9" spans="1:30" ht="15" customHeight="1" x14ac:dyDescent="0.25">
      <c r="A9" s="5"/>
      <c r="B9" s="5"/>
      <c r="C9" s="5"/>
      <c r="D9" s="5"/>
      <c r="E9" s="5"/>
      <c r="F9" s="5"/>
      <c r="G9" s="5"/>
      <c r="H9" s="5"/>
      <c r="I9" s="5"/>
      <c r="J9" s="5"/>
      <c r="K9" s="5"/>
      <c r="L9" s="5"/>
      <c r="M9" s="5"/>
      <c r="N9" s="5"/>
      <c r="O9" s="5"/>
      <c r="P9" s="5"/>
      <c r="Q9" s="5"/>
      <c r="R9" s="5"/>
      <c r="S9" s="5"/>
      <c r="T9" s="5"/>
      <c r="U9" s="5"/>
    </row>
    <row r="10" spans="1:30" ht="15" customHeight="1" x14ac:dyDescent="0.25">
      <c r="A10" s="19" t="s">
        <v>93</v>
      </c>
      <c r="B10" s="19" t="s">
        <v>94</v>
      </c>
      <c r="C10" s="19" t="s">
        <v>95</v>
      </c>
      <c r="D10" s="89"/>
      <c r="E10" s="89"/>
      <c r="F10" s="89"/>
      <c r="G10" s="89"/>
      <c r="H10" s="89"/>
      <c r="I10" s="89"/>
      <c r="J10" s="89"/>
      <c r="K10" s="89"/>
      <c r="L10" s="89"/>
      <c r="M10" s="89"/>
      <c r="N10" s="89"/>
      <c r="O10" s="89"/>
      <c r="P10" s="89"/>
      <c r="Q10" s="89"/>
      <c r="R10" s="89"/>
      <c r="S10" s="89"/>
      <c r="T10" s="89"/>
      <c r="U10" s="89"/>
    </row>
    <row r="11" spans="1:30" ht="30" customHeight="1" x14ac:dyDescent="0.25">
      <c r="A11" s="378" t="str">
        <f>'M-Servicio'!G3</f>
        <v xml:space="preserve">Combinacion única </v>
      </c>
      <c r="B11" s="379" t="str">
        <f>'M-Servicio'!G2</f>
        <v>Combinacion única que indica que no puede existir más de un servicio con el mismo nombre en la misma barberia y sede</v>
      </c>
      <c r="C11" s="22" t="str">
        <f>A4</f>
        <v>sedeDeLaBarberia</v>
      </c>
      <c r="D11" s="5"/>
      <c r="E11" s="5"/>
      <c r="F11" s="5"/>
      <c r="G11" s="5"/>
      <c r="H11" s="5"/>
      <c r="I11" s="5"/>
      <c r="J11" s="5"/>
      <c r="K11" s="5"/>
      <c r="L11" s="5"/>
      <c r="M11" s="5"/>
      <c r="N11" s="5"/>
      <c r="O11" s="5"/>
      <c r="P11" s="5"/>
      <c r="Q11" s="5"/>
      <c r="R11" s="5"/>
      <c r="S11" s="5"/>
      <c r="T11" s="5"/>
      <c r="U11" s="5"/>
    </row>
    <row r="12" spans="1:30" ht="30" customHeight="1" x14ac:dyDescent="0.25">
      <c r="A12" s="281"/>
      <c r="B12" s="281"/>
      <c r="C12" s="22" t="str">
        <f>A5</f>
        <v>nombre</v>
      </c>
    </row>
    <row r="13" spans="1:30" ht="15" customHeight="1" x14ac:dyDescent="0.25">
      <c r="A13" s="90"/>
      <c r="B13" s="90"/>
      <c r="C13" s="90"/>
      <c r="D13" s="90"/>
      <c r="E13" s="90"/>
      <c r="F13" s="90"/>
      <c r="G13" s="90"/>
      <c r="H13" s="90"/>
      <c r="I13" s="90"/>
      <c r="J13" s="90"/>
      <c r="K13" s="90"/>
      <c r="L13" s="90"/>
      <c r="M13" s="90"/>
      <c r="N13" s="90"/>
      <c r="O13" s="90"/>
      <c r="P13" s="90"/>
      <c r="Q13" s="90"/>
      <c r="R13" s="90"/>
      <c r="S13" s="90"/>
      <c r="T13" s="90"/>
      <c r="U13" s="90"/>
    </row>
    <row r="14" spans="1:30" ht="15" customHeight="1" x14ac:dyDescent="0.25">
      <c r="A14" s="320" t="s">
        <v>96</v>
      </c>
      <c r="B14" s="321"/>
      <c r="C14" s="323" t="s">
        <v>94</v>
      </c>
      <c r="D14" s="326"/>
      <c r="E14" s="326"/>
      <c r="F14" s="321"/>
      <c r="G14" s="323" t="s">
        <v>97</v>
      </c>
      <c r="H14" s="290"/>
      <c r="I14" s="291"/>
      <c r="J14" s="323" t="s">
        <v>98</v>
      </c>
      <c r="K14" s="290"/>
      <c r="L14" s="290"/>
      <c r="M14" s="290"/>
      <c r="N14" s="291"/>
      <c r="O14" s="323" t="s">
        <v>99</v>
      </c>
      <c r="P14" s="291"/>
      <c r="Q14" s="323" t="s">
        <v>100</v>
      </c>
      <c r="R14" s="291"/>
    </row>
    <row r="15" spans="1:30" ht="15" customHeight="1" x14ac:dyDescent="0.25">
      <c r="A15" s="322"/>
      <c r="B15" s="312"/>
      <c r="C15" s="310"/>
      <c r="D15" s="311"/>
      <c r="E15" s="311"/>
      <c r="F15" s="312"/>
      <c r="G15" s="3" t="s">
        <v>101</v>
      </c>
      <c r="H15" s="3" t="s">
        <v>59</v>
      </c>
      <c r="I15" s="3" t="s">
        <v>94</v>
      </c>
      <c r="J15" s="3" t="s">
        <v>102</v>
      </c>
      <c r="K15" s="325" t="s">
        <v>94</v>
      </c>
      <c r="L15" s="303"/>
      <c r="M15" s="303"/>
      <c r="N15" s="279"/>
      <c r="O15" s="3" t="s">
        <v>103</v>
      </c>
      <c r="P15" s="3" t="s">
        <v>94</v>
      </c>
      <c r="Q15" s="3" t="s">
        <v>104</v>
      </c>
      <c r="R15" s="23" t="s">
        <v>105</v>
      </c>
    </row>
    <row r="16" spans="1:30" ht="63.75" customHeight="1" x14ac:dyDescent="0.25">
      <c r="A16" s="425" t="s">
        <v>709</v>
      </c>
      <c r="B16" s="309"/>
      <c r="C16" s="336" t="s">
        <v>710</v>
      </c>
      <c r="D16" s="308"/>
      <c r="E16" s="308"/>
      <c r="F16" s="309"/>
      <c r="G16" s="336" t="s">
        <v>711</v>
      </c>
      <c r="H16" s="375" t="s">
        <v>36</v>
      </c>
      <c r="I16" s="336" t="s">
        <v>712</v>
      </c>
      <c r="J16" s="430" t="s">
        <v>36</v>
      </c>
      <c r="K16" s="336" t="s">
        <v>713</v>
      </c>
      <c r="L16" s="308"/>
      <c r="M16" s="308"/>
      <c r="N16" s="309"/>
      <c r="O16" s="105" t="str">
        <f>'P-Servicio'!A6</f>
        <v>P-SER-0001</v>
      </c>
      <c r="P16" s="25" t="str">
        <f>'P-Servicio'!B6</f>
        <v>Asegurar que los datos requeridos del servicio (sede de la barbería, nombre, descripción, precio) sean válidos</v>
      </c>
      <c r="Q16" s="25" t="s">
        <v>714</v>
      </c>
      <c r="R16" s="110" t="s">
        <v>112</v>
      </c>
    </row>
    <row r="17" spans="1:18" ht="51" customHeight="1" x14ac:dyDescent="0.25">
      <c r="A17" s="322"/>
      <c r="B17" s="312"/>
      <c r="C17" s="310"/>
      <c r="D17" s="311"/>
      <c r="E17" s="311"/>
      <c r="F17" s="312"/>
      <c r="G17" s="281"/>
      <c r="H17" s="281"/>
      <c r="I17" s="281"/>
      <c r="J17" s="281"/>
      <c r="K17" s="310"/>
      <c r="L17" s="311"/>
      <c r="M17" s="311"/>
      <c r="N17" s="312"/>
      <c r="O17" s="105" t="str">
        <f>'P-Servicio'!A7</f>
        <v>P-SER-0002</v>
      </c>
      <c r="P17" s="25" t="str">
        <f>'P-Servicio'!B7</f>
        <v>Asegurar que no exista otro servicio registrado con el mismo nombre en la misma sede de la barbería</v>
      </c>
      <c r="Q17" s="25" t="s">
        <v>715</v>
      </c>
      <c r="R17" s="110" t="s">
        <v>112</v>
      </c>
    </row>
    <row r="18" spans="1:18" ht="51" customHeight="1" x14ac:dyDescent="0.25">
      <c r="A18" s="396" t="s">
        <v>716</v>
      </c>
      <c r="B18" s="309"/>
      <c r="C18" s="366" t="s">
        <v>717</v>
      </c>
      <c r="D18" s="308"/>
      <c r="E18" s="308"/>
      <c r="F18" s="309"/>
      <c r="G18" s="113" t="s">
        <v>116</v>
      </c>
      <c r="H18" s="113" t="s">
        <v>117</v>
      </c>
      <c r="I18" s="91" t="s">
        <v>718</v>
      </c>
      <c r="J18" s="377" t="s">
        <v>36</v>
      </c>
      <c r="K18" s="366" t="s">
        <v>719</v>
      </c>
      <c r="L18" s="308"/>
      <c r="M18" s="308"/>
      <c r="N18" s="309"/>
      <c r="O18" s="216" t="str">
        <f>'P-Servicio'!A9</f>
        <v>P-SER-0004</v>
      </c>
      <c r="P18" s="216" t="str">
        <f>'P-Servicio'!B9</f>
        <v>Asegurar que exista el servicio con el id enviado</v>
      </c>
      <c r="Q18" s="216" t="s">
        <v>720</v>
      </c>
      <c r="R18" s="112" t="s">
        <v>112</v>
      </c>
    </row>
    <row r="19" spans="1:18" ht="63.75" customHeight="1" x14ac:dyDescent="0.25">
      <c r="A19" s="299"/>
      <c r="B19" s="370"/>
      <c r="C19" s="369"/>
      <c r="D19" s="299"/>
      <c r="E19" s="299"/>
      <c r="F19" s="370"/>
      <c r="G19" s="366" t="s">
        <v>711</v>
      </c>
      <c r="H19" s="367" t="s">
        <v>36</v>
      </c>
      <c r="I19" s="366" t="s">
        <v>721</v>
      </c>
      <c r="J19" s="284"/>
      <c r="K19" s="369"/>
      <c r="L19" s="299"/>
      <c r="M19" s="299"/>
      <c r="N19" s="370"/>
      <c r="O19" s="111" t="str">
        <f>'P-Servicio'!A6</f>
        <v>P-SER-0001</v>
      </c>
      <c r="P19" s="64" t="str">
        <f>'P-Servicio'!B6</f>
        <v>Asegurar que los datos requeridos del servicio (sede de la barbería, nombre, descripción, precio) sean válidos</v>
      </c>
      <c r="Q19" s="64" t="s">
        <v>714</v>
      </c>
      <c r="R19" s="112" t="s">
        <v>112</v>
      </c>
    </row>
    <row r="20" spans="1:18" ht="51" customHeight="1" x14ac:dyDescent="0.25">
      <c r="A20" s="311"/>
      <c r="B20" s="312"/>
      <c r="C20" s="310"/>
      <c r="D20" s="311"/>
      <c r="E20" s="311"/>
      <c r="F20" s="312"/>
      <c r="G20" s="281"/>
      <c r="H20" s="281"/>
      <c r="I20" s="281"/>
      <c r="J20" s="281"/>
      <c r="K20" s="310"/>
      <c r="L20" s="311"/>
      <c r="M20" s="311"/>
      <c r="N20" s="312"/>
      <c r="O20" s="111" t="str">
        <f>'P-Servicio'!A7</f>
        <v>P-SER-0002</v>
      </c>
      <c r="P20" s="64" t="str">
        <f>'P-Servicio'!B7</f>
        <v>Asegurar que no exista otro servicio registrado con el mismo nombre en la misma sede de la barbería</v>
      </c>
      <c r="Q20" s="64" t="s">
        <v>715</v>
      </c>
      <c r="R20" s="112" t="s">
        <v>112</v>
      </c>
    </row>
    <row r="21" spans="1:18" ht="48.75" customHeight="1" x14ac:dyDescent="0.25">
      <c r="A21" s="422" t="s">
        <v>722</v>
      </c>
      <c r="B21" s="279"/>
      <c r="C21" s="421" t="s">
        <v>723</v>
      </c>
      <c r="D21" s="303"/>
      <c r="E21" s="303"/>
      <c r="F21" s="279"/>
      <c r="G21" s="114" t="s">
        <v>724</v>
      </c>
      <c r="H21" s="210" t="s">
        <v>30</v>
      </c>
      <c r="I21" s="68" t="s">
        <v>725</v>
      </c>
      <c r="J21" s="211" t="s">
        <v>582</v>
      </c>
      <c r="K21" s="421" t="s">
        <v>726</v>
      </c>
      <c r="L21" s="303"/>
      <c r="M21" s="303"/>
      <c r="N21" s="279"/>
      <c r="O21" s="426"/>
      <c r="P21" s="303"/>
      <c r="Q21" s="303"/>
      <c r="R21" s="427"/>
    </row>
    <row r="22" spans="1:18" ht="51" customHeight="1" x14ac:dyDescent="0.25">
      <c r="A22" s="554" t="s">
        <v>727</v>
      </c>
      <c r="B22" s="555"/>
      <c r="C22" s="560" t="s">
        <v>728</v>
      </c>
      <c r="D22" s="561"/>
      <c r="E22" s="561"/>
      <c r="F22" s="562"/>
      <c r="G22" s="569" t="s">
        <v>116</v>
      </c>
      <c r="H22" s="569" t="s">
        <v>117</v>
      </c>
      <c r="I22" s="526" t="s">
        <v>729</v>
      </c>
      <c r="J22" s="560" t="s">
        <v>133</v>
      </c>
      <c r="K22" s="561"/>
      <c r="L22" s="561"/>
      <c r="M22" s="561"/>
      <c r="N22" s="562"/>
      <c r="O22" s="105" t="str">
        <f>'P-Servicio'!A8</f>
        <v>P-SER-0003</v>
      </c>
      <c r="P22" s="25" t="str">
        <f>'P-Servicio'!B8</f>
        <v>Asegurar que el servicio a retirar no esté siendo ofrecido actualmente por ningún barbero vigente</v>
      </c>
      <c r="Q22" s="25" t="s">
        <v>730</v>
      </c>
      <c r="R22" s="110" t="s">
        <v>112</v>
      </c>
    </row>
    <row r="23" spans="1:18" ht="38.25" customHeight="1" x14ac:dyDescent="0.25">
      <c r="A23" s="556"/>
      <c r="B23" s="557"/>
      <c r="C23" s="563"/>
      <c r="D23" s="564"/>
      <c r="E23" s="564"/>
      <c r="F23" s="565"/>
      <c r="G23" s="570"/>
      <c r="H23" s="570"/>
      <c r="I23" s="572"/>
      <c r="J23" s="563"/>
      <c r="K23" s="564"/>
      <c r="L23" s="564"/>
      <c r="M23" s="564"/>
      <c r="N23" s="565"/>
      <c r="O23" s="217" t="str">
        <f>'P-Servicio'!A9</f>
        <v>P-SER-0004</v>
      </c>
      <c r="P23" s="218" t="str">
        <f>'P-Servicio'!B9</f>
        <v>Asegurar que exista el servicio con el id enviado</v>
      </c>
      <c r="Q23" s="218" t="s">
        <v>731</v>
      </c>
      <c r="R23" s="110" t="s">
        <v>112</v>
      </c>
    </row>
    <row r="24" spans="1:18" ht="38.25" customHeight="1" x14ac:dyDescent="0.25">
      <c r="A24" s="556"/>
      <c r="B24" s="557"/>
      <c r="C24" s="563"/>
      <c r="D24" s="564"/>
      <c r="E24" s="564"/>
      <c r="F24" s="565"/>
      <c r="G24" s="570"/>
      <c r="H24" s="570"/>
      <c r="I24" s="572"/>
      <c r="J24" s="563"/>
      <c r="K24" s="564"/>
      <c r="L24" s="564"/>
      <c r="M24" s="564"/>
      <c r="N24" s="565"/>
      <c r="O24" s="217" t="str">
        <f>'P-Servicio'!A11</f>
        <v>P-SER-0006</v>
      </c>
      <c r="P24" s="218" t="str">
        <f>'P-Servicio'!B11</f>
        <v>Asegurar que el servicio que se va a retirar no se encuentre retirado (disponible = si)</v>
      </c>
      <c r="Q24" s="25" t="s">
        <v>732</v>
      </c>
      <c r="R24" s="110" t="s">
        <v>112</v>
      </c>
    </row>
    <row r="25" spans="1:18" ht="102" x14ac:dyDescent="0.25">
      <c r="A25" s="558"/>
      <c r="B25" s="559"/>
      <c r="C25" s="566"/>
      <c r="D25" s="567"/>
      <c r="E25" s="567"/>
      <c r="F25" s="568"/>
      <c r="G25" s="571"/>
      <c r="H25" s="571"/>
      <c r="I25" s="527"/>
      <c r="J25" s="566"/>
      <c r="K25" s="567"/>
      <c r="L25" s="567"/>
      <c r="M25" s="567"/>
      <c r="N25" s="568"/>
      <c r="O25" s="227" t="str">
        <f>'P-Servicio'!A12</f>
        <v>P-SER-0007</v>
      </c>
      <c r="P25" s="228" t="str">
        <f>'P-Servicio'!B12</f>
        <v>Cuando el administrador retire un servicio de una sede de la barbería, las citas futuras en estado Agendada que incluyan ese servicio deben quedar canceladas en el estado Cancelación; las citas pasadas no se modifican</v>
      </c>
      <c r="Q25" s="25" t="s">
        <v>733</v>
      </c>
      <c r="R25" s="110" t="s">
        <v>112</v>
      </c>
    </row>
    <row r="26" spans="1:18" ht="25.5" customHeight="1" x14ac:dyDescent="0.25">
      <c r="A26" s="431" t="s">
        <v>734</v>
      </c>
      <c r="B26" s="309"/>
      <c r="C26" s="428" t="s">
        <v>735</v>
      </c>
      <c r="D26" s="308"/>
      <c r="E26" s="308"/>
      <c r="F26" s="309"/>
      <c r="G26" s="428" t="s">
        <v>116</v>
      </c>
      <c r="H26" s="383" t="s">
        <v>117</v>
      </c>
      <c r="I26" s="428" t="s">
        <v>736</v>
      </c>
      <c r="J26" s="428" t="s">
        <v>133</v>
      </c>
      <c r="K26" s="308"/>
      <c r="L26" s="308"/>
      <c r="M26" s="308"/>
      <c r="N26" s="309"/>
      <c r="O26" s="219" t="str">
        <f>'P-Servicio'!A9</f>
        <v>P-SER-0004</v>
      </c>
      <c r="P26" s="220" t="str">
        <f>'P-Servicio'!B9</f>
        <v>Asegurar que exista el servicio con el id enviado</v>
      </c>
      <c r="Q26" s="220" t="s">
        <v>737</v>
      </c>
      <c r="R26" s="221" t="s">
        <v>112</v>
      </c>
    </row>
    <row r="27" spans="1:18" ht="51" customHeight="1" x14ac:dyDescent="0.25">
      <c r="A27" s="322"/>
      <c r="B27" s="312"/>
      <c r="C27" s="310"/>
      <c r="D27" s="311"/>
      <c r="E27" s="311"/>
      <c r="F27" s="312"/>
      <c r="G27" s="281"/>
      <c r="H27" s="281"/>
      <c r="I27" s="281"/>
      <c r="J27" s="310"/>
      <c r="K27" s="311"/>
      <c r="L27" s="311"/>
      <c r="M27" s="311"/>
      <c r="N27" s="312"/>
      <c r="O27" s="219" t="str">
        <f>'P-Servicio'!A10</f>
        <v>P-SER-0005</v>
      </c>
      <c r="P27" s="220" t="str">
        <f>'P-Servicio'!B10</f>
        <v>Asegurar que el servicio que se va a volver a ofrecer se encuentre retirado (disponible = no)</v>
      </c>
      <c r="Q27" s="220" t="s">
        <v>738</v>
      </c>
      <c r="R27" s="221" t="s">
        <v>112</v>
      </c>
    </row>
    <row r="28" spans="1:18" ht="63.75" customHeight="1" x14ac:dyDescent="0.25">
      <c r="A28" s="425" t="s">
        <v>739</v>
      </c>
      <c r="B28" s="279"/>
      <c r="C28" s="336" t="s">
        <v>740</v>
      </c>
      <c r="D28" s="303"/>
      <c r="E28" s="303"/>
      <c r="F28" s="279"/>
      <c r="G28" s="223" t="s">
        <v>724</v>
      </c>
      <c r="H28" s="225" t="s">
        <v>30</v>
      </c>
      <c r="I28" s="223" t="s">
        <v>741</v>
      </c>
      <c r="J28" s="224" t="s">
        <v>582</v>
      </c>
      <c r="K28" s="336" t="s">
        <v>742</v>
      </c>
      <c r="L28" s="303"/>
      <c r="M28" s="303"/>
      <c r="N28" s="279"/>
      <c r="O28" s="492"/>
      <c r="P28" s="493"/>
      <c r="Q28" s="493"/>
      <c r="R28" s="494"/>
    </row>
  </sheetData>
  <mergeCells count="46">
    <mergeCell ref="H22:H25"/>
    <mergeCell ref="I22:I25"/>
    <mergeCell ref="J22:N25"/>
    <mergeCell ref="O28:R28"/>
    <mergeCell ref="B11:B12"/>
    <mergeCell ref="I16:I17"/>
    <mergeCell ref="C16:F17"/>
    <mergeCell ref="A14:B15"/>
    <mergeCell ref="J26:N27"/>
    <mergeCell ref="G19:G20"/>
    <mergeCell ref="I26:I27"/>
    <mergeCell ref="G14:I14"/>
    <mergeCell ref="A21:B21"/>
    <mergeCell ref="C14:F15"/>
    <mergeCell ref="H26:H27"/>
    <mergeCell ref="A26:B27"/>
    <mergeCell ref="J14:N14"/>
    <mergeCell ref="A22:B25"/>
    <mergeCell ref="C22:F25"/>
    <mergeCell ref="Z2:AA2"/>
    <mergeCell ref="K21:N21"/>
    <mergeCell ref="H16:H17"/>
    <mergeCell ref="AB2:AC2"/>
    <mergeCell ref="A18:B20"/>
    <mergeCell ref="I19:I20"/>
    <mergeCell ref="G16:G17"/>
    <mergeCell ref="W2:X2"/>
    <mergeCell ref="A16:B17"/>
    <mergeCell ref="A11:A12"/>
    <mergeCell ref="Q14:R14"/>
    <mergeCell ref="K15:N15"/>
    <mergeCell ref="J16:J17"/>
    <mergeCell ref="H19:H20"/>
    <mergeCell ref="K18:N20"/>
    <mergeCell ref="J18:J20"/>
    <mergeCell ref="A28:B28"/>
    <mergeCell ref="O14:P14"/>
    <mergeCell ref="C21:F21"/>
    <mergeCell ref="O21:R21"/>
    <mergeCell ref="K16:N17"/>
    <mergeCell ref="C28:F28"/>
    <mergeCell ref="C26:F27"/>
    <mergeCell ref="K28:N28"/>
    <mergeCell ref="C18:F20"/>
    <mergeCell ref="G26:G27"/>
    <mergeCell ref="G22:G25"/>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V2" location="'C-Servicio'!A16" display="#'C-Servicio'.A14" xr:uid="{00000000-0004-0000-3200-000002000000}"/>
    <hyperlink ref="W2" location="'C-Servicio'!A18" display="#'C-Servicio'.A16" xr:uid="{00000000-0004-0000-3200-000003000000}"/>
    <hyperlink ref="Y2" location="'C-Servicio'!A21" display="#'C-Servicio'.A19" xr:uid="{00000000-0004-0000-3200-000004000000}"/>
    <hyperlink ref="Z2" location="'C-Servicio'!A22" display="#'C-Servicio'.A20" xr:uid="{00000000-0004-0000-3200-000005000000}"/>
    <hyperlink ref="AB2" location="'C-Servicio'!A26" display="'C-Servicio'!A25" xr:uid="{00000000-0004-0000-3200-000006000000}"/>
    <hyperlink ref="AD2" location="'C-Servicio'!A28" display="'C-Servicio'!A28" xr:uid="{00000000-0004-0000-3200-000007000000}"/>
    <hyperlink ref="A3" location="'M-Servicio'!A3" display="'M-Servicio'!A3" xr:uid="{00000000-0004-0000-3200-000008000000}"/>
    <hyperlink ref="B3" location="'M-Servicio'!A2" display="'M-Servicio'!A2" xr:uid="{00000000-0004-0000-3200-000009000000}"/>
    <hyperlink ref="A4" location="'M-Servicio'!A3" display="'M-Servicio'!A3" xr:uid="{00000000-0004-0000-3200-00000A000000}"/>
    <hyperlink ref="B4" location="'M-Servicio'!A2" display="'M-Servicio'!A2" xr:uid="{00000000-0004-0000-3200-00000B000000}"/>
    <hyperlink ref="D4" location="'C-Sede'!A1" display="Sede" xr:uid="{00000000-0004-0000-3200-00000C000000}"/>
    <hyperlink ref="A5" location="'M-Servicio'!A3" display="'M-Servicio'!A3" xr:uid="{00000000-0004-0000-3200-00000D000000}"/>
    <hyperlink ref="B5" location="'M-Servicio'!A2" display="'M-Servicio'!A2" xr:uid="{00000000-0004-0000-3200-00000E000000}"/>
    <hyperlink ref="A6" location="'M-Servicio'!A3" display="'M-Servicio'!A3" xr:uid="{00000000-0004-0000-3200-00000F000000}"/>
    <hyperlink ref="B6" location="'M-Servicio'!A2" display="'M-Servicio'!A2" xr:uid="{00000000-0004-0000-3200-000010000000}"/>
    <hyperlink ref="A7" location="'M-Servicio'!A3" display="'M-Servicio'!A3" xr:uid="{00000000-0004-0000-3200-000011000000}"/>
    <hyperlink ref="B7" location="'M-Servicio'!A2" display="'M-Servicio'!A2" xr:uid="{00000000-0004-0000-3200-000012000000}"/>
    <hyperlink ref="A8" location="'M-Servicio'!A3" display="'M-Servicio'!A3" xr:uid="{00000000-0004-0000-3200-000013000000}"/>
    <hyperlink ref="B8" location="'M-Servicio'!A2" display="'M-Servicio'!A2" xr:uid="{00000000-0004-0000-3200-000014000000}"/>
    <hyperlink ref="A11" location="'M-Servicio'!A3" display="'M-Servicio'!A3" xr:uid="{00000000-0004-0000-3200-000015000000}"/>
    <hyperlink ref="B11" location="'M-Servicio'!A2" display="'M-Servicio'!A2" xr:uid="{00000000-0004-0000-3200-000016000000}"/>
    <hyperlink ref="A16" location="'C-Servicio'!V2" display="ofrecerServicioNuevo" xr:uid="{00000000-0004-0000-3200-000017000000}"/>
    <hyperlink ref="A18" location="'C-Servicio'!W2" display="editarServicio" xr:uid="{00000000-0004-0000-3200-000018000000}"/>
    <hyperlink ref="A21" location="'C-Servicio'!Y2" display="consultarServiciosDisponibles" xr:uid="{00000000-0004-0000-3200-000019000000}"/>
    <hyperlink ref="A22" location="'C-Servicio'!Z2" display="retirarServicio" xr:uid="{00000000-0004-0000-3200-00001A000000}"/>
    <hyperlink ref="A26" location="'C-Servicio'!AA2" display="reactivarServicio" xr:uid="{00000000-0004-0000-3200-00001B000000}"/>
    <hyperlink ref="A28" location="'C-Servicio'!AD2" display="consultarServiciosNoDisponibles" xr:uid="{00000000-0004-0000-3200-00001C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3"/>
  <sheetViews>
    <sheetView showGridLines="0" zoomScale="115" zoomScaleNormal="115" workbookViewId="0">
      <selection activeCell="A6" sqref="A6"/>
    </sheetView>
  </sheetViews>
  <sheetFormatPr baseColWidth="10" defaultColWidth="8.7109375" defaultRowHeight="15" x14ac:dyDescent="0.25"/>
  <cols>
    <col min="1" max="1" width="21.42578125" customWidth="1"/>
    <col min="2" max="2" width="29.140625" customWidth="1"/>
    <col min="3" max="3" width="37.140625" customWidth="1"/>
    <col min="4" max="4" width="38"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Dominio'!A15</f>
        <v>Servicio</v>
      </c>
      <c r="C2" s="290"/>
      <c r="D2" s="290"/>
      <c r="E2" s="291"/>
    </row>
    <row r="3" spans="1:5" ht="30" customHeight="1" x14ac:dyDescent="0.25">
      <c r="A3" s="30" t="s">
        <v>140</v>
      </c>
      <c r="B3" s="336" t="str">
        <f>'Objetos de Dominio'!B15</f>
        <v>Representa cada tipo de corte o arreglo que ofrece la barbería, definido por el administrador, para que luego cada barbero decida cuáles sabe hacer.</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743</v>
      </c>
      <c r="B6" s="348" t="s">
        <v>744</v>
      </c>
      <c r="C6" s="279"/>
      <c r="D6" s="31" t="s">
        <v>36</v>
      </c>
      <c r="E6" s="31"/>
    </row>
    <row r="7" spans="1:5" ht="30" customHeight="1" x14ac:dyDescent="0.25">
      <c r="A7" s="8" t="s">
        <v>745</v>
      </c>
      <c r="B7" s="348" t="s">
        <v>746</v>
      </c>
      <c r="C7" s="279"/>
      <c r="D7" s="31" t="s">
        <v>36</v>
      </c>
      <c r="E7" s="31"/>
    </row>
    <row r="8" spans="1:5" ht="30" customHeight="1" x14ac:dyDescent="0.25">
      <c r="A8" s="8" t="s">
        <v>747</v>
      </c>
      <c r="B8" s="348" t="s">
        <v>748</v>
      </c>
      <c r="C8" s="279"/>
      <c r="D8" s="31" t="s">
        <v>38</v>
      </c>
      <c r="E8" s="31"/>
    </row>
    <row r="9" spans="1:5" ht="15" customHeight="1" x14ac:dyDescent="0.25">
      <c r="A9" s="8" t="s">
        <v>749</v>
      </c>
      <c r="B9" s="348" t="s">
        <v>750</v>
      </c>
      <c r="C9" s="279"/>
      <c r="D9" s="31" t="s">
        <v>36</v>
      </c>
      <c r="E9" s="31"/>
    </row>
    <row r="10" spans="1:5" ht="30" customHeight="1" x14ac:dyDescent="0.25">
      <c r="A10" s="8" t="s">
        <v>751</v>
      </c>
      <c r="B10" s="348" t="s">
        <v>752</v>
      </c>
      <c r="C10" s="279"/>
      <c r="D10" s="31" t="s">
        <v>36</v>
      </c>
      <c r="E10" s="31"/>
    </row>
    <row r="11" spans="1:5" ht="30.75" customHeight="1" x14ac:dyDescent="0.25">
      <c r="A11" s="8" t="s">
        <v>753</v>
      </c>
      <c r="B11" s="348" t="s">
        <v>754</v>
      </c>
      <c r="C11" s="279"/>
      <c r="D11" s="31" t="s">
        <v>36</v>
      </c>
      <c r="E11" s="31"/>
    </row>
    <row r="12" spans="1:5" ht="30.75" customHeight="1" x14ac:dyDescent="0.25">
      <c r="A12" s="8" t="s">
        <v>755</v>
      </c>
      <c r="B12" s="348" t="s">
        <v>756</v>
      </c>
      <c r="C12" s="279"/>
      <c r="D12" s="31" t="s">
        <v>46</v>
      </c>
      <c r="E12" s="31"/>
    </row>
    <row r="13" spans="1:5" ht="30.75" customHeight="1" x14ac:dyDescent="0.25">
      <c r="A13" s="8" t="s">
        <v>1340</v>
      </c>
      <c r="B13" s="348" t="s">
        <v>600</v>
      </c>
      <c r="C13" s="279"/>
      <c r="D13" s="31" t="s">
        <v>32</v>
      </c>
      <c r="E13" s="31"/>
    </row>
  </sheetData>
  <mergeCells count="14">
    <mergeCell ref="A4:A5"/>
    <mergeCell ref="E4:E5"/>
    <mergeCell ref="D4:D5"/>
    <mergeCell ref="B10:C10"/>
    <mergeCell ref="B13:C13"/>
    <mergeCell ref="B3:E3"/>
    <mergeCell ref="B2:E2"/>
    <mergeCell ref="B9:C9"/>
    <mergeCell ref="B8:C8"/>
    <mergeCell ref="B12:C12"/>
    <mergeCell ref="B4:C5"/>
    <mergeCell ref="B6:C6"/>
    <mergeCell ref="B7:C7"/>
    <mergeCell ref="B11:C11"/>
  </mergeCells>
  <phoneticPr fontId="33" type="noConversion"/>
  <hyperlinks>
    <hyperlink ref="A1" location="'Modelo de Dominio'!A1" display="&lt;&lt; Ir al modelo de dominio" xr:uid="{00000000-0004-0000-3300-000000000000}"/>
    <hyperlink ref="B1" location="'Objetos de Dominio'!A1" display="&lt;&lt; Ir al listado de objetos de dominio" xr:uid="{00000000-0004-0000-3300-000001000000}"/>
    <hyperlink ref="C1" location="'C-Servicio'!A1" display="&lt;&lt; Ir a la caracterización del objeto de dominio" xr:uid="{00000000-0004-0000-3300-000002000000}"/>
    <hyperlink ref="D1" location="'M-Servicio'!A1" display="Ir al muestreo de datos del objeto de dominio &gt;&gt;" xr:uid="{00000000-0004-0000-3300-000003000000}"/>
    <hyperlink ref="E1" location="'E-Servicio'!A1" display="Ir al event storming del objeto de dominio &gt;&gt;" xr:uid="{00000000-0004-0000-3300-000004000000}"/>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9"/>
  <sheetViews>
    <sheetView showGridLines="0" topLeftCell="C1" zoomScale="115" zoomScaleNormal="115" workbookViewId="0">
      <selection activeCell="F1" sqref="F1:I1"/>
    </sheetView>
  </sheetViews>
  <sheetFormatPr baseColWidth="10" defaultColWidth="8.7109375" defaultRowHeight="15" x14ac:dyDescent="0.25"/>
  <cols>
    <col min="1" max="1" width="16.5703125" bestFit="1"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Dominio'!A15</f>
        <v>Servicio</v>
      </c>
      <c r="C2" s="290"/>
      <c r="D2" s="290"/>
      <c r="E2" s="290"/>
      <c r="F2" s="290"/>
      <c r="G2" s="290"/>
      <c r="H2" s="290"/>
      <c r="I2" s="290"/>
      <c r="J2" s="290"/>
      <c r="K2" s="291"/>
    </row>
    <row r="3" spans="1:11" ht="30" customHeight="1" x14ac:dyDescent="0.25">
      <c r="A3" s="30" t="s">
        <v>140</v>
      </c>
      <c r="B3" s="306" t="str">
        <f>'Objetos de Dominio'!B15</f>
        <v>Representa cada tipo de corte o arreglo que ofrece la barbería, definido por el administrador, para que luego cada barbero decida cuáles sabe hacer.</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273" t="s">
        <v>168</v>
      </c>
      <c r="B7" s="272" t="s">
        <v>757</v>
      </c>
      <c r="C7" s="272" t="s">
        <v>1339</v>
      </c>
      <c r="D7" s="273" t="str">
        <f>$B$2</f>
        <v>Servicio</v>
      </c>
      <c r="E7" s="272"/>
      <c r="F7" s="418"/>
      <c r="G7" s="226" t="str">
        <f>'P-Servicio'!A6</f>
        <v>P-SER-0001</v>
      </c>
      <c r="H7" s="249" t="s">
        <v>602</v>
      </c>
      <c r="I7" s="416"/>
      <c r="J7" s="272" t="s">
        <v>758</v>
      </c>
      <c r="K7" s="272"/>
    </row>
    <row r="8" spans="1:11" ht="30" customHeight="1" x14ac:dyDescent="0.25">
      <c r="A8" s="281"/>
      <c r="B8" s="281"/>
      <c r="C8" s="281"/>
      <c r="D8" s="281"/>
      <c r="E8" s="281"/>
      <c r="F8" s="417"/>
      <c r="G8" s="226" t="str">
        <f>'P-Servicio'!A7</f>
        <v>P-SER-0002</v>
      </c>
      <c r="H8" s="249" t="s">
        <v>602</v>
      </c>
      <c r="I8" s="417"/>
      <c r="J8" s="281"/>
      <c r="K8" s="281"/>
    </row>
    <row r="9" spans="1:11" ht="30" customHeight="1" x14ac:dyDescent="0.25">
      <c r="A9" s="273" t="s">
        <v>168</v>
      </c>
      <c r="B9" s="272" t="s">
        <v>759</v>
      </c>
      <c r="C9" s="272" t="s">
        <v>717</v>
      </c>
      <c r="D9" s="273" t="str">
        <f>$B$2</f>
        <v>Servicio</v>
      </c>
      <c r="E9" s="272"/>
      <c r="F9" s="418"/>
      <c r="G9" s="226" t="str">
        <f>'P-Servicio'!A6</f>
        <v>P-SER-0001</v>
      </c>
      <c r="H9" s="249" t="s">
        <v>602</v>
      </c>
      <c r="I9" s="416"/>
      <c r="J9" s="272" t="s">
        <v>760</v>
      </c>
      <c r="K9" s="272"/>
    </row>
    <row r="10" spans="1:11" ht="30" customHeight="1" x14ac:dyDescent="0.25">
      <c r="A10" s="281"/>
      <c r="B10" s="281"/>
      <c r="C10" s="281"/>
      <c r="D10" s="281"/>
      <c r="E10" s="281"/>
      <c r="F10" s="417"/>
      <c r="G10" s="226" t="str">
        <f>'P-Servicio'!A7</f>
        <v>P-SER-0002</v>
      </c>
      <c r="H10" s="249" t="s">
        <v>602</v>
      </c>
      <c r="I10" s="417"/>
      <c r="J10" s="281"/>
      <c r="K10" s="281"/>
    </row>
    <row r="11" spans="1:11" ht="30" customHeight="1" x14ac:dyDescent="0.25">
      <c r="A11" s="41" t="s">
        <v>168</v>
      </c>
      <c r="B11" s="42" t="s">
        <v>761</v>
      </c>
      <c r="C11" s="42" t="s">
        <v>762</v>
      </c>
      <c r="D11" s="41" t="str">
        <f>$B$2</f>
        <v>Servicio</v>
      </c>
      <c r="E11" s="42"/>
      <c r="F11" s="245"/>
      <c r="G11" s="246"/>
      <c r="H11" s="247"/>
      <c r="I11" s="246"/>
      <c r="J11" s="42" t="s">
        <v>763</v>
      </c>
      <c r="K11" s="42"/>
    </row>
    <row r="12" spans="1:11" ht="30" customHeight="1" x14ac:dyDescent="0.25">
      <c r="A12" s="41" t="s">
        <v>32</v>
      </c>
      <c r="B12" s="42" t="s">
        <v>761</v>
      </c>
      <c r="C12" s="42" t="s">
        <v>762</v>
      </c>
      <c r="D12" s="41" t="str">
        <f>$B$2</f>
        <v>Servicio</v>
      </c>
      <c r="E12" s="41" t="s">
        <v>32</v>
      </c>
      <c r="F12" s="245" t="s">
        <v>764</v>
      </c>
      <c r="G12" s="226" t="str">
        <f>'P-Servicio'!A13</f>
        <v>P-SER-0008</v>
      </c>
      <c r="H12" s="249" t="s">
        <v>602</v>
      </c>
      <c r="I12" s="246"/>
      <c r="J12" s="42" t="s">
        <v>763</v>
      </c>
      <c r="K12" s="42"/>
    </row>
    <row r="13" spans="1:11" ht="30" customHeight="1" x14ac:dyDescent="0.25">
      <c r="A13" s="41" t="s">
        <v>26</v>
      </c>
      <c r="B13" s="42" t="s">
        <v>761</v>
      </c>
      <c r="C13" s="42" t="s">
        <v>762</v>
      </c>
      <c r="D13" s="41" t="str">
        <f>$B$2</f>
        <v>Servicio</v>
      </c>
      <c r="E13" s="42"/>
      <c r="F13" s="245"/>
      <c r="G13" s="246"/>
      <c r="H13" s="247"/>
      <c r="I13" s="246"/>
      <c r="J13" s="42" t="s">
        <v>763</v>
      </c>
      <c r="K13" s="42"/>
    </row>
    <row r="14" spans="1:11" ht="30" customHeight="1" x14ac:dyDescent="0.25">
      <c r="A14" s="275" t="s">
        <v>168</v>
      </c>
      <c r="B14" s="275" t="s">
        <v>1341</v>
      </c>
      <c r="C14" s="275" t="s">
        <v>765</v>
      </c>
      <c r="D14" s="275" t="str">
        <f>$B$2</f>
        <v>Servicio</v>
      </c>
      <c r="E14" s="41" t="s">
        <v>48</v>
      </c>
      <c r="F14" s="245" t="s">
        <v>766</v>
      </c>
      <c r="G14" s="226" t="str">
        <f>'P-Servicio'!A8</f>
        <v>P-SER-0003</v>
      </c>
      <c r="H14" s="249" t="s">
        <v>602</v>
      </c>
      <c r="I14" s="433"/>
      <c r="J14" s="269" t="s">
        <v>767</v>
      </c>
      <c r="K14" s="275"/>
    </row>
    <row r="15" spans="1:11" ht="30" customHeight="1" x14ac:dyDescent="0.25">
      <c r="A15" s="276"/>
      <c r="B15" s="276"/>
      <c r="C15" s="276"/>
      <c r="D15" s="276"/>
      <c r="E15" s="41" t="s">
        <v>46</v>
      </c>
      <c r="F15" s="245" t="s">
        <v>768</v>
      </c>
      <c r="G15" s="226" t="str">
        <f>'P-Servicio'!A11</f>
        <v>P-SER-0006</v>
      </c>
      <c r="H15" s="250" t="s">
        <v>602</v>
      </c>
      <c r="I15" s="434"/>
      <c r="J15" s="270"/>
      <c r="K15" s="276"/>
    </row>
    <row r="16" spans="1:11" ht="40.5" x14ac:dyDescent="0.25">
      <c r="A16" s="276"/>
      <c r="B16" s="276"/>
      <c r="C16" s="276"/>
      <c r="D16" s="276"/>
      <c r="E16" s="41" t="s">
        <v>44</v>
      </c>
      <c r="F16" s="245" t="s">
        <v>522</v>
      </c>
      <c r="G16" s="436" t="str">
        <f>'P-Servicio'!A12</f>
        <v>P-SER-0007</v>
      </c>
      <c r="H16" s="432" t="s">
        <v>602</v>
      </c>
      <c r="I16" s="434"/>
      <c r="J16" s="270"/>
      <c r="K16" s="276"/>
    </row>
    <row r="17" spans="1:11" ht="30" customHeight="1" x14ac:dyDescent="0.25">
      <c r="A17" s="277"/>
      <c r="B17" s="277"/>
      <c r="C17" s="277"/>
      <c r="D17" s="277"/>
      <c r="E17" s="41" t="s">
        <v>18</v>
      </c>
      <c r="F17" s="245" t="s">
        <v>693</v>
      </c>
      <c r="G17" s="436"/>
      <c r="H17" s="432"/>
      <c r="I17" s="435"/>
      <c r="J17" s="271"/>
      <c r="K17" s="277"/>
    </row>
    <row r="18" spans="1:11" ht="30" customHeight="1" x14ac:dyDescent="0.25">
      <c r="A18" s="41" t="s">
        <v>168</v>
      </c>
      <c r="B18" s="42" t="s">
        <v>1342</v>
      </c>
      <c r="C18" s="42" t="s">
        <v>769</v>
      </c>
      <c r="D18" s="41" t="str">
        <f>$B$2</f>
        <v>Servicio</v>
      </c>
      <c r="E18" s="42"/>
      <c r="F18" s="245"/>
      <c r="G18" s="226" t="str">
        <f>'P-Servicio'!A10</f>
        <v>P-SER-0005</v>
      </c>
      <c r="H18" s="249" t="s">
        <v>602</v>
      </c>
      <c r="I18" s="248"/>
      <c r="J18" s="137" t="s">
        <v>770</v>
      </c>
      <c r="K18" s="137"/>
    </row>
    <row r="19" spans="1:11" ht="27" customHeight="1" x14ac:dyDescent="0.25">
      <c r="A19" s="41" t="s">
        <v>168</v>
      </c>
      <c r="B19" s="42" t="s">
        <v>1343</v>
      </c>
      <c r="C19" s="42" t="s">
        <v>771</v>
      </c>
      <c r="D19" s="41" t="str">
        <f>$B$2</f>
        <v>Servicio</v>
      </c>
      <c r="E19" s="42"/>
      <c r="F19" s="245"/>
      <c r="G19" s="246"/>
      <c r="H19" s="247"/>
      <c r="I19" s="246"/>
      <c r="J19" s="42" t="s">
        <v>763</v>
      </c>
      <c r="K19" s="42"/>
    </row>
  </sheetData>
  <mergeCells count="45">
    <mergeCell ref="A9:A10"/>
    <mergeCell ref="K5:K6"/>
    <mergeCell ref="C5:C6"/>
    <mergeCell ref="F1:I1"/>
    <mergeCell ref="D7:D8"/>
    <mergeCell ref="B2:K2"/>
    <mergeCell ref="G4:H4"/>
    <mergeCell ref="I9:I10"/>
    <mergeCell ref="J5:J6"/>
    <mergeCell ref="K9:K10"/>
    <mergeCell ref="B4:C4"/>
    <mergeCell ref="B7:B8"/>
    <mergeCell ref="F7:F8"/>
    <mergeCell ref="C1:E1"/>
    <mergeCell ref="J9:J10"/>
    <mergeCell ref="J1:K1"/>
    <mergeCell ref="I7:I8"/>
    <mergeCell ref="A1:B1"/>
    <mergeCell ref="B3:K3"/>
    <mergeCell ref="I5:I6"/>
    <mergeCell ref="A5:A6"/>
    <mergeCell ref="K7:K8"/>
    <mergeCell ref="E4:F4"/>
    <mergeCell ref="A7:A8"/>
    <mergeCell ref="J7:J8"/>
    <mergeCell ref="B9:B10"/>
    <mergeCell ref="D9:D10"/>
    <mergeCell ref="F9:F10"/>
    <mergeCell ref="G5:H5"/>
    <mergeCell ref="C7:C8"/>
    <mergeCell ref="E7:E8"/>
    <mergeCell ref="B5:B6"/>
    <mergeCell ref="D5:D6"/>
    <mergeCell ref="C9:C10"/>
    <mergeCell ref="E9:E10"/>
    <mergeCell ref="E5:F5"/>
    <mergeCell ref="H16:H17"/>
    <mergeCell ref="J14:J17"/>
    <mergeCell ref="I14:I17"/>
    <mergeCell ref="K14:K17"/>
    <mergeCell ref="A14:A17"/>
    <mergeCell ref="B14:B17"/>
    <mergeCell ref="C14:C17"/>
    <mergeCell ref="D14:D17"/>
    <mergeCell ref="G16:G17"/>
  </mergeCells>
  <hyperlinks>
    <hyperlink ref="A1" location="'Modelo de Dominio'!A1" display="&lt;&lt; Ir al modelo de dominio" xr:uid="{00000000-0004-0000-3400-000000000000}"/>
    <hyperlink ref="C1" location="'Objetos de Dominio'!A1" display="&lt;&lt; Ir al listado de objetos de dominio" xr:uid="{00000000-0004-0000-3400-000001000000}"/>
    <hyperlink ref="F1" location="'C-Servicio'!A1" display="&lt;&lt; Ir a la caracterización del objeto de dominio" xr:uid="{00000000-0004-0000-3400-000002000000}"/>
    <hyperlink ref="J1" location="'M-Servicio'!A1" display="Ir al muestreo de datos del objeto de dominio &gt;&gt;" xr:uid="{00000000-0004-0000-3400-000003000000}"/>
    <hyperlink ref="G7" location="'P-Servicio'!A6" display="#'P-Servicio'.A6" xr:uid="{00000000-0004-0000-3400-000004000000}"/>
    <hyperlink ref="H7" location="'P-Servicio'!B6" display="aquí" xr:uid="{00000000-0004-0000-3400-000005000000}"/>
    <hyperlink ref="G8" location="'P-Servicio'!A7" display="#'P-Servicio'.A7" xr:uid="{00000000-0004-0000-3400-000006000000}"/>
    <hyperlink ref="H8" location="'P-Servicio'!B7" display="aquí" xr:uid="{00000000-0004-0000-3400-000007000000}"/>
    <hyperlink ref="G9" location="'P-Servicio'!A6" display="#'P-Servicio'.A6" xr:uid="{00000000-0004-0000-3400-000008000000}"/>
    <hyperlink ref="H9" location="'P-Servicio'!B6" display="aquí" xr:uid="{00000000-0004-0000-3400-000009000000}"/>
    <hyperlink ref="G10" location="'P-Servicio'!A7" display="#'P-Servicio'.A7" xr:uid="{00000000-0004-0000-3400-00000A000000}"/>
    <hyperlink ref="H10" location="'P-Servicio'!B7" display="aquí" xr:uid="{00000000-0004-0000-3400-00000B000000}"/>
    <hyperlink ref="E12" location="'C-Barbero'!A1" display="Barbero" xr:uid="{00000000-0004-0000-3400-00000C000000}"/>
    <hyperlink ref="E14" location="'C-CitaServicio'!A1" display="CitaServicio" xr:uid="{00000000-0004-0000-3400-00000F000000}"/>
    <hyperlink ref="G14" location="'P-Servicio'!A8" display="#'P-Servicio'.A8" xr:uid="{00000000-0004-0000-3400-000010000000}"/>
    <hyperlink ref="H14" location="'P-Servicio'!B8" display="aquí" xr:uid="{00000000-0004-0000-3400-000011000000}"/>
    <hyperlink ref="E15" location="'C-Cita'!A1" display="Cita" xr:uid="{00000000-0004-0000-3400-000012000000}"/>
    <hyperlink ref="H15" location="'P-Servicio'!B11" display="aquí" xr:uid="{00000000-0004-0000-3400-000013000000}"/>
    <hyperlink ref="E16" location="'C-Agenda'!A1" display="Agenda" xr:uid="{00000000-0004-0000-3400-000014000000}"/>
    <hyperlink ref="E17" location="'C-Estado'!A1" display="Estado" xr:uid="{00000000-0004-0000-3400-000015000000}"/>
    <hyperlink ref="G16" location="'P-Servicio'!A12" display="'P-Servicio'!A12" xr:uid="{00000000-0004-0000-3400-000016000000}"/>
    <hyperlink ref="H16" location="'P-Servicio'!B12" display="aquí" xr:uid="{00000000-0004-0000-3400-000017000000}"/>
    <hyperlink ref="G18" location="'P-Servicio'!A10" display="'P-Servicio'!A10" xr:uid="{00000000-0004-0000-3400-000018000000}"/>
    <hyperlink ref="H18" location="'P-Servicio'!B10" display="aquí" xr:uid="{00000000-0004-0000-3400-000019000000}"/>
    <hyperlink ref="H12" location="'P-Servicio'!B7" display="aquí" xr:uid="{E5243C88-2852-4223-81DF-C18EB188B73E}"/>
  </hyperlinks>
  <pageMargins left="0.75" right="0.75" top="1" bottom="1" header="0.511811023622047" footer="0.511811023622047"/>
  <pageSetup paperSize="9" orientation="portrait" horizontalDpi="300" verticalDpi="300"/>
  <ignoredErrors>
    <ignoredError sqref="G8:G9"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0"/>
  <sheetViews>
    <sheetView zoomScale="130" zoomScaleNormal="130" workbookViewId="0">
      <selection activeCell="B1" sqref="B1"/>
    </sheetView>
  </sheetViews>
  <sheetFormatPr baseColWidth="10" defaultColWidth="8.7109375" defaultRowHeight="15" x14ac:dyDescent="0.25"/>
  <cols>
    <col min="1" max="1" width="27" customWidth="1"/>
    <col min="2" max="3" width="26.140625" customWidth="1"/>
    <col min="4" max="4" width="20.85546875" customWidth="1"/>
    <col min="5" max="5" width="22.85546875" customWidth="1"/>
    <col min="6" max="6" width="12.28515625" customWidth="1"/>
    <col min="7" max="7" width="34.42578125" bestFit="1" customWidth="1"/>
  </cols>
  <sheetData>
    <row r="1" spans="1:7" ht="14.25" customHeight="1" x14ac:dyDescent="0.25">
      <c r="A1" s="4" t="s">
        <v>0</v>
      </c>
      <c r="B1" s="4" t="s">
        <v>55</v>
      </c>
      <c r="C1" s="4"/>
      <c r="D1" s="94"/>
      <c r="E1" s="95"/>
      <c r="F1" s="95"/>
      <c r="G1" s="51"/>
    </row>
    <row r="2" spans="1:7" ht="42.75" customHeight="1" x14ac:dyDescent="0.25">
      <c r="A2" s="44" t="s">
        <v>183</v>
      </c>
      <c r="B2" s="44" t="s">
        <v>772</v>
      </c>
      <c r="C2" s="44" t="s">
        <v>773</v>
      </c>
      <c r="D2" s="44" t="s">
        <v>774</v>
      </c>
      <c r="E2" s="44" t="s">
        <v>775</v>
      </c>
      <c r="F2" s="44" t="s">
        <v>776</v>
      </c>
      <c r="G2" s="96" t="s">
        <v>777</v>
      </c>
    </row>
    <row r="3" spans="1:7" ht="14.25" customHeight="1" x14ac:dyDescent="0.25">
      <c r="A3" s="97" t="s">
        <v>116</v>
      </c>
      <c r="B3" s="204" t="s">
        <v>702</v>
      </c>
      <c r="C3" s="98" t="s">
        <v>187</v>
      </c>
      <c r="D3" s="98" t="s">
        <v>267</v>
      </c>
      <c r="E3" s="98" t="s">
        <v>778</v>
      </c>
      <c r="F3" s="99" t="s">
        <v>779</v>
      </c>
      <c r="G3" s="48" t="s">
        <v>780</v>
      </c>
    </row>
    <row r="4" spans="1:7" ht="61.5" customHeight="1" x14ac:dyDescent="0.25">
      <c r="A4" s="100">
        <v>1</v>
      </c>
      <c r="B4" s="214" t="str">
        <f>'M-Sede'!F4</f>
        <v>900123456-7-Sede Poblado</v>
      </c>
      <c r="C4" s="100" t="s">
        <v>781</v>
      </c>
      <c r="D4" s="101" t="s">
        <v>782</v>
      </c>
      <c r="E4" s="102">
        <v>22000</v>
      </c>
      <c r="F4" s="102" t="s">
        <v>442</v>
      </c>
      <c r="G4" s="79" t="str">
        <f>_xlfn.CONCAT(B4,"-",C4)</f>
        <v>900123456-7-Sede Poblado-Motilada</v>
      </c>
    </row>
    <row r="5" spans="1:7" ht="66" customHeight="1" x14ac:dyDescent="0.25">
      <c r="A5" s="100">
        <v>2</v>
      </c>
      <c r="B5" s="214" t="str">
        <f>'M-Sede'!F4</f>
        <v>900123456-7-Sede Poblado</v>
      </c>
      <c r="C5" s="100" t="s">
        <v>783</v>
      </c>
      <c r="D5" s="101" t="s">
        <v>784</v>
      </c>
      <c r="E5" s="102">
        <v>12000</v>
      </c>
      <c r="F5" s="102" t="s">
        <v>442</v>
      </c>
      <c r="G5" s="79" t="str">
        <f>_xlfn.CONCAT(B5,"-",C5)</f>
        <v>900123456-7-Sede Poblado-Corte de barba</v>
      </c>
    </row>
    <row r="6" spans="1:7" ht="60.75" customHeight="1" x14ac:dyDescent="0.25">
      <c r="A6" s="100">
        <v>3</v>
      </c>
      <c r="B6" s="214" t="str">
        <f>'M-Sede'!F4</f>
        <v>900123456-7-Sede Poblado</v>
      </c>
      <c r="C6" s="100" t="s">
        <v>785</v>
      </c>
      <c r="D6" s="101" t="s">
        <v>786</v>
      </c>
      <c r="E6" s="102">
        <v>15000</v>
      </c>
      <c r="F6" s="102" t="s">
        <v>442</v>
      </c>
      <c r="G6" s="79" t="str">
        <f>_xlfn.CONCAT(B6,"-",C6)</f>
        <v>900123456-7-Sede Poblado-Perfilada de barba</v>
      </c>
    </row>
    <row r="7" spans="1:7" ht="60.75" customHeight="1" x14ac:dyDescent="0.25">
      <c r="A7" s="100">
        <v>4</v>
      </c>
      <c r="B7" s="214" t="str">
        <f>'M-Sede'!F4</f>
        <v>900123456-7-Sede Poblado</v>
      </c>
      <c r="C7" s="101" t="s">
        <v>787</v>
      </c>
      <c r="D7" s="101" t="s">
        <v>788</v>
      </c>
      <c r="E7" s="102">
        <v>35000</v>
      </c>
      <c r="F7" s="102" t="s">
        <v>442</v>
      </c>
      <c r="G7" s="79" t="str">
        <f>_xlfn.CONCAT(B7,"-",C7)</f>
        <v>900123456-7-Sede Poblado-Arreglo completo de barba con toalla caliente</v>
      </c>
    </row>
    <row r="13" spans="1:7" ht="28.5" customHeight="1" x14ac:dyDescent="0.25">
      <c r="A13" s="52"/>
      <c r="B13" s="53" t="s">
        <v>194</v>
      </c>
      <c r="C13" s="53"/>
    </row>
    <row r="14" spans="1:7" ht="28.5" customHeight="1" x14ac:dyDescent="0.25">
      <c r="A14" s="54"/>
      <c r="B14" s="53" t="s">
        <v>195</v>
      </c>
      <c r="C14" s="53"/>
    </row>
    <row r="15" spans="1:7" ht="42.75" customHeight="1" x14ac:dyDescent="0.25">
      <c r="A15" s="120"/>
      <c r="B15" s="53" t="s">
        <v>443</v>
      </c>
      <c r="C15" s="53"/>
    </row>
    <row r="16" spans="1:7" ht="42.75" customHeight="1" x14ac:dyDescent="0.25">
      <c r="A16" s="55"/>
      <c r="B16" s="53" t="s">
        <v>196</v>
      </c>
      <c r="C16" s="53"/>
    </row>
    <row r="17" spans="1:3" ht="28.5" customHeight="1" x14ac:dyDescent="0.25">
      <c r="A17" s="103"/>
      <c r="B17" s="53" t="s">
        <v>642</v>
      </c>
      <c r="C17" s="53"/>
    </row>
    <row r="18" spans="1:3" ht="28.5" customHeight="1" x14ac:dyDescent="0.25">
      <c r="A18" s="56"/>
      <c r="B18" s="53" t="s">
        <v>197</v>
      </c>
      <c r="C18" s="53"/>
    </row>
    <row r="19" spans="1:3" ht="28.5" customHeight="1" x14ac:dyDescent="0.25">
      <c r="B19" s="53"/>
      <c r="C19" s="53"/>
    </row>
    <row r="20" spans="1:3" ht="28.5" customHeight="1" x14ac:dyDescent="0.25">
      <c r="B20" s="53"/>
      <c r="C20" s="53"/>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 ref="B4" location="'M-Sede'!A4" display="'M-Sede'!A4" xr:uid="{00000000-0004-0000-3500-000002000000}"/>
    <hyperlink ref="B5" location="'M-Sede'!A4" display="'M-Sede'!A4" xr:uid="{00000000-0004-0000-3500-000003000000}"/>
    <hyperlink ref="B6" location="'M-Sede'!A4" display="'M-Sede'!A4" xr:uid="{00000000-0004-0000-3500-000004000000}"/>
    <hyperlink ref="B7" location="'M-Sede'!A4" display="'M-Sede'!A4" xr:uid="{00000000-0004-0000-3500-000005000000}"/>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B28"/>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6" max="6" width="15.5703125" customWidth="1"/>
    <col min="7" max="7" width="24.28515625" customWidth="1"/>
    <col min="8" max="8" width="17.140625" customWidth="1"/>
    <col min="9" max="9" width="19" customWidth="1"/>
    <col min="10" max="10" width="19.140625" customWidth="1"/>
    <col min="11" max="11" width="13" customWidth="1"/>
    <col min="12" max="12" width="11.42578125" customWidth="1"/>
    <col min="13" max="13" width="40" customWidth="1"/>
    <col min="14" max="14" width="18" customWidth="1"/>
    <col min="15" max="15" width="13" customWidth="1"/>
    <col min="16" max="16" width="21.7109375" customWidth="1"/>
    <col min="17" max="17" width="18.5703125" customWidth="1"/>
    <col min="18" max="18" width="16.28515625" customWidth="1"/>
    <col min="20" max="20" width="10.42578125" customWidth="1"/>
    <col min="22" max="22" width="23.5703125" customWidth="1"/>
    <col min="23" max="23" width="13" customWidth="1"/>
    <col min="24" max="24" width="15.42578125" customWidth="1"/>
    <col min="25" max="25" width="25.28515625" customWidth="1"/>
    <col min="26" max="26" width="27" customWidth="1"/>
    <col min="27" max="27" width="25.28515625" customWidth="1"/>
    <col min="28" max="28" width="24.140625" customWidth="1"/>
  </cols>
  <sheetData>
    <row r="1" spans="1:28" ht="15" customHeight="1" x14ac:dyDescent="0.25">
      <c r="A1" s="4" t="s">
        <v>0</v>
      </c>
      <c r="B1" s="4" t="s">
        <v>55</v>
      </c>
    </row>
    <row r="2" spans="1:28"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A17</f>
        <v>habilitarServicioBarbero</v>
      </c>
      <c r="W2" s="360" t="str">
        <f>A20</f>
        <v>ajustarTiemposServicioBarbero</v>
      </c>
      <c r="X2" s="279"/>
      <c r="Y2" s="84" t="str">
        <f>A23</f>
        <v>consultarServiciosElegidos</v>
      </c>
      <c r="Z2" s="82" t="str">
        <f>A24</f>
        <v>consultarServiciosDeBarbero</v>
      </c>
      <c r="AA2" s="83" t="str">
        <f>A25</f>
        <v>desactivarServicioBarbero</v>
      </c>
      <c r="AB2" s="67" t="str">
        <f>A27</f>
        <v>reactivarServicioBarbero</v>
      </c>
    </row>
    <row r="3" spans="1:28" ht="45" customHeight="1" x14ac:dyDescent="0.25">
      <c r="A3" s="107" t="str">
        <f>'M-BarberoServicio'!A3</f>
        <v>id</v>
      </c>
      <c r="B3" s="145" t="str">
        <f>'M-BarberoServicio'!A2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79</v>
      </c>
      <c r="P3" s="107" t="s">
        <v>79</v>
      </c>
      <c r="Q3" s="107" t="s">
        <v>79</v>
      </c>
      <c r="R3" s="107" t="s">
        <v>79</v>
      </c>
      <c r="S3" s="107" t="s">
        <v>80</v>
      </c>
      <c r="T3" s="107" t="s">
        <v>81</v>
      </c>
      <c r="U3" s="107" t="s">
        <v>77</v>
      </c>
      <c r="V3" s="85" t="s">
        <v>82</v>
      </c>
      <c r="W3" s="86" t="s">
        <v>84</v>
      </c>
      <c r="X3" s="86" t="s">
        <v>85</v>
      </c>
      <c r="Y3" s="87" t="s">
        <v>83</v>
      </c>
      <c r="Z3" s="85" t="s">
        <v>83</v>
      </c>
      <c r="AA3" s="86" t="s">
        <v>84</v>
      </c>
      <c r="AB3" s="67" t="s">
        <v>84</v>
      </c>
    </row>
    <row r="4" spans="1:28" ht="27.75" customHeight="1" x14ac:dyDescent="0.25">
      <c r="A4" s="107" t="str">
        <f>'M-BarberoServicio'!B3</f>
        <v>barbero</v>
      </c>
      <c r="B4" s="145" t="str">
        <f>'M-BarberoServicio'!B2</f>
        <v>Representa el nombre y apellidos del barbero</v>
      </c>
      <c r="C4" s="107" t="s">
        <v>80</v>
      </c>
      <c r="D4" s="146" t="s">
        <v>32</v>
      </c>
      <c r="E4" s="107" t="s">
        <v>77</v>
      </c>
      <c r="F4" s="107" t="s">
        <v>79</v>
      </c>
      <c r="G4" s="107" t="s">
        <v>79</v>
      </c>
      <c r="H4" s="107" t="s">
        <v>79</v>
      </c>
      <c r="I4" s="107" t="s">
        <v>79</v>
      </c>
      <c r="J4" s="107" t="s">
        <v>79</v>
      </c>
      <c r="K4" s="107" t="s">
        <v>79</v>
      </c>
      <c r="L4" s="107" t="s">
        <v>79</v>
      </c>
      <c r="M4" s="17" t="s">
        <v>331</v>
      </c>
      <c r="N4" s="107" t="s">
        <v>80</v>
      </c>
      <c r="O4" s="107" t="s">
        <v>79</v>
      </c>
      <c r="P4" s="107" t="s">
        <v>79</v>
      </c>
      <c r="Q4" s="107" t="s">
        <v>79</v>
      </c>
      <c r="R4" s="107" t="s">
        <v>79</v>
      </c>
      <c r="S4" s="107" t="s">
        <v>80</v>
      </c>
      <c r="T4" s="107" t="s">
        <v>81</v>
      </c>
      <c r="U4" s="107" t="s">
        <v>80</v>
      </c>
      <c r="V4" s="85" t="s">
        <v>84</v>
      </c>
      <c r="W4" s="86" t="s">
        <v>82</v>
      </c>
      <c r="X4" s="86" t="s">
        <v>85</v>
      </c>
      <c r="Y4" s="87" t="s">
        <v>83</v>
      </c>
      <c r="Z4" s="85" t="s">
        <v>89</v>
      </c>
      <c r="AA4" s="86" t="s">
        <v>82</v>
      </c>
      <c r="AB4" s="67" t="s">
        <v>82</v>
      </c>
    </row>
    <row r="5" spans="1:28" ht="27.75" customHeight="1" x14ac:dyDescent="0.25">
      <c r="A5" s="107" t="str">
        <f>'M-BarberoServicio'!C3</f>
        <v>servicio</v>
      </c>
      <c r="B5" s="145" t="str">
        <f>'M-BarberoServicio'!C2</f>
        <v xml:space="preserve">Representa el nombre del servicio de la barberia </v>
      </c>
      <c r="C5" s="107" t="s">
        <v>80</v>
      </c>
      <c r="D5" s="146" t="s">
        <v>36</v>
      </c>
      <c r="E5" s="107" t="s">
        <v>77</v>
      </c>
      <c r="F5" s="107" t="s">
        <v>79</v>
      </c>
      <c r="G5" s="107" t="s">
        <v>79</v>
      </c>
      <c r="H5" s="107" t="s">
        <v>79</v>
      </c>
      <c r="I5" s="107" t="s">
        <v>79</v>
      </c>
      <c r="J5" s="107" t="s">
        <v>79</v>
      </c>
      <c r="K5" s="107" t="s">
        <v>79</v>
      </c>
      <c r="L5" s="107" t="s">
        <v>79</v>
      </c>
      <c r="M5" s="17" t="s">
        <v>331</v>
      </c>
      <c r="N5" s="107" t="s">
        <v>80</v>
      </c>
      <c r="O5" s="107" t="s">
        <v>79</v>
      </c>
      <c r="P5" s="107" t="s">
        <v>79</v>
      </c>
      <c r="Q5" s="107" t="s">
        <v>79</v>
      </c>
      <c r="R5" s="107" t="s">
        <v>79</v>
      </c>
      <c r="S5" s="107" t="s">
        <v>80</v>
      </c>
      <c r="T5" s="107" t="s">
        <v>81</v>
      </c>
      <c r="U5" s="107" t="s">
        <v>80</v>
      </c>
      <c r="V5" s="85" t="s">
        <v>84</v>
      </c>
      <c r="W5" s="86" t="s">
        <v>82</v>
      </c>
      <c r="X5" s="86" t="s">
        <v>85</v>
      </c>
      <c r="Y5" s="87" t="s">
        <v>89</v>
      </c>
      <c r="Z5" s="85" t="s">
        <v>89</v>
      </c>
      <c r="AA5" s="86" t="s">
        <v>82</v>
      </c>
      <c r="AB5" s="67" t="s">
        <v>82</v>
      </c>
    </row>
    <row r="6" spans="1:28" ht="60" customHeight="1" x14ac:dyDescent="0.25">
      <c r="A6" s="107" t="str">
        <f>'M-BarberoServicio'!D3</f>
        <v>duracionEnHoras</v>
      </c>
      <c r="B6" s="145" t="str">
        <f>'M-BarberoServicio'!D2</f>
        <v>Representa la cantidad de horas que un barbero tarda en realizar un servicio, esta duracion el barbero debe de ser consiente de cuanto se demora en realizarlo</v>
      </c>
      <c r="C6" s="107" t="s">
        <v>80</v>
      </c>
      <c r="D6" s="151" t="s">
        <v>361</v>
      </c>
      <c r="E6" s="107" t="s">
        <v>77</v>
      </c>
      <c r="F6" s="107" t="s">
        <v>79</v>
      </c>
      <c r="G6" s="107" t="s">
        <v>79</v>
      </c>
      <c r="H6" s="107" t="s">
        <v>79</v>
      </c>
      <c r="I6" s="107" t="s">
        <v>79</v>
      </c>
      <c r="J6" s="107">
        <v>0</v>
      </c>
      <c r="K6" s="107">
        <v>3</v>
      </c>
      <c r="L6" s="107" t="s">
        <v>79</v>
      </c>
      <c r="M6" s="107" t="s">
        <v>79</v>
      </c>
      <c r="N6" s="107" t="s">
        <v>80</v>
      </c>
      <c r="O6" s="107" t="s">
        <v>79</v>
      </c>
      <c r="P6" s="107" t="s">
        <v>79</v>
      </c>
      <c r="Q6" s="107" t="s">
        <v>79</v>
      </c>
      <c r="R6" s="107" t="s">
        <v>79</v>
      </c>
      <c r="S6" s="107" t="s">
        <v>80</v>
      </c>
      <c r="T6" s="152">
        <v>0</v>
      </c>
      <c r="U6" s="107" t="s">
        <v>80</v>
      </c>
      <c r="V6" s="85" t="s">
        <v>84</v>
      </c>
      <c r="W6" s="86" t="s">
        <v>84</v>
      </c>
      <c r="X6" s="86" t="s">
        <v>90</v>
      </c>
      <c r="Y6" s="87" t="s">
        <v>89</v>
      </c>
      <c r="Z6" s="85" t="s">
        <v>83</v>
      </c>
      <c r="AA6" s="86" t="s">
        <v>82</v>
      </c>
      <c r="AB6" s="67" t="s">
        <v>82</v>
      </c>
    </row>
    <row r="7" spans="1:28" ht="60" customHeight="1" x14ac:dyDescent="0.25">
      <c r="A7" s="107" t="str">
        <f>'M-BarberoServicio'!E3</f>
        <v>duracionEnMinutos</v>
      </c>
      <c r="B7" s="145" t="str">
        <f>'M-BarberoServicio'!E2</f>
        <v>Representa la cantidad de minutos que un barbero tarda en realizar un servicio, esta duracion el barbero debe de ser consiente de cuanto se demora en realizarlo</v>
      </c>
      <c r="C7" s="107" t="s">
        <v>80</v>
      </c>
      <c r="D7" s="107" t="s">
        <v>361</v>
      </c>
      <c r="E7" s="107" t="s">
        <v>77</v>
      </c>
      <c r="F7" s="107" t="s">
        <v>79</v>
      </c>
      <c r="G7" s="107" t="s">
        <v>79</v>
      </c>
      <c r="H7" s="107" t="s">
        <v>79</v>
      </c>
      <c r="I7" s="107" t="s">
        <v>79</v>
      </c>
      <c r="J7" s="107">
        <v>0</v>
      </c>
      <c r="K7" s="107">
        <v>59</v>
      </c>
      <c r="L7" s="107" t="s">
        <v>79</v>
      </c>
      <c r="M7" s="107" t="s">
        <v>79</v>
      </c>
      <c r="N7" s="107" t="s">
        <v>80</v>
      </c>
      <c r="O7" s="107" t="s">
        <v>79</v>
      </c>
      <c r="P7" s="107" t="s">
        <v>79</v>
      </c>
      <c r="Q7" s="107" t="s">
        <v>79</v>
      </c>
      <c r="R7" s="107" t="s">
        <v>79</v>
      </c>
      <c r="S7" s="107" t="s">
        <v>80</v>
      </c>
      <c r="T7" s="107" t="s">
        <v>333</v>
      </c>
      <c r="U7" s="107" t="s">
        <v>80</v>
      </c>
      <c r="V7" s="85" t="s">
        <v>84</v>
      </c>
      <c r="W7" s="86" t="s">
        <v>84</v>
      </c>
      <c r="X7" s="86" t="s">
        <v>90</v>
      </c>
      <c r="Y7" s="87" t="s">
        <v>89</v>
      </c>
      <c r="Z7" s="85" t="s">
        <v>83</v>
      </c>
      <c r="AA7" s="86" t="s">
        <v>82</v>
      </c>
      <c r="AB7" s="67" t="s">
        <v>82</v>
      </c>
    </row>
    <row r="8" spans="1:28" ht="90" customHeight="1" x14ac:dyDescent="0.25">
      <c r="A8" s="107" t="str">
        <f>'M-BarberoServicio'!F3</f>
        <v>tiempoExtra</v>
      </c>
      <c r="B8" s="145"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107" t="s">
        <v>80</v>
      </c>
      <c r="D8" s="107" t="s">
        <v>361</v>
      </c>
      <c r="E8" s="107" t="s">
        <v>77</v>
      </c>
      <c r="F8" s="107" t="s">
        <v>79</v>
      </c>
      <c r="G8" s="107" t="s">
        <v>79</v>
      </c>
      <c r="H8" s="107" t="s">
        <v>79</v>
      </c>
      <c r="I8" s="107" t="s">
        <v>79</v>
      </c>
      <c r="J8" s="107">
        <v>0</v>
      </c>
      <c r="K8" s="107">
        <v>59</v>
      </c>
      <c r="L8" s="107" t="s">
        <v>79</v>
      </c>
      <c r="M8" s="107" t="s">
        <v>79</v>
      </c>
      <c r="N8" s="107" t="s">
        <v>80</v>
      </c>
      <c r="O8" s="107" t="s">
        <v>79</v>
      </c>
      <c r="P8" s="107" t="s">
        <v>79</v>
      </c>
      <c r="Q8" s="107" t="s">
        <v>79</v>
      </c>
      <c r="R8" s="107" t="s">
        <v>79</v>
      </c>
      <c r="S8" s="107" t="s">
        <v>80</v>
      </c>
      <c r="T8" s="107" t="s">
        <v>333</v>
      </c>
      <c r="U8" s="107" t="s">
        <v>80</v>
      </c>
      <c r="V8" s="85" t="s">
        <v>84</v>
      </c>
      <c r="W8" s="86" t="s">
        <v>84</v>
      </c>
      <c r="X8" s="86" t="s">
        <v>90</v>
      </c>
      <c r="Y8" s="87" t="s">
        <v>89</v>
      </c>
      <c r="Z8" s="85" t="s">
        <v>83</v>
      </c>
      <c r="AA8" s="86" t="s">
        <v>82</v>
      </c>
      <c r="AB8" s="67" t="s">
        <v>82</v>
      </c>
    </row>
    <row r="9" spans="1:28" ht="30" customHeight="1" x14ac:dyDescent="0.25">
      <c r="A9" s="107" t="str">
        <f>'M-BarberoServicio'!G3</f>
        <v>vigente</v>
      </c>
      <c r="B9" s="145" t="str">
        <f>'M-BarberoServicio'!G2</f>
        <v>Representa si el barbero sigue o no presentando el servicio en la barbería</v>
      </c>
      <c r="C9" s="107" t="s">
        <v>80</v>
      </c>
      <c r="D9" s="107" t="s">
        <v>334</v>
      </c>
      <c r="E9" s="107" t="s">
        <v>77</v>
      </c>
      <c r="F9" s="107" t="s">
        <v>79</v>
      </c>
      <c r="G9" s="107" t="s">
        <v>79</v>
      </c>
      <c r="H9" s="107" t="s">
        <v>79</v>
      </c>
      <c r="I9" s="107" t="s">
        <v>79</v>
      </c>
      <c r="J9" s="107" t="s">
        <v>79</v>
      </c>
      <c r="K9" s="107" t="s">
        <v>79</v>
      </c>
      <c r="L9" s="107" t="s">
        <v>79</v>
      </c>
      <c r="M9" s="107" t="s">
        <v>79</v>
      </c>
      <c r="N9" s="107" t="s">
        <v>80</v>
      </c>
      <c r="O9" s="107" t="s">
        <v>79</v>
      </c>
      <c r="P9" s="107" t="s">
        <v>79</v>
      </c>
      <c r="Q9" s="107" t="s">
        <v>79</v>
      </c>
      <c r="R9" s="107" t="s">
        <v>79</v>
      </c>
      <c r="S9" s="107" t="s">
        <v>80</v>
      </c>
      <c r="T9" s="107" t="s">
        <v>77</v>
      </c>
      <c r="U9" s="107" t="s">
        <v>80</v>
      </c>
      <c r="V9" s="85" t="s">
        <v>82</v>
      </c>
      <c r="W9" s="86" t="s">
        <v>82</v>
      </c>
      <c r="X9" s="86" t="s">
        <v>85</v>
      </c>
      <c r="Y9" s="87" t="s">
        <v>83</v>
      </c>
      <c r="Z9" s="85" t="s">
        <v>83</v>
      </c>
      <c r="AA9" s="86" t="s">
        <v>82</v>
      </c>
      <c r="AB9" s="67" t="s">
        <v>82</v>
      </c>
    </row>
    <row r="10" spans="1:28" ht="15" customHeight="1" x14ac:dyDescent="0.25"/>
    <row r="11" spans="1:28" ht="15" customHeight="1" x14ac:dyDescent="0.25">
      <c r="A11" s="19" t="s">
        <v>93</v>
      </c>
      <c r="B11" s="19" t="s">
        <v>94</v>
      </c>
      <c r="C11" s="19" t="s">
        <v>95</v>
      </c>
    </row>
    <row r="12" spans="1:28" ht="18" customHeight="1" x14ac:dyDescent="0.25">
      <c r="A12" s="364" t="str">
        <f>'M-BarberoServicio'!H3</f>
        <v>Combinación única</v>
      </c>
      <c r="B12" s="371" t="str">
        <f>'M-BarberoServicio'!H2</f>
        <v>Combinación única que indica que un mismo barbero no puede aparecer dos veces ofreciendo el mismo servicio</v>
      </c>
      <c r="C12" s="20" t="s">
        <v>789</v>
      </c>
    </row>
    <row r="13" spans="1:28" ht="30" customHeight="1" x14ac:dyDescent="0.25">
      <c r="A13" s="281"/>
      <c r="B13" s="281"/>
      <c r="C13" s="20" t="s">
        <v>790</v>
      </c>
    </row>
    <row r="15" spans="1:28" x14ac:dyDescent="0.25">
      <c r="A15" s="320" t="s">
        <v>96</v>
      </c>
      <c r="B15" s="321"/>
      <c r="C15" s="323" t="s">
        <v>94</v>
      </c>
      <c r="D15" s="326"/>
      <c r="E15" s="326"/>
      <c r="F15" s="321"/>
      <c r="G15" s="323" t="s">
        <v>97</v>
      </c>
      <c r="H15" s="290"/>
      <c r="I15" s="291"/>
      <c r="J15" s="323" t="s">
        <v>98</v>
      </c>
      <c r="K15" s="290"/>
      <c r="L15" s="290"/>
      <c r="M15" s="290"/>
      <c r="N15" s="291"/>
      <c r="O15" s="323" t="s">
        <v>99</v>
      </c>
      <c r="P15" s="291"/>
      <c r="Q15" s="323" t="s">
        <v>100</v>
      </c>
      <c r="R15" s="291"/>
    </row>
    <row r="16" spans="1:28" x14ac:dyDescent="0.25">
      <c r="A16" s="322"/>
      <c r="B16" s="312"/>
      <c r="C16" s="310"/>
      <c r="D16" s="311"/>
      <c r="E16" s="311"/>
      <c r="F16" s="312"/>
      <c r="G16" s="3" t="s">
        <v>101</v>
      </c>
      <c r="H16" s="3" t="s">
        <v>59</v>
      </c>
      <c r="I16" s="3" t="s">
        <v>94</v>
      </c>
      <c r="J16" s="3" t="s">
        <v>102</v>
      </c>
      <c r="K16" s="325" t="s">
        <v>94</v>
      </c>
      <c r="L16" s="303"/>
      <c r="M16" s="303"/>
      <c r="N16" s="279"/>
      <c r="O16" s="3" t="s">
        <v>103</v>
      </c>
      <c r="P16" s="3" t="s">
        <v>94</v>
      </c>
      <c r="Q16" s="3" t="s">
        <v>104</v>
      </c>
      <c r="R16" s="23" t="s">
        <v>105</v>
      </c>
    </row>
    <row r="17" spans="1:18" ht="89.25" customHeight="1" x14ac:dyDescent="0.25">
      <c r="A17" s="425" t="s">
        <v>791</v>
      </c>
      <c r="B17" s="309"/>
      <c r="C17" s="336" t="s">
        <v>792</v>
      </c>
      <c r="D17" s="308"/>
      <c r="E17" s="308"/>
      <c r="F17" s="309"/>
      <c r="G17" s="336" t="s">
        <v>793</v>
      </c>
      <c r="H17" s="375" t="s">
        <v>38</v>
      </c>
      <c r="I17" s="336" t="s">
        <v>794</v>
      </c>
      <c r="J17" s="365" t="s">
        <v>38</v>
      </c>
      <c r="K17" s="336" t="s">
        <v>795</v>
      </c>
      <c r="L17" s="308"/>
      <c r="M17" s="308"/>
      <c r="N17" s="309"/>
      <c r="O17" s="105" t="str">
        <f>'P-BarberoServicio'!A6</f>
        <v>P-BSE-0001</v>
      </c>
      <c r="P17" s="25" t="str">
        <f>'P-BarberoServicio'!B6</f>
        <v>Asegurar que los datos requeridos (duración en horas, duración en minutos, tiempo extra) sean válidos en tipo de dato, obligatoriedad y rango</v>
      </c>
      <c r="Q17" s="25" t="s">
        <v>796</v>
      </c>
      <c r="R17" s="110" t="s">
        <v>112</v>
      </c>
    </row>
    <row r="18" spans="1:18" ht="76.5" customHeight="1" x14ac:dyDescent="0.25">
      <c r="A18" s="380"/>
      <c r="B18" s="370"/>
      <c r="C18" s="369"/>
      <c r="D18" s="299"/>
      <c r="E18" s="299"/>
      <c r="F18" s="370"/>
      <c r="G18" s="284"/>
      <c r="H18" s="284"/>
      <c r="I18" s="284"/>
      <c r="J18" s="284"/>
      <c r="K18" s="369"/>
      <c r="L18" s="299"/>
      <c r="M18" s="299"/>
      <c r="N18" s="370"/>
      <c r="O18" s="105" t="str">
        <f>'P-BarberoServicio'!A7</f>
        <v>P-BSE-0002</v>
      </c>
      <c r="P18" s="25" t="str">
        <f>'P-BarberoServicio'!B7</f>
        <v>Asegurar que el barbero no tenga ya definido ese mismo servicio</v>
      </c>
      <c r="Q18" s="25" t="s">
        <v>797</v>
      </c>
      <c r="R18" s="110" t="s">
        <v>112</v>
      </c>
    </row>
    <row r="19" spans="1:18" ht="128.25" customHeight="1" x14ac:dyDescent="0.25">
      <c r="A19" s="322"/>
      <c r="B19" s="312"/>
      <c r="C19" s="310"/>
      <c r="D19" s="311"/>
      <c r="E19" s="311"/>
      <c r="F19" s="312"/>
      <c r="G19" s="281"/>
      <c r="H19" s="281"/>
      <c r="I19" s="281"/>
      <c r="J19" s="281"/>
      <c r="K19" s="310"/>
      <c r="L19" s="311"/>
      <c r="M19" s="311"/>
      <c r="N19" s="312"/>
      <c r="O19" s="105" t="str">
        <f>'P-BarberoServicio'!A9</f>
        <v>P-BSE-0004</v>
      </c>
      <c r="P19" s="25" t="str">
        <f>'P-BarberoServicio'!B9</f>
        <v>Asegurar que la suma del tiempo en horas y minutos de la realizacion del servicio por el barbero sea mayor a cero</v>
      </c>
      <c r="Q19" s="25" t="s">
        <v>798</v>
      </c>
      <c r="R19" s="110" t="s">
        <v>112</v>
      </c>
    </row>
    <row r="20" spans="1:18" ht="102" customHeight="1" x14ac:dyDescent="0.25">
      <c r="A20" s="423" t="s">
        <v>799</v>
      </c>
      <c r="B20" s="309"/>
      <c r="C20" s="366" t="s">
        <v>800</v>
      </c>
      <c r="D20" s="308"/>
      <c r="E20" s="308"/>
      <c r="F20" s="309"/>
      <c r="G20" s="111" t="s">
        <v>116</v>
      </c>
      <c r="H20" s="111" t="s">
        <v>117</v>
      </c>
      <c r="I20" s="64" t="s">
        <v>801</v>
      </c>
      <c r="J20" s="377" t="s">
        <v>38</v>
      </c>
      <c r="K20" s="366" t="s">
        <v>802</v>
      </c>
      <c r="L20" s="308"/>
      <c r="M20" s="308"/>
      <c r="N20" s="309"/>
      <c r="O20" s="113" t="str">
        <f>'P-BarberoServicio'!A8</f>
        <v>P-BSE-0003</v>
      </c>
      <c r="P20" s="91" t="str">
        <f>'P-BarberoServicio'!B8</f>
        <v>Asegurar que exista el servicio definido del barbero con el id enviado</v>
      </c>
      <c r="Q20" s="91" t="s">
        <v>803</v>
      </c>
      <c r="R20" s="153" t="s">
        <v>112</v>
      </c>
    </row>
    <row r="21" spans="1:18" ht="89.25" customHeight="1" x14ac:dyDescent="0.25">
      <c r="A21" s="380"/>
      <c r="B21" s="370"/>
      <c r="C21" s="369"/>
      <c r="D21" s="299"/>
      <c r="E21" s="299"/>
      <c r="F21" s="370"/>
      <c r="G21" s="366" t="s">
        <v>804</v>
      </c>
      <c r="H21" s="367" t="s">
        <v>38</v>
      </c>
      <c r="I21" s="366" t="s">
        <v>805</v>
      </c>
      <c r="J21" s="284"/>
      <c r="K21" s="369"/>
      <c r="L21" s="299"/>
      <c r="M21" s="299"/>
      <c r="N21" s="370"/>
      <c r="O21" s="91" t="str">
        <f>'P-BarberoServicio'!A6</f>
        <v>P-BSE-0001</v>
      </c>
      <c r="P21" s="91" t="str">
        <f>'P-BarberoServicio'!B6</f>
        <v>Asegurar que los datos requeridos (duración en horas, duración en minutos, tiempo extra) sean válidos en tipo de dato, obligatoriedad y rango</v>
      </c>
      <c r="Q21" s="91" t="s">
        <v>796</v>
      </c>
      <c r="R21" s="153" t="s">
        <v>112</v>
      </c>
    </row>
    <row r="22" spans="1:18" ht="129" customHeight="1" x14ac:dyDescent="0.25">
      <c r="A22" s="322"/>
      <c r="B22" s="312"/>
      <c r="C22" s="310"/>
      <c r="D22" s="311"/>
      <c r="E22" s="311"/>
      <c r="F22" s="312"/>
      <c r="G22" s="281"/>
      <c r="H22" s="281"/>
      <c r="I22" s="281"/>
      <c r="J22" s="281"/>
      <c r="K22" s="310"/>
      <c r="L22" s="311"/>
      <c r="M22" s="311"/>
      <c r="N22" s="312"/>
      <c r="O22" s="91" t="str">
        <f>'P-BarberoServicio'!A9</f>
        <v>P-BSE-0004</v>
      </c>
      <c r="P22" s="91" t="str">
        <f>'P-BarberoServicio'!B9</f>
        <v>Asegurar que la suma del tiempo en horas y minutos de la realizacion del servicio por el barbero sea mayor a cero</v>
      </c>
      <c r="Q22" s="91" t="s">
        <v>798</v>
      </c>
      <c r="R22" s="153" t="s">
        <v>112</v>
      </c>
    </row>
    <row r="23" spans="1:18" ht="68.25" customHeight="1" x14ac:dyDescent="0.25">
      <c r="A23" s="422" t="s">
        <v>806</v>
      </c>
      <c r="B23" s="279"/>
      <c r="C23" s="361" t="s">
        <v>807</v>
      </c>
      <c r="D23" s="303"/>
      <c r="E23" s="303"/>
      <c r="F23" s="279"/>
      <c r="G23" s="114" t="s">
        <v>808</v>
      </c>
      <c r="H23" s="114" t="s">
        <v>38</v>
      </c>
      <c r="I23" s="68" t="s">
        <v>809</v>
      </c>
      <c r="J23" s="124" t="s">
        <v>810</v>
      </c>
      <c r="K23" s="361" t="s">
        <v>811</v>
      </c>
      <c r="L23" s="303"/>
      <c r="M23" s="303"/>
      <c r="N23" s="279"/>
      <c r="O23" s="114"/>
      <c r="P23" s="68"/>
      <c r="Q23" s="68"/>
      <c r="R23" s="115"/>
    </row>
    <row r="24" spans="1:18" ht="68.25" customHeight="1" x14ac:dyDescent="0.25">
      <c r="A24" s="425" t="s">
        <v>812</v>
      </c>
      <c r="B24" s="279"/>
      <c r="C24" s="306" t="s">
        <v>813</v>
      </c>
      <c r="D24" s="303"/>
      <c r="E24" s="303"/>
      <c r="F24" s="279"/>
      <c r="G24" s="105" t="s">
        <v>808</v>
      </c>
      <c r="H24" s="105" t="s">
        <v>38</v>
      </c>
      <c r="I24" s="25" t="s">
        <v>814</v>
      </c>
      <c r="J24" s="116" t="s">
        <v>810</v>
      </c>
      <c r="K24" s="306" t="s">
        <v>815</v>
      </c>
      <c r="L24" s="303"/>
      <c r="M24" s="303"/>
      <c r="N24" s="279"/>
      <c r="O24" s="105"/>
      <c r="P24" s="25"/>
      <c r="Q24" s="25"/>
      <c r="R24" s="110"/>
    </row>
    <row r="25" spans="1:18" ht="102" customHeight="1" x14ac:dyDescent="0.25">
      <c r="A25" s="423" t="s">
        <v>816</v>
      </c>
      <c r="B25" s="309"/>
      <c r="C25" s="366" t="s">
        <v>817</v>
      </c>
      <c r="D25" s="308"/>
      <c r="E25" s="308"/>
      <c r="F25" s="309"/>
      <c r="G25" s="367" t="s">
        <v>116</v>
      </c>
      <c r="H25" s="367" t="s">
        <v>117</v>
      </c>
      <c r="I25" s="366" t="s">
        <v>818</v>
      </c>
      <c r="J25" s="366" t="s">
        <v>133</v>
      </c>
      <c r="K25" s="308"/>
      <c r="L25" s="308"/>
      <c r="M25" s="308"/>
      <c r="N25" s="309"/>
      <c r="O25" s="111" t="str">
        <f>'P-BarberoServicio'!A8</f>
        <v>P-BSE-0003</v>
      </c>
      <c r="P25" s="64" t="str">
        <f>'P-BarberoServicio'!B8</f>
        <v>Asegurar que exista el servicio definido del barbero con el id enviado</v>
      </c>
      <c r="Q25" s="64" t="s">
        <v>803</v>
      </c>
      <c r="R25" s="112" t="s">
        <v>112</v>
      </c>
    </row>
    <row r="26" spans="1:18" ht="63.75" customHeight="1" x14ac:dyDescent="0.25">
      <c r="A26" s="322"/>
      <c r="B26" s="312"/>
      <c r="C26" s="310"/>
      <c r="D26" s="311"/>
      <c r="E26" s="311"/>
      <c r="F26" s="312"/>
      <c r="G26" s="281"/>
      <c r="H26" s="281"/>
      <c r="I26" s="281"/>
      <c r="J26" s="310"/>
      <c r="K26" s="311"/>
      <c r="L26" s="311"/>
      <c r="M26" s="311"/>
      <c r="N26" s="312"/>
      <c r="O26" s="111" t="str">
        <f>'P-BarberoServicio'!A10</f>
        <v>P-BSE-0005</v>
      </c>
      <c r="P26" s="64" t="str">
        <f>'P-BarberoServicio'!B10</f>
        <v>Asegurar que el estado de BarberoServicio este vigente</v>
      </c>
      <c r="Q26" s="64" t="s">
        <v>819</v>
      </c>
      <c r="R26" s="112" t="s">
        <v>112</v>
      </c>
    </row>
    <row r="27" spans="1:18" ht="102" customHeight="1" x14ac:dyDescent="0.25">
      <c r="A27" s="437" t="s">
        <v>820</v>
      </c>
      <c r="B27" s="309"/>
      <c r="C27" s="421" t="s">
        <v>821</v>
      </c>
      <c r="D27" s="308"/>
      <c r="E27" s="308"/>
      <c r="F27" s="309"/>
      <c r="G27" s="420" t="s">
        <v>116</v>
      </c>
      <c r="H27" s="420" t="s">
        <v>117</v>
      </c>
      <c r="I27" s="421" t="s">
        <v>818</v>
      </c>
      <c r="J27" s="421" t="s">
        <v>133</v>
      </c>
      <c r="K27" s="308"/>
      <c r="L27" s="308"/>
      <c r="M27" s="308"/>
      <c r="N27" s="309"/>
      <c r="O27" s="114" t="str">
        <f>'P-BarberoServicio'!A8</f>
        <v>P-BSE-0003</v>
      </c>
      <c r="P27" s="68" t="str">
        <f>'P-BarberoServicio'!B8</f>
        <v>Asegurar que exista el servicio definido del barbero con el id enviado</v>
      </c>
      <c r="Q27" s="68" t="s">
        <v>803</v>
      </c>
      <c r="R27" s="115" t="s">
        <v>112</v>
      </c>
    </row>
    <row r="28" spans="1:18" ht="51" customHeight="1" x14ac:dyDescent="0.25">
      <c r="A28" s="310"/>
      <c r="B28" s="312"/>
      <c r="C28" s="310"/>
      <c r="D28" s="311"/>
      <c r="E28" s="311"/>
      <c r="F28" s="312"/>
      <c r="G28" s="281"/>
      <c r="H28" s="281"/>
      <c r="I28" s="281"/>
      <c r="J28" s="310"/>
      <c r="K28" s="311"/>
      <c r="L28" s="311"/>
      <c r="M28" s="311"/>
      <c r="N28" s="312"/>
      <c r="O28" s="114" t="str">
        <f>'P-BarberoServicio'!A11</f>
        <v>P-BSE-0006</v>
      </c>
      <c r="P28" s="68" t="str">
        <f>'P-BarberoServicio'!B11</f>
        <v>Asegurar que el estado del BarberoServicio no este vigente</v>
      </c>
      <c r="Q28" s="68" t="s">
        <v>822</v>
      </c>
      <c r="R28" s="115" t="s">
        <v>112</v>
      </c>
    </row>
  </sheetData>
  <mergeCells count="42">
    <mergeCell ref="O15:P15"/>
    <mergeCell ref="H21:H22"/>
    <mergeCell ref="G15:I15"/>
    <mergeCell ref="A25:B26"/>
    <mergeCell ref="K23:N23"/>
    <mergeCell ref="A24:B24"/>
    <mergeCell ref="H17:H19"/>
    <mergeCell ref="C23:F23"/>
    <mergeCell ref="I17:I19"/>
    <mergeCell ref="J25:N26"/>
    <mergeCell ref="I25:I26"/>
    <mergeCell ref="A23:B23"/>
    <mergeCell ref="G25:G26"/>
    <mergeCell ref="J27:N28"/>
    <mergeCell ref="A17:B19"/>
    <mergeCell ref="A12:A13"/>
    <mergeCell ref="J15:N15"/>
    <mergeCell ref="C25:F26"/>
    <mergeCell ref="I21:I22"/>
    <mergeCell ref="K16:N16"/>
    <mergeCell ref="K24:N24"/>
    <mergeCell ref="C24:F24"/>
    <mergeCell ref="J17:J19"/>
    <mergeCell ref="B12:B13"/>
    <mergeCell ref="C17:F19"/>
    <mergeCell ref="K17:N19"/>
    <mergeCell ref="W2:X2"/>
    <mergeCell ref="A20:B22"/>
    <mergeCell ref="G27:G28"/>
    <mergeCell ref="J20:J22"/>
    <mergeCell ref="G21:G22"/>
    <mergeCell ref="C15:F16"/>
    <mergeCell ref="H25:H26"/>
    <mergeCell ref="A27:B28"/>
    <mergeCell ref="H27:H28"/>
    <mergeCell ref="G17:G19"/>
    <mergeCell ref="A15:B16"/>
    <mergeCell ref="Q15:R15"/>
    <mergeCell ref="I27:I28"/>
    <mergeCell ref="C20:F22"/>
    <mergeCell ref="C27:F28"/>
    <mergeCell ref="K20:N22"/>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V2" location="'C-BarberoServicio'!A17" display="#'C-BarberoServicio'.A17" xr:uid="{00000000-0004-0000-3600-000002000000}"/>
    <hyperlink ref="W2" location="'C-BarberoServicio'!A19" display="#'C-BarberoServicio'.A19" xr:uid="{00000000-0004-0000-3600-000003000000}"/>
    <hyperlink ref="Y2" location="'C-BarberoServicio'!A21" display="#'C-BarberoServicio'.A21" xr:uid="{00000000-0004-0000-3600-000004000000}"/>
    <hyperlink ref="Z2" location="'C-BarberoServicio'!A22" display="#'C-BarberoServicio'.A22" xr:uid="{00000000-0004-0000-3600-000005000000}"/>
    <hyperlink ref="AA2" location="'C-BarberoServicio'!A23" display="#'C-BarberoServicio'.A23" xr:uid="{00000000-0004-0000-3600-000006000000}"/>
    <hyperlink ref="A3" location="'M-BarberoServicio'!A3" display="'M-BarberoServicio'!A3" xr:uid="{00000000-0004-0000-3600-000007000000}"/>
    <hyperlink ref="B3" location="'M-BarberoServicio'!A2" display="'M-BarberoServicio'!A2" xr:uid="{00000000-0004-0000-3600-000008000000}"/>
    <hyperlink ref="A4" location="'M-BarberoServicio'!A3" display="'M-BarberoServicio'!A3" xr:uid="{00000000-0004-0000-3600-000009000000}"/>
    <hyperlink ref="B4" location="'M-BarberoServicio'!A2" display="'M-BarberoServicio'!A2" xr:uid="{00000000-0004-0000-3600-00000A000000}"/>
    <hyperlink ref="D4" location="'C-Barbero'!A1" display="Barbero" xr:uid="{00000000-0004-0000-3600-00000B000000}"/>
    <hyperlink ref="A5" location="'M-BarberoServicio'!A3" display="'M-BarberoServicio'!A3" xr:uid="{00000000-0004-0000-3600-00000C000000}"/>
    <hyperlink ref="B5" location="'M-BarberoServicio'!A2" display="'M-BarberoServicio'!A2" xr:uid="{00000000-0004-0000-3600-00000D000000}"/>
    <hyperlink ref="D5" location="'C-Servicio'!A1" display="Servicio" xr:uid="{00000000-0004-0000-3600-00000E000000}"/>
    <hyperlink ref="A6" location="'M-BarberoServicio'!A3" display="'M-BarberoServicio'!A3" xr:uid="{00000000-0004-0000-3600-00000F000000}"/>
    <hyperlink ref="B6" location="'M-BarberoServicio'!A2" display="'M-BarberoServicio'!A2" xr:uid="{00000000-0004-0000-3600-000010000000}"/>
    <hyperlink ref="A7" location="'M-BarberoServicio'!A3" display="'M-BarberoServicio'!A3" xr:uid="{00000000-0004-0000-3600-000011000000}"/>
    <hyperlink ref="B7" location="'M-BarberoServicio'!A2" display="'M-BarberoServicio'!A2" xr:uid="{00000000-0004-0000-3600-000012000000}"/>
    <hyperlink ref="A8" location="'M-BarberoServicio'!A3" display="'M-BarberoServicio'!A3" xr:uid="{00000000-0004-0000-3600-000013000000}"/>
    <hyperlink ref="B8" location="'M-BarberoServicio'!A2" display="'M-BarberoServicio'!A2" xr:uid="{00000000-0004-0000-3600-000014000000}"/>
    <hyperlink ref="A9" location="'M-BarberoServicio'!A3" display="'M-BarberoServicio'!A3" xr:uid="{00000000-0004-0000-3600-000015000000}"/>
    <hyperlink ref="B9" location="'M-BarberoServicio'!A2" display="'M-BarberoServicio'!A2" xr:uid="{00000000-0004-0000-3600-000016000000}"/>
    <hyperlink ref="A12" location="'M-BarberoServicio'!A3" display="'M-BarberoServicio'!A3" xr:uid="{00000000-0004-0000-3600-000017000000}"/>
    <hyperlink ref="B12" location="'M-BarberoServicio'!A2" display="'M-BarberoServicio'!A2" xr:uid="{00000000-0004-0000-3600-000018000000}"/>
    <hyperlink ref="A17" location="'C-BarberoServicio'!V2" display="habilitarServicioBarbero" xr:uid="{00000000-0004-0000-3600-000019000000}"/>
    <hyperlink ref="A20" location="'C-BarberoServicio'!W2" display="ajustarTiemposServicioBarbero" xr:uid="{00000000-0004-0000-3600-00001A000000}"/>
    <hyperlink ref="A23" location="'C-BarberoServicio'!Y2" display="consultarServiciosElegidos" xr:uid="{00000000-0004-0000-3600-00001B000000}"/>
    <hyperlink ref="A24" location="'C-BarberoServicio'!Z2" display="consultarServiciosDeBarbero" xr:uid="{00000000-0004-0000-3600-00001C000000}"/>
    <hyperlink ref="A25" location="'C-BarberoServicio'!AA2" display="desactivarServicioBarbero" xr:uid="{00000000-0004-0000-3600-00001D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1"/>
  <sheetViews>
    <sheetView showGridLines="0" zoomScaleNormal="100" workbookViewId="0">
      <selection activeCell="B1" sqref="B1"/>
    </sheetView>
  </sheetViews>
  <sheetFormatPr baseColWidth="10" defaultColWidth="8.7109375" defaultRowHeight="15" x14ac:dyDescent="0.25"/>
  <cols>
    <col min="1" max="1" width="20.7109375" customWidth="1"/>
    <col min="2" max="2" width="28.5703125" customWidth="1"/>
    <col min="3" max="3" width="35.5703125" customWidth="1"/>
    <col min="4" max="4" width="37.140625" customWidth="1"/>
    <col min="5" max="5" width="36.710937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Dominio'!A16</f>
        <v>BarberoServicio</v>
      </c>
      <c r="C2" s="290"/>
      <c r="D2" s="290"/>
      <c r="E2" s="291"/>
    </row>
    <row r="3" spans="1:5" ht="30" customHeight="1" x14ac:dyDescent="0.25">
      <c r="A3" s="30" t="s">
        <v>140</v>
      </c>
      <c r="B3" s="336" t="str">
        <f>'Objetos de Dominio'!B16</f>
        <v>Representa qué servicios sabe hacer cada barbero, cuánto se demora en realizarlos y cuánto tiempo extra usa de colchón, ya que no todos los barberos ofrecen los mismos servicios que están en la barbería.</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48" customHeight="1" x14ac:dyDescent="0.25">
      <c r="A6" s="8" t="s">
        <v>823</v>
      </c>
      <c r="B6" s="332" t="s">
        <v>824</v>
      </c>
      <c r="C6" s="279"/>
      <c r="D6" s="31" t="s">
        <v>38</v>
      </c>
      <c r="E6" s="31"/>
    </row>
    <row r="7" spans="1:5" ht="30" customHeight="1" x14ac:dyDescent="0.25">
      <c r="A7" s="8" t="s">
        <v>825</v>
      </c>
      <c r="B7" s="332" t="s">
        <v>826</v>
      </c>
      <c r="C7" s="279"/>
      <c r="D7" s="31" t="s">
        <v>38</v>
      </c>
      <c r="E7" s="31"/>
    </row>
    <row r="8" spans="1:5" ht="30" customHeight="1" x14ac:dyDescent="0.25">
      <c r="A8" s="8" t="s">
        <v>827</v>
      </c>
      <c r="B8" s="332" t="s">
        <v>828</v>
      </c>
      <c r="C8" s="279"/>
      <c r="D8" s="31" t="s">
        <v>38</v>
      </c>
      <c r="E8" s="31"/>
    </row>
    <row r="9" spans="1:5" ht="30.75" customHeight="1" x14ac:dyDescent="0.25">
      <c r="A9" s="8" t="s">
        <v>829</v>
      </c>
      <c r="B9" s="332" t="s">
        <v>830</v>
      </c>
      <c r="C9" s="279"/>
      <c r="D9" s="31" t="s">
        <v>38</v>
      </c>
      <c r="E9" s="31"/>
    </row>
    <row r="10" spans="1:5" ht="15" customHeight="1" x14ac:dyDescent="0.25">
      <c r="A10" s="8" t="s">
        <v>831</v>
      </c>
      <c r="B10" s="332" t="s">
        <v>832</v>
      </c>
      <c r="C10" s="279"/>
      <c r="D10" s="31" t="s">
        <v>38</v>
      </c>
      <c r="E10" s="31"/>
    </row>
    <row r="11" spans="1:5" ht="15" customHeight="1" x14ac:dyDescent="0.25">
      <c r="A11" s="8" t="s">
        <v>833</v>
      </c>
      <c r="B11" s="332" t="s">
        <v>834</v>
      </c>
      <c r="C11" s="279"/>
      <c r="D11" s="31" t="s">
        <v>38</v>
      </c>
      <c r="E11" s="31"/>
    </row>
  </sheetData>
  <mergeCells count="12">
    <mergeCell ref="B11:C11"/>
    <mergeCell ref="A4:A5"/>
    <mergeCell ref="E4:E5"/>
    <mergeCell ref="D4:D5"/>
    <mergeCell ref="B10:C10"/>
    <mergeCell ref="B3:E3"/>
    <mergeCell ref="B2:E2"/>
    <mergeCell ref="B9:C9"/>
    <mergeCell ref="B8:C8"/>
    <mergeCell ref="B4:C5"/>
    <mergeCell ref="B6:C6"/>
    <mergeCell ref="B7:C7"/>
  </mergeCells>
  <hyperlinks>
    <hyperlink ref="A1" location="'Modelo de Dominio'!A1" display="&lt;&lt; Ir al modelo de dominio" xr:uid="{00000000-0004-0000-3700-000000000000}"/>
    <hyperlink ref="B1" location="'Objetos de Dominio'!A1" display="&lt;&lt; Ir al listado de objetos de dominio" xr:uid="{00000000-0004-0000-3700-000001000000}"/>
    <hyperlink ref="C1" location="'C-BarberoServicio'!A1" display="&lt;&lt; Ir a la caracterización del objeto de dominio" xr:uid="{00000000-0004-0000-3700-000002000000}"/>
    <hyperlink ref="D1" location="'M-BarberoServicio'!A1" display="Ir al muestreo de datos del objeto de dominio &gt;&gt;" xr:uid="{00000000-0004-0000-3700-000003000000}"/>
    <hyperlink ref="E1" location="'E-BarberoServicio'!A1" display="Ir al event storming del objeto de dominio &gt;&gt;" xr:uid="{00000000-0004-0000-3700-000004000000}"/>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5"/>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5.7109375"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Dominio'!A16</f>
        <v>BarberoServicio</v>
      </c>
      <c r="C2" s="290"/>
      <c r="D2" s="290"/>
      <c r="E2" s="290"/>
      <c r="F2" s="290"/>
      <c r="G2" s="290"/>
      <c r="H2" s="290"/>
      <c r="I2" s="290"/>
      <c r="J2" s="290"/>
      <c r="K2" s="291"/>
    </row>
    <row r="3" spans="1:11" ht="30" customHeight="1" x14ac:dyDescent="0.25">
      <c r="A3" s="72" t="s">
        <v>140</v>
      </c>
      <c r="B3" s="302" t="str">
        <f>'Objetos de Dominio'!B16</f>
        <v>Representa qué servicios sabe hacer cada barbero, cuánto se demora en realizarlos y cuánto tiempo extra usa de colchón, ya que no todos los barberos ofrecen los mismos servicios que están en la barbería.</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273" t="s">
        <v>32</v>
      </c>
      <c r="B7" s="273" t="s">
        <v>835</v>
      </c>
      <c r="C7" s="273" t="s">
        <v>792</v>
      </c>
      <c r="D7" s="273" t="str">
        <f>$B$2</f>
        <v>BarberoServicio</v>
      </c>
      <c r="E7" s="273"/>
      <c r="F7" s="273"/>
      <c r="G7" s="75" t="str">
        <f>'P-BarberoServicio'!A6</f>
        <v>P-BSE-0001</v>
      </c>
      <c r="H7" s="154" t="s">
        <v>602</v>
      </c>
      <c r="I7" s="273"/>
      <c r="J7" s="273" t="s">
        <v>836</v>
      </c>
      <c r="K7" s="273"/>
    </row>
    <row r="8" spans="1:11" ht="30" customHeight="1" x14ac:dyDescent="0.25">
      <c r="A8" s="284"/>
      <c r="B8" s="284"/>
      <c r="C8" s="284"/>
      <c r="D8" s="284"/>
      <c r="E8" s="284"/>
      <c r="F8" s="284"/>
      <c r="G8" s="75" t="str">
        <f>'P-BarberoServicio'!A7</f>
        <v>P-BSE-0002</v>
      </c>
      <c r="H8" s="154" t="s">
        <v>602</v>
      </c>
      <c r="I8" s="284"/>
      <c r="J8" s="284"/>
      <c r="K8" s="284"/>
    </row>
    <row r="9" spans="1:11" ht="30" customHeight="1" x14ac:dyDescent="0.25">
      <c r="A9" s="281"/>
      <c r="B9" s="281"/>
      <c r="C9" s="281"/>
      <c r="D9" s="281"/>
      <c r="E9" s="281"/>
      <c r="F9" s="281"/>
      <c r="G9" s="75" t="str">
        <f>'P-BarberoServicio'!A9</f>
        <v>P-BSE-0004</v>
      </c>
      <c r="H9" s="154" t="s">
        <v>602</v>
      </c>
      <c r="I9" s="281"/>
      <c r="J9" s="281"/>
      <c r="K9" s="281"/>
    </row>
    <row r="10" spans="1:11" ht="30" customHeight="1" x14ac:dyDescent="0.25">
      <c r="A10" s="273" t="s">
        <v>32</v>
      </c>
      <c r="B10" s="273" t="s">
        <v>837</v>
      </c>
      <c r="C10" s="273" t="s">
        <v>800</v>
      </c>
      <c r="D10" s="273" t="str">
        <f>$B$2</f>
        <v>BarberoServicio</v>
      </c>
      <c r="E10" s="273"/>
      <c r="F10" s="273"/>
      <c r="G10" s="75" t="str">
        <f>'P-BarberoServicio'!A6</f>
        <v>P-BSE-0001</v>
      </c>
      <c r="H10" s="154" t="s">
        <v>602</v>
      </c>
      <c r="I10" s="273"/>
      <c r="J10" s="273" t="s">
        <v>838</v>
      </c>
      <c r="K10" s="273"/>
    </row>
    <row r="11" spans="1:11" ht="30" customHeight="1" x14ac:dyDescent="0.25">
      <c r="A11" s="281"/>
      <c r="B11" s="281"/>
      <c r="C11" s="281"/>
      <c r="D11" s="281"/>
      <c r="E11" s="281"/>
      <c r="F11" s="281"/>
      <c r="G11" s="75" t="str">
        <f>'P-BarberoServicio'!A9</f>
        <v>P-BSE-0004</v>
      </c>
      <c r="H11" s="154" t="s">
        <v>602</v>
      </c>
      <c r="I11" s="281"/>
      <c r="J11" s="281"/>
      <c r="K11" s="281"/>
    </row>
    <row r="12" spans="1:11" ht="30" customHeight="1" x14ac:dyDescent="0.25">
      <c r="A12" s="41" t="s">
        <v>32</v>
      </c>
      <c r="B12" s="42" t="s">
        <v>839</v>
      </c>
      <c r="C12" s="42" t="s">
        <v>840</v>
      </c>
      <c r="D12" s="41" t="str">
        <f>$B$2</f>
        <v>BarberoServicio</v>
      </c>
      <c r="E12" s="42"/>
      <c r="F12" s="42"/>
      <c r="G12" s="41"/>
      <c r="H12" s="43"/>
      <c r="I12" s="41"/>
      <c r="J12" s="42" t="s">
        <v>841</v>
      </c>
      <c r="K12" s="42"/>
    </row>
    <row r="13" spans="1:11" ht="30" customHeight="1" x14ac:dyDescent="0.25">
      <c r="A13" s="41" t="s">
        <v>26</v>
      </c>
      <c r="B13" s="42" t="s">
        <v>842</v>
      </c>
      <c r="C13" s="42" t="s">
        <v>813</v>
      </c>
      <c r="D13" s="41" t="str">
        <f>$B$2</f>
        <v>BarberoServicio</v>
      </c>
      <c r="E13" s="42"/>
      <c r="F13" s="42"/>
      <c r="G13" s="41"/>
      <c r="H13" s="43"/>
      <c r="I13" s="41"/>
      <c r="J13" s="42" t="s">
        <v>841</v>
      </c>
      <c r="K13" s="42"/>
    </row>
    <row r="14" spans="1:11" ht="30" customHeight="1" x14ac:dyDescent="0.25">
      <c r="A14" s="41" t="s">
        <v>32</v>
      </c>
      <c r="B14" s="42" t="s">
        <v>843</v>
      </c>
      <c r="C14" s="42" t="s">
        <v>817</v>
      </c>
      <c r="D14" s="41" t="str">
        <f>$B$2</f>
        <v>BarberoServicio</v>
      </c>
      <c r="E14" s="42"/>
      <c r="F14" s="42"/>
      <c r="G14" s="75" t="str">
        <f>'P-BarberoServicio'!A10</f>
        <v>P-BSE-0005</v>
      </c>
      <c r="H14" s="154" t="s">
        <v>602</v>
      </c>
      <c r="I14" s="41"/>
      <c r="J14" s="42" t="s">
        <v>844</v>
      </c>
      <c r="K14" s="42"/>
    </row>
    <row r="15" spans="1:11" ht="27" customHeight="1" x14ac:dyDescent="0.25">
      <c r="A15" s="41" t="s">
        <v>32</v>
      </c>
      <c r="B15" s="42" t="s">
        <v>845</v>
      </c>
      <c r="C15" s="42" t="s">
        <v>817</v>
      </c>
      <c r="D15" s="41" t="str">
        <f>$B$2</f>
        <v>BarberoServicio</v>
      </c>
      <c r="E15" s="42"/>
      <c r="F15" s="42"/>
      <c r="G15" s="75" t="str">
        <f>'P-BarberoServicio'!A11</f>
        <v>P-BSE-0006</v>
      </c>
      <c r="H15" s="154" t="s">
        <v>602</v>
      </c>
      <c r="I15" s="41"/>
      <c r="J15" s="42" t="s">
        <v>846</v>
      </c>
      <c r="K15" s="42"/>
    </row>
  </sheetData>
  <mergeCells count="36">
    <mergeCell ref="J10:J11"/>
    <mergeCell ref="D7:D9"/>
    <mergeCell ref="F10:F11"/>
    <mergeCell ref="B4:C4"/>
    <mergeCell ref="E4:F4"/>
    <mergeCell ref="C7:C9"/>
    <mergeCell ref="F1:I1"/>
    <mergeCell ref="E7:E9"/>
    <mergeCell ref="B2:K2"/>
    <mergeCell ref="I7:I9"/>
    <mergeCell ref="C1:E1"/>
    <mergeCell ref="J7:J9"/>
    <mergeCell ref="E5:F5"/>
    <mergeCell ref="B10:B11"/>
    <mergeCell ref="B3:K3"/>
    <mergeCell ref="I5:I6"/>
    <mergeCell ref="I10:I11"/>
    <mergeCell ref="K10:K11"/>
    <mergeCell ref="G4:H4"/>
    <mergeCell ref="K5:K6"/>
    <mergeCell ref="J5:J6"/>
    <mergeCell ref="J1:K1"/>
    <mergeCell ref="A1:B1"/>
    <mergeCell ref="K7:K9"/>
    <mergeCell ref="B7:B9"/>
    <mergeCell ref="C10:C11"/>
    <mergeCell ref="A5:A6"/>
    <mergeCell ref="F7:F9"/>
    <mergeCell ref="G5:H5"/>
    <mergeCell ref="A10:A11"/>
    <mergeCell ref="B5:B6"/>
    <mergeCell ref="D5:D6"/>
    <mergeCell ref="D10:D11"/>
    <mergeCell ref="A7:A9"/>
    <mergeCell ref="C5:C6"/>
    <mergeCell ref="E10:E11"/>
  </mergeCells>
  <hyperlinks>
    <hyperlink ref="A1" location="'Modelo de Dominio'!A1" display="&lt;&lt; Ir al modelo de dominio" xr:uid="{00000000-0004-0000-3800-000000000000}"/>
    <hyperlink ref="C1" location="'Objetos de Dominio'!A1" display="&lt;&lt; Ir al listado de objetos de dominio" xr:uid="{00000000-0004-0000-3800-000001000000}"/>
    <hyperlink ref="F1" location="'C-BarberoServicio'!A1" display="&lt;&lt; Ir a la caracterización del objeto de dominio" xr:uid="{00000000-0004-0000-3800-000002000000}"/>
    <hyperlink ref="J1" location="'M-BarberoServicio'!A1" display="Ir al muestreo de datos del objeto de dominio &gt;&gt;" xr:uid="{00000000-0004-0000-3800-000003000000}"/>
    <hyperlink ref="G7" location="'P-BarberoServicio'!A6" display="#'P-BarberoServicio'.A6" xr:uid="{00000000-0004-0000-3800-000004000000}"/>
    <hyperlink ref="H7" location="'P-BarberoServicio'!B6" display="aquí" xr:uid="{00000000-0004-0000-3800-000005000000}"/>
    <hyperlink ref="G8" location="'P-BarberoServicio'!A7" display="#'P-BarberoServicio'.A7" xr:uid="{00000000-0004-0000-3800-000006000000}"/>
    <hyperlink ref="H8" location="'P-BarberoServicio'!B7" display="aquí" xr:uid="{00000000-0004-0000-3800-000007000000}"/>
    <hyperlink ref="G9" location="'P-BarberoServicio'!A9" display="#'P-BarberoServicio'.A9" xr:uid="{00000000-0004-0000-3800-000008000000}"/>
    <hyperlink ref="H9" location="'P-BarberoServicio'!B9" display="aquí" xr:uid="{00000000-0004-0000-3800-000009000000}"/>
    <hyperlink ref="G10" location="'P-BarberoServicio'!A6" display="#'P-BarberoServicio'.A6" xr:uid="{00000000-0004-0000-3800-00000A000000}"/>
    <hyperlink ref="H10" location="'P-BarberoServicio'!B6" display="aquí" xr:uid="{00000000-0004-0000-3800-00000B000000}"/>
    <hyperlink ref="G11" location="'P-BarberoServicio'!A9" display="#'P-BarberoServicio'.A9" xr:uid="{00000000-0004-0000-3800-00000C000000}"/>
    <hyperlink ref="H11" location="'P-BarberoServicio'!B9" display="aquí" xr:uid="{00000000-0004-0000-3800-00000D000000}"/>
    <hyperlink ref="G14" location="'P-BarberoServicio'!A10" display="#'P-BarberoServicio'.A10" xr:uid="{00000000-0004-0000-3800-00000E000000}"/>
    <hyperlink ref="H14" location="'P-BarberoServicio'!B10" display="aquí" xr:uid="{00000000-0004-0000-3800-00000F000000}"/>
    <hyperlink ref="G15" location="'P-BarberoServicio'!A11" display="#'P-BarberoServicio'.A11" xr:uid="{00000000-0004-0000-3800-000010000000}"/>
    <hyperlink ref="H15" location="'P-BarberoServicio'!B11" display="aquí" xr:uid="{00000000-0004-0000-3800-000011000000}"/>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23"/>
  <sheetViews>
    <sheetView zoomScaleNormal="100" workbookViewId="0"/>
  </sheetViews>
  <sheetFormatPr baseColWidth="10" defaultColWidth="8.7109375" defaultRowHeight="15" x14ac:dyDescent="0.25"/>
  <cols>
    <col min="1" max="1" width="27" customWidth="1"/>
    <col min="2" max="2" width="26.140625" customWidth="1"/>
    <col min="3" max="4" width="42" customWidth="1"/>
    <col min="5" max="5" width="40.28515625" customWidth="1"/>
    <col min="6" max="6" width="35.7109375" customWidth="1"/>
    <col min="7" max="7" width="11.5703125" customWidth="1"/>
    <col min="8" max="8" width="56.85546875" customWidth="1"/>
  </cols>
  <sheetData>
    <row r="1" spans="1:8" ht="14.25" customHeight="1" x14ac:dyDescent="0.25">
      <c r="A1" s="4" t="s">
        <v>0</v>
      </c>
      <c r="B1" s="4" t="s">
        <v>55</v>
      </c>
    </row>
    <row r="2" spans="1:8" ht="51.75" customHeight="1" x14ac:dyDescent="0.25">
      <c r="A2" s="44" t="s">
        <v>183</v>
      </c>
      <c r="B2" s="155" t="s">
        <v>847</v>
      </c>
      <c r="C2" s="44" t="s">
        <v>848</v>
      </c>
      <c r="D2" s="44" t="s">
        <v>849</v>
      </c>
      <c r="E2" s="44" t="s">
        <v>850</v>
      </c>
      <c r="F2" s="44" t="s">
        <v>851</v>
      </c>
      <c r="G2" s="44" t="s">
        <v>852</v>
      </c>
      <c r="H2" s="96" t="s">
        <v>853</v>
      </c>
    </row>
    <row r="3" spans="1:8" ht="14.25" customHeight="1" x14ac:dyDescent="0.25">
      <c r="A3" s="46" t="s">
        <v>116</v>
      </c>
      <c r="B3" s="118" t="s">
        <v>789</v>
      </c>
      <c r="C3" s="118" t="s">
        <v>790</v>
      </c>
      <c r="D3" s="47" t="s">
        <v>854</v>
      </c>
      <c r="E3" s="47" t="s">
        <v>855</v>
      </c>
      <c r="F3" s="47" t="s">
        <v>856</v>
      </c>
      <c r="G3" s="99" t="s">
        <v>629</v>
      </c>
      <c r="H3" s="48" t="s">
        <v>189</v>
      </c>
    </row>
    <row r="4" spans="1:8" ht="14.25" customHeight="1" x14ac:dyDescent="0.25">
      <c r="A4" s="49">
        <v>1</v>
      </c>
      <c r="B4" s="119" t="str">
        <f>_xlfn.CONCAT('M-Barbero'!B4," ",'M-Barbero'!D4)</f>
        <v>Juan García</v>
      </c>
      <c r="C4" s="119" t="str">
        <f>'M-Servicio'!C4</f>
        <v>Motilada</v>
      </c>
      <c r="D4" s="156">
        <v>0</v>
      </c>
      <c r="E4" s="156">
        <v>45</v>
      </c>
      <c r="F4" s="156">
        <v>15</v>
      </c>
      <c r="G4" s="156" t="s">
        <v>442</v>
      </c>
      <c r="H4" s="49" t="str">
        <f t="shared" ref="H4:H12" si="0">_xlfn.CONCAT(B4,"-",C4)</f>
        <v>Juan García-Motilada</v>
      </c>
    </row>
    <row r="5" spans="1:8" ht="14.25" customHeight="1" x14ac:dyDescent="0.25">
      <c r="A5" s="49">
        <v>2</v>
      </c>
      <c r="B5" s="119" t="str">
        <f>_xlfn.CONCAT('M-Barbero'!B5," ",'M-Barbero'!D5)</f>
        <v>Juan Ortiz</v>
      </c>
      <c r="C5" s="119" t="str">
        <f>'M-Servicio'!C5</f>
        <v>Corte de barba</v>
      </c>
      <c r="D5" s="156">
        <v>0</v>
      </c>
      <c r="E5" s="156">
        <v>10</v>
      </c>
      <c r="F5" s="156">
        <v>5</v>
      </c>
      <c r="G5" s="156" t="s">
        <v>442</v>
      </c>
      <c r="H5" s="49" t="str">
        <f t="shared" si="0"/>
        <v>Juan Ortiz-Corte de barba</v>
      </c>
    </row>
    <row r="6" spans="1:8" ht="14.25" customHeight="1" x14ac:dyDescent="0.25">
      <c r="A6" s="49">
        <v>3</v>
      </c>
      <c r="B6" s="119" t="str">
        <f>_xlfn.CONCAT('M-Barbero'!B6," ",'M-Barbero'!D6)</f>
        <v>Carlos Arbeladez</v>
      </c>
      <c r="C6" s="119" t="str">
        <f>'M-Servicio'!C6</f>
        <v>Perfilada de barba</v>
      </c>
      <c r="D6" s="156">
        <v>0</v>
      </c>
      <c r="E6" s="156">
        <v>15</v>
      </c>
      <c r="F6" s="156">
        <v>5</v>
      </c>
      <c r="G6" s="156" t="s">
        <v>442</v>
      </c>
      <c r="H6" s="49" t="str">
        <f t="shared" si="0"/>
        <v>Carlos Arbeladez-Perfilada de barba</v>
      </c>
    </row>
    <row r="7" spans="1:8" ht="14.25" customHeight="1" x14ac:dyDescent="0.25">
      <c r="A7" s="49">
        <v>4</v>
      </c>
      <c r="B7" s="119" t="str">
        <f>_xlfn.CONCAT('M-Barbero'!B7," ",'M-Barbero'!D7)</f>
        <v>Andres Ramirez</v>
      </c>
      <c r="C7" s="119" t="str">
        <f>'M-Servicio'!C7</f>
        <v>Arreglo completo de barba con toalla caliente</v>
      </c>
      <c r="D7" s="156">
        <v>0</v>
      </c>
      <c r="E7" s="156">
        <v>40</v>
      </c>
      <c r="F7" s="156">
        <v>10</v>
      </c>
      <c r="G7" s="156" t="s">
        <v>442</v>
      </c>
      <c r="H7" s="49" t="str">
        <f t="shared" si="0"/>
        <v>Andres Ramirez-Arreglo completo de barba con toalla caliente</v>
      </c>
    </row>
    <row r="8" spans="1:8" ht="14.25" customHeight="1" x14ac:dyDescent="0.25">
      <c r="A8" s="49">
        <v>5</v>
      </c>
      <c r="B8" s="119" t="str">
        <f>_xlfn.CONCAT('M-Barbero'!B5," ",'M-Barbero'!D5)</f>
        <v>Juan Ortiz</v>
      </c>
      <c r="C8" s="119" t="str">
        <f>'M-Servicio'!C4</f>
        <v>Motilada</v>
      </c>
      <c r="D8" s="156">
        <v>0</v>
      </c>
      <c r="E8" s="156">
        <v>40</v>
      </c>
      <c r="F8" s="156">
        <v>10</v>
      </c>
      <c r="G8" s="156" t="s">
        <v>442</v>
      </c>
      <c r="H8" s="49" t="str">
        <f t="shared" si="0"/>
        <v>Juan Ortiz-Motilada</v>
      </c>
    </row>
    <row r="9" spans="1:8" ht="14.25" customHeight="1" x14ac:dyDescent="0.25">
      <c r="A9" s="49">
        <v>6</v>
      </c>
      <c r="B9" s="119" t="str">
        <f>_xlfn.CONCAT('M-Barbero'!B6," ",'M-Barbero'!D6)</f>
        <v>Carlos Arbeladez</v>
      </c>
      <c r="C9" s="119" t="str">
        <f>'M-Servicio'!C5</f>
        <v>Corte de barba</v>
      </c>
      <c r="D9" s="156">
        <v>0</v>
      </c>
      <c r="E9" s="156">
        <v>15</v>
      </c>
      <c r="F9" s="156">
        <v>5</v>
      </c>
      <c r="G9" s="156" t="s">
        <v>442</v>
      </c>
      <c r="H9" s="49" t="str">
        <f t="shared" si="0"/>
        <v>Carlos Arbeladez-Corte de barba</v>
      </c>
    </row>
    <row r="10" spans="1:8" ht="14.25" customHeight="1" x14ac:dyDescent="0.25">
      <c r="A10" s="49">
        <v>7</v>
      </c>
      <c r="B10" s="119" t="str">
        <f>_xlfn.CONCAT('M-Barbero'!B4," ",'M-Barbero'!D4)</f>
        <v>Juan García</v>
      </c>
      <c r="C10" s="119" t="str">
        <f>'M-Servicio'!C6</f>
        <v>Perfilada de barba</v>
      </c>
      <c r="D10" s="156">
        <v>0</v>
      </c>
      <c r="E10" s="156">
        <v>20</v>
      </c>
      <c r="F10" s="156">
        <v>5</v>
      </c>
      <c r="G10" s="156" t="s">
        <v>442</v>
      </c>
      <c r="H10" s="49" t="str">
        <f t="shared" si="0"/>
        <v>Juan García-Perfilada de barba</v>
      </c>
    </row>
    <row r="11" spans="1:8" ht="14.25" customHeight="1" x14ac:dyDescent="0.25">
      <c r="A11" s="49">
        <v>8</v>
      </c>
      <c r="B11" s="119" t="str">
        <f>_xlfn.CONCAT('M-Barbero'!B7," ",'M-Barbero'!D7)</f>
        <v>Andres Ramirez</v>
      </c>
      <c r="C11" s="119" t="str">
        <f>'M-Servicio'!C4</f>
        <v>Motilada</v>
      </c>
      <c r="D11" s="156">
        <v>0</v>
      </c>
      <c r="E11" s="156">
        <v>50</v>
      </c>
      <c r="F11" s="156">
        <v>15</v>
      </c>
      <c r="G11" s="156" t="s">
        <v>442</v>
      </c>
      <c r="H11" s="49" t="str">
        <f t="shared" si="0"/>
        <v>Andres Ramirez-Motilada</v>
      </c>
    </row>
    <row r="12" spans="1:8" ht="14.25" customHeight="1" x14ac:dyDescent="0.25">
      <c r="A12" s="49">
        <v>9</v>
      </c>
      <c r="B12" s="119" t="str">
        <f>_xlfn.CONCAT('M-Barbero'!B8," ",'M-Barbero'!D8)</f>
        <v>Juan Zambrano</v>
      </c>
      <c r="C12" s="119" t="str">
        <f>'M-Servicio'!C5</f>
        <v>Corte de barba</v>
      </c>
      <c r="D12" s="156">
        <v>0</v>
      </c>
      <c r="E12" s="156">
        <v>12</v>
      </c>
      <c r="F12" s="156">
        <v>5</v>
      </c>
      <c r="G12" s="156" t="s">
        <v>442</v>
      </c>
      <c r="H12" s="49" t="str">
        <f t="shared" si="0"/>
        <v>Juan Zambrano-Corte de barba</v>
      </c>
    </row>
    <row r="13" spans="1:8" ht="14.25" customHeight="1" x14ac:dyDescent="0.25">
      <c r="A13" s="51"/>
      <c r="B13" s="207"/>
      <c r="C13" s="207"/>
      <c r="D13" s="208"/>
      <c r="E13" s="208"/>
      <c r="F13" s="208"/>
      <c r="G13" s="208"/>
      <c r="H13" s="51"/>
    </row>
    <row r="14" spans="1:8" ht="14.25" customHeight="1" x14ac:dyDescent="0.25">
      <c r="A14" s="51"/>
      <c r="B14" s="207"/>
      <c r="C14" s="207"/>
      <c r="D14" s="208"/>
      <c r="E14" s="208"/>
      <c r="F14" s="208"/>
      <c r="G14" s="208"/>
      <c r="H14" s="51"/>
    </row>
    <row r="15" spans="1:8" ht="14.25" customHeight="1" x14ac:dyDescent="0.25">
      <c r="A15" s="51"/>
      <c r="B15" s="207"/>
      <c r="C15" s="207"/>
      <c r="D15" s="208"/>
      <c r="E15" s="208"/>
      <c r="F15" s="208"/>
      <c r="G15" s="208"/>
      <c r="H15" s="51"/>
    </row>
    <row r="16" spans="1:8" ht="14.25" customHeight="1" x14ac:dyDescent="0.25"/>
    <row r="18" spans="1:2" ht="30" customHeight="1" x14ac:dyDescent="0.25">
      <c r="A18" s="52"/>
      <c r="B18" s="53" t="s">
        <v>194</v>
      </c>
    </row>
    <row r="19" spans="1:2" ht="45" customHeight="1" x14ac:dyDescent="0.25">
      <c r="A19" s="54"/>
      <c r="B19" s="53" t="s">
        <v>195</v>
      </c>
    </row>
    <row r="20" spans="1:2" ht="45" customHeight="1" x14ac:dyDescent="0.25">
      <c r="A20" s="120"/>
      <c r="B20" s="53" t="s">
        <v>443</v>
      </c>
    </row>
    <row r="21" spans="1:2" ht="30" customHeight="1" x14ac:dyDescent="0.25">
      <c r="A21" s="55"/>
      <c r="B21" s="53" t="s">
        <v>196</v>
      </c>
    </row>
    <row r="22" spans="1:2" ht="45" customHeight="1" x14ac:dyDescent="0.25">
      <c r="A22" s="103"/>
      <c r="B22" s="53" t="s">
        <v>642</v>
      </c>
    </row>
    <row r="23" spans="1:2" ht="30" customHeight="1" x14ac:dyDescent="0.25">
      <c r="A23" s="56"/>
      <c r="B23" s="53" t="s">
        <v>197</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Barbero'!A1" display="barbero" xr:uid="{00000000-0004-0000-3900-000002000000}"/>
    <hyperlink ref="C3" location="'M-Servicio'!A1" display="servicio" xr:uid="{00000000-0004-0000-3900-000003000000}"/>
    <hyperlink ref="B4" location="'M-Barbero'!A4" display="#'M-Barbero'.A4" xr:uid="{00000000-0004-0000-3900-000004000000}"/>
    <hyperlink ref="C4" location="'M-Servicio'!A4" display="#'M-Servicio'.A4" xr:uid="{00000000-0004-0000-3900-000005000000}"/>
    <hyperlink ref="B5" location="'M-Barbero'!A5" display="#'M-Barbero'.A5" xr:uid="{00000000-0004-0000-3900-000006000000}"/>
    <hyperlink ref="C5" location="'M-Servicio'!A5" display="#'M-Servicio'.A5" xr:uid="{00000000-0004-0000-3900-000007000000}"/>
    <hyperlink ref="B6" location="'M-Barbero'!A6" display="#'M-Barbero'.A6" xr:uid="{00000000-0004-0000-3900-000008000000}"/>
    <hyperlink ref="C6" location="'M-Servicio'!A6" display="#'M-Servicio'.A6" xr:uid="{00000000-0004-0000-3900-000009000000}"/>
    <hyperlink ref="B7" location="'M-Barbero'!A7" display="#'M-Barbero'.A7" xr:uid="{00000000-0004-0000-3900-00000A000000}"/>
    <hyperlink ref="C7" location="'M-Servicio'!A7" display="#'M-Servicio'.A7" xr:uid="{00000000-0004-0000-3900-00000B000000}"/>
    <hyperlink ref="B8" location="'M-Barbero'!A5" display="#'M-Barbero'.A5" xr:uid="{00000000-0004-0000-3900-00000C000000}"/>
    <hyperlink ref="C8" location="'M-Servicio'!A4" display="#'M-Servicio'.A4" xr:uid="{00000000-0004-0000-3900-00000D000000}"/>
    <hyperlink ref="B9" location="'M-Barbero'!A6" display="#'M-Barbero'.A6" xr:uid="{00000000-0004-0000-3900-00000E000000}"/>
    <hyperlink ref="C9" location="'M-Servicio'!A5" display="#'M-Servicio'.A5" xr:uid="{00000000-0004-0000-3900-00000F000000}"/>
    <hyperlink ref="B10" location="'M-Barbero'!A4" display="#'M-Barbero'.A4" xr:uid="{00000000-0004-0000-3900-000010000000}"/>
    <hyperlink ref="C10" location="'M-Servicio'!A6" display="#'M-Servicio'.A6" xr:uid="{00000000-0004-0000-3900-000011000000}"/>
    <hyperlink ref="B11" location="'M-Barbero'!A7" display="#'M-Barbero'.A7" xr:uid="{00000000-0004-0000-3900-000012000000}"/>
    <hyperlink ref="C11" location="'M-Servicio'!A4" display="#'M-Servicio'.A4" xr:uid="{00000000-0004-0000-3900-000013000000}"/>
    <hyperlink ref="B12" location="'M-Barbero'!A8" display="#'M-Barbero'.A8" xr:uid="{00000000-0004-0000-3900-000014000000}"/>
    <hyperlink ref="C12" location="'M-Servicio'!A5" display="#'M-Servicio'.A5" xr:uid="{00000000-0004-0000-3900-000015000000}"/>
  </hyperlink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A25"/>
  <sheetViews>
    <sheetView topLeftCell="M1" zoomScale="115" zoomScaleNormal="115" workbookViewId="0">
      <selection activeCell="R8" sqref="R8"/>
    </sheetView>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5" width="18" customWidth="1"/>
    <col min="6" max="6" width="9.42578125" customWidth="1"/>
    <col min="7" max="7" width="25.140625" customWidth="1"/>
    <col min="8" max="8" width="13" customWidth="1"/>
    <col min="9" max="9" width="20.85546875" customWidth="1"/>
    <col min="10" max="10" width="17.85546875" customWidth="1"/>
    <col min="11" max="11" width="13" customWidth="1"/>
    <col min="12" max="12" width="9.85546875" customWidth="1"/>
    <col min="13" max="13" width="40" customWidth="1"/>
    <col min="14" max="14" width="18" customWidth="1"/>
    <col min="15" max="15" width="13" customWidth="1"/>
    <col min="16" max="16" width="22.140625" customWidth="1"/>
    <col min="17" max="17" width="18.28515625" customWidth="1"/>
    <col min="18" max="18" width="20.85546875" customWidth="1"/>
    <col min="20" max="20" width="17.42578125" customWidth="1"/>
    <col min="21" max="21" width="11.42578125" customWidth="1"/>
    <col min="22" max="23" width="22" customWidth="1"/>
    <col min="24" max="24" width="17" customWidth="1"/>
    <col min="25" max="25" width="24.42578125" customWidth="1"/>
    <col min="26" max="26" width="13" customWidth="1"/>
    <col min="27" max="27" width="15.42578125" customWidth="1"/>
  </cols>
  <sheetData>
    <row r="1" spans="1:27" ht="15" customHeight="1" x14ac:dyDescent="0.25">
      <c r="A1" s="4" t="s">
        <v>0</v>
      </c>
      <c r="B1" s="4" t="s">
        <v>55</v>
      </c>
    </row>
    <row r="2" spans="1:27"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A15</f>
        <v>definirBloqueo</v>
      </c>
      <c r="W2" s="83" t="str">
        <f>A19</f>
        <v>eliminarBloqueo</v>
      </c>
      <c r="X2" s="84" t="str">
        <f>A21</f>
        <v>consultarBloqueosPorFecha</v>
      </c>
      <c r="Y2" s="82" t="str">
        <f>A22</f>
        <v>consultarBloqueoPorFechaHora</v>
      </c>
      <c r="Z2" s="360" t="str">
        <f>A23</f>
        <v>editarBloqueo</v>
      </c>
      <c r="AA2" s="279"/>
    </row>
    <row r="3" spans="1:27" ht="28.5" customHeight="1" x14ac:dyDescent="0.25">
      <c r="A3" s="107" t="str">
        <f>'M-Bloqueo'!A3</f>
        <v>id</v>
      </c>
      <c r="B3" s="145" t="str">
        <f>'M-Bloqueo'!A2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80</v>
      </c>
      <c r="P3" s="107" t="s">
        <v>79</v>
      </c>
      <c r="Q3" s="107" t="s">
        <v>80</v>
      </c>
      <c r="R3" s="107" t="s">
        <v>80</v>
      </c>
      <c r="S3" s="107" t="s">
        <v>80</v>
      </c>
      <c r="T3" s="107" t="s">
        <v>81</v>
      </c>
      <c r="U3" s="107" t="s">
        <v>77</v>
      </c>
      <c r="V3" s="85" t="s">
        <v>82</v>
      </c>
      <c r="W3" s="86" t="s">
        <v>84</v>
      </c>
      <c r="X3" s="87" t="s">
        <v>83</v>
      </c>
      <c r="Y3" s="85" t="s">
        <v>83</v>
      </c>
      <c r="Z3" s="86" t="s">
        <v>84</v>
      </c>
      <c r="AA3" s="86" t="s">
        <v>85</v>
      </c>
    </row>
    <row r="4" spans="1:27" ht="15" customHeight="1" x14ac:dyDescent="0.25">
      <c r="A4" s="107" t="str">
        <f>'M-Bloqueo'!B3</f>
        <v>barbero</v>
      </c>
      <c r="B4" s="145" t="str">
        <f>'M-Bloqueo'!B2</f>
        <v>Referencia a qué barbero le pertence este bloqueo</v>
      </c>
      <c r="C4" s="107" t="s">
        <v>80</v>
      </c>
      <c r="D4" s="146" t="s">
        <v>32</v>
      </c>
      <c r="E4" s="107" t="s">
        <v>77</v>
      </c>
      <c r="F4" s="107" t="s">
        <v>79</v>
      </c>
      <c r="G4" s="107" t="s">
        <v>79</v>
      </c>
      <c r="H4" s="107" t="s">
        <v>79</v>
      </c>
      <c r="I4" s="107" t="s">
        <v>79</v>
      </c>
      <c r="J4" s="107" t="s">
        <v>79</v>
      </c>
      <c r="K4" s="107" t="s">
        <v>79</v>
      </c>
      <c r="L4" s="107" t="s">
        <v>79</v>
      </c>
      <c r="M4" s="107" t="s">
        <v>331</v>
      </c>
      <c r="N4" s="107" t="s">
        <v>80</v>
      </c>
      <c r="O4" s="107" t="s">
        <v>79</v>
      </c>
      <c r="P4" s="107" t="s">
        <v>79</v>
      </c>
      <c r="Q4" s="107" t="s">
        <v>79</v>
      </c>
      <c r="R4" s="107" t="s">
        <v>79</v>
      </c>
      <c r="S4" s="107" t="s">
        <v>80</v>
      </c>
      <c r="T4" s="107" t="s">
        <v>81</v>
      </c>
      <c r="U4" s="107" t="s">
        <v>80</v>
      </c>
      <c r="V4" s="85" t="s">
        <v>84</v>
      </c>
      <c r="W4" s="86" t="s">
        <v>82</v>
      </c>
      <c r="X4" s="87" t="s">
        <v>83</v>
      </c>
      <c r="Y4" s="85" t="s">
        <v>83</v>
      </c>
      <c r="Z4" s="86" t="s">
        <v>82</v>
      </c>
      <c r="AA4" s="86" t="s">
        <v>85</v>
      </c>
    </row>
    <row r="5" spans="1:27" ht="28.5" customHeight="1" x14ac:dyDescent="0.25">
      <c r="A5" s="107" t="str">
        <f>'M-Bloqueo'!C3</f>
        <v>fechaHoraInicio</v>
      </c>
      <c r="B5" s="145" t="str">
        <f>'M-Bloqueo'!C2</f>
        <v>Representa la fecha y hora en el que el barbero empieza a no estar disponible para atender las citas</v>
      </c>
      <c r="C5" s="107" t="s">
        <v>80</v>
      </c>
      <c r="D5" s="107" t="s">
        <v>857</v>
      </c>
      <c r="E5" s="107" t="s">
        <v>77</v>
      </c>
      <c r="F5" s="107" t="s">
        <v>79</v>
      </c>
      <c r="G5" s="107" t="s">
        <v>79</v>
      </c>
      <c r="H5" s="107" t="s">
        <v>79</v>
      </c>
      <c r="I5" s="107" t="s">
        <v>79</v>
      </c>
      <c r="J5" s="107" t="s">
        <v>79</v>
      </c>
      <c r="K5" s="107" t="s">
        <v>79</v>
      </c>
      <c r="L5" s="107" t="s">
        <v>79</v>
      </c>
      <c r="M5" s="107" t="s">
        <v>79</v>
      </c>
      <c r="N5" s="107" t="s">
        <v>80</v>
      </c>
      <c r="O5" s="107" t="s">
        <v>79</v>
      </c>
      <c r="P5" s="107" t="s">
        <v>79</v>
      </c>
      <c r="Q5" s="107" t="s">
        <v>79</v>
      </c>
      <c r="R5" s="107" t="s">
        <v>79</v>
      </c>
      <c r="S5" s="107" t="s">
        <v>80</v>
      </c>
      <c r="T5" s="107" t="s">
        <v>858</v>
      </c>
      <c r="U5" s="107" t="s">
        <v>80</v>
      </c>
      <c r="V5" s="85" t="s">
        <v>84</v>
      </c>
      <c r="W5" s="86" t="s">
        <v>82</v>
      </c>
      <c r="X5" s="87" t="s">
        <v>89</v>
      </c>
      <c r="Y5" s="85" t="s">
        <v>89</v>
      </c>
      <c r="Z5" s="86" t="s">
        <v>84</v>
      </c>
      <c r="AA5" s="86" t="s">
        <v>90</v>
      </c>
    </row>
    <row r="6" spans="1:27" ht="42.75" customHeight="1" x14ac:dyDescent="0.25">
      <c r="A6" s="107" t="str">
        <f>'M-Bloqueo'!D3</f>
        <v>fechaHoraFinal</v>
      </c>
      <c r="B6" s="145" t="str">
        <f>'M-Bloqueo'!D2</f>
        <v>Representa la fecha y hora en el que el barbero empieza estar disponible nuevamente para atender las citas</v>
      </c>
      <c r="C6" s="107" t="s">
        <v>80</v>
      </c>
      <c r="D6" s="107" t="s">
        <v>857</v>
      </c>
      <c r="E6" s="107" t="s">
        <v>77</v>
      </c>
      <c r="F6" s="107" t="s">
        <v>79</v>
      </c>
      <c r="G6" s="107" t="s">
        <v>79</v>
      </c>
      <c r="H6" s="107" t="s">
        <v>79</v>
      </c>
      <c r="I6" s="107" t="s">
        <v>79</v>
      </c>
      <c r="J6" s="107" t="s">
        <v>79</v>
      </c>
      <c r="K6" s="107" t="s">
        <v>79</v>
      </c>
      <c r="L6" s="107" t="s">
        <v>79</v>
      </c>
      <c r="M6" s="107" t="s">
        <v>859</v>
      </c>
      <c r="N6" s="107" t="s">
        <v>80</v>
      </c>
      <c r="O6" s="107" t="s">
        <v>79</v>
      </c>
      <c r="P6" s="107" t="s">
        <v>79</v>
      </c>
      <c r="Q6" s="107" t="s">
        <v>79</v>
      </c>
      <c r="R6" s="107" t="s">
        <v>79</v>
      </c>
      <c r="S6" s="107" t="s">
        <v>80</v>
      </c>
      <c r="T6" s="107" t="s">
        <v>858</v>
      </c>
      <c r="U6" s="107" t="s">
        <v>80</v>
      </c>
      <c r="V6" s="85" t="s">
        <v>84</v>
      </c>
      <c r="W6" s="86" t="s">
        <v>82</v>
      </c>
      <c r="X6" s="87" t="s">
        <v>89</v>
      </c>
      <c r="Y6" s="85" t="s">
        <v>89</v>
      </c>
      <c r="Z6" s="86" t="s">
        <v>84</v>
      </c>
      <c r="AA6" s="86" t="s">
        <v>90</v>
      </c>
    </row>
    <row r="8" spans="1:27" ht="15" customHeight="1" x14ac:dyDescent="0.25">
      <c r="A8" s="147" t="s">
        <v>93</v>
      </c>
      <c r="B8" s="147" t="s">
        <v>94</v>
      </c>
      <c r="C8" s="147" t="s">
        <v>95</v>
      </c>
    </row>
    <row r="9" spans="1:27" ht="15" customHeight="1" x14ac:dyDescent="0.25">
      <c r="A9" s="364" t="str">
        <f>'M-Bloqueo'!E3</f>
        <v>Combinación única</v>
      </c>
      <c r="B9" s="438" t="str">
        <f>'M-Bloqueo'!E2</f>
        <v>Combinación única que indica que un mismo barbero no puede tener dos bloqueos con la misma fecha y hora de inicio y la misma fecha y hora final</v>
      </c>
      <c r="C9" s="148" t="str">
        <f>A4</f>
        <v>barbero</v>
      </c>
    </row>
    <row r="10" spans="1:27" ht="15" customHeight="1" x14ac:dyDescent="0.25">
      <c r="A10" s="284"/>
      <c r="B10" s="284"/>
      <c r="C10" s="148" t="str">
        <f>A5</f>
        <v>fechaHoraInicio</v>
      </c>
    </row>
    <row r="11" spans="1:27" ht="15" customHeight="1" x14ac:dyDescent="0.25">
      <c r="A11" s="281"/>
      <c r="B11" s="281"/>
      <c r="C11" s="148" t="str">
        <f>A6</f>
        <v>fechaHoraFinal</v>
      </c>
    </row>
    <row r="12" spans="1:27" ht="30" customHeight="1" x14ac:dyDescent="0.25"/>
    <row r="13" spans="1:27" x14ac:dyDescent="0.25">
      <c r="A13" s="320" t="s">
        <v>96</v>
      </c>
      <c r="B13" s="321"/>
      <c r="C13" s="323" t="s">
        <v>94</v>
      </c>
      <c r="D13" s="326"/>
      <c r="E13" s="326"/>
      <c r="F13" s="321"/>
      <c r="G13" s="323" t="s">
        <v>97</v>
      </c>
      <c r="H13" s="290"/>
      <c r="I13" s="291"/>
      <c r="J13" s="323" t="s">
        <v>98</v>
      </c>
      <c r="K13" s="290"/>
      <c r="L13" s="290"/>
      <c r="M13" s="290"/>
      <c r="N13" s="291"/>
      <c r="O13" s="323" t="s">
        <v>99</v>
      </c>
      <c r="P13" s="291"/>
      <c r="Q13" s="323" t="s">
        <v>100</v>
      </c>
      <c r="R13" s="291"/>
    </row>
    <row r="14" spans="1:27" x14ac:dyDescent="0.25">
      <c r="A14" s="322"/>
      <c r="B14" s="312"/>
      <c r="C14" s="310"/>
      <c r="D14" s="311"/>
      <c r="E14" s="311"/>
      <c r="F14" s="312"/>
      <c r="G14" s="3" t="s">
        <v>101</v>
      </c>
      <c r="H14" s="3" t="s">
        <v>59</v>
      </c>
      <c r="I14" s="3" t="s">
        <v>94</v>
      </c>
      <c r="J14" s="3" t="s">
        <v>102</v>
      </c>
      <c r="K14" s="325" t="s">
        <v>94</v>
      </c>
      <c r="L14" s="303"/>
      <c r="M14" s="303"/>
      <c r="N14" s="279"/>
      <c r="O14" s="3" t="s">
        <v>103</v>
      </c>
      <c r="P14" s="3" t="s">
        <v>94</v>
      </c>
      <c r="Q14" s="3" t="s">
        <v>104</v>
      </c>
      <c r="R14" s="23" t="s">
        <v>105</v>
      </c>
    </row>
    <row r="15" spans="1:27" ht="81.75" customHeight="1" x14ac:dyDescent="0.25">
      <c r="A15" s="425" t="s">
        <v>860</v>
      </c>
      <c r="B15" s="309"/>
      <c r="C15" s="336" t="s">
        <v>861</v>
      </c>
      <c r="D15" s="308"/>
      <c r="E15" s="308"/>
      <c r="F15" s="309"/>
      <c r="G15" s="336" t="s">
        <v>862</v>
      </c>
      <c r="H15" s="375" t="s">
        <v>40</v>
      </c>
      <c r="I15" s="336" t="s">
        <v>863</v>
      </c>
      <c r="J15" s="365" t="s">
        <v>40</v>
      </c>
      <c r="K15" s="336" t="s">
        <v>864</v>
      </c>
      <c r="L15" s="308"/>
      <c r="M15" s="308"/>
      <c r="N15" s="309"/>
      <c r="O15" s="105" t="str">
        <f>'P-Bloqueo'!A6</f>
        <v>P-BLO-0001</v>
      </c>
      <c r="P15" s="25" t="str">
        <f>'P-Bloqueo'!B6</f>
        <v>Asegurar que los datos requeridos (fecha y hora de inicio, fecha y hora de fin) sean válidos en tipo de dato, obligatoriedad, formato y rango</v>
      </c>
      <c r="Q15" s="25" t="s">
        <v>865</v>
      </c>
      <c r="R15" s="110" t="s">
        <v>112</v>
      </c>
    </row>
    <row r="16" spans="1:27" ht="89.25" customHeight="1" x14ac:dyDescent="0.25">
      <c r="A16" s="380"/>
      <c r="B16" s="370"/>
      <c r="C16" s="369"/>
      <c r="D16" s="299"/>
      <c r="E16" s="299"/>
      <c r="F16" s="370"/>
      <c r="G16" s="284"/>
      <c r="H16" s="284"/>
      <c r="I16" s="284"/>
      <c r="J16" s="284"/>
      <c r="K16" s="369"/>
      <c r="L16" s="299"/>
      <c r="M16" s="299"/>
      <c r="N16" s="370"/>
      <c r="O16" s="105" t="str">
        <f>'P-Bloqueo'!A7</f>
        <v>P-BLO-0002</v>
      </c>
      <c r="P16" s="25" t="str">
        <f>'P-Bloqueo'!B7</f>
        <v>Rechazar el bloqueo si ya existen citas agendadas dentro de ese mismo rango elegido</v>
      </c>
      <c r="Q16" s="25" t="s">
        <v>866</v>
      </c>
      <c r="R16" s="110" t="s">
        <v>112</v>
      </c>
    </row>
    <row r="17" spans="1:18" ht="55.5" customHeight="1" x14ac:dyDescent="0.25">
      <c r="A17" s="380"/>
      <c r="B17" s="370"/>
      <c r="C17" s="369"/>
      <c r="D17" s="299"/>
      <c r="E17" s="299"/>
      <c r="F17" s="370"/>
      <c r="G17" s="284"/>
      <c r="H17" s="284"/>
      <c r="I17" s="284"/>
      <c r="J17" s="284"/>
      <c r="K17" s="369"/>
      <c r="L17" s="299"/>
      <c r="M17" s="299"/>
      <c r="N17" s="370"/>
      <c r="O17" s="105" t="str">
        <f>'P-Bloqueo'!A10</f>
        <v>P-BLO-0005</v>
      </c>
      <c r="P17" s="25" t="str">
        <f>'P-Bloqueo'!B10</f>
        <v>Asegurar que el bloqueo no se cruze con otro bloqueo suyo</v>
      </c>
      <c r="Q17" s="25" t="s">
        <v>867</v>
      </c>
      <c r="R17" s="110" t="s">
        <v>112</v>
      </c>
    </row>
    <row r="18" spans="1:18" ht="77.25" customHeight="1" x14ac:dyDescent="0.25">
      <c r="A18" s="322"/>
      <c r="B18" s="312"/>
      <c r="C18" s="310"/>
      <c r="D18" s="311"/>
      <c r="E18" s="311"/>
      <c r="F18" s="312"/>
      <c r="G18" s="281"/>
      <c r="H18" s="281"/>
      <c r="I18" s="281"/>
      <c r="J18" s="281"/>
      <c r="K18" s="310"/>
      <c r="L18" s="311"/>
      <c r="M18" s="311"/>
      <c r="N18" s="312"/>
      <c r="O18" s="105" t="str">
        <f>'P-Bloqueo'!A12</f>
        <v>P-BLO-0007</v>
      </c>
      <c r="P18" s="25" t="str">
        <f>'P-Bloqueo'!B12</f>
        <v>Asegurar que la fecha y hora de fin sea mayor a la fecha y hora de inicio</v>
      </c>
      <c r="Q18" s="25" t="s">
        <v>868</v>
      </c>
      <c r="R18" s="110" t="s">
        <v>112</v>
      </c>
    </row>
    <row r="19" spans="1:18" ht="89.25" customHeight="1" x14ac:dyDescent="0.25">
      <c r="A19" s="423" t="s">
        <v>869</v>
      </c>
      <c r="B19" s="309"/>
      <c r="C19" s="376" t="s">
        <v>870</v>
      </c>
      <c r="D19" s="308"/>
      <c r="E19" s="308"/>
      <c r="F19" s="309"/>
      <c r="G19" s="367" t="s">
        <v>116</v>
      </c>
      <c r="H19" s="367" t="s">
        <v>117</v>
      </c>
      <c r="I19" s="366" t="s">
        <v>871</v>
      </c>
      <c r="J19" s="366" t="s">
        <v>133</v>
      </c>
      <c r="K19" s="308"/>
      <c r="L19" s="308"/>
      <c r="M19" s="308"/>
      <c r="N19" s="309"/>
      <c r="O19" s="111" t="str">
        <f>'P-Bloqueo'!A9</f>
        <v>P-BLO-0004</v>
      </c>
      <c r="P19" s="64" t="str">
        <f>'P-Bloqueo'!B9</f>
        <v>Asegurar que el bloqueo que se va a editar o eliminar le pertenezca al mismo barbero que hace la solicitud</v>
      </c>
      <c r="Q19" s="64" t="s">
        <v>872</v>
      </c>
      <c r="R19" s="112" t="s">
        <v>112</v>
      </c>
    </row>
    <row r="20" spans="1:18" ht="96.75" customHeight="1" x14ac:dyDescent="0.25">
      <c r="A20" s="322"/>
      <c r="B20" s="312"/>
      <c r="C20" s="310"/>
      <c r="D20" s="311"/>
      <c r="E20" s="311"/>
      <c r="F20" s="312"/>
      <c r="G20" s="281"/>
      <c r="H20" s="281"/>
      <c r="I20" s="281"/>
      <c r="J20" s="310"/>
      <c r="K20" s="311"/>
      <c r="L20" s="311"/>
      <c r="M20" s="311"/>
      <c r="N20" s="312"/>
      <c r="O20" s="111" t="str">
        <f>'P-Bloqueo'!A11</f>
        <v>P-BLO-0006</v>
      </c>
      <c r="P20" s="64" t="str">
        <f>'P-Bloqueo'!B11</f>
        <v>Asegurar que exista el bloqueo con el id enviado</v>
      </c>
      <c r="Q20" s="64" t="s">
        <v>873</v>
      </c>
      <c r="R20" s="112" t="s">
        <v>112</v>
      </c>
    </row>
    <row r="21" spans="1:18" ht="51" customHeight="1" x14ac:dyDescent="0.25">
      <c r="A21" s="422" t="s">
        <v>874</v>
      </c>
      <c r="B21" s="279"/>
      <c r="C21" s="361" t="s">
        <v>875</v>
      </c>
      <c r="D21" s="303"/>
      <c r="E21" s="303"/>
      <c r="F21" s="279"/>
      <c r="G21" s="114" t="s">
        <v>876</v>
      </c>
      <c r="H21" s="114" t="s">
        <v>40</v>
      </c>
      <c r="I21" s="68" t="s">
        <v>877</v>
      </c>
      <c r="J21" s="124" t="s">
        <v>878</v>
      </c>
      <c r="K21" s="361" t="s">
        <v>879</v>
      </c>
      <c r="L21" s="303"/>
      <c r="M21" s="303"/>
      <c r="N21" s="279"/>
      <c r="O21" s="114"/>
      <c r="P21" s="114"/>
      <c r="Q21" s="114"/>
      <c r="R21" s="115"/>
    </row>
    <row r="22" spans="1:18" ht="51" customHeight="1" x14ac:dyDescent="0.25">
      <c r="A22" s="425" t="s">
        <v>880</v>
      </c>
      <c r="B22" s="279"/>
      <c r="C22" s="306" t="s">
        <v>881</v>
      </c>
      <c r="D22" s="303"/>
      <c r="E22" s="303"/>
      <c r="F22" s="279"/>
      <c r="G22" s="105" t="s">
        <v>882</v>
      </c>
      <c r="H22" s="105" t="s">
        <v>40</v>
      </c>
      <c r="I22" s="25" t="s">
        <v>883</v>
      </c>
      <c r="J22" s="116" t="s">
        <v>40</v>
      </c>
      <c r="K22" s="306" t="s">
        <v>884</v>
      </c>
      <c r="L22" s="303"/>
      <c r="M22" s="303"/>
      <c r="N22" s="279"/>
      <c r="O22" s="105"/>
      <c r="P22" s="25"/>
      <c r="Q22" s="25"/>
      <c r="R22" s="110"/>
    </row>
    <row r="23" spans="1:18" ht="89.25" customHeight="1" x14ac:dyDescent="0.25">
      <c r="A23" s="423" t="s">
        <v>885</v>
      </c>
      <c r="B23" s="309"/>
      <c r="C23" s="366" t="s">
        <v>886</v>
      </c>
      <c r="D23" s="308"/>
      <c r="E23" s="308"/>
      <c r="F23" s="309"/>
      <c r="G23" s="111" t="s">
        <v>116</v>
      </c>
      <c r="H23" s="111" t="s">
        <v>117</v>
      </c>
      <c r="I23" s="64" t="s">
        <v>887</v>
      </c>
      <c r="J23" s="377" t="s">
        <v>40</v>
      </c>
      <c r="K23" s="366" t="s">
        <v>888</v>
      </c>
      <c r="L23" s="308"/>
      <c r="M23" s="308"/>
      <c r="N23" s="309"/>
      <c r="O23" s="111" t="str">
        <f>'P-Bloqueo'!A11</f>
        <v>P-BLO-0006</v>
      </c>
      <c r="P23" s="64" t="str">
        <f>'P-Bloqueo'!B11</f>
        <v>Asegurar que exista el bloqueo con el id enviado</v>
      </c>
      <c r="Q23" s="64" t="s">
        <v>873</v>
      </c>
      <c r="R23" s="112" t="s">
        <v>112</v>
      </c>
    </row>
    <row r="24" spans="1:18" ht="114.75" customHeight="1" x14ac:dyDescent="0.25">
      <c r="A24" s="380"/>
      <c r="B24" s="370"/>
      <c r="C24" s="369"/>
      <c r="D24" s="299"/>
      <c r="E24" s="299"/>
      <c r="F24" s="370"/>
      <c r="G24" s="366" t="s">
        <v>889</v>
      </c>
      <c r="H24" s="367" t="s">
        <v>40</v>
      </c>
      <c r="I24" s="366" t="s">
        <v>890</v>
      </c>
      <c r="J24" s="284"/>
      <c r="K24" s="369"/>
      <c r="L24" s="299"/>
      <c r="M24" s="299"/>
      <c r="N24" s="370"/>
      <c r="O24" s="111" t="str">
        <f>'P-Bloqueo'!A8</f>
        <v>P-BLO-0003</v>
      </c>
      <c r="P24" s="64" t="str">
        <f>'P-Bloqueo'!B8</f>
        <v>Asegurar que los datos requeridos para editar el bloqueo (fecha y hora de inicio, fecha y hora de fin) sean válidos en tipo de dato, obligatoriedad, formato y rango, y que la fecha y hora de fin sea mayor a la de inicio</v>
      </c>
      <c r="Q24" s="64" t="s">
        <v>891</v>
      </c>
      <c r="R24" s="112" t="s">
        <v>112</v>
      </c>
    </row>
    <row r="25" spans="1:18" ht="89.25" customHeight="1" x14ac:dyDescent="0.25">
      <c r="A25" s="322"/>
      <c r="B25" s="312"/>
      <c r="C25" s="310"/>
      <c r="D25" s="311"/>
      <c r="E25" s="311"/>
      <c r="F25" s="312"/>
      <c r="G25" s="281"/>
      <c r="H25" s="281"/>
      <c r="I25" s="281"/>
      <c r="J25" s="281"/>
      <c r="K25" s="310"/>
      <c r="L25" s="311"/>
      <c r="M25" s="311"/>
      <c r="N25" s="312"/>
      <c r="O25" s="111" t="str">
        <f>'P-Bloqueo'!A7</f>
        <v>P-BLO-0002</v>
      </c>
      <c r="P25" s="64" t="str">
        <f>'P-Bloqueo'!B7</f>
        <v>Rechazar el bloqueo si ya existen citas agendadas dentro de ese mismo rango elegido</v>
      </c>
      <c r="Q25" s="64" t="s">
        <v>892</v>
      </c>
      <c r="R25" s="112" t="s">
        <v>112</v>
      </c>
    </row>
  </sheetData>
  <mergeCells count="36">
    <mergeCell ref="A22:B22"/>
    <mergeCell ref="H24:H25"/>
    <mergeCell ref="C22:F22"/>
    <mergeCell ref="A23:B25"/>
    <mergeCell ref="Q13:R13"/>
    <mergeCell ref="K14:N14"/>
    <mergeCell ref="G13:I13"/>
    <mergeCell ref="J13:N13"/>
    <mergeCell ref="C23:F25"/>
    <mergeCell ref="J15:J18"/>
    <mergeCell ref="K23:N25"/>
    <mergeCell ref="K15:N18"/>
    <mergeCell ref="K22:N22"/>
    <mergeCell ref="G24:G25"/>
    <mergeCell ref="G15:G18"/>
    <mergeCell ref="J23:J25"/>
    <mergeCell ref="H15:H18"/>
    <mergeCell ref="C21:F21"/>
    <mergeCell ref="I24:I25"/>
    <mergeCell ref="H19:H20"/>
    <mergeCell ref="Z2:AA2"/>
    <mergeCell ref="K21:N21"/>
    <mergeCell ref="A15:B18"/>
    <mergeCell ref="J19:N20"/>
    <mergeCell ref="I19:I20"/>
    <mergeCell ref="C19:F20"/>
    <mergeCell ref="C13:F14"/>
    <mergeCell ref="G19:G20"/>
    <mergeCell ref="B9:B11"/>
    <mergeCell ref="I15:I18"/>
    <mergeCell ref="C15:F18"/>
    <mergeCell ref="O13:P13"/>
    <mergeCell ref="A9:A11"/>
    <mergeCell ref="A13:B14"/>
    <mergeCell ref="A19:B20"/>
    <mergeCell ref="A21:B21"/>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V2" location="'C-Bloqueo'!A15" display="#'C-Bloqueo'.A15" xr:uid="{00000000-0004-0000-3A00-000002000000}"/>
    <hyperlink ref="W2" location="'C-Bloqueo'!A18" display="#'C-Bloqueo'.A18" xr:uid="{00000000-0004-0000-3A00-000003000000}"/>
    <hyperlink ref="X2" location="'C-Bloqueo'!A20" display="#'C-Bloqueo'.A20" xr:uid="{00000000-0004-0000-3A00-000004000000}"/>
    <hyperlink ref="Y2" location="'C-Bloqueo'!A21" display="#'C-Bloqueo'.A21" xr:uid="{00000000-0004-0000-3A00-000005000000}"/>
    <hyperlink ref="Z2" location="'C-Bloqueo'!A22" display="#'C-Bloqueo'.A22" xr:uid="{00000000-0004-0000-3A00-000006000000}"/>
    <hyperlink ref="A3" location="'M-Bloqueo'!A3" display="'M-Bloqueo'!A3" xr:uid="{00000000-0004-0000-3A00-000007000000}"/>
    <hyperlink ref="B3" location="'M-Bloqueo'!A2" display="'M-Bloqueo'!A2" xr:uid="{00000000-0004-0000-3A00-000008000000}"/>
    <hyperlink ref="A4" location="'M-Bloqueo'!A3" display="'M-Bloqueo'!A3" xr:uid="{00000000-0004-0000-3A00-000009000000}"/>
    <hyperlink ref="B4" location="'M-Bloqueo'!A2" display="'M-Bloqueo'!A2" xr:uid="{00000000-0004-0000-3A00-00000A000000}"/>
    <hyperlink ref="D4" location="'C-Barbero'!A1" display="Barbero" xr:uid="{00000000-0004-0000-3A00-00000B000000}"/>
    <hyperlink ref="A5" location="'M-Bloqueo'!A3" display="'M-Bloqueo'!A3" xr:uid="{00000000-0004-0000-3A00-00000C000000}"/>
    <hyperlink ref="B5" location="'M-Bloqueo'!A2" display="'M-Bloqueo'!A2" xr:uid="{00000000-0004-0000-3A00-00000D000000}"/>
    <hyperlink ref="A6" location="'M-Bloqueo'!A3" display="'M-Bloqueo'!A3" xr:uid="{00000000-0004-0000-3A00-00000E000000}"/>
    <hyperlink ref="B6" location="'M-Bloqueo'!A2" display="'M-Bloqueo'!A2" xr:uid="{00000000-0004-0000-3A00-00000F000000}"/>
    <hyperlink ref="A9" location="'M-Bloqueo'!A3" display="'M-Bloqueo'!A3" xr:uid="{00000000-0004-0000-3A00-000010000000}"/>
    <hyperlink ref="B9" location="'M-Bloqueo'!A2" display="'M-Bloqueo'!A2" xr:uid="{00000000-0004-0000-3A00-000011000000}"/>
    <hyperlink ref="A15" location="'C-Bloqueo'!V2" display="definirBloqueo" xr:uid="{00000000-0004-0000-3A00-000012000000}"/>
    <hyperlink ref="A19" location="'C-Bloqueo'!W2" display="eliminarBloqueo" xr:uid="{00000000-0004-0000-3A00-000013000000}"/>
    <hyperlink ref="A21" location="'C-Bloqueo'!X2" display="consultarBloqueosPorFecha" xr:uid="{00000000-0004-0000-3A00-000014000000}"/>
    <hyperlink ref="A22" location="'C-Bloqueo'!Y2" display="consultarBloqueoPorFechaHora" xr:uid="{00000000-0004-0000-3A00-000015000000}"/>
    <hyperlink ref="A23" location="'C-Bloqueo'!Z2" display="editarBloqueo" xr:uid="{00000000-0004-0000-3A00-000016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2"/>
  <sheetViews>
    <sheetView showGridLines="0" zoomScale="110" zoomScaleNormal="110" workbookViewId="0">
      <selection activeCell="B1" sqref="B1"/>
    </sheetView>
  </sheetViews>
  <sheetFormatPr baseColWidth="10" defaultColWidth="8.7109375" defaultRowHeight="15" x14ac:dyDescent="0.25"/>
  <cols>
    <col min="1" max="1" width="22.42578125" customWidth="1"/>
    <col min="2" max="2" width="30.85546875" customWidth="1"/>
    <col min="3" max="3" width="39" customWidth="1"/>
    <col min="4" max="4" width="39.85546875" customWidth="1"/>
    <col min="5" max="5" width="37.57031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Dominio'!A17</f>
        <v>Bloqueo</v>
      </c>
      <c r="C2" s="290"/>
      <c r="D2" s="290"/>
      <c r="E2" s="291"/>
    </row>
    <row r="3" spans="1:5" ht="30" customHeight="1" x14ac:dyDescent="0.25">
      <c r="A3" s="30" t="s">
        <v>140</v>
      </c>
      <c r="B3" s="336" t="str">
        <f>'Objetos de Dominio'!B17</f>
        <v>Representa los momentos en que el barbero no esta disponible para atender sus citas, el barbero establece la hora y la fecha en que empieza y termina ese estado de no disponible.</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2.25" customHeight="1" x14ac:dyDescent="0.25">
      <c r="A6" s="8" t="s">
        <v>893</v>
      </c>
      <c r="B6" s="332" t="s">
        <v>894</v>
      </c>
      <c r="C6" s="279"/>
      <c r="D6" s="31" t="s">
        <v>40</v>
      </c>
      <c r="E6" s="31"/>
    </row>
    <row r="7" spans="1:5" ht="30" customHeight="1" x14ac:dyDescent="0.25">
      <c r="A7" s="8" t="s">
        <v>895</v>
      </c>
      <c r="B7" s="332" t="s">
        <v>896</v>
      </c>
      <c r="C7" s="279"/>
      <c r="D7" s="31" t="s">
        <v>46</v>
      </c>
      <c r="E7" s="31"/>
    </row>
    <row r="8" spans="1:5" ht="43.5" customHeight="1" x14ac:dyDescent="0.25">
      <c r="A8" s="8" t="s">
        <v>897</v>
      </c>
      <c r="B8" s="332" t="s">
        <v>898</v>
      </c>
      <c r="C8" s="279"/>
      <c r="D8" s="8" t="s">
        <v>40</v>
      </c>
      <c r="E8" s="8"/>
    </row>
    <row r="9" spans="1:5" ht="43.5" customHeight="1" x14ac:dyDescent="0.25">
      <c r="A9" s="8" t="s">
        <v>899</v>
      </c>
      <c r="B9" s="332" t="s">
        <v>900</v>
      </c>
      <c r="C9" s="279"/>
      <c r="D9" s="8" t="s">
        <v>40</v>
      </c>
      <c r="E9" s="8"/>
    </row>
    <row r="10" spans="1:5" ht="43.5" customHeight="1" x14ac:dyDescent="0.25">
      <c r="A10" s="8" t="s">
        <v>901</v>
      </c>
      <c r="B10" s="332" t="s">
        <v>902</v>
      </c>
      <c r="C10" s="279"/>
      <c r="D10" s="8" t="s">
        <v>42</v>
      </c>
      <c r="E10" s="8"/>
    </row>
    <row r="11" spans="1:5" ht="43.5" customHeight="1" x14ac:dyDescent="0.25">
      <c r="A11" s="8" t="s">
        <v>903</v>
      </c>
      <c r="B11" s="332" t="s">
        <v>904</v>
      </c>
      <c r="C11" s="279"/>
      <c r="D11" s="8" t="s">
        <v>40</v>
      </c>
      <c r="E11" s="8"/>
    </row>
    <row r="12" spans="1:5" ht="15" customHeight="1" x14ac:dyDescent="0.25">
      <c r="A12" s="8" t="s">
        <v>905</v>
      </c>
      <c r="B12" s="332" t="s">
        <v>906</v>
      </c>
      <c r="C12" s="279"/>
      <c r="D12" s="8" t="s">
        <v>40</v>
      </c>
      <c r="E12" s="8"/>
    </row>
  </sheetData>
  <mergeCells count="13">
    <mergeCell ref="A4:A5"/>
    <mergeCell ref="D4:D5"/>
    <mergeCell ref="B2:E2"/>
    <mergeCell ref="B9:C9"/>
    <mergeCell ref="B8:C8"/>
    <mergeCell ref="B6:C6"/>
    <mergeCell ref="B7:C7"/>
    <mergeCell ref="B12:C12"/>
    <mergeCell ref="B4:C5"/>
    <mergeCell ref="E4:E5"/>
    <mergeCell ref="B10:C10"/>
    <mergeCell ref="B3:E3"/>
    <mergeCell ref="B11:C11"/>
  </mergeCells>
  <hyperlinks>
    <hyperlink ref="A1" location="'Modelo de Dominio'!A1" display="&lt;&lt; Ir al modelo de dominio" xr:uid="{00000000-0004-0000-3B00-000000000000}"/>
    <hyperlink ref="B1" location="'Objetos de Dominio'!A1" display="&lt;&lt; Ir al listado de objetos de dominio" xr:uid="{00000000-0004-0000-3B00-000001000000}"/>
    <hyperlink ref="C1" location="'C-Bloqueo'!A1" display="&lt;&lt; Ir a la caracterización del objeto de dominio" xr:uid="{00000000-0004-0000-3B00-000002000000}"/>
    <hyperlink ref="D1" location="'M-Bloqueo'!A1" display="Ir al muestreo de datos del objeto de dominio &gt;&gt;" xr:uid="{00000000-0004-0000-3B00-000003000000}"/>
    <hyperlink ref="E1" location="'E-Bloqueo'!A1" display="Ir al event storming del objeto de dominio &gt;&gt;" xr:uid="{00000000-0004-0000-3B00-000004000000}"/>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8"/>
  <sheetViews>
    <sheetView showGridLines="0" topLeftCell="A13" zoomScaleNormal="100" workbookViewId="0">
      <selection activeCell="E21" sqref="E2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1.42578125" customWidth="1"/>
    <col min="8" max="8" width="55.28515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Dominio'!A17</f>
        <v>Bloqueo</v>
      </c>
      <c r="C2" s="290"/>
      <c r="D2" s="290"/>
      <c r="E2" s="290"/>
      <c r="F2" s="290"/>
      <c r="G2" s="290"/>
      <c r="H2" s="290"/>
      <c r="I2" s="290"/>
      <c r="J2" s="290"/>
      <c r="K2" s="291"/>
    </row>
    <row r="3" spans="1:11" ht="30" customHeight="1" x14ac:dyDescent="0.25">
      <c r="A3" s="72" t="s">
        <v>140</v>
      </c>
      <c r="B3" s="302" t="str">
        <f>'Objetos de Dominio'!B17</f>
        <v>Representa los momentos en que el barbero no esta disponible para atender sus citas, el barbero establece la hora y la fecha en que empieza y termina ese estado de no disponible.</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41.25" customHeight="1" x14ac:dyDescent="0.25">
      <c r="A7" s="273" t="s">
        <v>32</v>
      </c>
      <c r="B7" s="272" t="s">
        <v>907</v>
      </c>
      <c r="C7" s="272" t="s">
        <v>908</v>
      </c>
      <c r="D7" s="273" t="str">
        <f>$B$2</f>
        <v>Bloqueo</v>
      </c>
      <c r="E7" s="42" t="s">
        <v>42</v>
      </c>
      <c r="F7" s="42" t="s">
        <v>909</v>
      </c>
      <c r="G7" s="75" t="str">
        <f>'P-Bloqueo'!A6</f>
        <v>P-BLO-0001</v>
      </c>
      <c r="H7" s="104" t="str">
        <f>'P-Bloqueo'!B6</f>
        <v>Asegurar que los datos requeridos (fecha y hora de inicio, fecha y hora de fin) sean válidos en tipo de dato, obligatoriedad, formato y rango</v>
      </c>
      <c r="I7" s="273"/>
      <c r="J7" s="272" t="s">
        <v>910</v>
      </c>
      <c r="K7" s="272"/>
    </row>
    <row r="8" spans="1:11" ht="41.25" customHeight="1" x14ac:dyDescent="0.25">
      <c r="A8" s="284"/>
      <c r="B8" s="284"/>
      <c r="C8" s="284"/>
      <c r="D8" s="284"/>
      <c r="E8" s="42" t="s">
        <v>44</v>
      </c>
      <c r="F8" s="42" t="s">
        <v>911</v>
      </c>
      <c r="G8" s="75" t="str">
        <f>'P-Bloqueo'!A7</f>
        <v>P-BLO-0002</v>
      </c>
      <c r="H8" s="104" t="str">
        <f>'P-Bloqueo'!B7</f>
        <v>Rechazar el bloqueo si ya existen citas agendadas dentro de ese mismo rango elegido</v>
      </c>
      <c r="I8" s="284"/>
      <c r="J8" s="284"/>
      <c r="K8" s="284"/>
    </row>
    <row r="9" spans="1:11" ht="41.25" customHeight="1" x14ac:dyDescent="0.25">
      <c r="A9" s="284"/>
      <c r="B9" s="284"/>
      <c r="C9" s="284"/>
      <c r="D9" s="284"/>
      <c r="E9" s="42" t="s">
        <v>46</v>
      </c>
      <c r="F9" s="42" t="s">
        <v>912</v>
      </c>
      <c r="G9" s="75" t="str">
        <f>'P-Bloqueo'!A10</f>
        <v>P-BLO-0005</v>
      </c>
      <c r="H9" s="104" t="str">
        <f>'P-Bloqueo'!B10</f>
        <v>Asegurar que el bloqueo no se cruze con otro bloqueo suyo</v>
      </c>
      <c r="I9" s="284"/>
      <c r="J9" s="284"/>
      <c r="K9" s="284"/>
    </row>
    <row r="10" spans="1:11" ht="41.25" customHeight="1" x14ac:dyDescent="0.25">
      <c r="A10" s="281"/>
      <c r="B10" s="281"/>
      <c r="C10" s="281"/>
      <c r="D10" s="281"/>
      <c r="E10" s="42" t="s">
        <v>18</v>
      </c>
      <c r="F10" s="42" t="s">
        <v>913</v>
      </c>
      <c r="G10" s="75" t="str">
        <f>'P-Bloqueo'!A12</f>
        <v>P-BLO-0007</v>
      </c>
      <c r="H10" s="104" t="str">
        <f>'P-Bloqueo'!B12</f>
        <v>Asegurar que la fecha y hora de fin sea mayor a la fecha y hora de inicio</v>
      </c>
      <c r="I10" s="281"/>
      <c r="J10" s="281"/>
      <c r="K10" s="281"/>
    </row>
    <row r="11" spans="1:11" ht="41.25" customHeight="1" x14ac:dyDescent="0.25">
      <c r="A11" s="41" t="s">
        <v>32</v>
      </c>
      <c r="B11" s="42" t="s">
        <v>914</v>
      </c>
      <c r="C11" s="42" t="s">
        <v>870</v>
      </c>
      <c r="D11" s="41" t="str">
        <f>$B$2</f>
        <v>Bloqueo</v>
      </c>
      <c r="E11" s="42"/>
      <c r="F11" s="42"/>
      <c r="G11" s="75" t="str">
        <f>'P-Bloqueo'!A9</f>
        <v>P-BLO-0004</v>
      </c>
      <c r="H11" s="104" t="str">
        <f>'P-Bloqueo'!B9</f>
        <v>Asegurar que el bloqueo que se va a editar o eliminar le pertenezca al mismo barbero que hace la solicitud</v>
      </c>
      <c r="I11" s="41"/>
      <c r="J11" s="42" t="s">
        <v>915</v>
      </c>
      <c r="K11" s="42"/>
    </row>
    <row r="12" spans="1:11" ht="41.25" customHeight="1" x14ac:dyDescent="0.25">
      <c r="A12" s="41" t="s">
        <v>32</v>
      </c>
      <c r="B12" s="42" t="s">
        <v>916</v>
      </c>
      <c r="C12" s="42" t="s">
        <v>875</v>
      </c>
      <c r="D12" s="41" t="str">
        <f>$B$2</f>
        <v>Bloqueo</v>
      </c>
      <c r="E12" s="42"/>
      <c r="F12" s="42"/>
      <c r="G12" s="75"/>
      <c r="H12" s="104"/>
      <c r="I12" s="41"/>
      <c r="J12" s="42" t="s">
        <v>917</v>
      </c>
      <c r="K12" s="42"/>
    </row>
    <row r="13" spans="1:11" ht="53.25" customHeight="1" x14ac:dyDescent="0.25">
      <c r="A13" s="41" t="s">
        <v>320</v>
      </c>
      <c r="B13" s="42" t="s">
        <v>918</v>
      </c>
      <c r="C13" s="42" t="s">
        <v>919</v>
      </c>
      <c r="D13" s="41" t="str">
        <f>$B$2</f>
        <v>Bloqueo</v>
      </c>
      <c r="E13" s="42"/>
      <c r="F13" s="42"/>
      <c r="G13" s="75"/>
      <c r="H13" s="104"/>
      <c r="I13" s="41"/>
      <c r="J13" s="42" t="s">
        <v>920</v>
      </c>
      <c r="K13" s="42"/>
    </row>
    <row r="14" spans="1:11" ht="53.25" customHeight="1" x14ac:dyDescent="0.25">
      <c r="A14" s="41" t="s">
        <v>32</v>
      </c>
      <c r="B14" s="42" t="s">
        <v>918</v>
      </c>
      <c r="C14" s="42" t="s">
        <v>921</v>
      </c>
      <c r="D14" s="41" t="str">
        <f>$B$2</f>
        <v>Bloqueo</v>
      </c>
      <c r="E14" s="42"/>
      <c r="F14" s="42"/>
      <c r="G14" s="75"/>
      <c r="H14" s="104"/>
      <c r="I14" s="41"/>
      <c r="J14" s="42" t="s">
        <v>920</v>
      </c>
      <c r="K14" s="42"/>
    </row>
    <row r="15" spans="1:11" ht="41.25" customHeight="1" x14ac:dyDescent="0.25">
      <c r="A15" s="273" t="s">
        <v>32</v>
      </c>
      <c r="B15" s="272" t="s">
        <v>922</v>
      </c>
      <c r="C15" s="272" t="s">
        <v>886</v>
      </c>
      <c r="D15" s="273" t="str">
        <f>$B$2</f>
        <v>Bloqueo</v>
      </c>
      <c r="E15" s="42" t="s">
        <v>42</v>
      </c>
      <c r="F15" s="42" t="s">
        <v>909</v>
      </c>
      <c r="G15" s="424" t="str">
        <f>'P-Bloqueo'!A7</f>
        <v>P-BLO-0002</v>
      </c>
      <c r="H15" s="439" t="str">
        <f>'P-Bloqueo'!B7</f>
        <v>Rechazar el bloqueo si ya existen citas agendadas dentro de ese mismo rango elegido</v>
      </c>
      <c r="I15" s="273"/>
      <c r="J15" s="272" t="s">
        <v>923</v>
      </c>
      <c r="K15" s="272"/>
    </row>
    <row r="16" spans="1:11" ht="41.25" customHeight="1" x14ac:dyDescent="0.25">
      <c r="A16" s="284"/>
      <c r="B16" s="284"/>
      <c r="C16" s="284"/>
      <c r="D16" s="284"/>
      <c r="E16" s="42" t="s">
        <v>44</v>
      </c>
      <c r="F16" s="42" t="s">
        <v>911</v>
      </c>
      <c r="G16" s="281"/>
      <c r="H16" s="281"/>
      <c r="I16" s="284"/>
      <c r="J16" s="284"/>
      <c r="K16" s="284"/>
    </row>
    <row r="17" spans="1:11" ht="27" customHeight="1" x14ac:dyDescent="0.25">
      <c r="A17" s="284"/>
      <c r="B17" s="284"/>
      <c r="C17" s="284"/>
      <c r="D17" s="284"/>
      <c r="E17" s="42" t="s">
        <v>46</v>
      </c>
      <c r="F17" s="42" t="s">
        <v>924</v>
      </c>
      <c r="G17" s="424" t="str">
        <f>'P-Bloqueo'!A8</f>
        <v>P-BLO-0003</v>
      </c>
      <c r="H17" s="439" t="str">
        <f>'P-Bloqueo'!B8</f>
        <v>Asegurar que los datos requeridos para editar el bloqueo (fecha y hora de inicio, fecha y hora de fin) sean válidos en tipo de dato, obligatoriedad, formato y rango, y que la fecha y hora de fin sea mayor a la de inicio</v>
      </c>
      <c r="I17" s="284"/>
      <c r="J17" s="284"/>
      <c r="K17" s="284"/>
    </row>
    <row r="18" spans="1:11" ht="27" customHeight="1" x14ac:dyDescent="0.25">
      <c r="A18" s="281"/>
      <c r="B18" s="281"/>
      <c r="C18" s="281"/>
      <c r="D18" s="281"/>
      <c r="E18" s="42" t="s">
        <v>18</v>
      </c>
      <c r="F18" s="42" t="s">
        <v>913</v>
      </c>
      <c r="G18" s="281"/>
      <c r="H18" s="281"/>
      <c r="I18" s="281"/>
      <c r="J18" s="281"/>
      <c r="K18" s="281"/>
    </row>
  </sheetData>
  <mergeCells count="36">
    <mergeCell ref="C1:E1"/>
    <mergeCell ref="G17:G18"/>
    <mergeCell ref="J1:K1"/>
    <mergeCell ref="E5:F5"/>
    <mergeCell ref="A1:B1"/>
    <mergeCell ref="I7:I10"/>
    <mergeCell ref="J15:J18"/>
    <mergeCell ref="E4:F4"/>
    <mergeCell ref="F1:I1"/>
    <mergeCell ref="A7:A10"/>
    <mergeCell ref="H17:H18"/>
    <mergeCell ref="D7:D10"/>
    <mergeCell ref="G15:G16"/>
    <mergeCell ref="B3:K3"/>
    <mergeCell ref="I5:I6"/>
    <mergeCell ref="A5:A6"/>
    <mergeCell ref="G5:H5"/>
    <mergeCell ref="B15:B18"/>
    <mergeCell ref="C7:C10"/>
    <mergeCell ref="B2:K2"/>
    <mergeCell ref="D15:D18"/>
    <mergeCell ref="K7:K10"/>
    <mergeCell ref="H15:H16"/>
    <mergeCell ref="B5:B6"/>
    <mergeCell ref="D5:D6"/>
    <mergeCell ref="G4:H4"/>
    <mergeCell ref="K5:K6"/>
    <mergeCell ref="J5:J6"/>
    <mergeCell ref="B4:C4"/>
    <mergeCell ref="C5:C6"/>
    <mergeCell ref="A15:A18"/>
    <mergeCell ref="B7:B10"/>
    <mergeCell ref="C15:C18"/>
    <mergeCell ref="I15:I18"/>
    <mergeCell ref="K15:K18"/>
    <mergeCell ref="J7:J10"/>
  </mergeCells>
  <hyperlinks>
    <hyperlink ref="A1" location="'Modelo de Dominio'!A1" display="&lt;&lt; Ir al modelo de dominio" xr:uid="{00000000-0004-0000-3C00-000000000000}"/>
    <hyperlink ref="C1" location="'Objetos de Dominio'!A1" display="&lt;&lt; Ir al listado de objetos de dominio" xr:uid="{00000000-0004-0000-3C00-000001000000}"/>
    <hyperlink ref="F1" location="'C-Bloqueo'!A1" display="&lt;&lt; Ir a la caracterización del objeto de dominio" xr:uid="{00000000-0004-0000-3C00-000002000000}"/>
    <hyperlink ref="J1" location="'M-Bloqueo'!A1" display="Ir al muestreo de datos del objeto de dominio &gt;&gt;" xr:uid="{00000000-0004-0000-3C00-000003000000}"/>
    <hyperlink ref="G7" location="'P-Bloqueo'!A6" display="#'P-Bloqueo'.A6" xr:uid="{00000000-0004-0000-3C00-000004000000}"/>
    <hyperlink ref="G8" location="'P-Bloqueo'!A7" display="#'P-Bloqueo'.A7" xr:uid="{00000000-0004-0000-3C00-000005000000}"/>
    <hyperlink ref="G10" location="'P-Bloqueo'!A9" display="#'P-Bloqueo'.A9" xr:uid="{00000000-0004-0000-3C00-000006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18"/>
  <sheetViews>
    <sheetView zoomScale="130" zoomScaleNormal="130" workbookViewId="0">
      <selection activeCell="B1" sqref="B1"/>
    </sheetView>
  </sheetViews>
  <sheetFormatPr baseColWidth="10" defaultColWidth="8.7109375" defaultRowHeight="15" x14ac:dyDescent="0.25"/>
  <cols>
    <col min="1" max="1" width="27" customWidth="1"/>
    <col min="2" max="2" width="26.140625" customWidth="1"/>
    <col min="3" max="3" width="24.42578125" customWidth="1"/>
    <col min="4" max="4" width="20.28515625" customWidth="1"/>
    <col min="5" max="5" width="41.42578125" customWidth="1"/>
  </cols>
  <sheetData>
    <row r="1" spans="1:5" ht="14.25" customHeight="1" x14ac:dyDescent="0.25">
      <c r="A1" s="4" t="s">
        <v>0</v>
      </c>
      <c r="B1" s="4" t="s">
        <v>55</v>
      </c>
      <c r="C1" s="4"/>
      <c r="D1" s="4"/>
    </row>
    <row r="2" spans="1:5" ht="44.25" customHeight="1" x14ac:dyDescent="0.25">
      <c r="A2" s="44" t="s">
        <v>183</v>
      </c>
      <c r="B2" s="44" t="s">
        <v>925</v>
      </c>
      <c r="C2" s="44" t="s">
        <v>926</v>
      </c>
      <c r="D2" s="44" t="s">
        <v>927</v>
      </c>
      <c r="E2" s="96" t="s">
        <v>928</v>
      </c>
    </row>
    <row r="3" spans="1:5" ht="14.25" customHeight="1" x14ac:dyDescent="0.25">
      <c r="A3" s="46" t="s">
        <v>116</v>
      </c>
      <c r="B3" s="118" t="s">
        <v>789</v>
      </c>
      <c r="C3" s="47" t="s">
        <v>929</v>
      </c>
      <c r="D3" s="47" t="s">
        <v>930</v>
      </c>
      <c r="E3" s="48" t="s">
        <v>189</v>
      </c>
    </row>
    <row r="4" spans="1:5" ht="28.5" customHeight="1" x14ac:dyDescent="0.25">
      <c r="A4" s="49">
        <v>1</v>
      </c>
      <c r="B4" s="149" t="str">
        <f>'M-Barbero'!K4</f>
        <v>+57-3245627890</v>
      </c>
      <c r="C4" s="206">
        <v>46188.5</v>
      </c>
      <c r="D4" s="206">
        <v>46188.541666666657</v>
      </c>
      <c r="E4" s="79" t="str">
        <f>_xlfn.CONCAT(B4,"-",TEXT(C4,"dd/mm/yyyy hh:mm"),"-",TEXT(D4,"dd/mm/yyyy hh:mm"))</f>
        <v>+57-3245627890-15/06/2026 12:00-15/06/2026 13:00</v>
      </c>
    </row>
    <row r="5" spans="1:5" ht="28.5" customHeight="1" x14ac:dyDescent="0.25">
      <c r="A5" s="49">
        <v>2</v>
      </c>
      <c r="B5" s="149" t="str">
        <f>'M-Barbero'!K5</f>
        <v>+57-3124518923</v>
      </c>
      <c r="C5" s="206">
        <v>46189.416666666657</v>
      </c>
      <c r="D5" s="206">
        <v>46189.4375</v>
      </c>
      <c r="E5" s="79" t="str">
        <f>_xlfn.CONCAT(B5,"-",TEXT(C5,"dd/mm/yyyy hh:mm"),"-",TEXT(D5,"dd/mm/yyyy hh:mm"))</f>
        <v>+57-3124518923-16/06/2026 10:00-16/06/2026 10:30</v>
      </c>
    </row>
    <row r="6" spans="1:5" ht="28.5" customHeight="1" x14ac:dyDescent="0.25">
      <c r="A6" s="49">
        <v>3</v>
      </c>
      <c r="B6" s="149" t="str">
        <f>'M-Barbero'!K6</f>
        <v>+57-3214533321</v>
      </c>
      <c r="C6" s="206">
        <v>46191.583333333343</v>
      </c>
      <c r="D6" s="206">
        <v>46191.625</v>
      </c>
      <c r="E6" s="79" t="str">
        <f>_xlfn.CONCAT(B6,"-",TEXT(C6,"dd/mm/yyyy hh:mm"),"-",TEXT(D6,"dd/mm/yyyy hh:mm"))</f>
        <v>+57-3214533321-18/06/2026 14:00-18/06/2026 15:00</v>
      </c>
    </row>
    <row r="7" spans="1:5" ht="28.5" customHeight="1" x14ac:dyDescent="0.25">
      <c r="A7" s="49">
        <v>4</v>
      </c>
      <c r="B7" s="149" t="str">
        <f>'M-Barbero'!K7</f>
        <v>+91-9876543210</v>
      </c>
      <c r="C7" s="206">
        <v>46193.375</v>
      </c>
      <c r="D7" s="206">
        <v>46193.395833333343</v>
      </c>
      <c r="E7" s="79" t="str">
        <f>_xlfn.CONCAT(B7,"-",TEXT(C7,"dd/mm/yyyy hh:mm"),"-",TEXT(D7,"dd/mm/yyyy hh:mm"))</f>
        <v>+91-9876543210-20/06/2026 09:00-20/06/2026 09:30</v>
      </c>
    </row>
    <row r="8" spans="1:5" ht="28.5" customHeight="1" x14ac:dyDescent="0.25">
      <c r="A8" s="49">
        <v>5</v>
      </c>
      <c r="B8" s="149" t="str">
        <f>'M-Barbero'!K7</f>
        <v>+91-9876543210</v>
      </c>
      <c r="C8" s="206">
        <v>46195.666666666657</v>
      </c>
      <c r="D8" s="206">
        <v>46195.697916666657</v>
      </c>
      <c r="E8" s="79" t="str">
        <f>_xlfn.CONCAT(B8,"-",TEXT(C8,"dd/mm/yyyy hh:mm"),"-",TEXT(D8,"dd/mm/yyyy hh:mm"))</f>
        <v>+91-9876543210-22/06/2026 16:00-22/06/2026 16:45</v>
      </c>
    </row>
    <row r="10" spans="1:5" ht="14.25" customHeight="1" x14ac:dyDescent="0.25"/>
    <row r="11" spans="1:5" x14ac:dyDescent="0.25">
      <c r="E11" s="205"/>
    </row>
    <row r="12" spans="1:5" ht="15" customHeight="1" x14ac:dyDescent="0.25">
      <c r="E12" s="150"/>
    </row>
    <row r="14" spans="1:5" ht="28.5" customHeight="1" x14ac:dyDescent="0.25">
      <c r="A14" s="52"/>
      <c r="B14" s="53" t="s">
        <v>194</v>
      </c>
    </row>
    <row r="15" spans="1:5" ht="28.5" customHeight="1" x14ac:dyDescent="0.25">
      <c r="A15" s="54"/>
      <c r="B15" s="53" t="s">
        <v>195</v>
      </c>
    </row>
    <row r="16" spans="1:5" ht="28.5" customHeight="1" x14ac:dyDescent="0.25">
      <c r="A16" s="120"/>
      <c r="B16" s="53" t="s">
        <v>443</v>
      </c>
    </row>
    <row r="17" spans="1:2" ht="28.5" customHeight="1" x14ac:dyDescent="0.25">
      <c r="A17" s="55"/>
      <c r="B17" s="53" t="s">
        <v>196</v>
      </c>
    </row>
    <row r="18" spans="1:2" ht="28.5" customHeight="1" x14ac:dyDescent="0.25">
      <c r="A18" s="56"/>
      <c r="B18" s="53" t="s">
        <v>197</v>
      </c>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Barbero'!A1" display="barbero" xr:uid="{00000000-0004-0000-3D00-000002000000}"/>
    <hyperlink ref="B4" location="'M-Barbero'!A4" display="#'M-Barbero'.A4" xr:uid="{00000000-0004-0000-3D00-000003000000}"/>
    <hyperlink ref="B5" location="'M-Barbero'!A5" display="#'M-Barbero'.A5" xr:uid="{00000000-0004-0000-3D00-000004000000}"/>
    <hyperlink ref="B6" location="'M-Barbero'!A6" display="#'M-Barbero'.A6" xr:uid="{00000000-0004-0000-3D00-000005000000}"/>
    <hyperlink ref="B7" location="'M-Barbero'!A7" display="#'M-Barbero'.A7" xr:uid="{00000000-0004-0000-3D00-000006000000}"/>
    <hyperlink ref="B8" location="'M-Barbero'!A7" display="#'M-Barbero'.A7" xr:uid="{00000000-0004-0000-3D00-000007000000}"/>
  </hyperlink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Y29"/>
  <sheetViews>
    <sheetView zoomScaleNormal="100" workbookViewId="0">
      <selection activeCell="B1" sqref="B1"/>
    </sheetView>
  </sheetViews>
  <sheetFormatPr baseColWidth="10" defaultColWidth="8.7109375" defaultRowHeight="15" x14ac:dyDescent="0.25"/>
  <cols>
    <col min="1" max="1" width="26.7109375" customWidth="1"/>
    <col min="2" max="2" width="51.85546875" customWidth="1"/>
    <col min="3" max="3" width="43" customWidth="1"/>
    <col min="4" max="4" width="26.7109375" customWidth="1"/>
    <col min="5" max="5" width="18" customWidth="1"/>
    <col min="6" max="6" width="14.28515625" customWidth="1"/>
    <col min="7" max="7" width="20.28515625" customWidth="1"/>
    <col min="8" max="8" width="15.28515625" customWidth="1"/>
    <col min="9" max="9" width="28.140625" customWidth="1"/>
    <col min="10" max="10" width="22" customWidth="1"/>
    <col min="11" max="11" width="13" customWidth="1"/>
    <col min="12" max="12" width="12.42578125" customWidth="1"/>
    <col min="13" max="13" width="40" customWidth="1"/>
    <col min="14" max="14" width="18" customWidth="1"/>
    <col min="15" max="15" width="11.7109375" customWidth="1"/>
    <col min="16" max="16" width="23.7109375" customWidth="1"/>
    <col min="17" max="17" width="22.5703125" customWidth="1"/>
    <col min="18" max="18" width="20" customWidth="1"/>
    <col min="20" max="20" width="13" customWidth="1"/>
    <col min="21" max="21" width="10.7109375" customWidth="1"/>
    <col min="22" max="22" width="24.28515625" customWidth="1"/>
    <col min="23" max="23" width="25.42578125" customWidth="1"/>
    <col min="24" max="24" width="25.85546875" customWidth="1"/>
    <col min="25" max="25" width="35.5703125" customWidth="1"/>
  </cols>
  <sheetData>
    <row r="1" spans="1:25" ht="15" customHeight="1" x14ac:dyDescent="0.25">
      <c r="A1" s="4" t="s">
        <v>0</v>
      </c>
      <c r="B1" s="4" t="s">
        <v>55</v>
      </c>
    </row>
    <row r="2" spans="1:25"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A22</f>
        <v>definirHorarioDeTrabajo</v>
      </c>
      <c r="W2" s="157" t="str">
        <f>A25</f>
        <v>consultarHorariosDefinidos</v>
      </c>
      <c r="X2" s="158" t="str">
        <f>A26</f>
        <v>desactivarHorarioDeTrabajo</v>
      </c>
      <c r="Y2" s="82" t="str">
        <f>A29</f>
        <v>consultarHorariosDeTrabajoDeBarbero</v>
      </c>
    </row>
    <row r="3" spans="1:25" ht="30" customHeight="1" x14ac:dyDescent="0.25">
      <c r="A3" s="107" t="str">
        <f>'M-HorarioBarbero'!A3</f>
        <v>id</v>
      </c>
      <c r="B3" s="145" t="str">
        <f>'M-HorarioBarbero'!A2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80</v>
      </c>
      <c r="P3" s="107" t="s">
        <v>79</v>
      </c>
      <c r="Q3" s="107" t="s">
        <v>80</v>
      </c>
      <c r="R3" s="107" t="s">
        <v>80</v>
      </c>
      <c r="S3" s="107" t="s">
        <v>80</v>
      </c>
      <c r="T3" s="107" t="s">
        <v>81</v>
      </c>
      <c r="U3" s="107" t="s">
        <v>77</v>
      </c>
      <c r="V3" s="85" t="s">
        <v>82</v>
      </c>
      <c r="W3" s="86" t="s">
        <v>83</v>
      </c>
      <c r="X3" s="87" t="s">
        <v>84</v>
      </c>
      <c r="Y3" s="85" t="s">
        <v>83</v>
      </c>
    </row>
    <row r="4" spans="1:25" ht="27.75" customHeight="1" x14ac:dyDescent="0.25">
      <c r="A4" s="107" t="str">
        <f>'M-HorarioBarbero'!B3</f>
        <v>barbero</v>
      </c>
      <c r="B4" s="145" t="str">
        <f>'M-HorarioBarbero'!B2</f>
        <v>Referencia a que barbero va a ser dueño de este horario</v>
      </c>
      <c r="C4" s="107" t="s">
        <v>80</v>
      </c>
      <c r="D4" s="146" t="s">
        <v>32</v>
      </c>
      <c r="E4" s="107" t="s">
        <v>77</v>
      </c>
      <c r="F4" s="107" t="s">
        <v>79</v>
      </c>
      <c r="G4" s="107" t="s">
        <v>79</v>
      </c>
      <c r="H4" s="107" t="s">
        <v>79</v>
      </c>
      <c r="I4" s="107" t="s">
        <v>79</v>
      </c>
      <c r="J4" s="107" t="s">
        <v>79</v>
      </c>
      <c r="K4" s="107" t="s">
        <v>79</v>
      </c>
      <c r="L4" s="107" t="s">
        <v>79</v>
      </c>
      <c r="M4" s="17" t="s">
        <v>331</v>
      </c>
      <c r="N4" s="107" t="s">
        <v>80</v>
      </c>
      <c r="O4" s="107" t="s">
        <v>79</v>
      </c>
      <c r="P4" s="107" t="s">
        <v>79</v>
      </c>
      <c r="Q4" s="107" t="s">
        <v>79</v>
      </c>
      <c r="R4" s="107" t="s">
        <v>79</v>
      </c>
      <c r="S4" s="107" t="s">
        <v>80</v>
      </c>
      <c r="T4" s="107" t="s">
        <v>81</v>
      </c>
      <c r="U4" s="107" t="s">
        <v>80</v>
      </c>
      <c r="V4" s="85" t="s">
        <v>84</v>
      </c>
      <c r="W4" s="86" t="s">
        <v>83</v>
      </c>
      <c r="X4" s="87" t="s">
        <v>82</v>
      </c>
      <c r="Y4" s="85" t="s">
        <v>89</v>
      </c>
    </row>
    <row r="5" spans="1:25" ht="30" customHeight="1" x14ac:dyDescent="0.25">
      <c r="A5" s="107" t="str">
        <f>'M-HorarioBarbero'!C3</f>
        <v>horarioDeLaBarberia</v>
      </c>
      <c r="B5" s="145" t="str">
        <f>'M-HorarioBarbero'!C2</f>
        <v>Hace referencia a la agenda del barbero en la que queda guardado este horario de trabajo</v>
      </c>
      <c r="C5" s="107" t="s">
        <v>80</v>
      </c>
      <c r="D5" s="146" t="s">
        <v>34</v>
      </c>
      <c r="E5" s="107" t="s">
        <v>77</v>
      </c>
      <c r="F5" s="107" t="s">
        <v>79</v>
      </c>
      <c r="G5" s="107" t="s">
        <v>79</v>
      </c>
      <c r="H5" s="107" t="s">
        <v>79</v>
      </c>
      <c r="I5" s="107" t="s">
        <v>79</v>
      </c>
      <c r="J5" s="107" t="s">
        <v>79</v>
      </c>
      <c r="K5" s="107" t="s">
        <v>79</v>
      </c>
      <c r="L5" s="107" t="s">
        <v>79</v>
      </c>
      <c r="M5" s="17" t="s">
        <v>331</v>
      </c>
      <c r="N5" s="107" t="s">
        <v>80</v>
      </c>
      <c r="O5" s="107" t="s">
        <v>79</v>
      </c>
      <c r="P5" s="107" t="s">
        <v>79</v>
      </c>
      <c r="Q5" s="107" t="s">
        <v>79</v>
      </c>
      <c r="R5" s="107" t="s">
        <v>79</v>
      </c>
      <c r="S5" s="107" t="s">
        <v>80</v>
      </c>
      <c r="T5" s="107" t="s">
        <v>81</v>
      </c>
      <c r="U5" s="107" t="s">
        <v>80</v>
      </c>
      <c r="V5" s="85" t="s">
        <v>84</v>
      </c>
      <c r="W5" s="86" t="s">
        <v>89</v>
      </c>
      <c r="X5" s="87" t="s">
        <v>82</v>
      </c>
      <c r="Y5" s="85" t="s">
        <v>89</v>
      </c>
    </row>
    <row r="6" spans="1:25" ht="30" customHeight="1" x14ac:dyDescent="0.25">
      <c r="A6" s="107" t="str">
        <f>'M-HorarioBarbero'!D3</f>
        <v>horaInicio</v>
      </c>
      <c r="B6" s="145" t="str">
        <f>'M-HorarioBarbero'!D2</f>
        <v>Representa la hora en la que el barbero empieza a estar disponible ese dia</v>
      </c>
      <c r="C6" s="107" t="s">
        <v>80</v>
      </c>
      <c r="D6" s="107" t="s">
        <v>643</v>
      </c>
      <c r="E6" s="107" t="s">
        <v>77</v>
      </c>
      <c r="F6" s="107" t="s">
        <v>79</v>
      </c>
      <c r="G6" s="107" t="s">
        <v>79</v>
      </c>
      <c r="H6" s="107" t="s">
        <v>79</v>
      </c>
      <c r="I6" s="107" t="s">
        <v>79</v>
      </c>
      <c r="J6" s="107" t="s">
        <v>79</v>
      </c>
      <c r="K6" s="107" t="s">
        <v>79</v>
      </c>
      <c r="L6" s="107" t="s">
        <v>79</v>
      </c>
      <c r="M6" s="145" t="s">
        <v>931</v>
      </c>
      <c r="N6" s="107" t="s">
        <v>80</v>
      </c>
      <c r="O6" s="107" t="s">
        <v>79</v>
      </c>
      <c r="P6" s="107" t="s">
        <v>79</v>
      </c>
      <c r="Q6" s="107" t="s">
        <v>79</v>
      </c>
      <c r="R6" s="107" t="s">
        <v>79</v>
      </c>
      <c r="S6" s="107" t="s">
        <v>80</v>
      </c>
      <c r="T6" s="107" t="s">
        <v>644</v>
      </c>
      <c r="U6" s="107" t="s">
        <v>80</v>
      </c>
      <c r="V6" s="85" t="s">
        <v>84</v>
      </c>
      <c r="W6" s="86" t="s">
        <v>89</v>
      </c>
      <c r="X6" s="87" t="s">
        <v>82</v>
      </c>
      <c r="Y6" s="85" t="s">
        <v>89</v>
      </c>
    </row>
    <row r="7" spans="1:25" ht="28.5" customHeight="1" x14ac:dyDescent="0.25">
      <c r="A7" s="107" t="str">
        <f>'M-HorarioBarbero'!E3</f>
        <v>horaFinal</v>
      </c>
      <c r="B7" s="145" t="str">
        <f>'M-HorarioBarbero'!E2</f>
        <v>Representa la hora en la que el barbero deja de estar disponible ese día.</v>
      </c>
      <c r="C7" s="107" t="s">
        <v>80</v>
      </c>
      <c r="D7" s="107" t="s">
        <v>643</v>
      </c>
      <c r="E7" s="107" t="s">
        <v>77</v>
      </c>
      <c r="F7" s="107" t="s">
        <v>79</v>
      </c>
      <c r="G7" s="107" t="s">
        <v>79</v>
      </c>
      <c r="H7" s="107" t="s">
        <v>79</v>
      </c>
      <c r="I7" s="107" t="s">
        <v>79</v>
      </c>
      <c r="J7" s="107" t="s">
        <v>79</v>
      </c>
      <c r="K7" s="107" t="s">
        <v>79</v>
      </c>
      <c r="L7" s="107" t="s">
        <v>79</v>
      </c>
      <c r="M7" s="145" t="s">
        <v>932</v>
      </c>
      <c r="N7" s="107" t="s">
        <v>80</v>
      </c>
      <c r="O7" s="107" t="s">
        <v>79</v>
      </c>
      <c r="P7" s="107" t="s">
        <v>79</v>
      </c>
      <c r="Q7" s="107" t="s">
        <v>79</v>
      </c>
      <c r="R7" s="107" t="s">
        <v>79</v>
      </c>
      <c r="S7" s="107" t="s">
        <v>80</v>
      </c>
      <c r="T7" s="107" t="s">
        <v>644</v>
      </c>
      <c r="U7" s="107" t="s">
        <v>80</v>
      </c>
      <c r="V7" s="85" t="s">
        <v>84</v>
      </c>
      <c r="W7" s="86" t="s">
        <v>89</v>
      </c>
      <c r="X7" s="87" t="s">
        <v>82</v>
      </c>
      <c r="Y7" s="85" t="s">
        <v>89</v>
      </c>
    </row>
    <row r="8" spans="1:25" ht="45" customHeight="1" x14ac:dyDescent="0.25">
      <c r="A8" s="107" t="str">
        <f>'M-HorarioBarbero'!F3</f>
        <v>fechaCreacion</v>
      </c>
      <c r="B8" s="145" t="str">
        <f>'M-HorarioBarbero'!F2</f>
        <v>Representa la fecha en el que el barbero creo su horario. Es un dato calculado que toma la fecha de hoy cuando el barbero la crea</v>
      </c>
      <c r="C8" s="107" t="s">
        <v>80</v>
      </c>
      <c r="D8" s="107" t="s">
        <v>646</v>
      </c>
      <c r="E8" s="107" t="s">
        <v>77</v>
      </c>
      <c r="F8" s="107" t="s">
        <v>79</v>
      </c>
      <c r="G8" s="107" t="s">
        <v>79</v>
      </c>
      <c r="H8" s="107" t="s">
        <v>79</v>
      </c>
      <c r="I8" s="107" t="s">
        <v>79</v>
      </c>
      <c r="J8" s="107" t="s">
        <v>79</v>
      </c>
      <c r="K8" s="107" t="s">
        <v>79</v>
      </c>
      <c r="L8" s="107" t="s">
        <v>79</v>
      </c>
      <c r="M8" s="145" t="s">
        <v>933</v>
      </c>
      <c r="N8" s="107" t="s">
        <v>77</v>
      </c>
      <c r="O8" s="107" t="s">
        <v>79</v>
      </c>
      <c r="P8" s="107" t="s">
        <v>79</v>
      </c>
      <c r="Q8" s="107" t="s">
        <v>79</v>
      </c>
      <c r="R8" s="107" t="s">
        <v>79</v>
      </c>
      <c r="S8" s="107" t="s">
        <v>80</v>
      </c>
      <c r="T8" s="107" t="s">
        <v>934</v>
      </c>
      <c r="U8" s="107" t="s">
        <v>77</v>
      </c>
      <c r="V8" s="85" t="s">
        <v>82</v>
      </c>
      <c r="W8" s="86" t="s">
        <v>89</v>
      </c>
      <c r="X8" s="87" t="s">
        <v>82</v>
      </c>
      <c r="Y8" s="85" t="s">
        <v>83</v>
      </c>
    </row>
    <row r="9" spans="1:25" ht="60" customHeight="1" x14ac:dyDescent="0.25">
      <c r="A9" s="107" t="str">
        <f>'M-HorarioBarbero'!G3</f>
        <v>fechaDesactivacion</v>
      </c>
      <c r="B9" s="145" t="str">
        <f>'M-HorarioBarbero'!G2</f>
        <v>Representa la fecha en la que este horario dejó de estar vigente, ya sea porque el barbero lo retiró o porque se desactivó el horario de la barbería del que depende. Es un dato calculado que toma la fecha del sistema en ese momento.</v>
      </c>
      <c r="C9" s="159" t="s">
        <v>80</v>
      </c>
      <c r="D9" s="159" t="s">
        <v>646</v>
      </c>
      <c r="E9" s="159" t="s">
        <v>80</v>
      </c>
      <c r="F9" s="159" t="s">
        <v>79</v>
      </c>
      <c r="G9" s="159" t="s">
        <v>79</v>
      </c>
      <c r="H9" s="159" t="s">
        <v>79</v>
      </c>
      <c r="I9" s="159" t="s">
        <v>79</v>
      </c>
      <c r="J9" s="159" t="s">
        <v>79</v>
      </c>
      <c r="K9" s="159" t="s">
        <v>79</v>
      </c>
      <c r="L9" s="107" t="s">
        <v>79</v>
      </c>
      <c r="M9" s="159" t="s">
        <v>935</v>
      </c>
      <c r="N9" s="159" t="s">
        <v>77</v>
      </c>
      <c r="O9" s="159" t="s">
        <v>79</v>
      </c>
      <c r="P9" s="159" t="s">
        <v>79</v>
      </c>
      <c r="Q9" s="159" t="s">
        <v>79</v>
      </c>
      <c r="R9" s="159" t="s">
        <v>79</v>
      </c>
      <c r="S9" s="159" t="s">
        <v>80</v>
      </c>
      <c r="T9" s="159" t="s">
        <v>934</v>
      </c>
      <c r="U9" s="107" t="s">
        <v>77</v>
      </c>
      <c r="V9" s="85" t="s">
        <v>82</v>
      </c>
      <c r="W9" s="86" t="s">
        <v>89</v>
      </c>
      <c r="X9" s="87" t="s">
        <v>82</v>
      </c>
      <c r="Y9" s="85" t="s">
        <v>83</v>
      </c>
    </row>
    <row r="10" spans="1:25" ht="45" customHeight="1" x14ac:dyDescent="0.25">
      <c r="A10" s="107" t="str">
        <f>'M-HorarioBarbero'!H3</f>
        <v>vigente</v>
      </c>
      <c r="B10" s="145" t="str">
        <f>'M-HorarioBarbero'!H2</f>
        <v>Representa si este horario lo sigue o no usando el barbero. Una vez que el barbero cambie este estado a no vigente, no se puede volver a cambiar</v>
      </c>
      <c r="C10" s="107" t="s">
        <v>80</v>
      </c>
      <c r="D10" s="107" t="s">
        <v>334</v>
      </c>
      <c r="E10" s="107" t="s">
        <v>77</v>
      </c>
      <c r="F10" s="107" t="s">
        <v>79</v>
      </c>
      <c r="G10" s="107" t="s">
        <v>79</v>
      </c>
      <c r="H10" s="107" t="s">
        <v>79</v>
      </c>
      <c r="I10" s="107" t="s">
        <v>79</v>
      </c>
      <c r="J10" s="107" t="s">
        <v>79</v>
      </c>
      <c r="K10" s="107" t="s">
        <v>79</v>
      </c>
      <c r="L10" s="107" t="s">
        <v>79</v>
      </c>
      <c r="M10" s="145" t="s">
        <v>936</v>
      </c>
      <c r="N10" s="107" t="s">
        <v>80</v>
      </c>
      <c r="O10" s="107" t="s">
        <v>79</v>
      </c>
      <c r="P10" s="107" t="s">
        <v>79</v>
      </c>
      <c r="Q10" s="107" t="s">
        <v>79</v>
      </c>
      <c r="R10" s="107" t="s">
        <v>79</v>
      </c>
      <c r="S10" s="107" t="s">
        <v>80</v>
      </c>
      <c r="T10" s="107" t="s">
        <v>77</v>
      </c>
      <c r="U10" s="107" t="s">
        <v>77</v>
      </c>
      <c r="V10" s="85" t="s">
        <v>82</v>
      </c>
      <c r="W10" s="86" t="s">
        <v>89</v>
      </c>
      <c r="X10" s="87" t="s">
        <v>82</v>
      </c>
      <c r="Y10" s="85" t="s">
        <v>83</v>
      </c>
    </row>
    <row r="12" spans="1:25" ht="15" customHeight="1" x14ac:dyDescent="0.25">
      <c r="A12" s="19" t="s">
        <v>93</v>
      </c>
      <c r="B12" s="19" t="s">
        <v>94</v>
      </c>
      <c r="C12" s="19" t="s">
        <v>95</v>
      </c>
    </row>
    <row r="13" spans="1:25" ht="15" customHeight="1" x14ac:dyDescent="0.25">
      <c r="A13" s="364" t="str">
        <f>'M-HorarioBarbero'!I3</f>
        <v>Combinación única</v>
      </c>
      <c r="B13" s="371" t="str">
        <f>'M-HorarioBarbero'!I2</f>
        <v>Combinación única que indica que un mismo barbero no puede tener dos horarios con el mismo día de la barbería, la misma hora de inicio, la misma hora final, misma fecha de creacion y de desactivacion</v>
      </c>
      <c r="C13" s="20" t="str">
        <f t="shared" ref="C13:C18" si="0">A4</f>
        <v>barbero</v>
      </c>
    </row>
    <row r="14" spans="1:25" ht="15" customHeight="1" x14ac:dyDescent="0.25">
      <c r="A14" s="284"/>
      <c r="B14" s="284"/>
      <c r="C14" s="20" t="str">
        <f t="shared" si="0"/>
        <v>horarioDeLaBarberia</v>
      </c>
    </row>
    <row r="15" spans="1:25" ht="15" customHeight="1" x14ac:dyDescent="0.25">
      <c r="A15" s="284"/>
      <c r="B15" s="284"/>
      <c r="C15" s="20" t="str">
        <f t="shared" si="0"/>
        <v>horaInicio</v>
      </c>
    </row>
    <row r="16" spans="1:25" ht="15" customHeight="1" x14ac:dyDescent="0.25">
      <c r="A16" s="284"/>
      <c r="B16" s="284"/>
      <c r="C16" s="20" t="str">
        <f t="shared" si="0"/>
        <v>horaFinal</v>
      </c>
    </row>
    <row r="17" spans="1:18" ht="15" customHeight="1" x14ac:dyDescent="0.25">
      <c r="A17" s="284"/>
      <c r="B17" s="284"/>
      <c r="C17" s="20" t="str">
        <f t="shared" si="0"/>
        <v>fechaCreacion</v>
      </c>
    </row>
    <row r="18" spans="1:18" ht="15" customHeight="1" x14ac:dyDescent="0.25">
      <c r="A18" s="281"/>
      <c r="B18" s="281"/>
      <c r="C18" s="20" t="str">
        <f t="shared" si="0"/>
        <v>fechaDesactivacion</v>
      </c>
    </row>
    <row r="20" spans="1:18" x14ac:dyDescent="0.25">
      <c r="A20" s="320" t="s">
        <v>96</v>
      </c>
      <c r="B20" s="321"/>
      <c r="C20" s="323" t="s">
        <v>94</v>
      </c>
      <c r="D20" s="326"/>
      <c r="E20" s="326"/>
      <c r="F20" s="321"/>
      <c r="G20" s="323" t="s">
        <v>97</v>
      </c>
      <c r="H20" s="290"/>
      <c r="I20" s="291"/>
      <c r="J20" s="323" t="s">
        <v>98</v>
      </c>
      <c r="K20" s="290"/>
      <c r="L20" s="290"/>
      <c r="M20" s="290"/>
      <c r="N20" s="291"/>
      <c r="O20" s="323" t="s">
        <v>99</v>
      </c>
      <c r="P20" s="291"/>
      <c r="Q20" s="323" t="s">
        <v>100</v>
      </c>
      <c r="R20" s="291"/>
    </row>
    <row r="21" spans="1:18" x14ac:dyDescent="0.25">
      <c r="A21" s="322"/>
      <c r="B21" s="312"/>
      <c r="C21" s="310"/>
      <c r="D21" s="311"/>
      <c r="E21" s="311"/>
      <c r="F21" s="312"/>
      <c r="G21" s="3" t="s">
        <v>101</v>
      </c>
      <c r="H21" s="3" t="s">
        <v>59</v>
      </c>
      <c r="I21" s="3" t="s">
        <v>94</v>
      </c>
      <c r="J21" s="3" t="s">
        <v>102</v>
      </c>
      <c r="K21" s="325" t="s">
        <v>94</v>
      </c>
      <c r="L21" s="303"/>
      <c r="M21" s="303"/>
      <c r="N21" s="279"/>
      <c r="O21" s="3" t="s">
        <v>103</v>
      </c>
      <c r="P21" s="3" t="s">
        <v>94</v>
      </c>
      <c r="Q21" s="3" t="s">
        <v>104</v>
      </c>
      <c r="R21" s="23" t="s">
        <v>105</v>
      </c>
    </row>
    <row r="22" spans="1:18" ht="76.5" customHeight="1" x14ac:dyDescent="0.25">
      <c r="A22" s="425" t="s">
        <v>937</v>
      </c>
      <c r="B22" s="309"/>
      <c r="C22" s="336" t="s">
        <v>938</v>
      </c>
      <c r="D22" s="308"/>
      <c r="E22" s="308"/>
      <c r="F22" s="309"/>
      <c r="G22" s="336" t="s">
        <v>939</v>
      </c>
      <c r="H22" s="375" t="s">
        <v>42</v>
      </c>
      <c r="I22" s="336" t="s">
        <v>940</v>
      </c>
      <c r="J22" s="365" t="s">
        <v>42</v>
      </c>
      <c r="K22" s="336" t="s">
        <v>941</v>
      </c>
      <c r="L22" s="308"/>
      <c r="M22" s="308"/>
      <c r="N22" s="309"/>
      <c r="O22" s="105" t="str">
        <f>'P-HorarioBarbero'!A6</f>
        <v>P-HBO-0001</v>
      </c>
      <c r="P22" s="25" t="str">
        <f>'P-HorarioBarbero'!B6</f>
        <v>Asegurar que los datos requeridos (día de la semana, hora de inicio, hora de fin) sean válidos en tipo de dato, obligatoriedad, formato y rango</v>
      </c>
      <c r="Q22" s="25" t="s">
        <v>796</v>
      </c>
      <c r="R22" s="110" t="s">
        <v>112</v>
      </c>
    </row>
    <row r="23" spans="1:18" ht="89.25" customHeight="1" x14ac:dyDescent="0.25">
      <c r="A23" s="380"/>
      <c r="B23" s="370"/>
      <c r="C23" s="369"/>
      <c r="D23" s="299"/>
      <c r="E23" s="299"/>
      <c r="F23" s="370"/>
      <c r="G23" s="284"/>
      <c r="H23" s="284"/>
      <c r="I23" s="284"/>
      <c r="J23" s="284"/>
      <c r="K23" s="369"/>
      <c r="L23" s="299"/>
      <c r="M23" s="299"/>
      <c r="N23" s="370"/>
      <c r="O23" s="105" t="str">
        <f>'P-HorarioBarbero'!A7</f>
        <v>P-HBO-0002</v>
      </c>
      <c r="P23" s="25" t="str">
        <f>'P-HorarioBarbero'!B7</f>
        <v>Asegurar que el horario de trabajo esté dentro del horario de apertura y cierre de la barbería para ese día</v>
      </c>
      <c r="Q23" s="25" t="s">
        <v>942</v>
      </c>
      <c r="R23" s="110" t="s">
        <v>112</v>
      </c>
    </row>
    <row r="24" spans="1:18" ht="51" customHeight="1" x14ac:dyDescent="0.25">
      <c r="A24" s="322"/>
      <c r="B24" s="312"/>
      <c r="C24" s="310"/>
      <c r="D24" s="311"/>
      <c r="E24" s="311"/>
      <c r="F24" s="312"/>
      <c r="G24" s="281"/>
      <c r="H24" s="281"/>
      <c r="I24" s="281"/>
      <c r="J24" s="281"/>
      <c r="K24" s="310"/>
      <c r="L24" s="311"/>
      <c r="M24" s="311"/>
      <c r="N24" s="312"/>
      <c r="O24" s="105" t="str">
        <f>'P-HorarioBarbero'!A10</f>
        <v>P-HBO-0006</v>
      </c>
      <c r="P24" s="25" t="str">
        <f>'P-HorarioBarbero'!B10</f>
        <v>Asegurar que la hora de fin sea mayor a la hora de inicio</v>
      </c>
      <c r="Q24" s="25" t="s">
        <v>943</v>
      </c>
      <c r="R24" s="110" t="s">
        <v>112</v>
      </c>
    </row>
    <row r="25" spans="1:18" ht="68.25" customHeight="1" x14ac:dyDescent="0.25">
      <c r="A25" s="423" t="s">
        <v>944</v>
      </c>
      <c r="B25" s="279"/>
      <c r="C25" s="366" t="s">
        <v>945</v>
      </c>
      <c r="D25" s="303"/>
      <c r="E25" s="303"/>
      <c r="F25" s="279"/>
      <c r="G25" s="111" t="s">
        <v>808</v>
      </c>
      <c r="H25" s="111" t="s">
        <v>42</v>
      </c>
      <c r="I25" s="64" t="s">
        <v>946</v>
      </c>
      <c r="J25" s="125" t="s">
        <v>947</v>
      </c>
      <c r="K25" s="376" t="s">
        <v>948</v>
      </c>
      <c r="L25" s="303"/>
      <c r="M25" s="303"/>
      <c r="N25" s="279"/>
      <c r="O25" s="111"/>
      <c r="P25" s="64"/>
      <c r="Q25" s="64"/>
      <c r="R25" s="112"/>
    </row>
    <row r="26" spans="1:18" ht="127.5" customHeight="1" x14ac:dyDescent="0.25">
      <c r="A26" s="422" t="s">
        <v>949</v>
      </c>
      <c r="B26" s="309"/>
      <c r="C26" s="421" t="s">
        <v>950</v>
      </c>
      <c r="D26" s="308"/>
      <c r="E26" s="308"/>
      <c r="F26" s="309"/>
      <c r="G26" s="420" t="s">
        <v>116</v>
      </c>
      <c r="H26" s="420" t="s">
        <v>117</v>
      </c>
      <c r="I26" s="421" t="s">
        <v>951</v>
      </c>
      <c r="J26" s="440"/>
      <c r="K26" s="421" t="s">
        <v>133</v>
      </c>
      <c r="L26" s="308"/>
      <c r="M26" s="308"/>
      <c r="N26" s="309"/>
      <c r="O26" s="114" t="str">
        <f>'P-HorarioBarbero'!A8</f>
        <v>P-HBO-0004</v>
      </c>
      <c r="P26" s="68" t="str">
        <f>'P-HorarioBarbero'!B8</f>
        <v>Asegurar que queden canceladas, en el estado Cancelación, todas las citas futuras asociadas a las agendas generadas a partir de ese horario de trabajo. Se consideran futuras las citas cuya agenda tenga una fecha posterior a la fecha actual</v>
      </c>
      <c r="Q26" s="68" t="s">
        <v>665</v>
      </c>
      <c r="R26" s="115" t="s">
        <v>112</v>
      </c>
    </row>
    <row r="27" spans="1:18" ht="76.5" customHeight="1" x14ac:dyDescent="0.25">
      <c r="A27" s="380"/>
      <c r="B27" s="370"/>
      <c r="C27" s="369"/>
      <c r="D27" s="299"/>
      <c r="E27" s="299"/>
      <c r="F27" s="370"/>
      <c r="G27" s="284"/>
      <c r="H27" s="284"/>
      <c r="I27" s="284"/>
      <c r="J27" s="284"/>
      <c r="K27" s="369"/>
      <c r="L27" s="299"/>
      <c r="M27" s="299"/>
      <c r="N27" s="370"/>
      <c r="O27" s="114" t="str">
        <f>'P-HorarioBarbero'!A9</f>
        <v>P-HBO-0005</v>
      </c>
      <c r="P27" s="68" t="str">
        <f>'P-HorarioBarbero'!B9</f>
        <v>Asegurar que exista el horario de trabajo del barbero con el id enviado</v>
      </c>
      <c r="Q27" s="68" t="s">
        <v>952</v>
      </c>
      <c r="R27" s="115" t="s">
        <v>112</v>
      </c>
    </row>
    <row r="28" spans="1:18" ht="76.5" customHeight="1" x14ac:dyDescent="0.25">
      <c r="A28" s="322"/>
      <c r="B28" s="312"/>
      <c r="C28" s="310"/>
      <c r="D28" s="311"/>
      <c r="E28" s="311"/>
      <c r="F28" s="312"/>
      <c r="G28" s="281"/>
      <c r="H28" s="281"/>
      <c r="I28" s="281"/>
      <c r="J28" s="281"/>
      <c r="K28" s="310"/>
      <c r="L28" s="311"/>
      <c r="M28" s="311"/>
      <c r="N28" s="312"/>
      <c r="O28" s="114" t="str">
        <f>'P-HorarioBarbero'!A11</f>
        <v>P-HBO-0007</v>
      </c>
      <c r="P28" s="68" t="str">
        <f>'P-HorarioBarbero'!B11</f>
        <v>Asegurar que el horario de trabajo que se va a desactivar se encuentre vigente</v>
      </c>
      <c r="Q28" s="68" t="s">
        <v>953</v>
      </c>
      <c r="R28" s="115" t="s">
        <v>112</v>
      </c>
    </row>
    <row r="29" spans="1:18" ht="68.25" customHeight="1" x14ac:dyDescent="0.25">
      <c r="A29" s="425" t="s">
        <v>954</v>
      </c>
      <c r="B29" s="279"/>
      <c r="C29" s="336" t="s">
        <v>955</v>
      </c>
      <c r="D29" s="303"/>
      <c r="E29" s="303"/>
      <c r="F29" s="279"/>
      <c r="G29" s="105" t="s">
        <v>808</v>
      </c>
      <c r="H29" s="105" t="s">
        <v>42</v>
      </c>
      <c r="I29" s="25" t="s">
        <v>946</v>
      </c>
      <c r="J29" s="116" t="s">
        <v>947</v>
      </c>
      <c r="K29" s="306" t="s">
        <v>956</v>
      </c>
      <c r="L29" s="303"/>
      <c r="M29" s="303"/>
      <c r="N29" s="279"/>
      <c r="O29" s="105"/>
      <c r="P29" s="25"/>
      <c r="Q29" s="25"/>
      <c r="R29" s="110"/>
    </row>
  </sheetData>
  <mergeCells count="29">
    <mergeCell ref="J26:J28"/>
    <mergeCell ref="C20:F21"/>
    <mergeCell ref="J22:J24"/>
    <mergeCell ref="G26:G28"/>
    <mergeCell ref="G22:G24"/>
    <mergeCell ref="H26:H28"/>
    <mergeCell ref="A20:B21"/>
    <mergeCell ref="A25:B25"/>
    <mergeCell ref="O20:P20"/>
    <mergeCell ref="Q20:R20"/>
    <mergeCell ref="K25:N25"/>
    <mergeCell ref="G20:I20"/>
    <mergeCell ref="H22:H24"/>
    <mergeCell ref="B13:B18"/>
    <mergeCell ref="I26:I28"/>
    <mergeCell ref="J20:N20"/>
    <mergeCell ref="K21:N21"/>
    <mergeCell ref="K29:N29"/>
    <mergeCell ref="C29:F29"/>
    <mergeCell ref="C25:F25"/>
    <mergeCell ref="A26:B28"/>
    <mergeCell ref="K26:N28"/>
    <mergeCell ref="I22:I24"/>
    <mergeCell ref="C26:F28"/>
    <mergeCell ref="A13:A18"/>
    <mergeCell ref="A29:B29"/>
    <mergeCell ref="K22:N24"/>
    <mergeCell ref="A22:B24"/>
    <mergeCell ref="C22:F24"/>
  </mergeCells>
  <hyperlinks>
    <hyperlink ref="A1" location="'Modelo de Dominio'!A1" display="&lt;&lt;&lt;&lt; Ir al modulo de dominio" xr:uid="{00000000-0004-0000-3E00-000000000000}"/>
    <hyperlink ref="B1" location="'Objetos de Dominio'!A1" display="&lt;&lt;&lt;&lt; Ir a objetos de dominio" xr:uid="{00000000-0004-0000-3E00-000001000000}"/>
    <hyperlink ref="V2" location="'C-HorarioBarbero'!A19" display="#'C-HorarioBarbero'.A21" xr:uid="{00000000-0004-0000-3E00-000002000000}"/>
    <hyperlink ref="W2" location="'C-HorarioBarbero'!A22" display="#'C-HorarioBarbero'.A24" xr:uid="{00000000-0004-0000-3E00-000003000000}"/>
    <hyperlink ref="X2" location="'C-HorarioBarbero'!A23" display="#'C-HorarioBarbero'.A25" xr:uid="{00000000-0004-0000-3E00-000004000000}"/>
    <hyperlink ref="Y2" location="'C-HorarioBarbero'!A26" display="#'C-HorarioBarbero'.A28" xr:uid="{00000000-0004-0000-3E00-000005000000}"/>
    <hyperlink ref="A3" location="'M-HorarioBarbero'!A3" display="'M-HorarioBarbero'!A3" xr:uid="{00000000-0004-0000-3E00-000006000000}"/>
    <hyperlink ref="B3" location="'M-HorarioBarbero'!A2" display="'M-HorarioBarbero'!A2" xr:uid="{00000000-0004-0000-3E00-000007000000}"/>
    <hyperlink ref="A4" location="'M-HorarioBarbero'!A3" display="'M-HorarioBarbero'!A3" xr:uid="{00000000-0004-0000-3E00-000008000000}"/>
    <hyperlink ref="B4" location="'M-HorarioBarbero'!A2" display="'M-HorarioBarbero'!A2" xr:uid="{00000000-0004-0000-3E00-000009000000}"/>
    <hyperlink ref="D4" location="'C-Barbero'!A1" display="Barbero" xr:uid="{00000000-0004-0000-3E00-00000A000000}"/>
    <hyperlink ref="A5" location="'M-HorarioBarbero'!A3" display="'M-HorarioBarbero'!A3" xr:uid="{00000000-0004-0000-3E00-00000B000000}"/>
    <hyperlink ref="B5" location="'M-HorarioBarbero'!A2" display="'M-HorarioBarbero'!A2" xr:uid="{00000000-0004-0000-3E00-00000C000000}"/>
    <hyperlink ref="D5" location="'C-HorarioBarberia'!A1" display="HorarioBarberia" xr:uid="{00000000-0004-0000-3E00-00000D000000}"/>
    <hyperlink ref="A6" location="'M-HorarioBarbero'!A3" display="'M-HorarioBarbero'!A3" xr:uid="{00000000-0004-0000-3E00-00000E000000}"/>
    <hyperlink ref="B6" location="'M-HorarioBarbero'!A2" display="'M-HorarioBarbero'!A2" xr:uid="{00000000-0004-0000-3E00-00000F000000}"/>
    <hyperlink ref="A7" location="'M-HorarioBarbero'!A3" display="'M-HorarioBarbero'!A3" xr:uid="{00000000-0004-0000-3E00-000010000000}"/>
    <hyperlink ref="B7" location="'M-HorarioBarbero'!A2" display="'M-HorarioBarbero'!A2" xr:uid="{00000000-0004-0000-3E00-000011000000}"/>
    <hyperlink ref="A8" location="'M-HorarioBarbero'!A3" display="'M-HorarioBarbero'!A3" xr:uid="{00000000-0004-0000-3E00-000012000000}"/>
    <hyperlink ref="B8" location="'M-HorarioBarbero'!A2" display="'M-HorarioBarbero'!A2" xr:uid="{00000000-0004-0000-3E00-000013000000}"/>
    <hyperlink ref="A9" location="'M-HorarioBarbero'!A3" display="'M-HorarioBarbero'!A3" xr:uid="{00000000-0004-0000-3E00-000014000000}"/>
    <hyperlink ref="B9" location="'M-HorarioBarbero'!A2" display="'M-HorarioBarbero'!A2" xr:uid="{00000000-0004-0000-3E00-000015000000}"/>
    <hyperlink ref="A10" location="'M-HorarioBarbero'!A3" display="'M-HorarioBarbero'!A3" xr:uid="{00000000-0004-0000-3E00-000016000000}"/>
    <hyperlink ref="B10" location="'M-HorarioBarbero'!A2" display="'M-HorarioBarbero'!A2" xr:uid="{00000000-0004-0000-3E00-000017000000}"/>
    <hyperlink ref="A13" location="'M-HorarioBarbero'!A3" display="#'M-HorarioBarbero'.A3" xr:uid="{00000000-0004-0000-3E00-000018000000}"/>
    <hyperlink ref="B13" location="'M-HorarioBarbero'!A2" display="#'M-HorarioBarbero'.A2" xr:uid="{00000000-0004-0000-3E00-000019000000}"/>
    <hyperlink ref="A22" location="'C-HorarioBarbero'!V2" display="definirHorarioDeTrabajo" xr:uid="{00000000-0004-0000-3E00-00001A000000}"/>
    <hyperlink ref="A25" location="'C-HorarioBarbero'!W2" display="consultarHorariosDefinidos" xr:uid="{00000000-0004-0000-3E00-00001B000000}"/>
    <hyperlink ref="A26" location="'C-HorarioBarbero'!X2" display="desactivarHorarioDeTrabajo" xr:uid="{00000000-0004-0000-3E00-00001C000000}"/>
    <hyperlink ref="A29" location="'C-HorarioBarbero'!Y2" display="consultarHorariosDeTrabajoDeBarbero" xr:uid="{00000000-0004-0000-3E00-00001D000000}"/>
  </hyperlink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1"/>
  <sheetViews>
    <sheetView showGridLines="0" zoomScaleNormal="100" workbookViewId="0">
      <selection activeCell="C17" sqref="C17"/>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Dominio'!A18</f>
        <v>HorarioBarbero</v>
      </c>
      <c r="C2" s="290"/>
      <c r="D2" s="290"/>
      <c r="E2" s="291"/>
    </row>
    <row r="3" spans="1:5" ht="30" customHeight="1" x14ac:dyDescent="0.25">
      <c r="A3" s="30" t="s">
        <v>140</v>
      </c>
      <c r="B3" s="336" t="str">
        <f>'Objetos de Dominio'!B18</f>
        <v>Representa el día de la semana en que trabaja un barbero, junto con la hora en la que empieza y termina su jornada de trabajo.</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1.5" customHeight="1" x14ac:dyDescent="0.25">
      <c r="A6" s="8" t="s">
        <v>957</v>
      </c>
      <c r="B6" s="332" t="s">
        <v>958</v>
      </c>
      <c r="C6" s="279"/>
      <c r="D6" s="31" t="s">
        <v>42</v>
      </c>
      <c r="E6" s="31"/>
    </row>
    <row r="7" spans="1:5" ht="30" customHeight="1" x14ac:dyDescent="0.25">
      <c r="A7" s="8" t="s">
        <v>959</v>
      </c>
      <c r="B7" s="332" t="s">
        <v>960</v>
      </c>
      <c r="C7" s="279"/>
      <c r="D7" s="31" t="s">
        <v>34</v>
      </c>
      <c r="E7" s="31"/>
    </row>
    <row r="8" spans="1:5" ht="60" customHeight="1" x14ac:dyDescent="0.25">
      <c r="A8" s="8" t="s">
        <v>961</v>
      </c>
      <c r="B8" s="332" t="s">
        <v>962</v>
      </c>
      <c r="C8" s="279"/>
      <c r="D8" s="31" t="s">
        <v>46</v>
      </c>
      <c r="E8" s="31"/>
    </row>
    <row r="9" spans="1:5" ht="36" customHeight="1" x14ac:dyDescent="0.25">
      <c r="A9" s="8" t="s">
        <v>963</v>
      </c>
      <c r="B9" s="332" t="s">
        <v>964</v>
      </c>
      <c r="C9" s="279"/>
      <c r="D9" s="31" t="s">
        <v>42</v>
      </c>
      <c r="E9" s="31"/>
    </row>
    <row r="10" spans="1:5" ht="33.75" customHeight="1" x14ac:dyDescent="0.25">
      <c r="A10" s="8" t="s">
        <v>965</v>
      </c>
      <c r="B10" s="332" t="s">
        <v>966</v>
      </c>
      <c r="C10" s="279"/>
      <c r="D10" s="31" t="s">
        <v>42</v>
      </c>
      <c r="E10" s="31"/>
    </row>
    <row r="11" spans="1:5" ht="30" customHeight="1" x14ac:dyDescent="0.25">
      <c r="A11" s="8" t="s">
        <v>967</v>
      </c>
      <c r="B11" s="332" t="s">
        <v>968</v>
      </c>
      <c r="C11" s="279"/>
      <c r="D11" s="31" t="s">
        <v>42</v>
      </c>
      <c r="E11" s="31"/>
    </row>
  </sheetData>
  <mergeCells count="12">
    <mergeCell ref="B11:C11"/>
    <mergeCell ref="A4:A5"/>
    <mergeCell ref="E4:E5"/>
    <mergeCell ref="D4:D5"/>
    <mergeCell ref="B10:C10"/>
    <mergeCell ref="B3:E3"/>
    <mergeCell ref="B2:E2"/>
    <mergeCell ref="B9:C9"/>
    <mergeCell ref="B8:C8"/>
    <mergeCell ref="B4:C5"/>
    <mergeCell ref="B6:C6"/>
    <mergeCell ref="B7:C7"/>
  </mergeCells>
  <hyperlinks>
    <hyperlink ref="A1" location="'Modelo de Dominio'!A1" display="&lt;&lt; Ir al modelo de dominio" xr:uid="{00000000-0004-0000-3F00-000000000000}"/>
    <hyperlink ref="B1" location="'Objetos de Dominio'!A1" display="&lt;&lt; Ir al listado de objetos de dominio" xr:uid="{00000000-0004-0000-3F00-000001000000}"/>
    <hyperlink ref="C1" location="'C-HorarioBarbero'!A1" display="&lt;&lt; Ir a la caracterización del objeto de dominio" xr:uid="{00000000-0004-0000-3F00-000002000000}"/>
    <hyperlink ref="D1" location="'M-HorarioBarbero'!A1" display="Ir al muestreo de datos del objeto de dominio &gt;&gt;" xr:uid="{00000000-0004-0000-3F00-000003000000}"/>
    <hyperlink ref="E1" location="'E-HorarioBarbero'!A1" display="Ir al event storming del objeto de dominio &gt;&gt;" xr:uid="{00000000-0004-0000-3F00-000004000000}"/>
  </hyperlink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K15"/>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5.28515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Dominio'!A18</f>
        <v>HorarioBarbero</v>
      </c>
      <c r="C2" s="290"/>
      <c r="D2" s="290"/>
      <c r="E2" s="290"/>
      <c r="F2" s="290"/>
      <c r="G2" s="290"/>
      <c r="H2" s="290"/>
      <c r="I2" s="290"/>
      <c r="J2" s="290"/>
      <c r="K2" s="291"/>
    </row>
    <row r="3" spans="1:11" ht="30" customHeight="1" x14ac:dyDescent="0.25">
      <c r="A3" s="72" t="s">
        <v>140</v>
      </c>
      <c r="B3" s="302" t="str">
        <f>'Objetos de Dominio'!B18</f>
        <v>Representa el día de la semana en que trabaja un barbero, junto con la hora en la que empieza y termina su jornada de trabajo.</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54" customHeight="1" x14ac:dyDescent="0.25">
      <c r="A7" s="273" t="s">
        <v>32</v>
      </c>
      <c r="B7" s="273" t="s">
        <v>969</v>
      </c>
      <c r="C7" s="273" t="s">
        <v>938</v>
      </c>
      <c r="D7" s="273" t="str">
        <f>$B$2</f>
        <v>HorarioBarbero</v>
      </c>
      <c r="E7" s="273"/>
      <c r="F7" s="273"/>
      <c r="G7" s="75" t="str">
        <f>'P-HorarioBarbero'!A6</f>
        <v>P-HBO-0001</v>
      </c>
      <c r="H7" s="104" t="str">
        <f>'P-HorarioBarbero'!B6</f>
        <v>Asegurar que los datos requeridos (día de la semana, hora de inicio, hora de fin) sean válidos en tipo de dato, obligatoriedad, formato y rango</v>
      </c>
      <c r="I7" s="273"/>
      <c r="J7" s="273" t="s">
        <v>970</v>
      </c>
      <c r="K7" s="273"/>
    </row>
    <row r="8" spans="1:11" ht="40.5" customHeight="1" x14ac:dyDescent="0.25">
      <c r="A8" s="284"/>
      <c r="B8" s="284"/>
      <c r="C8" s="284"/>
      <c r="D8" s="284"/>
      <c r="E8" s="284"/>
      <c r="F8" s="284"/>
      <c r="G8" s="75" t="str">
        <f>'P-HorarioBarbero'!A7</f>
        <v>P-HBO-0002</v>
      </c>
      <c r="H8" s="104" t="str">
        <f>'P-HorarioBarbero'!B7</f>
        <v>Asegurar que el horario de trabajo esté dentro del horario de apertura y cierre de la barbería para ese día</v>
      </c>
      <c r="I8" s="284"/>
      <c r="J8" s="284"/>
      <c r="K8" s="284"/>
    </row>
    <row r="9" spans="1:11" ht="30" customHeight="1" x14ac:dyDescent="0.25">
      <c r="A9" s="281"/>
      <c r="B9" s="281"/>
      <c r="C9" s="281"/>
      <c r="D9" s="281"/>
      <c r="E9" s="281"/>
      <c r="F9" s="281"/>
      <c r="G9" s="160" t="str">
        <f>'P-HorarioBarbero'!A10</f>
        <v>P-HBO-0006</v>
      </c>
      <c r="H9" s="104" t="str">
        <f>'P-HorarioBarbero'!B10</f>
        <v>Asegurar que la hora de fin sea mayor a la hora de inicio</v>
      </c>
      <c r="I9" s="281"/>
      <c r="J9" s="281"/>
      <c r="K9" s="281"/>
    </row>
    <row r="10" spans="1:11" ht="30" customHeight="1" x14ac:dyDescent="0.25">
      <c r="A10" s="41" t="s">
        <v>32</v>
      </c>
      <c r="B10" s="42" t="s">
        <v>971</v>
      </c>
      <c r="C10" s="42" t="s">
        <v>945</v>
      </c>
      <c r="D10" s="41" t="str">
        <f>$B$2</f>
        <v>HorarioBarbero</v>
      </c>
      <c r="E10" s="42"/>
      <c r="F10" s="42"/>
      <c r="G10" s="41"/>
      <c r="H10" s="104"/>
      <c r="I10" s="41"/>
      <c r="J10" s="42" t="s">
        <v>972</v>
      </c>
      <c r="K10" s="42"/>
    </row>
    <row r="11" spans="1:11" ht="52.5" customHeight="1" x14ac:dyDescent="0.25">
      <c r="A11" s="273" t="s">
        <v>32</v>
      </c>
      <c r="B11" s="272" t="s">
        <v>973</v>
      </c>
      <c r="C11" s="272" t="s">
        <v>950</v>
      </c>
      <c r="D11" s="273" t="str">
        <f>$B$2</f>
        <v>HorarioBarbero</v>
      </c>
      <c r="E11" s="42" t="s">
        <v>44</v>
      </c>
      <c r="F11" s="42" t="s">
        <v>974</v>
      </c>
      <c r="G11" s="441" t="str">
        <f>'P-HorarioBarbero'!A8</f>
        <v>P-HBO-0004</v>
      </c>
      <c r="H11" s="439" t="str">
        <f>'P-HorarioBarbero'!B8</f>
        <v>Asegurar que queden canceladas, en el estado Cancelación, todas las citas futuras asociadas a las agendas generadas a partir de ese horario de trabajo. Se consideran futuras las citas cuya agenda tenga una fecha posterior a la fecha actual</v>
      </c>
      <c r="I11" s="273"/>
      <c r="J11" s="272" t="s">
        <v>975</v>
      </c>
      <c r="K11" s="272" t="s">
        <v>976</v>
      </c>
    </row>
    <row r="12" spans="1:11" ht="33.75" customHeight="1" x14ac:dyDescent="0.25">
      <c r="A12" s="284"/>
      <c r="B12" s="284"/>
      <c r="C12" s="284"/>
      <c r="D12" s="284"/>
      <c r="E12" s="42" t="s">
        <v>46</v>
      </c>
      <c r="F12" s="42" t="s">
        <v>692</v>
      </c>
      <c r="G12" s="281"/>
      <c r="H12" s="281"/>
      <c r="I12" s="284"/>
      <c r="J12" s="284"/>
      <c r="K12" s="284"/>
    </row>
    <row r="13" spans="1:11" ht="27" customHeight="1" x14ac:dyDescent="0.25">
      <c r="A13" s="284"/>
      <c r="B13" s="284"/>
      <c r="C13" s="284"/>
      <c r="D13" s="284"/>
      <c r="E13" s="273" t="s">
        <v>18</v>
      </c>
      <c r="F13" s="273" t="s">
        <v>693</v>
      </c>
      <c r="G13" s="161" t="str">
        <f>'P-HorarioBarbero'!A9</f>
        <v>P-HBO-0005</v>
      </c>
      <c r="H13" s="104" t="str">
        <f>'P-HorarioBarbero'!B9</f>
        <v>Asegurar que exista el horario de trabajo del barbero con el id enviado</v>
      </c>
      <c r="I13" s="284"/>
      <c r="J13" s="284"/>
      <c r="K13" s="284"/>
    </row>
    <row r="14" spans="1:11" ht="30" customHeight="1" x14ac:dyDescent="0.25">
      <c r="A14" s="281"/>
      <c r="B14" s="281"/>
      <c r="C14" s="281"/>
      <c r="D14" s="281"/>
      <c r="E14" s="281"/>
      <c r="F14" s="281"/>
      <c r="G14" s="161" t="str">
        <f>'P-HorarioBarbero'!A11</f>
        <v>P-HBO-0007</v>
      </c>
      <c r="H14" s="104" t="str">
        <f>'P-HorarioBarbero'!B11</f>
        <v>Asegurar que el horario de trabajo que se va a desactivar se encuentre vigente</v>
      </c>
      <c r="I14" s="281"/>
      <c r="J14" s="281"/>
      <c r="K14" s="281"/>
    </row>
    <row r="15" spans="1:11" ht="27" customHeight="1" x14ac:dyDescent="0.25">
      <c r="A15" s="41" t="s">
        <v>26</v>
      </c>
      <c r="B15" s="42" t="s">
        <v>977</v>
      </c>
      <c r="C15" s="42" t="s">
        <v>955</v>
      </c>
      <c r="D15" s="41" t="str">
        <f>$B$2</f>
        <v>HorarioBarbero</v>
      </c>
      <c r="E15" s="42"/>
      <c r="F15" s="42"/>
      <c r="G15" s="41"/>
      <c r="H15" s="43"/>
      <c r="I15" s="41"/>
      <c r="J15" s="42" t="s">
        <v>972</v>
      </c>
      <c r="K15" s="42"/>
    </row>
  </sheetData>
  <mergeCells count="38">
    <mergeCell ref="K11:K14"/>
    <mergeCell ref="K7:K9"/>
    <mergeCell ref="J11:J14"/>
    <mergeCell ref="B2:K2"/>
    <mergeCell ref="B5:B6"/>
    <mergeCell ref="D5:D6"/>
    <mergeCell ref="G4:H4"/>
    <mergeCell ref="K5:K6"/>
    <mergeCell ref="B4:C4"/>
    <mergeCell ref="B11:B14"/>
    <mergeCell ref="H11:H12"/>
    <mergeCell ref="D11:D14"/>
    <mergeCell ref="E4:F4"/>
    <mergeCell ref="F1:I1"/>
    <mergeCell ref="E7:E9"/>
    <mergeCell ref="B7:B9"/>
    <mergeCell ref="B3:K3"/>
    <mergeCell ref="I5:I6"/>
    <mergeCell ref="J5:J6"/>
    <mergeCell ref="I7:I9"/>
    <mergeCell ref="J1:K1"/>
    <mergeCell ref="A1:B1"/>
    <mergeCell ref="C1:E1"/>
    <mergeCell ref="E13:E14"/>
    <mergeCell ref="A7:A9"/>
    <mergeCell ref="D7:D9"/>
    <mergeCell ref="C7:C9"/>
    <mergeCell ref="G11:G12"/>
    <mergeCell ref="C5:C6"/>
    <mergeCell ref="A11:A14"/>
    <mergeCell ref="E5:F5"/>
    <mergeCell ref="J7:J9"/>
    <mergeCell ref="G5:H5"/>
    <mergeCell ref="C11:C14"/>
    <mergeCell ref="A5:A6"/>
    <mergeCell ref="F13:F14"/>
    <mergeCell ref="F7:F9"/>
    <mergeCell ref="I11:I14"/>
  </mergeCells>
  <hyperlinks>
    <hyperlink ref="A1" location="'Modelo de Dominio'!A1" display="&lt;&lt; Ir al modelo de dominio" xr:uid="{00000000-0004-0000-4000-000000000000}"/>
    <hyperlink ref="C1" location="'Objetos de Dominio'!A1" display="&lt;&lt; Ir al listado de objetos de dominio" xr:uid="{00000000-0004-0000-4000-000001000000}"/>
    <hyperlink ref="F1" location="'C-HorarioBarbero'!A1" display="&lt;&lt; Ir a la caracterización del objeto de dominio" xr:uid="{00000000-0004-0000-4000-000002000000}"/>
    <hyperlink ref="J1" location="'M-HorarioBarbero'!A1" display="Ir al muestreo de datos del objeto de dominio &gt;&gt;" xr:uid="{00000000-0004-0000-4000-000003000000}"/>
    <hyperlink ref="G7" location="'P-HorarioBarbero'!A6" display="#'P-HorarioBarbero'.A6" xr:uid="{00000000-0004-0000-4000-000004000000}"/>
    <hyperlink ref="G8" location="'P-HorarioBarbero'!A7" display="#'P-HorarioBarbero'.A7" xr:uid="{00000000-0004-0000-4000-000005000000}"/>
  </hyperlink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21"/>
  <sheetViews>
    <sheetView zoomScale="115" zoomScaleNormal="115" workbookViewId="0">
      <selection activeCell="B4" sqref="B4"/>
    </sheetView>
  </sheetViews>
  <sheetFormatPr baseColWidth="10" defaultColWidth="8.7109375" defaultRowHeight="15" x14ac:dyDescent="0.25"/>
  <cols>
    <col min="1" max="1" width="27" customWidth="1"/>
    <col min="2" max="2" width="26.140625" customWidth="1"/>
    <col min="3" max="3" width="21.42578125" customWidth="1"/>
    <col min="4" max="4" width="24.42578125" customWidth="1"/>
    <col min="5" max="5" width="38.42578125" customWidth="1"/>
    <col min="6" max="6" width="26.42578125" customWidth="1"/>
    <col min="7" max="7" width="34" customWidth="1"/>
    <col min="8" max="8" width="26" customWidth="1"/>
    <col min="9" max="9" width="42.5703125" customWidth="1"/>
  </cols>
  <sheetData>
    <row r="1" spans="1:9" ht="14.25" customHeight="1" x14ac:dyDescent="0.25">
      <c r="A1" s="4" t="s">
        <v>0</v>
      </c>
      <c r="B1" s="4" t="s">
        <v>55</v>
      </c>
      <c r="C1" s="4"/>
      <c r="D1" s="4"/>
      <c r="E1" s="4"/>
      <c r="F1" s="4"/>
      <c r="G1" s="4"/>
      <c r="H1" s="4"/>
    </row>
    <row r="2" spans="1:9" ht="41.25" customHeight="1" x14ac:dyDescent="0.25">
      <c r="A2" s="44" t="s">
        <v>183</v>
      </c>
      <c r="B2" s="44" t="s">
        <v>978</v>
      </c>
      <c r="C2" s="44" t="s">
        <v>979</v>
      </c>
      <c r="D2" s="44" t="s">
        <v>980</v>
      </c>
      <c r="E2" s="44" t="s">
        <v>981</v>
      </c>
      <c r="F2" s="44" t="s">
        <v>982</v>
      </c>
      <c r="G2" s="44" t="s">
        <v>983</v>
      </c>
      <c r="H2" s="44" t="s">
        <v>984</v>
      </c>
      <c r="I2" s="96" t="s">
        <v>985</v>
      </c>
    </row>
    <row r="3" spans="1:9" ht="14.25" customHeight="1" x14ac:dyDescent="0.25">
      <c r="A3" s="46" t="s">
        <v>116</v>
      </c>
      <c r="B3" s="118" t="s">
        <v>789</v>
      </c>
      <c r="C3" s="118" t="s">
        <v>986</v>
      </c>
      <c r="D3" s="47" t="s">
        <v>987</v>
      </c>
      <c r="E3" s="47" t="s">
        <v>988</v>
      </c>
      <c r="F3" s="99" t="s">
        <v>706</v>
      </c>
      <c r="G3" s="99" t="s">
        <v>707</v>
      </c>
      <c r="H3" s="99" t="s">
        <v>629</v>
      </c>
      <c r="I3" s="48" t="s">
        <v>189</v>
      </c>
    </row>
    <row r="4" spans="1:9" ht="60" customHeight="1" x14ac:dyDescent="0.25">
      <c r="A4" s="49">
        <v>1</v>
      </c>
      <c r="B4" s="149" t="str">
        <f>'M-Barbero'!K4</f>
        <v>+57-3245627890</v>
      </c>
      <c r="C4" s="149" t="str">
        <f>'M-HorarioBarberia'!I4</f>
        <v>900123456-7-Sede Poblado-Lunes-09:00-19:00-12/11/2023-1/01/1000</v>
      </c>
      <c r="D4" s="140">
        <v>0.41666666666666669</v>
      </c>
      <c r="E4" s="140">
        <v>0.66666666666666663</v>
      </c>
      <c r="F4" s="162">
        <v>45780</v>
      </c>
      <c r="G4" s="163" t="s">
        <v>647</v>
      </c>
      <c r="H4" s="140" t="s">
        <v>442</v>
      </c>
      <c r="I4" s="79" t="str">
        <f>_xlfn.CONCAT(B4,"-",C4,"-",TEXT(D4,"hh:mm"),"-",TEXT(E4,"hh:mm"),"-",TEXT(F4,"dd/mm/yyyy"),"-",TEXT(G4,"dd/mm/yyyy"))</f>
        <v>+57-3245627890-900123456-7-Sede Poblado-Lunes-09:00-19:00-12/11/2023-1/01/1000-10:00-16:00-03/05/2025-1/01/1000</v>
      </c>
    </row>
    <row r="5" spans="1:9" ht="60" customHeight="1" x14ac:dyDescent="0.25">
      <c r="A5" s="49">
        <v>2</v>
      </c>
      <c r="B5" s="149" t="str">
        <f>'M-Barbero'!K5</f>
        <v>+57-3124518923</v>
      </c>
      <c r="C5" s="149" t="str">
        <f>'M-HorarioBarberia'!I5</f>
        <v>900123456-7-Sede Poblado-Martes-09:00-19:00-12/11/2023-1/01/1000</v>
      </c>
      <c r="D5" s="140">
        <v>0.375</v>
      </c>
      <c r="E5" s="140">
        <v>0.625</v>
      </c>
      <c r="F5" s="162">
        <v>45718</v>
      </c>
      <c r="G5" s="163" t="s">
        <v>647</v>
      </c>
      <c r="H5" s="140" t="s">
        <v>442</v>
      </c>
      <c r="I5" s="79" t="str">
        <f>_xlfn.CONCAT(B5,"-",C5,"-",TEXT(D5,"hh:mm"),"-",TEXT(E5,"hh:mm"),"-",TEXT(F5,"dd/mm/yyyy"),"-",TEXT(G5,"dd/mm/yyyy"))</f>
        <v>+57-3124518923-900123456-7-Sede Poblado-Martes-09:00-19:00-12/11/2023-1/01/1000-09:00-15:00-02/03/2025-1/01/1000</v>
      </c>
    </row>
    <row r="6" spans="1:9" ht="60" customHeight="1" x14ac:dyDescent="0.25">
      <c r="A6" s="49">
        <v>3</v>
      </c>
      <c r="B6" s="149" t="str">
        <f>'M-Barbero'!K6</f>
        <v>+57-3214533321</v>
      </c>
      <c r="C6" s="149" t="str">
        <f>'M-HorarioBarberia'!I7</f>
        <v>900123456-7-Sede Poblado-Jueves-09:00-19:00-12/11/2023-1/01/1000</v>
      </c>
      <c r="D6" s="140">
        <v>0.54166666666666663</v>
      </c>
      <c r="E6" s="140">
        <v>0.79166666666666663</v>
      </c>
      <c r="F6" s="162">
        <v>44917</v>
      </c>
      <c r="G6" s="162" t="s">
        <v>647</v>
      </c>
      <c r="H6" s="140" t="s">
        <v>442</v>
      </c>
      <c r="I6" s="79" t="str">
        <f>_xlfn.CONCAT(B6,"-",C6,"-",TEXT(D6,"hh:mm"),"-",TEXT(E6,"hh:mm"),"-",TEXT(F6,"dd/mm/yyyy"),"-",TEXT(G6,"dd/mm/yyyy"))</f>
        <v>+57-3214533321-900123456-7-Sede Poblado-Jueves-09:00-19:00-12/11/2023-1/01/1000-13:00-19:00-22/12/2022-1/01/1000</v>
      </c>
    </row>
    <row r="7" spans="1:9" ht="60" customHeight="1" x14ac:dyDescent="0.25">
      <c r="A7" s="49">
        <v>4</v>
      </c>
      <c r="B7" s="149" t="str">
        <f>'M-Barbero'!K7</f>
        <v>+91-9876543210</v>
      </c>
      <c r="C7" s="149" t="str">
        <f>'M-HorarioBarberia'!I9</f>
        <v>900123456-7-Sede Poblado-Sábado-08:00-21:00-12/12/2024-1/01/1000</v>
      </c>
      <c r="D7" s="140">
        <v>0.33333333333333331</v>
      </c>
      <c r="E7" s="140">
        <v>0.58333333333333337</v>
      </c>
      <c r="F7" s="162">
        <v>45915</v>
      </c>
      <c r="G7" s="163">
        <v>46023</v>
      </c>
      <c r="H7" s="164" t="s">
        <v>429</v>
      </c>
      <c r="I7" s="79" t="str">
        <f>_xlfn.CONCAT(B7,"-",C7,"-",TEXT(D7,"hh:mm"),"-",TEXT(E7,"hh:mm"),"-",TEXT(F7,"dd/mm/yyyy"),"-",TEXT(G7,"dd/mm/yyyy"))</f>
        <v>+91-9876543210-900123456-7-Sede Poblado-Sábado-08:00-21:00-12/12/2024-1/01/1000-08:00-14:00-15/09/2025-01/01/2026</v>
      </c>
    </row>
    <row r="8" spans="1:9" ht="60" customHeight="1" x14ac:dyDescent="0.25">
      <c r="A8" s="49">
        <v>5</v>
      </c>
      <c r="B8" s="149" t="str">
        <f>'M-Barbero'!K7</f>
        <v>+91-9876543210</v>
      </c>
      <c r="C8" s="149" t="str">
        <f>'M-HorarioBarberia'!I10</f>
        <v>900123456-7-Sede Poblado-Festivo-10:00-15:00-12/12/2024-1/01/1000</v>
      </c>
      <c r="D8" s="140">
        <v>0.5</v>
      </c>
      <c r="E8" s="140">
        <v>0.625</v>
      </c>
      <c r="F8" s="163">
        <v>46024</v>
      </c>
      <c r="G8" s="163">
        <v>46083</v>
      </c>
      <c r="H8" s="164" t="s">
        <v>429</v>
      </c>
      <c r="I8" s="79" t="str">
        <f>_xlfn.CONCAT(B8,"-",C8,"-",TEXT(D8,"hh:mm"),"-",TEXT(E8,"hh:mm"),"-",TEXT(F8,"dd/mm/yyyy"),"-",TEXT(G8,"dd/mm/yyyy"))</f>
        <v>+91-9876543210-900123456-7-Sede Poblado-Festivo-10:00-15:00-12/12/2024-1/01/1000-12:00-15:00-02/01/2026-02/03/2026</v>
      </c>
    </row>
    <row r="10" spans="1:9" ht="14.25" customHeight="1" x14ac:dyDescent="0.25">
      <c r="G10" s="165"/>
    </row>
    <row r="14" spans="1:9" ht="28.5" customHeight="1" x14ac:dyDescent="0.25">
      <c r="A14" s="52"/>
      <c r="B14" s="53" t="s">
        <v>194</v>
      </c>
      <c r="C14" s="53"/>
    </row>
    <row r="15" spans="1:9" ht="28.5" customHeight="1" x14ac:dyDescent="0.25">
      <c r="A15" s="54"/>
      <c r="B15" s="53" t="s">
        <v>195</v>
      </c>
      <c r="C15" s="53"/>
    </row>
    <row r="16" spans="1:9" ht="28.5" customHeight="1" x14ac:dyDescent="0.25">
      <c r="A16" s="120"/>
      <c r="B16" s="53" t="s">
        <v>443</v>
      </c>
      <c r="C16" s="53"/>
    </row>
    <row r="17" spans="1:3" ht="45" customHeight="1" x14ac:dyDescent="0.25">
      <c r="A17" s="103"/>
      <c r="B17" s="53" t="s">
        <v>642</v>
      </c>
      <c r="C17" s="53"/>
    </row>
    <row r="18" spans="1:3" ht="28.5" customHeight="1" x14ac:dyDescent="0.25">
      <c r="A18" s="55"/>
      <c r="B18" s="53" t="s">
        <v>196</v>
      </c>
      <c r="C18" s="53"/>
    </row>
    <row r="19" spans="1:3" ht="28.5" customHeight="1" x14ac:dyDescent="0.25">
      <c r="A19" s="143"/>
      <c r="B19" s="53" t="s">
        <v>197</v>
      </c>
      <c r="C19" s="53"/>
    </row>
    <row r="20" spans="1:3" ht="28.5" customHeight="1" x14ac:dyDescent="0.25">
      <c r="B20" s="53"/>
      <c r="C20" s="53"/>
    </row>
    <row r="21" spans="1:3" ht="28.5" customHeight="1" x14ac:dyDescent="0.25">
      <c r="B21" s="53"/>
      <c r="C21" s="53"/>
    </row>
  </sheetData>
  <hyperlinks>
    <hyperlink ref="A1" location="'Modelo de Dominio'!A1" display="&lt;&lt;&lt;&lt; Ir al modulo de dominio" xr:uid="{00000000-0004-0000-4100-000000000000}"/>
    <hyperlink ref="B1" location="'Objetos de Dominio'!A1" display="&lt;&lt;&lt;&lt; Ir a objetos de dominio" xr:uid="{00000000-0004-0000-4100-000001000000}"/>
    <hyperlink ref="B3" location="'M-Barbero'!A1" display="barbero" xr:uid="{00000000-0004-0000-4100-000002000000}"/>
    <hyperlink ref="C3" location="'M-HorarioBarberia'!A1" display="horarioDeLaBarberia" xr:uid="{00000000-0004-0000-4100-000003000000}"/>
    <hyperlink ref="B4" location="'M-Barbero'!A4" display="#'M-Barbero'.A4" xr:uid="{00000000-0004-0000-4100-000004000000}"/>
    <hyperlink ref="C4" location="'M-HorarioBarberia'!A4" display="#'M-HorarioBarberia'.A4" xr:uid="{00000000-0004-0000-4100-000005000000}"/>
    <hyperlink ref="B5" location="'M-Barbero'!A5" display="#'M-Barbero'.A5" xr:uid="{00000000-0004-0000-4100-000006000000}"/>
    <hyperlink ref="C5" location="'M-HorarioBarberia'!A5" display="#'M-HorarioBarberia'.A5" xr:uid="{00000000-0004-0000-4100-000007000000}"/>
    <hyperlink ref="B6" location="'M-Barbero'!A6" display="#'M-Barbero'.A6" xr:uid="{00000000-0004-0000-4100-000008000000}"/>
    <hyperlink ref="C6" location="'M-HorarioBarberia'!A7" display="#'M-HorarioBarberia'.A7" xr:uid="{00000000-0004-0000-4100-000009000000}"/>
    <hyperlink ref="B7" location="'M-Barbero'!A7" display="#'M-Barbero'.A7" xr:uid="{00000000-0004-0000-4100-00000A000000}"/>
    <hyperlink ref="C7" location="'M-HorarioBarberia'!A9" display="#'M-HorarioBarberia'.A9" xr:uid="{00000000-0004-0000-4100-00000B000000}"/>
    <hyperlink ref="B8" location="'M-Barbero'!A7" display="#'M-Barbero'.A7" xr:uid="{00000000-0004-0000-4100-00000C000000}"/>
    <hyperlink ref="C8" location="'M-HorarioBarberia'!A10" display="#'M-HorarioBarberia'.A10" xr:uid="{00000000-0004-0000-4100-00000D000000}"/>
  </hyperlinks>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Y17"/>
  <sheetViews>
    <sheetView zoomScaleNormal="100" workbookViewId="0">
      <selection activeCell="W13" sqref="W13"/>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7.42578125" customWidth="1"/>
    <col min="6" max="6" width="14.42578125" customWidth="1"/>
    <col min="7" max="7" width="43.85546875" customWidth="1"/>
    <col min="8" max="11" width="13" customWidth="1"/>
    <col min="12" max="12" width="12" customWidth="1"/>
    <col min="13" max="13" width="40.7109375" customWidth="1"/>
    <col min="14" max="14" width="18" customWidth="1"/>
    <col min="15" max="15" width="14.42578125" customWidth="1"/>
    <col min="16" max="16" width="15.140625" customWidth="1"/>
    <col min="17" max="17" width="20" customWidth="1"/>
    <col min="18" max="18" width="17.7109375" customWidth="1"/>
    <col min="20" max="20" width="14.28515625" customWidth="1"/>
    <col min="21" max="21" width="13" customWidth="1"/>
    <col min="22" max="23" width="22" customWidth="1"/>
    <col min="24" max="24" width="25" customWidth="1"/>
    <col min="25" max="25" width="16.42578125" customWidth="1"/>
  </cols>
  <sheetData>
    <row r="1" spans="1:25" ht="15" customHeight="1" x14ac:dyDescent="0.25">
      <c r="A1" s="4" t="s">
        <v>0</v>
      </c>
      <c r="B1" s="4" t="s">
        <v>55</v>
      </c>
    </row>
    <row r="2" spans="1:25"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A13</f>
        <v>crearAgendaBarbero</v>
      </c>
      <c r="W2" s="83" t="str">
        <f>A15</f>
        <v>consultarDisponibilidadBarbero</v>
      </c>
      <c r="X2" s="84" t="str">
        <f>A16</f>
        <v>consultarCitasDeAgenda</v>
      </c>
      <c r="Y2" s="166" t="s">
        <v>989</v>
      </c>
    </row>
    <row r="3" spans="1:25" ht="45" customHeight="1" x14ac:dyDescent="0.25">
      <c r="A3" s="107" t="str">
        <f>'M-Agenda'!A3</f>
        <v>id</v>
      </c>
      <c r="B3" s="145" t="str">
        <f>'M-Agenda'!A2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80</v>
      </c>
      <c r="P3" s="107" t="s">
        <v>79</v>
      </c>
      <c r="Q3" s="107" t="s">
        <v>80</v>
      </c>
      <c r="R3" s="107" t="s">
        <v>80</v>
      </c>
      <c r="S3" s="107" t="s">
        <v>80</v>
      </c>
      <c r="T3" s="107" t="s">
        <v>81</v>
      </c>
      <c r="U3" s="107" t="s">
        <v>77</v>
      </c>
      <c r="V3" s="85" t="s">
        <v>82</v>
      </c>
      <c r="W3" s="86" t="s">
        <v>83</v>
      </c>
      <c r="X3" s="87" t="s">
        <v>83</v>
      </c>
      <c r="Y3" s="167" t="s">
        <v>83</v>
      </c>
    </row>
    <row r="4" spans="1:25" ht="45" customHeight="1" x14ac:dyDescent="0.25">
      <c r="A4" s="107" t="str">
        <f>'M-Agenda'!B3</f>
        <v>horarioDelBarbero</v>
      </c>
      <c r="B4" s="145" t="str">
        <f>'M-Agenda'!B2</f>
        <v>Hace referencia al horario de trabajo del barbero (día de la semana, hora de inicio y hora final) al que pertenece esta agenda</v>
      </c>
      <c r="C4" s="107" t="s">
        <v>80</v>
      </c>
      <c r="D4" s="146" t="s">
        <v>42</v>
      </c>
      <c r="E4" s="107" t="s">
        <v>77</v>
      </c>
      <c r="F4" s="107" t="s">
        <v>79</v>
      </c>
      <c r="G4" s="107" t="s">
        <v>79</v>
      </c>
      <c r="H4" s="107" t="s">
        <v>79</v>
      </c>
      <c r="I4" s="107" t="s">
        <v>79</v>
      </c>
      <c r="J4" s="107" t="s">
        <v>79</v>
      </c>
      <c r="K4" s="107" t="s">
        <v>79</v>
      </c>
      <c r="L4" s="107" t="s">
        <v>79</v>
      </c>
      <c r="M4" s="17" t="s">
        <v>331</v>
      </c>
      <c r="N4" s="107" t="s">
        <v>80</v>
      </c>
      <c r="O4" s="107" t="s">
        <v>79</v>
      </c>
      <c r="P4" s="107" t="s">
        <v>79</v>
      </c>
      <c r="Q4" s="107" t="s">
        <v>79</v>
      </c>
      <c r="R4" s="107" t="s">
        <v>79</v>
      </c>
      <c r="S4" s="107" t="s">
        <v>80</v>
      </c>
      <c r="T4" s="107" t="s">
        <v>81</v>
      </c>
      <c r="U4" s="107" t="s">
        <v>80</v>
      </c>
      <c r="V4" s="85" t="s">
        <v>84</v>
      </c>
      <c r="W4" s="86" t="s">
        <v>83</v>
      </c>
      <c r="X4" s="87" t="s">
        <v>89</v>
      </c>
      <c r="Y4" s="167" t="s">
        <v>89</v>
      </c>
    </row>
    <row r="5" spans="1:25" ht="30" customHeight="1" x14ac:dyDescent="0.25">
      <c r="A5" s="107" t="str">
        <f>'M-Agenda'!C3</f>
        <v>fecha</v>
      </c>
      <c r="B5" s="145" t="str">
        <f>'M-Agenda'!C2</f>
        <v>Representa la fecha específica en el que la agenda va a guardar las citas de ese barbero</v>
      </c>
      <c r="C5" s="107" t="s">
        <v>80</v>
      </c>
      <c r="D5" s="151" t="s">
        <v>646</v>
      </c>
      <c r="E5" s="107" t="s">
        <v>77</v>
      </c>
      <c r="F5" s="107" t="s">
        <v>79</v>
      </c>
      <c r="G5" s="107" t="s">
        <v>79</v>
      </c>
      <c r="H5" s="107" t="s">
        <v>79</v>
      </c>
      <c r="I5" s="107" t="s">
        <v>79</v>
      </c>
      <c r="J5" s="107" t="s">
        <v>79</v>
      </c>
      <c r="K5" s="107" t="s">
        <v>79</v>
      </c>
      <c r="L5" s="107" t="s">
        <v>79</v>
      </c>
      <c r="M5" s="17" t="s">
        <v>79</v>
      </c>
      <c r="N5" s="107" t="s">
        <v>80</v>
      </c>
      <c r="O5" s="107" t="s">
        <v>79</v>
      </c>
      <c r="P5" s="107" t="s">
        <v>79</v>
      </c>
      <c r="Q5" s="107" t="s">
        <v>79</v>
      </c>
      <c r="R5" s="107" t="s">
        <v>79</v>
      </c>
      <c r="S5" s="107" t="s">
        <v>80</v>
      </c>
      <c r="T5" s="107" t="s">
        <v>934</v>
      </c>
      <c r="U5" s="107" t="s">
        <v>77</v>
      </c>
      <c r="V5" s="85" t="s">
        <v>84</v>
      </c>
      <c r="W5" s="86" t="s">
        <v>89</v>
      </c>
      <c r="X5" s="87" t="s">
        <v>89</v>
      </c>
      <c r="Y5" s="167" t="s">
        <v>89</v>
      </c>
    </row>
    <row r="7" spans="1:25" ht="15" customHeight="1" x14ac:dyDescent="0.25">
      <c r="A7" s="19" t="s">
        <v>93</v>
      </c>
      <c r="B7" s="19" t="s">
        <v>94</v>
      </c>
      <c r="C7" s="19" t="s">
        <v>95</v>
      </c>
    </row>
    <row r="8" spans="1:25" ht="21" customHeight="1" x14ac:dyDescent="0.25">
      <c r="A8" s="364" t="str">
        <f>'M-Agenda'!D3</f>
        <v xml:space="preserve">Combinación única </v>
      </c>
      <c r="B8" s="371" t="str">
        <f>'M-Agenda'!D2</f>
        <v>Combinación única que indica que un mismo horario de barbero no puede tener más de una agenda para el mismo día</v>
      </c>
      <c r="C8" s="20" t="str">
        <f>A4</f>
        <v>horarioDelBarbero</v>
      </c>
    </row>
    <row r="9" spans="1:25" ht="21.75" customHeight="1" x14ac:dyDescent="0.25">
      <c r="A9" s="281"/>
      <c r="B9" s="281"/>
      <c r="C9" s="20" t="str">
        <f>A5</f>
        <v>fecha</v>
      </c>
    </row>
    <row r="11" spans="1:25" x14ac:dyDescent="0.25">
      <c r="A11" s="320" t="s">
        <v>96</v>
      </c>
      <c r="B11" s="321"/>
      <c r="C11" s="323" t="s">
        <v>94</v>
      </c>
      <c r="D11" s="326"/>
      <c r="E11" s="326"/>
      <c r="F11" s="321"/>
      <c r="G11" s="323" t="s">
        <v>97</v>
      </c>
      <c r="H11" s="290"/>
      <c r="I11" s="291"/>
      <c r="J11" s="323" t="s">
        <v>98</v>
      </c>
      <c r="K11" s="290"/>
      <c r="L11" s="290"/>
      <c r="M11" s="290"/>
      <c r="N11" s="291"/>
      <c r="O11" s="323" t="s">
        <v>99</v>
      </c>
      <c r="P11" s="291"/>
      <c r="Q11" s="323" t="s">
        <v>100</v>
      </c>
      <c r="R11" s="291"/>
    </row>
    <row r="12" spans="1:25" x14ac:dyDescent="0.25">
      <c r="A12" s="322"/>
      <c r="B12" s="312"/>
      <c r="C12" s="310"/>
      <c r="D12" s="311"/>
      <c r="E12" s="311"/>
      <c r="F12" s="312"/>
      <c r="G12" s="3" t="s">
        <v>101</v>
      </c>
      <c r="H12" s="3" t="s">
        <v>59</v>
      </c>
      <c r="I12" s="3" t="s">
        <v>94</v>
      </c>
      <c r="J12" s="3" t="s">
        <v>102</v>
      </c>
      <c r="K12" s="325" t="s">
        <v>94</v>
      </c>
      <c r="L12" s="303"/>
      <c r="M12" s="303"/>
      <c r="N12" s="279"/>
      <c r="O12" s="3" t="s">
        <v>103</v>
      </c>
      <c r="P12" s="3" t="s">
        <v>94</v>
      </c>
      <c r="Q12" s="3" t="s">
        <v>104</v>
      </c>
      <c r="R12" s="23" t="s">
        <v>105</v>
      </c>
    </row>
    <row r="13" spans="1:25" ht="105" customHeight="1" x14ac:dyDescent="0.25">
      <c r="A13" s="359" t="s">
        <v>990</v>
      </c>
      <c r="B13" s="309"/>
      <c r="C13" s="358" t="s">
        <v>991</v>
      </c>
      <c r="D13" s="308"/>
      <c r="E13" s="308"/>
      <c r="F13" s="309"/>
      <c r="G13" s="442" t="s">
        <v>992</v>
      </c>
      <c r="H13" s="442" t="s">
        <v>44</v>
      </c>
      <c r="I13" s="336" t="s">
        <v>993</v>
      </c>
      <c r="J13" s="443" t="s">
        <v>44</v>
      </c>
      <c r="K13" s="358" t="s">
        <v>994</v>
      </c>
      <c r="L13" s="308"/>
      <c r="M13" s="308"/>
      <c r="N13" s="309"/>
      <c r="O13" s="24" t="str">
        <f>'P-Agenda'!A6</f>
        <v>P-AGE-0001</v>
      </c>
      <c r="P13" s="2" t="str">
        <f>'P-Agenda'!B6</f>
        <v>Asegurar que no exista ya una agenda para ese mismo horario de barbero y esa misma fecha</v>
      </c>
      <c r="Q13" s="2" t="s">
        <v>995</v>
      </c>
      <c r="R13" s="18" t="s">
        <v>112</v>
      </c>
    </row>
    <row r="14" spans="1:25" ht="105" customHeight="1" x14ac:dyDescent="0.25">
      <c r="A14" s="322"/>
      <c r="B14" s="312"/>
      <c r="C14" s="310"/>
      <c r="D14" s="311"/>
      <c r="E14" s="311"/>
      <c r="F14" s="312"/>
      <c r="G14" s="281"/>
      <c r="H14" s="281"/>
      <c r="I14" s="281"/>
      <c r="J14" s="281"/>
      <c r="K14" s="310"/>
      <c r="L14" s="311"/>
      <c r="M14" s="311"/>
      <c r="N14" s="312"/>
      <c r="O14" s="24" t="str">
        <f>'P-Agenda'!A7</f>
        <v>P-AGE-0002</v>
      </c>
      <c r="P14" s="2" t="str">
        <f>'P-Agenda'!B7</f>
        <v>Asegurar que el barbero esté vigente antes de abrirle una nueva agenda</v>
      </c>
      <c r="Q14" s="2" t="s">
        <v>996</v>
      </c>
      <c r="R14" s="18" t="s">
        <v>112</v>
      </c>
    </row>
    <row r="15" spans="1:25" ht="175.5" customHeight="1" x14ac:dyDescent="0.25">
      <c r="A15" s="445" t="s">
        <v>997</v>
      </c>
      <c r="B15" s="279"/>
      <c r="C15" s="353" t="s">
        <v>998</v>
      </c>
      <c r="D15" s="303"/>
      <c r="E15" s="303"/>
      <c r="F15" s="279"/>
      <c r="G15" s="60" t="s">
        <v>876</v>
      </c>
      <c r="H15" s="60" t="s">
        <v>44</v>
      </c>
      <c r="I15" s="64" t="s">
        <v>999</v>
      </c>
      <c r="J15" s="168" t="s">
        <v>1000</v>
      </c>
      <c r="K15" s="353" t="s">
        <v>1001</v>
      </c>
      <c r="L15" s="303"/>
      <c r="M15" s="303"/>
      <c r="N15" s="279"/>
      <c r="O15" s="60" t="str">
        <f>'P-Agenda'!A8</f>
        <v>P-AGE-0003</v>
      </c>
      <c r="P15" s="63" t="str">
        <f>'P-Agenda'!B8</f>
        <v>Al consultar la disponibilidad de una agenda, descontar de la jornada del barbero las horas que ya tienen una cita y las que están cubiertas por un bloqueo</v>
      </c>
      <c r="Q15" s="63" t="s">
        <v>1002</v>
      </c>
      <c r="R15" s="92" t="s">
        <v>112</v>
      </c>
    </row>
    <row r="16" spans="1:25" ht="76.5" customHeight="1" x14ac:dyDescent="0.25">
      <c r="A16" s="447" t="s">
        <v>1003</v>
      </c>
      <c r="B16" s="279"/>
      <c r="C16" s="352" t="s">
        <v>1004</v>
      </c>
      <c r="D16" s="303"/>
      <c r="E16" s="303"/>
      <c r="F16" s="279"/>
      <c r="G16" s="61" t="s">
        <v>876</v>
      </c>
      <c r="H16" s="61" t="s">
        <v>44</v>
      </c>
      <c r="I16" s="68" t="s">
        <v>1005</v>
      </c>
      <c r="J16" s="169" t="s">
        <v>1006</v>
      </c>
      <c r="K16" s="352" t="s">
        <v>1007</v>
      </c>
      <c r="L16" s="303"/>
      <c r="M16" s="303"/>
      <c r="N16" s="279"/>
      <c r="O16" s="61"/>
      <c r="P16" s="67"/>
      <c r="Q16" s="67"/>
      <c r="R16" s="93"/>
    </row>
    <row r="17" spans="1:18" ht="89.25" customHeight="1" x14ac:dyDescent="0.25">
      <c r="A17" s="446" t="s">
        <v>989</v>
      </c>
      <c r="B17" s="279"/>
      <c r="C17" s="444" t="s">
        <v>1008</v>
      </c>
      <c r="D17" s="303"/>
      <c r="E17" s="303"/>
      <c r="F17" s="279"/>
      <c r="G17" s="171" t="s">
        <v>1009</v>
      </c>
      <c r="H17" s="171" t="s">
        <v>44</v>
      </c>
      <c r="I17" s="172" t="s">
        <v>1010</v>
      </c>
      <c r="J17" s="173" t="s">
        <v>1006</v>
      </c>
      <c r="K17" s="444" t="s">
        <v>1011</v>
      </c>
      <c r="L17" s="303"/>
      <c r="M17" s="303"/>
      <c r="N17" s="279"/>
      <c r="O17" s="171"/>
      <c r="P17" s="170"/>
      <c r="Q17" s="170"/>
      <c r="R17" s="174"/>
    </row>
  </sheetData>
  <mergeCells count="25">
    <mergeCell ref="C17:F17"/>
    <mergeCell ref="A15:B15"/>
    <mergeCell ref="K17:N17"/>
    <mergeCell ref="G13:G14"/>
    <mergeCell ref="A17:B17"/>
    <mergeCell ref="A16:B16"/>
    <mergeCell ref="K16:N16"/>
    <mergeCell ref="C15:F15"/>
    <mergeCell ref="K15:N15"/>
    <mergeCell ref="C16:F16"/>
    <mergeCell ref="O11:P11"/>
    <mergeCell ref="Q11:R11"/>
    <mergeCell ref="K12:N12"/>
    <mergeCell ref="B8:B9"/>
    <mergeCell ref="A13:B14"/>
    <mergeCell ref="A8:A9"/>
    <mergeCell ref="C11:F12"/>
    <mergeCell ref="H13:H14"/>
    <mergeCell ref="J11:N11"/>
    <mergeCell ref="I13:I14"/>
    <mergeCell ref="A11:B12"/>
    <mergeCell ref="K13:N14"/>
    <mergeCell ref="G11:I11"/>
    <mergeCell ref="C13:F14"/>
    <mergeCell ref="J13:J14"/>
  </mergeCells>
  <hyperlinks>
    <hyperlink ref="A1" location="'Modelo de Dominio'!A1" display="&lt;&lt;&lt;&lt; Ir al modulo de dominio" xr:uid="{00000000-0004-0000-4200-000000000000}"/>
    <hyperlink ref="B1" location="'Objetos de Dominio'!A1" display="&lt;&lt;&lt;&lt; Ir a objetos de dominio" xr:uid="{00000000-0004-0000-4200-000001000000}"/>
    <hyperlink ref="V2" location="'C-Agenda'!A13" display="#'C-Agenda'.A13" xr:uid="{00000000-0004-0000-4200-000002000000}"/>
    <hyperlink ref="W2" location="'C-Agenda'!A15" display="#'C-Agenda'.A15" xr:uid="{00000000-0004-0000-4200-000003000000}"/>
    <hyperlink ref="X2" location="'C-Agenda'!A16" display="#'C-Agenda'.A16" xr:uid="{00000000-0004-0000-4200-000004000000}"/>
    <hyperlink ref="A3" location="'M-Agenda'!A3" display="#'M-Agenda'.A3" xr:uid="{00000000-0004-0000-4200-000005000000}"/>
    <hyperlink ref="B3" location="'M-Agenda'!A2" display="#'M-Agenda'.A2" xr:uid="{00000000-0004-0000-4200-000006000000}"/>
    <hyperlink ref="A4" location="'M-Agenda'!A3" display="#'M-Agenda'.A3" xr:uid="{00000000-0004-0000-4200-000007000000}"/>
    <hyperlink ref="B4" location="'M-Agenda'!A2" display="#'M-Agenda'.A2" xr:uid="{00000000-0004-0000-4200-000008000000}"/>
    <hyperlink ref="D4" location="'C-HorarioBarbero'!A1" display="HorarioBarbero" xr:uid="{00000000-0004-0000-4200-000009000000}"/>
    <hyperlink ref="A5" location="'M-Agenda'!A3" display="#'M-Agenda'.A3" xr:uid="{00000000-0004-0000-4200-00000A000000}"/>
    <hyperlink ref="B5" location="'M-Agenda'!A2" display="#'M-Agenda'.A2" xr:uid="{00000000-0004-0000-4200-00000B000000}"/>
    <hyperlink ref="A8" location="'M-Agenda'!A3" display="#'M-Agenda'.A3" xr:uid="{00000000-0004-0000-4200-00000C000000}"/>
    <hyperlink ref="B8" location="'M-Agenda'!A2" display="#'M-Agenda'.A2" xr:uid="{00000000-0004-0000-4200-00000D000000}"/>
    <hyperlink ref="A13" location="'C-Agenda'!V2" display="crearAgendaBarbero" xr:uid="{00000000-0004-0000-4200-00000E000000}"/>
    <hyperlink ref="A15" location="'C-Agenda'!W2" display="consultarDisponibilidadBarbero" xr:uid="{00000000-0004-0000-4200-00000F000000}"/>
    <hyperlink ref="A16" location="'C-Agenda'!X2" display="consultarCitasDeAgenda" xr:uid="{00000000-0004-0000-4200-000010000000}"/>
  </hyperlinks>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8"/>
  <sheetViews>
    <sheetView showGridLines="0" zoomScaleNormal="100" workbookViewId="0">
      <selection activeCell="B8" sqref="B8"/>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Dominio'!A19</f>
        <v>Agenda</v>
      </c>
      <c r="C2" s="290"/>
      <c r="D2" s="290"/>
      <c r="E2" s="291"/>
    </row>
    <row r="3" spans="1:5" ht="30" customHeight="1" x14ac:dyDescent="0.25">
      <c r="A3" s="30" t="s">
        <v>140</v>
      </c>
      <c r="B3" s="336" t="str">
        <f>'Objetos de Dominio'!B19</f>
        <v>Representa una fecha puntual en donde el barbero ve todas las citas que debe de atender ese día.</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1012</v>
      </c>
      <c r="B6" s="332" t="s">
        <v>1013</v>
      </c>
      <c r="C6" s="279"/>
      <c r="D6" s="31" t="s">
        <v>44</v>
      </c>
      <c r="E6" s="31"/>
    </row>
    <row r="7" spans="1:5" ht="30" customHeight="1" x14ac:dyDescent="0.25">
      <c r="A7" s="8" t="s">
        <v>1014</v>
      </c>
      <c r="B7" s="332" t="s">
        <v>1015</v>
      </c>
      <c r="C7" s="279"/>
      <c r="D7" s="31" t="s">
        <v>32</v>
      </c>
      <c r="E7" s="31"/>
    </row>
    <row r="8" spans="1:5" ht="45" customHeight="1" x14ac:dyDescent="0.25">
      <c r="A8" s="8" t="s">
        <v>1016</v>
      </c>
      <c r="B8" s="332" t="s">
        <v>1017</v>
      </c>
      <c r="C8" s="279"/>
      <c r="D8" s="31" t="s">
        <v>44</v>
      </c>
      <c r="E8" s="31"/>
    </row>
  </sheetData>
  <mergeCells count="9">
    <mergeCell ref="D4:D5"/>
    <mergeCell ref="E4:E5"/>
    <mergeCell ref="B3:E3"/>
    <mergeCell ref="B2:E2"/>
    <mergeCell ref="B8:C8"/>
    <mergeCell ref="B4:C5"/>
    <mergeCell ref="B6:C6"/>
    <mergeCell ref="B7:C7"/>
    <mergeCell ref="A4:A5"/>
  </mergeCells>
  <hyperlinks>
    <hyperlink ref="A1" location="'Modelo de Dominio'!A1" display="&lt;&lt; Ir al modelo de dominio" xr:uid="{00000000-0004-0000-4300-000000000000}"/>
    <hyperlink ref="B1" location="'Objetos de Dominio'!A1" display="&lt;&lt; Ir al listado de objetos de dominio" xr:uid="{00000000-0004-0000-4300-000001000000}"/>
    <hyperlink ref="C1" location="'C-Agenda'!A1" display="&lt;&lt; Ir a la caracterización del objeto de dominio" xr:uid="{00000000-0004-0000-4300-000002000000}"/>
    <hyperlink ref="D1" location="'M-Agenda'!A1" display="Ir al muestreo de datos del objeto de dominio &gt;&gt;" xr:uid="{00000000-0004-0000-4300-000003000000}"/>
    <hyperlink ref="E1" location="'E-Agenda'!A1" display="Ir al event storming del objeto de dominio &gt;&gt;" xr:uid="{00000000-0004-0000-4300-000004000000}"/>
  </hyperlinks>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K14"/>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1.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Dominio'!A19</f>
        <v>Agenda</v>
      </c>
      <c r="C2" s="290"/>
      <c r="D2" s="290"/>
      <c r="E2" s="290"/>
      <c r="F2" s="290"/>
      <c r="G2" s="290"/>
      <c r="H2" s="290"/>
      <c r="I2" s="290"/>
      <c r="J2" s="290"/>
      <c r="K2" s="291"/>
    </row>
    <row r="3" spans="1:11" ht="30" customHeight="1" x14ac:dyDescent="0.25">
      <c r="A3" s="72" t="s">
        <v>140</v>
      </c>
      <c r="B3" s="302" t="str">
        <f>'Objetos de Dominio'!B19</f>
        <v>Representa una fecha puntual en donde el barbero ve todas las citas que debe de atender ese día.</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41.25" customHeight="1" x14ac:dyDescent="0.25">
      <c r="A7" s="273" t="s">
        <v>320</v>
      </c>
      <c r="B7" s="272" t="s">
        <v>1018</v>
      </c>
      <c r="C7" s="272" t="s">
        <v>991</v>
      </c>
      <c r="D7" s="273" t="str">
        <f>$B$2</f>
        <v>Agenda</v>
      </c>
      <c r="E7" s="42" t="s">
        <v>32</v>
      </c>
      <c r="F7" s="42" t="s">
        <v>1019</v>
      </c>
      <c r="G7" s="75" t="str">
        <f>'P-Agenda'!A6</f>
        <v>P-AGE-0001</v>
      </c>
      <c r="H7" s="104" t="str">
        <f>'P-Agenda'!B6</f>
        <v>Asegurar que no exista ya una agenda para ese mismo horario de barbero y esa misma fecha</v>
      </c>
      <c r="I7" s="273"/>
      <c r="J7" s="272" t="s">
        <v>1020</v>
      </c>
      <c r="K7" s="272"/>
    </row>
    <row r="8" spans="1:11" ht="27" customHeight="1" x14ac:dyDescent="0.25">
      <c r="A8" s="281"/>
      <c r="B8" s="281"/>
      <c r="C8" s="281"/>
      <c r="D8" s="281"/>
      <c r="E8" s="175" t="s">
        <v>42</v>
      </c>
      <c r="F8" s="134" t="s">
        <v>1021</v>
      </c>
      <c r="G8" s="75" t="str">
        <f>'P-Agenda'!A7</f>
        <v>P-AGE-0002</v>
      </c>
      <c r="H8" s="104" t="str">
        <f>'P-Agenda'!B7</f>
        <v>Asegurar que el barbero esté vigente antes de abrirle una nueva agenda</v>
      </c>
      <c r="I8" s="281"/>
      <c r="J8" s="281"/>
      <c r="K8" s="281"/>
    </row>
    <row r="9" spans="1:11" ht="59.25" customHeight="1" x14ac:dyDescent="0.25">
      <c r="A9" s="273" t="s">
        <v>26</v>
      </c>
      <c r="B9" s="272" t="s">
        <v>1022</v>
      </c>
      <c r="C9" s="272" t="s">
        <v>998</v>
      </c>
      <c r="D9" s="273" t="str">
        <f>$B$2</f>
        <v>Agenda</v>
      </c>
      <c r="E9" s="42" t="s">
        <v>46</v>
      </c>
      <c r="F9" s="42" t="s">
        <v>1023</v>
      </c>
      <c r="G9" s="448" t="str">
        <f>'P-Agenda'!A8</f>
        <v>P-AGE-0003</v>
      </c>
      <c r="H9" s="439" t="str">
        <f>'P-Agenda'!B8</f>
        <v>Al consultar la disponibilidad de una agenda, descontar de la jornada del barbero las horas que ya tienen una cita y las que están cubiertas por un bloqueo</v>
      </c>
      <c r="I9" s="273"/>
      <c r="J9" s="272" t="s">
        <v>1024</v>
      </c>
      <c r="K9" s="272"/>
    </row>
    <row r="10" spans="1:11" ht="30" customHeight="1" x14ac:dyDescent="0.25">
      <c r="A10" s="281"/>
      <c r="B10" s="281"/>
      <c r="C10" s="281"/>
      <c r="D10" s="281"/>
      <c r="E10" s="42" t="s">
        <v>40</v>
      </c>
      <c r="F10" s="42" t="s">
        <v>1025</v>
      </c>
      <c r="G10" s="281"/>
      <c r="H10" s="281"/>
      <c r="I10" s="281"/>
      <c r="J10" s="281"/>
      <c r="K10" s="281"/>
    </row>
    <row r="11" spans="1:11" ht="30" customHeight="1" x14ac:dyDescent="0.25">
      <c r="A11" s="41" t="s">
        <v>32</v>
      </c>
      <c r="B11" s="42" t="s">
        <v>1026</v>
      </c>
      <c r="C11" s="42" t="s">
        <v>1004</v>
      </c>
      <c r="D11" s="41" t="str">
        <f>$B$2</f>
        <v>Agenda</v>
      </c>
      <c r="E11" s="42"/>
      <c r="F11" s="42"/>
      <c r="G11" s="41"/>
      <c r="H11" s="43"/>
      <c r="I11" s="41"/>
      <c r="J11" s="42" t="s">
        <v>1027</v>
      </c>
      <c r="K11" s="42"/>
    </row>
    <row r="12" spans="1:11" ht="27" customHeight="1" x14ac:dyDescent="0.25">
      <c r="A12" s="41" t="s">
        <v>26</v>
      </c>
      <c r="B12" s="42" t="s">
        <v>1026</v>
      </c>
      <c r="C12" s="42" t="s">
        <v>1004</v>
      </c>
      <c r="D12" s="41" t="str">
        <f>$B$2</f>
        <v>Agenda</v>
      </c>
      <c r="E12" s="42"/>
      <c r="F12" s="42"/>
      <c r="G12" s="41"/>
      <c r="H12" s="43"/>
      <c r="I12" s="41"/>
      <c r="J12" s="42" t="s">
        <v>1027</v>
      </c>
      <c r="K12" s="42"/>
    </row>
    <row r="13" spans="1:11" ht="59.25" customHeight="1" x14ac:dyDescent="0.25">
      <c r="A13" s="273" t="s">
        <v>320</v>
      </c>
      <c r="B13" s="272" t="s">
        <v>1028</v>
      </c>
      <c r="C13" s="272" t="s">
        <v>1008</v>
      </c>
      <c r="D13" s="273" t="str">
        <f>$B$2</f>
        <v>Agenda</v>
      </c>
      <c r="E13" s="42" t="s">
        <v>46</v>
      </c>
      <c r="F13" s="42" t="s">
        <v>1029</v>
      </c>
      <c r="G13" s="176"/>
      <c r="H13" s="104"/>
      <c r="I13" s="273"/>
      <c r="J13" s="272" t="s">
        <v>1030</v>
      </c>
      <c r="K13" s="272"/>
    </row>
    <row r="14" spans="1:11" ht="59.25" customHeight="1" x14ac:dyDescent="0.25">
      <c r="A14" s="281"/>
      <c r="B14" s="281"/>
      <c r="C14" s="281"/>
      <c r="D14" s="281"/>
      <c r="E14" s="42" t="s">
        <v>18</v>
      </c>
      <c r="F14" s="42" t="s">
        <v>1031</v>
      </c>
      <c r="G14" s="176"/>
      <c r="H14" s="104"/>
      <c r="I14" s="281"/>
      <c r="J14" s="281"/>
      <c r="K14" s="281"/>
    </row>
  </sheetData>
  <mergeCells count="41">
    <mergeCell ref="C1:E1"/>
    <mergeCell ref="J13:J14"/>
    <mergeCell ref="H9:H10"/>
    <mergeCell ref="J9:J10"/>
    <mergeCell ref="A7:A8"/>
    <mergeCell ref="J1:K1"/>
    <mergeCell ref="E5:F5"/>
    <mergeCell ref="I7:I8"/>
    <mergeCell ref="A1:B1"/>
    <mergeCell ref="C9:C10"/>
    <mergeCell ref="E4:F4"/>
    <mergeCell ref="F1:I1"/>
    <mergeCell ref="B13:B14"/>
    <mergeCell ref="D13:D14"/>
    <mergeCell ref="D7:D8"/>
    <mergeCell ref="J7:J8"/>
    <mergeCell ref="A13:A14"/>
    <mergeCell ref="I13:I14"/>
    <mergeCell ref="G5:H5"/>
    <mergeCell ref="C7:C8"/>
    <mergeCell ref="K13:K14"/>
    <mergeCell ref="K7:K8"/>
    <mergeCell ref="A9:A10"/>
    <mergeCell ref="I5:I6"/>
    <mergeCell ref="A5:A6"/>
    <mergeCell ref="B9:B10"/>
    <mergeCell ref="D9:D10"/>
    <mergeCell ref="B2:K2"/>
    <mergeCell ref="B5:B6"/>
    <mergeCell ref="D5:D6"/>
    <mergeCell ref="C13:C14"/>
    <mergeCell ref="G4:H4"/>
    <mergeCell ref="G9:G10"/>
    <mergeCell ref="I9:I10"/>
    <mergeCell ref="J5:J6"/>
    <mergeCell ref="K9:K10"/>
    <mergeCell ref="B4:C4"/>
    <mergeCell ref="B7:B8"/>
    <mergeCell ref="K5:K6"/>
    <mergeCell ref="C5:C6"/>
    <mergeCell ref="B3:K3"/>
  </mergeCells>
  <hyperlinks>
    <hyperlink ref="A1" location="'Modelo de Dominio'!A1" display="&lt;&lt; Ir al modelo de dominio" xr:uid="{00000000-0004-0000-4400-000000000000}"/>
    <hyperlink ref="C1" location="'Objetos de Dominio'!A1" display="&lt;&lt; Ir al listado de objetos de dominio" xr:uid="{00000000-0004-0000-4400-000001000000}"/>
    <hyperlink ref="F1" location="'C-Agenda'!A1" display="&lt;&lt; Ir a la caracterización del objeto de dominio" xr:uid="{00000000-0004-0000-4400-000002000000}"/>
    <hyperlink ref="J1" location="'M-Agenda'!A1" display="Ir al muestreo de datos del objeto de dominio &gt;&gt;" xr:uid="{00000000-0004-0000-4400-000003000000}"/>
    <hyperlink ref="G7" location="'P-Agenda'!A6" display="#'P-Agenda'.A6" xr:uid="{00000000-0004-0000-4400-000004000000}"/>
    <hyperlink ref="G8" location="'P-Agenda'!A7" display="#'P-Agenda'.A7" xr:uid="{00000000-0004-0000-4400-000005000000}"/>
    <hyperlink ref="G9" location="'P-Agenda'!A8" display="#'P-Agenda'.A8" xr:uid="{00000000-0004-0000-4400-000006000000}"/>
  </hyperlinks>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22"/>
  <sheetViews>
    <sheetView zoomScale="115" zoomScaleNormal="115" workbookViewId="0">
      <selection activeCell="B4" sqref="B4"/>
    </sheetView>
  </sheetViews>
  <sheetFormatPr baseColWidth="10" defaultColWidth="8.7109375" defaultRowHeight="15" x14ac:dyDescent="0.25"/>
  <cols>
    <col min="1" max="1" width="27" customWidth="1"/>
    <col min="2" max="2" width="69.140625" customWidth="1"/>
    <col min="3" max="3" width="33.7109375" customWidth="1"/>
    <col min="4" max="4" width="80.85546875" customWidth="1"/>
  </cols>
  <sheetData>
    <row r="1" spans="1:4" ht="14.25" customHeight="1" x14ac:dyDescent="0.25">
      <c r="A1" s="4" t="s">
        <v>0</v>
      </c>
      <c r="B1" s="4" t="s">
        <v>55</v>
      </c>
      <c r="C1" s="77"/>
    </row>
    <row r="2" spans="1:4" ht="36" customHeight="1" x14ac:dyDescent="0.25">
      <c r="A2" s="44" t="s">
        <v>183</v>
      </c>
      <c r="B2" s="44" t="s">
        <v>1032</v>
      </c>
      <c r="C2" s="44" t="s">
        <v>1033</v>
      </c>
      <c r="D2" s="45" t="s">
        <v>1034</v>
      </c>
    </row>
    <row r="3" spans="1:4" ht="14.25" customHeight="1" x14ac:dyDescent="0.25">
      <c r="A3" s="46" t="s">
        <v>116</v>
      </c>
      <c r="B3" s="118" t="s">
        <v>1035</v>
      </c>
      <c r="C3" s="177" t="s">
        <v>1036</v>
      </c>
      <c r="D3" s="48" t="s">
        <v>209</v>
      </c>
    </row>
    <row r="4" spans="1:4" ht="30" customHeight="1" x14ac:dyDescent="0.25">
      <c r="A4" s="49">
        <v>1</v>
      </c>
      <c r="B4" s="188" t="str">
        <f>'M-HorarioBarbero'!I4</f>
        <v>+57-3245627890-900123456-7-Sede Poblado-Lunes-09:00-19:00-12/11/2023-1/01/1000-10:00-16:00-03/05/2025-1/01/1000</v>
      </c>
      <c r="C4" s="178">
        <v>46300</v>
      </c>
      <c r="D4" s="79" t="str">
        <f t="shared" ref="D4:D12" si="0">_xlfn.CONCAT(B4,"-",TEXT(C4,"dd/mm/yyyy"))</f>
        <v>+57-3245627890-900123456-7-Sede Poblado-Lunes-09:00-19:00-12/11/2023-1/01/1000-10:00-16:00-03/05/2025-1/01/1000-05/10/2026</v>
      </c>
    </row>
    <row r="5" spans="1:4" ht="14.25" customHeight="1" x14ac:dyDescent="0.25">
      <c r="A5" s="49">
        <v>2</v>
      </c>
      <c r="B5" s="188" t="str">
        <f>'M-HorarioBarbero'!I5</f>
        <v>+57-3124518923-900123456-7-Sede Poblado-Martes-09:00-19:00-12/11/2023-1/01/1000-09:00-15:00-02/03/2025-1/01/1000</v>
      </c>
      <c r="C5" s="178">
        <v>46091</v>
      </c>
      <c r="D5" s="79" t="str">
        <f t="shared" si="0"/>
        <v>+57-3124518923-900123456-7-Sede Poblado-Martes-09:00-19:00-12/11/2023-1/01/1000-09:00-15:00-02/03/2025-1/01/1000-10/03/2026</v>
      </c>
    </row>
    <row r="6" spans="1:4" ht="14.25" customHeight="1" x14ac:dyDescent="0.25">
      <c r="A6" s="49">
        <v>3</v>
      </c>
      <c r="B6" s="188" t="str">
        <f>'M-HorarioBarbero'!I6</f>
        <v>+57-3214533321-900123456-7-Sede Poblado-Jueves-09:00-19:00-12/11/2023-1/01/1000-13:00-19:00-22/12/2022-1/01/1000</v>
      </c>
      <c r="C6" s="178">
        <v>46156</v>
      </c>
      <c r="D6" s="79" t="str">
        <f t="shared" si="0"/>
        <v>+57-3214533321-900123456-7-Sede Poblado-Jueves-09:00-19:00-12/11/2023-1/01/1000-13:00-19:00-22/12/2022-1/01/1000-14/05/2026</v>
      </c>
    </row>
    <row r="7" spans="1:4" ht="14.25" customHeight="1" x14ac:dyDescent="0.25">
      <c r="A7" s="49">
        <v>4</v>
      </c>
      <c r="B7" s="188" t="str">
        <f>'M-HorarioBarbero'!I8</f>
        <v>+91-9876543210-900123456-7-Sede Poblado-Festivo-10:00-15:00-12/12/2024-1/01/1000-12:00-15:00-02/01/2026-02/03/2026</v>
      </c>
      <c r="C7" s="178">
        <v>46034</v>
      </c>
      <c r="D7" s="79" t="str">
        <f t="shared" si="0"/>
        <v>+91-9876543210-900123456-7-Sede Poblado-Festivo-10:00-15:00-12/12/2024-1/01/1000-12:00-15:00-02/01/2026-02/03/2026-12/01/2026</v>
      </c>
    </row>
    <row r="8" spans="1:4" ht="14.25" customHeight="1" x14ac:dyDescent="0.25">
      <c r="A8" s="49">
        <v>5</v>
      </c>
      <c r="B8" s="188" t="str">
        <f>'M-HorarioBarbero'!I7</f>
        <v>+91-9876543210-900123456-7-Sede Poblado-Sábado-08:00-21:00-12/12/2024-1/01/1000-08:00-14:00-15/09/2025-01/01/2026</v>
      </c>
      <c r="C8" s="178">
        <v>45983</v>
      </c>
      <c r="D8" s="79" t="str">
        <f t="shared" si="0"/>
        <v>+91-9876543210-900123456-7-Sede Poblado-Sábado-08:00-21:00-12/12/2024-1/01/1000-08:00-14:00-15/09/2025-01/01/2026-22/11/2025</v>
      </c>
    </row>
    <row r="9" spans="1:4" ht="30" customHeight="1" x14ac:dyDescent="0.25">
      <c r="A9" s="49">
        <v>6</v>
      </c>
      <c r="B9" s="188" t="str">
        <f>'M-HorarioBarbero'!I6</f>
        <v>+57-3214533321-900123456-7-Sede Poblado-Jueves-09:00-19:00-12/11/2023-1/01/1000-13:00-19:00-22/12/2022-1/01/1000</v>
      </c>
      <c r="C9" s="178">
        <v>46240</v>
      </c>
      <c r="D9" s="79" t="str">
        <f t="shared" si="0"/>
        <v>+57-3214533321-900123456-7-Sede Poblado-Jueves-09:00-19:00-12/11/2023-1/01/1000-13:00-19:00-22/12/2022-1/01/1000-06/08/2026</v>
      </c>
    </row>
    <row r="10" spans="1:4" ht="30" customHeight="1" x14ac:dyDescent="0.25">
      <c r="A10" s="49">
        <v>7</v>
      </c>
      <c r="B10" s="188" t="str">
        <f>'M-HorarioBarbero'!I4</f>
        <v>+57-3245627890-900123456-7-Sede Poblado-Lunes-09:00-19:00-12/11/2023-1/01/1000-10:00-16:00-03/05/2025-1/01/1000</v>
      </c>
      <c r="C10" s="178">
        <v>46174</v>
      </c>
      <c r="D10" s="79" t="str">
        <f t="shared" si="0"/>
        <v>+57-3245627890-900123456-7-Sede Poblado-Lunes-09:00-19:00-12/11/2023-1/01/1000-10:00-16:00-03/05/2025-1/01/1000-01/06/2026</v>
      </c>
    </row>
    <row r="11" spans="1:4" ht="14.25" customHeight="1" x14ac:dyDescent="0.25">
      <c r="A11" s="49">
        <v>8</v>
      </c>
      <c r="B11" s="188" t="str">
        <f>'M-HorarioBarbero'!I5</f>
        <v>+57-3124518923-900123456-7-Sede Poblado-Martes-09:00-19:00-12/11/2023-1/01/1000-09:00-15:00-02/03/2025-1/01/1000</v>
      </c>
      <c r="C11" s="178">
        <v>46189</v>
      </c>
      <c r="D11" s="79" t="str">
        <f t="shared" si="0"/>
        <v>+57-3124518923-900123456-7-Sede Poblado-Martes-09:00-19:00-12/11/2023-1/01/1000-09:00-15:00-02/03/2025-1/01/1000-16/06/2026</v>
      </c>
    </row>
    <row r="12" spans="1:4" ht="14.25" customHeight="1" x14ac:dyDescent="0.25">
      <c r="A12" s="49">
        <v>9</v>
      </c>
      <c r="B12" s="188" t="str">
        <f>'M-HorarioBarbero'!I6</f>
        <v>+57-3214533321-900123456-7-Sede Poblado-Jueves-09:00-19:00-12/11/2023-1/01/1000-13:00-19:00-22/12/2022-1/01/1000</v>
      </c>
      <c r="C12" s="178">
        <v>46205</v>
      </c>
      <c r="D12" s="79" t="str">
        <f t="shared" si="0"/>
        <v>+57-3214533321-900123456-7-Sede Poblado-Jueves-09:00-19:00-12/11/2023-1/01/1000-13:00-19:00-22/12/2022-1/01/1000-02/07/2026</v>
      </c>
    </row>
    <row r="13" spans="1:4" ht="14.25" customHeight="1" x14ac:dyDescent="0.25">
      <c r="B13" s="53"/>
    </row>
    <row r="14" spans="1:4" ht="14.25" customHeight="1" x14ac:dyDescent="0.25">
      <c r="B14" s="53"/>
    </row>
    <row r="15" spans="1:4" ht="14.25" customHeight="1" x14ac:dyDescent="0.25">
      <c r="B15" s="53"/>
    </row>
    <row r="16" spans="1:4" ht="14.25" customHeight="1" x14ac:dyDescent="0.25">
      <c r="B16" s="53"/>
    </row>
    <row r="17" spans="1:2" ht="14.25" customHeight="1" x14ac:dyDescent="0.25">
      <c r="B17" s="53"/>
    </row>
    <row r="18" spans="1:2" ht="14.25" customHeight="1" x14ac:dyDescent="0.25">
      <c r="A18" s="52"/>
      <c r="B18" s="53" t="s">
        <v>194</v>
      </c>
    </row>
    <row r="19" spans="1:2" ht="14.25" customHeight="1" x14ac:dyDescent="0.25">
      <c r="A19" s="54"/>
      <c r="B19" s="53" t="s">
        <v>195</v>
      </c>
    </row>
    <row r="20" spans="1:2" ht="14.25" customHeight="1" x14ac:dyDescent="0.25">
      <c r="A20" s="120"/>
      <c r="B20" t="s">
        <v>443</v>
      </c>
    </row>
    <row r="21" spans="1:2" ht="14.25" customHeight="1" x14ac:dyDescent="0.25">
      <c r="A21" s="103"/>
      <c r="B21" t="s">
        <v>642</v>
      </c>
    </row>
    <row r="22" spans="1:2" ht="14.25" customHeight="1" x14ac:dyDescent="0.25">
      <c r="A22" s="56"/>
      <c r="B22" t="s">
        <v>197</v>
      </c>
    </row>
  </sheetData>
  <hyperlinks>
    <hyperlink ref="A1" location="'Modelo de Dominio'!A1" display="&lt;&lt;&lt;&lt; Ir al modulo de dominio" xr:uid="{00000000-0004-0000-4500-000000000000}"/>
    <hyperlink ref="B1" location="'Objetos de Dominio'!A1" display="&lt;&lt;&lt;&lt; Ir a objetos de dominio" xr:uid="{00000000-0004-0000-4500-000001000000}"/>
    <hyperlink ref="B3" location="'M-HorarioBarbero'!A1" display="horarioDelBarbero" xr:uid="{00000000-0004-0000-4500-000002000000}"/>
    <hyperlink ref="B4" location="'M-HorarioBarbero'!A4" display="#'M-HorarioBarbero'.A4" xr:uid="{00000000-0004-0000-4500-000003000000}"/>
    <hyperlink ref="B5" location="'M-HorarioBarbero'!A5" display="#'M-HorarioBarbero'.A5" xr:uid="{00000000-0004-0000-4500-000004000000}"/>
    <hyperlink ref="B6" location="'M-HorarioBarbero'!A6" display="#'M-HorarioBarbero'.A6" xr:uid="{00000000-0004-0000-4500-000005000000}"/>
    <hyperlink ref="B7" location="'M-HorarioBarbero'!A8" display="#'M-HorarioBarbero'.A8" xr:uid="{00000000-0004-0000-4500-000006000000}"/>
    <hyperlink ref="B8" location="'M-HorarioBarbero'!A7" display="#'M-HorarioBarbero'.A7" xr:uid="{00000000-0004-0000-4500-000007000000}"/>
    <hyperlink ref="B9" location="'M-HorarioBarbero'!A6" display="#'M-HorarioBarbero'.A6" xr:uid="{00000000-0004-0000-4500-000008000000}"/>
    <hyperlink ref="B10" location="'M-HorarioBarbero'!A4" display="#'M-HorarioBarbero'.A4" xr:uid="{00000000-0004-0000-4500-000009000000}"/>
    <hyperlink ref="B11" location="'M-HorarioBarbero'!A5" display="#'M-HorarioBarbero'.A5" xr:uid="{00000000-0004-0000-4500-00000A000000}"/>
    <hyperlink ref="B12" location="'M-HorarioBarbero'!A6" display="#'M-HorarioBarbero'.A6" xr:uid="{00000000-0004-0000-4500-00000B000000}"/>
  </hyperlinks>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D44"/>
  <sheetViews>
    <sheetView zoomScaleNormal="100" workbookViewId="0">
      <selection activeCell="B1" sqref="B1"/>
    </sheetView>
  </sheetViews>
  <sheetFormatPr baseColWidth="10" defaultColWidth="8.7109375" defaultRowHeight="15" x14ac:dyDescent="0.25"/>
  <cols>
    <col min="1" max="1" width="28.140625" customWidth="1"/>
    <col min="2" max="2" width="45" customWidth="1"/>
    <col min="3" max="3" width="21.5703125" customWidth="1"/>
    <col min="4" max="4" width="26.7109375" customWidth="1"/>
    <col min="5" max="5" width="18" customWidth="1"/>
    <col min="6" max="6" width="12.85546875" customWidth="1"/>
    <col min="7" max="7" width="16.7109375" customWidth="1"/>
    <col min="8" max="8" width="14.28515625" customWidth="1"/>
    <col min="9" max="9" width="13.85546875" customWidth="1"/>
    <col min="10" max="10" width="14.42578125" customWidth="1"/>
    <col min="11" max="11" width="14.5703125" customWidth="1"/>
    <col min="12" max="12" width="11" customWidth="1"/>
    <col min="13" max="13" width="42.85546875" customWidth="1"/>
    <col min="14" max="14" width="18" customWidth="1"/>
    <col min="15" max="15" width="12.85546875" customWidth="1"/>
    <col min="16" max="16" width="25.140625" customWidth="1"/>
    <col min="17" max="17" width="23.5703125" customWidth="1"/>
    <col min="18" max="18" width="19.42578125" customWidth="1"/>
    <col min="20" max="20" width="16.42578125" customWidth="1"/>
    <col min="22" max="22" width="22" customWidth="1"/>
    <col min="23" max="23" width="13" customWidth="1"/>
    <col min="24" max="24" width="15.42578125" customWidth="1"/>
    <col min="25" max="25" width="13" customWidth="1"/>
    <col min="26" max="26" width="15.42578125" customWidth="1"/>
    <col min="27" max="27" width="13" customWidth="1"/>
    <col min="28" max="28" width="15.42578125" customWidth="1"/>
    <col min="29" max="29" width="13" customWidth="1"/>
    <col min="30" max="30" width="15.42578125" customWidth="1"/>
    <col min="31" max="31" width="13" customWidth="1"/>
    <col min="32" max="32" width="15.42578125" customWidth="1"/>
    <col min="33" max="33" width="13" customWidth="1"/>
    <col min="34" max="34" width="15.42578125" customWidth="1"/>
    <col min="35" max="35" width="13" customWidth="1"/>
    <col min="36" max="36" width="15.42578125" customWidth="1"/>
  </cols>
  <sheetData>
    <row r="1" spans="1:30" ht="15" customHeight="1" x14ac:dyDescent="0.25">
      <c r="A1" s="4" t="s">
        <v>0</v>
      </c>
      <c r="B1" s="4" t="s">
        <v>55</v>
      </c>
    </row>
    <row r="2" spans="1:30"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A20</f>
        <v>pedirCita</v>
      </c>
      <c r="W2" s="360" t="str">
        <f>A29</f>
        <v>reprogramarCita</v>
      </c>
      <c r="X2" s="279"/>
      <c r="Y2" s="449" t="str">
        <f>A35</f>
        <v>cancelarCitaPorCliente</v>
      </c>
      <c r="Z2" s="312"/>
      <c r="AA2" s="449" t="str">
        <f>A38</f>
        <v>cancelarCitaPorBarbero</v>
      </c>
      <c r="AB2" s="312"/>
      <c r="AC2" s="449" t="str">
        <f>A41</f>
        <v>registrarInasistenciaCliente</v>
      </c>
      <c r="AD2" s="312"/>
    </row>
    <row r="3" spans="1:30" ht="45" customHeight="1" x14ac:dyDescent="0.25">
      <c r="A3" s="107" t="str">
        <f>'M-Cita'!A3</f>
        <v>id</v>
      </c>
      <c r="B3" s="145" t="str">
        <f>'M-Cita'!A2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80</v>
      </c>
      <c r="P3" s="107" t="s">
        <v>79</v>
      </c>
      <c r="Q3" s="107" t="s">
        <v>80</v>
      </c>
      <c r="R3" s="107" t="s">
        <v>80</v>
      </c>
      <c r="S3" s="107" t="s">
        <v>80</v>
      </c>
      <c r="T3" s="107" t="s">
        <v>81</v>
      </c>
      <c r="U3" s="107" t="s">
        <v>77</v>
      </c>
      <c r="V3" s="85" t="s">
        <v>82</v>
      </c>
      <c r="W3" s="86" t="s">
        <v>84</v>
      </c>
      <c r="X3" s="86" t="s">
        <v>85</v>
      </c>
      <c r="Y3" s="87" t="s">
        <v>84</v>
      </c>
      <c r="Z3" s="87" t="s">
        <v>85</v>
      </c>
      <c r="AA3" s="85" t="s">
        <v>84</v>
      </c>
      <c r="AB3" s="85" t="s">
        <v>85</v>
      </c>
      <c r="AC3" s="86" t="s">
        <v>84</v>
      </c>
      <c r="AD3" s="86" t="s">
        <v>85</v>
      </c>
    </row>
    <row r="4" spans="1:30" ht="45" customHeight="1" x14ac:dyDescent="0.25">
      <c r="A4" s="107" t="str">
        <f>'M-Cita'!B3</f>
        <v>cliente</v>
      </c>
      <c r="B4" s="145" t="str">
        <f>'M-Cita'!B2</f>
        <v>Representa a cuál cliente le pertenece esta cita</v>
      </c>
      <c r="C4" s="107" t="s">
        <v>80</v>
      </c>
      <c r="D4" s="146" t="s">
        <v>26</v>
      </c>
      <c r="E4" s="107" t="s">
        <v>77</v>
      </c>
      <c r="F4" s="107" t="s">
        <v>79</v>
      </c>
      <c r="G4" s="107" t="s">
        <v>79</v>
      </c>
      <c r="H4" s="107" t="s">
        <v>79</v>
      </c>
      <c r="I4" s="107" t="s">
        <v>79</v>
      </c>
      <c r="J4" s="107" t="s">
        <v>79</v>
      </c>
      <c r="K4" s="107" t="s">
        <v>79</v>
      </c>
      <c r="L4" s="107" t="s">
        <v>79</v>
      </c>
      <c r="M4" s="179" t="s">
        <v>1037</v>
      </c>
      <c r="N4" s="107" t="s">
        <v>80</v>
      </c>
      <c r="O4" s="107" t="s">
        <v>79</v>
      </c>
      <c r="P4" s="107" t="s">
        <v>79</v>
      </c>
      <c r="Q4" s="107" t="s">
        <v>79</v>
      </c>
      <c r="R4" s="107" t="s">
        <v>79</v>
      </c>
      <c r="S4" s="107" t="s">
        <v>80</v>
      </c>
      <c r="T4" s="107" t="s">
        <v>81</v>
      </c>
      <c r="U4" s="107" t="s">
        <v>80</v>
      </c>
      <c r="V4" s="85" t="s">
        <v>84</v>
      </c>
      <c r="W4" s="86" t="s">
        <v>82</v>
      </c>
      <c r="X4" s="86" t="s">
        <v>85</v>
      </c>
      <c r="Y4" s="87" t="s">
        <v>82</v>
      </c>
      <c r="Z4" s="87" t="s">
        <v>85</v>
      </c>
      <c r="AA4" s="85" t="s">
        <v>82</v>
      </c>
      <c r="AB4" s="85" t="s">
        <v>85</v>
      </c>
      <c r="AC4" s="86" t="s">
        <v>82</v>
      </c>
      <c r="AD4" s="86" t="s">
        <v>85</v>
      </c>
    </row>
    <row r="5" spans="1:30" ht="27.75" customHeight="1" x14ac:dyDescent="0.25">
      <c r="A5" s="107" t="str">
        <f>'M-Cita'!C3</f>
        <v>agenda</v>
      </c>
      <c r="B5" s="145" t="str">
        <f>'M-Cita'!C2</f>
        <v>Referencia en cual agenda va a estar esta cita</v>
      </c>
      <c r="C5" s="107" t="s">
        <v>80</v>
      </c>
      <c r="D5" s="146" t="s">
        <v>44</v>
      </c>
      <c r="E5" s="107" t="s">
        <v>77</v>
      </c>
      <c r="F5" s="107" t="s">
        <v>79</v>
      </c>
      <c r="G5" s="107" t="s">
        <v>79</v>
      </c>
      <c r="H5" s="107" t="s">
        <v>79</v>
      </c>
      <c r="I5" s="107" t="s">
        <v>79</v>
      </c>
      <c r="J5" s="107" t="s">
        <v>79</v>
      </c>
      <c r="K5" s="107" t="s">
        <v>79</v>
      </c>
      <c r="L5" s="107" t="s">
        <v>79</v>
      </c>
      <c r="M5" s="179" t="s">
        <v>331</v>
      </c>
      <c r="N5" s="107" t="s">
        <v>80</v>
      </c>
      <c r="O5" s="107" t="s">
        <v>79</v>
      </c>
      <c r="P5" s="107" t="s">
        <v>79</v>
      </c>
      <c r="Q5" s="107" t="s">
        <v>79</v>
      </c>
      <c r="R5" s="107" t="s">
        <v>79</v>
      </c>
      <c r="S5" s="107" t="s">
        <v>80</v>
      </c>
      <c r="T5" s="107" t="s">
        <v>81</v>
      </c>
      <c r="U5" s="107" t="s">
        <v>80</v>
      </c>
      <c r="V5" s="85" t="s">
        <v>84</v>
      </c>
      <c r="W5" s="86" t="s">
        <v>84</v>
      </c>
      <c r="X5" s="86" t="s">
        <v>90</v>
      </c>
      <c r="Y5" s="87" t="s">
        <v>82</v>
      </c>
      <c r="Z5" s="87" t="s">
        <v>85</v>
      </c>
      <c r="AA5" s="85" t="s">
        <v>82</v>
      </c>
      <c r="AB5" s="85" t="s">
        <v>85</v>
      </c>
      <c r="AC5" s="86" t="s">
        <v>82</v>
      </c>
      <c r="AD5" s="86" t="s">
        <v>85</v>
      </c>
    </row>
    <row r="6" spans="1:30" ht="45" customHeight="1" x14ac:dyDescent="0.25">
      <c r="A6" s="107" t="str">
        <f>'M-Cita'!D3</f>
        <v>estado</v>
      </c>
      <c r="B6" s="145" t="str">
        <f>'M-Cita'!D2</f>
        <v>Representa en qué estado se encuentra esta cita puntual: agendada, finalizada, cancelada, con tardanza del cliente o del barbero, o inasistencia</v>
      </c>
      <c r="C6" s="107" t="s">
        <v>80</v>
      </c>
      <c r="D6" s="146" t="s">
        <v>18</v>
      </c>
      <c r="E6" s="107" t="s">
        <v>77</v>
      </c>
      <c r="F6" s="107" t="s">
        <v>79</v>
      </c>
      <c r="G6" s="107" t="s">
        <v>79</v>
      </c>
      <c r="H6" s="107" t="s">
        <v>79</v>
      </c>
      <c r="I6" s="107" t="s">
        <v>79</v>
      </c>
      <c r="J6" s="107" t="s">
        <v>79</v>
      </c>
      <c r="K6" s="107" t="s">
        <v>79</v>
      </c>
      <c r="L6" s="107" t="s">
        <v>79</v>
      </c>
      <c r="M6" s="107" t="s">
        <v>331</v>
      </c>
      <c r="N6" s="107" t="s">
        <v>80</v>
      </c>
      <c r="O6" s="107" t="s">
        <v>79</v>
      </c>
      <c r="P6" s="107" t="s">
        <v>79</v>
      </c>
      <c r="Q6" s="107" t="s">
        <v>79</v>
      </c>
      <c r="R6" s="107" t="s">
        <v>79</v>
      </c>
      <c r="S6" s="107" t="s">
        <v>80</v>
      </c>
      <c r="T6" s="107" t="s">
        <v>1038</v>
      </c>
      <c r="U6" s="107" t="s">
        <v>80</v>
      </c>
      <c r="V6" s="85" t="s">
        <v>82</v>
      </c>
      <c r="W6" s="86" t="s">
        <v>82</v>
      </c>
      <c r="X6" s="86" t="s">
        <v>85</v>
      </c>
      <c r="Y6" s="87" t="s">
        <v>82</v>
      </c>
      <c r="Z6" s="87" t="s">
        <v>90</v>
      </c>
      <c r="AA6" s="85" t="s">
        <v>82</v>
      </c>
      <c r="AB6" s="85" t="s">
        <v>90</v>
      </c>
      <c r="AC6" s="86" t="s">
        <v>82</v>
      </c>
      <c r="AD6" s="86" t="s">
        <v>90</v>
      </c>
    </row>
    <row r="7" spans="1:30" ht="30" customHeight="1" x14ac:dyDescent="0.25">
      <c r="A7" s="107" t="str">
        <f>'M-Cita'!E3</f>
        <v>horaInicio</v>
      </c>
      <c r="B7" s="145" t="str">
        <f>'M-Cita'!E2</f>
        <v>Representa la hora en la que se va a realizar la cita al cliente</v>
      </c>
      <c r="C7" s="107" t="s">
        <v>80</v>
      </c>
      <c r="D7" s="151" t="s">
        <v>643</v>
      </c>
      <c r="E7" s="107" t="s">
        <v>77</v>
      </c>
      <c r="F7" s="107" t="s">
        <v>79</v>
      </c>
      <c r="G7" s="107" t="s">
        <v>79</v>
      </c>
      <c r="H7" s="107" t="s">
        <v>79</v>
      </c>
      <c r="I7" s="107" t="s">
        <v>79</v>
      </c>
      <c r="J7" s="107" t="s">
        <v>79</v>
      </c>
      <c r="K7" s="107" t="s">
        <v>79</v>
      </c>
      <c r="L7" s="107" t="s">
        <v>79</v>
      </c>
      <c r="M7" s="179" t="s">
        <v>1039</v>
      </c>
      <c r="N7" s="107" t="s">
        <v>80</v>
      </c>
      <c r="O7" s="107" t="s">
        <v>79</v>
      </c>
      <c r="P7" s="107" t="s">
        <v>79</v>
      </c>
      <c r="Q7" s="107" t="s">
        <v>79</v>
      </c>
      <c r="R7" s="107" t="s">
        <v>79</v>
      </c>
      <c r="S7" s="107" t="s">
        <v>80</v>
      </c>
      <c r="T7" s="107" t="s">
        <v>644</v>
      </c>
      <c r="U7" s="107" t="s">
        <v>80</v>
      </c>
      <c r="V7" s="85" t="s">
        <v>84</v>
      </c>
      <c r="W7" s="86" t="s">
        <v>84</v>
      </c>
      <c r="X7" s="86" t="s">
        <v>90</v>
      </c>
      <c r="Y7" s="87" t="s">
        <v>82</v>
      </c>
      <c r="Z7" s="87" t="s">
        <v>85</v>
      </c>
      <c r="AA7" s="85" t="s">
        <v>82</v>
      </c>
      <c r="AB7" s="85" t="s">
        <v>85</v>
      </c>
      <c r="AC7" s="86" t="s">
        <v>82</v>
      </c>
      <c r="AD7" s="86" t="s">
        <v>85</v>
      </c>
    </row>
    <row r="8" spans="1:30" ht="60" customHeight="1" x14ac:dyDescent="0.25">
      <c r="A8" s="107" t="str">
        <f>'M-Cita'!F3</f>
        <v>horaFinEstimada</v>
      </c>
      <c r="B8" s="145" t="str">
        <f>'M-Cita'!F2</f>
        <v>Representa la hora en la que se espera que termine la cita, sumando horaInicio más la duración total de los servicios pedidos. Es un dato calculado</v>
      </c>
      <c r="C8" s="107" t="s">
        <v>80</v>
      </c>
      <c r="D8" s="151" t="s">
        <v>643</v>
      </c>
      <c r="E8" s="107" t="s">
        <v>77</v>
      </c>
      <c r="F8" s="107" t="s">
        <v>79</v>
      </c>
      <c r="G8" s="107" t="s">
        <v>79</v>
      </c>
      <c r="H8" s="107" t="s">
        <v>79</v>
      </c>
      <c r="I8" s="107" t="s">
        <v>79</v>
      </c>
      <c r="J8" s="107" t="s">
        <v>79</v>
      </c>
      <c r="K8" s="107" t="s">
        <v>79</v>
      </c>
      <c r="L8" s="107" t="s">
        <v>79</v>
      </c>
      <c r="M8" s="179" t="s">
        <v>1040</v>
      </c>
      <c r="N8" s="107" t="s">
        <v>77</v>
      </c>
      <c r="O8" s="107" t="s">
        <v>79</v>
      </c>
      <c r="P8" s="107" t="s">
        <v>79</v>
      </c>
      <c r="Q8" s="107" t="s">
        <v>79</v>
      </c>
      <c r="R8" s="107" t="s">
        <v>79</v>
      </c>
      <c r="S8" s="107" t="s">
        <v>80</v>
      </c>
      <c r="T8" s="107" t="s">
        <v>644</v>
      </c>
      <c r="U8" s="107" t="s">
        <v>80</v>
      </c>
      <c r="V8" s="85" t="s">
        <v>82</v>
      </c>
      <c r="W8" s="86" t="s">
        <v>82</v>
      </c>
      <c r="X8" s="86" t="s">
        <v>90</v>
      </c>
      <c r="Y8" s="87" t="s">
        <v>82</v>
      </c>
      <c r="Z8" s="87" t="s">
        <v>85</v>
      </c>
      <c r="AA8" s="85" t="s">
        <v>82</v>
      </c>
      <c r="AB8" s="85" t="s">
        <v>85</v>
      </c>
      <c r="AC8" s="86" t="s">
        <v>82</v>
      </c>
      <c r="AD8" s="86" t="s">
        <v>85</v>
      </c>
    </row>
    <row r="9" spans="1:30" ht="60" customHeight="1" x14ac:dyDescent="0.25">
      <c r="A9" s="107" t="str">
        <f>'M-Cita'!G3</f>
        <v>porcentajeDescuento</v>
      </c>
      <c r="B9" s="145" t="str">
        <f>'M-Cita'!G2</f>
        <v>Representa el descuento que el barbero le concede al cliente por haberse demorado en atenderlo; solo se descuenta del precioTotal cuando la cita queda en el estado "El barbero se demoro"</v>
      </c>
      <c r="C9" s="107" t="s">
        <v>80</v>
      </c>
      <c r="D9" s="151" t="s">
        <v>361</v>
      </c>
      <c r="E9" s="107" t="s">
        <v>77</v>
      </c>
      <c r="F9" s="107" t="s">
        <v>79</v>
      </c>
      <c r="G9" s="107" t="s">
        <v>79</v>
      </c>
      <c r="H9" s="107" t="s">
        <v>79</v>
      </c>
      <c r="I9" s="107" t="s">
        <v>79</v>
      </c>
      <c r="J9" s="107">
        <v>0</v>
      </c>
      <c r="K9" s="107">
        <v>100</v>
      </c>
      <c r="L9" s="107" t="s">
        <v>79</v>
      </c>
      <c r="M9" s="179" t="s">
        <v>1041</v>
      </c>
      <c r="N9" s="107" t="s">
        <v>80</v>
      </c>
      <c r="O9" s="107" t="s">
        <v>79</v>
      </c>
      <c r="P9" s="107" t="s">
        <v>79</v>
      </c>
      <c r="Q9" s="107" t="s">
        <v>79</v>
      </c>
      <c r="R9" s="107" t="s">
        <v>79</v>
      </c>
      <c r="S9" s="107" t="s">
        <v>80</v>
      </c>
      <c r="T9" s="107" t="s">
        <v>333</v>
      </c>
      <c r="U9" s="107" t="s">
        <v>80</v>
      </c>
      <c r="V9" s="85" t="s">
        <v>82</v>
      </c>
      <c r="W9" s="86" t="s">
        <v>82</v>
      </c>
      <c r="X9" s="86" t="s">
        <v>85</v>
      </c>
      <c r="Y9" s="87" t="s">
        <v>82</v>
      </c>
      <c r="Z9" s="87" t="s">
        <v>85</v>
      </c>
      <c r="AA9" s="85" t="s">
        <v>82</v>
      </c>
      <c r="AB9" s="85" t="s">
        <v>85</v>
      </c>
      <c r="AC9" s="86" t="s">
        <v>82</v>
      </c>
      <c r="AD9" s="86" t="s">
        <v>85</v>
      </c>
    </row>
    <row r="10" spans="1:30" ht="60" customHeight="1" x14ac:dyDescent="0.25">
      <c r="A10" s="107" t="str">
        <f>'M-Cita'!H3</f>
        <v>multa</v>
      </c>
      <c r="B10" s="145" t="str">
        <f>'M-Cita'!H2</f>
        <v>Representa el precio de sancion, en caso de que el cliente se demore</v>
      </c>
      <c r="C10" s="107" t="s">
        <v>80</v>
      </c>
      <c r="D10" s="151" t="s">
        <v>361</v>
      </c>
      <c r="E10" s="107" t="s">
        <v>77</v>
      </c>
      <c r="F10" s="107" t="s">
        <v>79</v>
      </c>
      <c r="G10" s="107" t="s">
        <v>79</v>
      </c>
      <c r="H10" s="107" t="s">
        <v>79</v>
      </c>
      <c r="I10" s="107" t="s">
        <v>79</v>
      </c>
      <c r="J10" s="107">
        <v>0</v>
      </c>
      <c r="K10" s="180">
        <v>100000</v>
      </c>
      <c r="L10" s="107" t="s">
        <v>79</v>
      </c>
      <c r="M10" s="179" t="s">
        <v>1042</v>
      </c>
      <c r="N10" s="107" t="s">
        <v>80</v>
      </c>
      <c r="O10" s="107" t="s">
        <v>79</v>
      </c>
      <c r="P10" s="107" t="s">
        <v>79</v>
      </c>
      <c r="Q10" s="107" t="s">
        <v>79</v>
      </c>
      <c r="R10" s="107" t="s">
        <v>79</v>
      </c>
      <c r="S10" s="107" t="s">
        <v>80</v>
      </c>
      <c r="T10" s="107">
        <v>0</v>
      </c>
      <c r="U10" s="107" t="s">
        <v>80</v>
      </c>
      <c r="V10" s="85" t="s">
        <v>82</v>
      </c>
      <c r="W10" s="86" t="s">
        <v>82</v>
      </c>
      <c r="X10" s="86" t="s">
        <v>85</v>
      </c>
      <c r="Y10" s="87" t="s">
        <v>82</v>
      </c>
      <c r="Z10" s="87" t="s">
        <v>85</v>
      </c>
      <c r="AA10" s="85" t="s">
        <v>82</v>
      </c>
      <c r="AB10" s="85" t="s">
        <v>85</v>
      </c>
      <c r="AC10" s="86" t="s">
        <v>82</v>
      </c>
      <c r="AD10" s="86" t="s">
        <v>85</v>
      </c>
    </row>
    <row r="11" spans="1:30" ht="72" customHeight="1" x14ac:dyDescent="0.25">
      <c r="A11" s="107" t="str">
        <f>'M-Cita'!I3</f>
        <v>tiempoEspera</v>
      </c>
      <c r="B11" s="145" t="str">
        <f>'M-Cita'!I2</f>
        <v>Representa la cantidad de minutos en el que el barbero puede esperar a un cliente, después de este tiempo de espera se le hace una sanción por retraso. Si el barbero se pasa de este tiempo se le da el descuento al cliente</v>
      </c>
      <c r="C11" s="107" t="s">
        <v>80</v>
      </c>
      <c r="D11" s="151" t="s">
        <v>361</v>
      </c>
      <c r="E11" s="107" t="s">
        <v>77</v>
      </c>
      <c r="F11" s="107" t="s">
        <v>79</v>
      </c>
      <c r="G11" s="107" t="s">
        <v>79</v>
      </c>
      <c r="H11" s="107" t="s">
        <v>79</v>
      </c>
      <c r="I11" s="107" t="s">
        <v>79</v>
      </c>
      <c r="J11" s="107">
        <v>0</v>
      </c>
      <c r="K11" s="107">
        <v>60</v>
      </c>
      <c r="L11" s="107" t="s">
        <v>79</v>
      </c>
      <c r="M11" s="179" t="s">
        <v>1043</v>
      </c>
      <c r="N11" s="107" t="s">
        <v>80</v>
      </c>
      <c r="O11" s="107" t="s">
        <v>79</v>
      </c>
      <c r="P11" s="107" t="s">
        <v>79</v>
      </c>
      <c r="Q11" s="107" t="s">
        <v>79</v>
      </c>
      <c r="R11" s="107" t="s">
        <v>79</v>
      </c>
      <c r="S11" s="107" t="s">
        <v>80</v>
      </c>
      <c r="T11" s="107">
        <v>0</v>
      </c>
      <c r="U11" s="107" t="s">
        <v>80</v>
      </c>
      <c r="V11" s="85" t="s">
        <v>82</v>
      </c>
      <c r="W11" s="86" t="s">
        <v>82</v>
      </c>
      <c r="X11" s="86" t="s">
        <v>85</v>
      </c>
      <c r="Y11" s="87" t="s">
        <v>82</v>
      </c>
      <c r="Z11" s="87" t="s">
        <v>85</v>
      </c>
      <c r="AA11" s="85" t="s">
        <v>82</v>
      </c>
      <c r="AB11" s="85" t="s">
        <v>85</v>
      </c>
      <c r="AC11" s="86" t="s">
        <v>82</v>
      </c>
      <c r="AD11" s="86" t="s">
        <v>85</v>
      </c>
    </row>
    <row r="12" spans="1:30" ht="72" customHeight="1" x14ac:dyDescent="0.25">
      <c r="A12" s="107" t="str">
        <f>'M-Cita'!J3</f>
        <v>precioTotal</v>
      </c>
      <c r="B12" s="145" t="str">
        <f>'M-Cita'!J2</f>
        <v>Representa cuánto debe pagar el cliente por los servicios de esta cita: la suma del precioServicio de todos sus CitaServicio, al que solo se le aplica el porcentajeDescuento cuando la cita quedó en el estado "El barbero se demoro"</v>
      </c>
      <c r="C12" s="107" t="s">
        <v>80</v>
      </c>
      <c r="D12" s="151" t="s">
        <v>361</v>
      </c>
      <c r="E12" s="107" t="s">
        <v>77</v>
      </c>
      <c r="F12" s="107" t="s">
        <v>79</v>
      </c>
      <c r="G12" s="107" t="s">
        <v>79</v>
      </c>
      <c r="H12" s="107" t="s">
        <v>79</v>
      </c>
      <c r="I12" s="107" t="s">
        <v>79</v>
      </c>
      <c r="J12" s="107">
        <v>0</v>
      </c>
      <c r="K12" s="181">
        <v>3000000</v>
      </c>
      <c r="L12" s="107" t="s">
        <v>79</v>
      </c>
      <c r="M12" s="179" t="s">
        <v>1044</v>
      </c>
      <c r="N12" s="107" t="s">
        <v>77</v>
      </c>
      <c r="O12" s="107" t="s">
        <v>79</v>
      </c>
      <c r="P12" s="107" t="s">
        <v>79</v>
      </c>
      <c r="Q12" s="107" t="s">
        <v>79</v>
      </c>
      <c r="R12" s="107" t="s">
        <v>79</v>
      </c>
      <c r="S12" s="107" t="s">
        <v>80</v>
      </c>
      <c r="T12" s="107" t="s">
        <v>333</v>
      </c>
      <c r="U12" s="107" t="s">
        <v>80</v>
      </c>
      <c r="V12" s="85" t="s">
        <v>82</v>
      </c>
      <c r="W12" s="86" t="s">
        <v>82</v>
      </c>
      <c r="X12" s="86" t="s">
        <v>85</v>
      </c>
      <c r="Y12" s="87" t="s">
        <v>82</v>
      </c>
      <c r="Z12" s="87" t="s">
        <v>85</v>
      </c>
      <c r="AA12" s="85" t="s">
        <v>82</v>
      </c>
      <c r="AB12" s="85" t="s">
        <v>85</v>
      </c>
      <c r="AC12" s="86" t="s">
        <v>82</v>
      </c>
      <c r="AD12" s="86" t="s">
        <v>85</v>
      </c>
    </row>
    <row r="13" spans="1:30" ht="22.5" customHeight="1" x14ac:dyDescent="0.25"/>
    <row r="14" spans="1:30" ht="24.75" customHeight="1" x14ac:dyDescent="0.25">
      <c r="A14" s="182" t="s">
        <v>93</v>
      </c>
      <c r="B14" s="182" t="s">
        <v>94</v>
      </c>
      <c r="C14" s="19" t="s">
        <v>95</v>
      </c>
    </row>
    <row r="15" spans="1:30" ht="14.25" customHeight="1" x14ac:dyDescent="0.25">
      <c r="A15" s="364" t="str">
        <f>'M-Cita'!K3</f>
        <v>Combinación única</v>
      </c>
      <c r="B15" s="371" t="str">
        <f>'M-Cita'!K2</f>
        <v>Combinación única que indica que una misma agenda no puede tener dos citas que empiecen a la misma hora</v>
      </c>
      <c r="C15" s="20" t="str">
        <f>A5</f>
        <v>agenda</v>
      </c>
    </row>
    <row r="16" spans="1:30" ht="14.25" customHeight="1" x14ac:dyDescent="0.25">
      <c r="A16" s="281"/>
      <c r="B16" s="281"/>
      <c r="C16" s="20" t="str">
        <f>A7</f>
        <v>horaInicio</v>
      </c>
    </row>
    <row r="17" spans="1:18" ht="15" customHeight="1" x14ac:dyDescent="0.25"/>
    <row r="18" spans="1:18" x14ac:dyDescent="0.25">
      <c r="A18" s="320" t="s">
        <v>96</v>
      </c>
      <c r="B18" s="321"/>
      <c r="C18" s="323" t="s">
        <v>94</v>
      </c>
      <c r="D18" s="326"/>
      <c r="E18" s="326"/>
      <c r="F18" s="321"/>
      <c r="G18" s="323" t="s">
        <v>97</v>
      </c>
      <c r="H18" s="290"/>
      <c r="I18" s="291"/>
      <c r="J18" s="323" t="s">
        <v>98</v>
      </c>
      <c r="K18" s="290"/>
      <c r="L18" s="290"/>
      <c r="M18" s="290"/>
      <c r="N18" s="291"/>
      <c r="O18" s="323" t="s">
        <v>99</v>
      </c>
      <c r="P18" s="291"/>
      <c r="Q18" s="323" t="s">
        <v>100</v>
      </c>
      <c r="R18" s="291"/>
    </row>
    <row r="19" spans="1:18" x14ac:dyDescent="0.25">
      <c r="A19" s="322"/>
      <c r="B19" s="312"/>
      <c r="C19" s="310"/>
      <c r="D19" s="311"/>
      <c r="E19" s="311"/>
      <c r="F19" s="312"/>
      <c r="G19" s="3" t="s">
        <v>101</v>
      </c>
      <c r="H19" s="3" t="s">
        <v>59</v>
      </c>
      <c r="I19" s="3" t="s">
        <v>94</v>
      </c>
      <c r="J19" s="3" t="s">
        <v>102</v>
      </c>
      <c r="K19" s="325" t="s">
        <v>94</v>
      </c>
      <c r="L19" s="303"/>
      <c r="M19" s="303"/>
      <c r="N19" s="279"/>
      <c r="O19" s="3" t="s">
        <v>103</v>
      </c>
      <c r="P19" s="3" t="s">
        <v>94</v>
      </c>
      <c r="Q19" s="3" t="s">
        <v>104</v>
      </c>
      <c r="R19" s="23" t="s">
        <v>105</v>
      </c>
    </row>
    <row r="20" spans="1:18" ht="76.5" x14ac:dyDescent="0.25">
      <c r="A20" s="425" t="s">
        <v>1045</v>
      </c>
      <c r="B20" s="451"/>
      <c r="C20" s="336" t="s">
        <v>1046</v>
      </c>
      <c r="D20" s="450"/>
      <c r="E20" s="450"/>
      <c r="F20" s="451"/>
      <c r="G20" s="336" t="s">
        <v>1047</v>
      </c>
      <c r="H20" s="375" t="s">
        <v>46</v>
      </c>
      <c r="I20" s="336" t="s">
        <v>1048</v>
      </c>
      <c r="J20" s="365" t="s">
        <v>46</v>
      </c>
      <c r="K20" s="336" t="s">
        <v>1049</v>
      </c>
      <c r="L20" s="450"/>
      <c r="M20" s="450"/>
      <c r="N20" s="451"/>
      <c r="O20" s="105" t="str">
        <f>'P-Cita'!A6</f>
        <v>P-CIT-0001</v>
      </c>
      <c r="P20" s="25" t="str">
        <f>'P-Cita'!B6</f>
        <v>Asegurar que los datos requeridos (agenda, hora de inicio, servicios solicitados) sean válidos en tipo de dato, obligatoriedad, formato y rango</v>
      </c>
      <c r="Q20" s="25" t="s">
        <v>1346</v>
      </c>
      <c r="R20" s="110" t="s">
        <v>112</v>
      </c>
    </row>
    <row r="21" spans="1:18" ht="51" x14ac:dyDescent="0.25">
      <c r="A21" s="458"/>
      <c r="B21" s="454"/>
      <c r="C21" s="452"/>
      <c r="D21" s="453"/>
      <c r="E21" s="453"/>
      <c r="F21" s="454"/>
      <c r="G21" s="460"/>
      <c r="H21" s="460"/>
      <c r="I21" s="460"/>
      <c r="J21" s="460"/>
      <c r="K21" s="452"/>
      <c r="L21" s="453"/>
      <c r="M21" s="453"/>
      <c r="N21" s="454"/>
      <c r="O21" s="105" t="str">
        <f>'P-Cita'!A7</f>
        <v>P-CIT-0002</v>
      </c>
      <c r="P21" s="25" t="str">
        <f>'P-Cita'!B7</f>
        <v>Asegurar que el cliente no esté vetado antes de permitirle agendar</v>
      </c>
      <c r="Q21" s="25" t="s">
        <v>1050</v>
      </c>
      <c r="R21" s="110" t="s">
        <v>112</v>
      </c>
    </row>
    <row r="22" spans="1:18" ht="76.5" x14ac:dyDescent="0.25">
      <c r="A22" s="458"/>
      <c r="B22" s="454"/>
      <c r="C22" s="452"/>
      <c r="D22" s="453"/>
      <c r="E22" s="453"/>
      <c r="F22" s="454"/>
      <c r="G22" s="460"/>
      <c r="H22" s="460"/>
      <c r="I22" s="460"/>
      <c r="J22" s="460"/>
      <c r="K22" s="452"/>
      <c r="L22" s="453"/>
      <c r="M22" s="453"/>
      <c r="N22" s="454"/>
      <c r="O22" s="105" t="str">
        <f>'P-Cita'!A8</f>
        <v>P-CIT-0003</v>
      </c>
      <c r="P22" s="25" t="str">
        <f>'P-Cita'!B8</f>
        <v>Asegurar que la agenda tenga disponibilidad y que la hora solicitada quepa dentro del horario del barbero sin solaparse con otra cita o bloqueo</v>
      </c>
      <c r="Q22" s="25" t="s">
        <v>1051</v>
      </c>
      <c r="R22" s="110" t="s">
        <v>112</v>
      </c>
    </row>
    <row r="23" spans="1:18" ht="63.75" x14ac:dyDescent="0.25">
      <c r="A23" s="458"/>
      <c r="B23" s="454"/>
      <c r="C23" s="452"/>
      <c r="D23" s="453"/>
      <c r="E23" s="453"/>
      <c r="F23" s="454"/>
      <c r="G23" s="460"/>
      <c r="H23" s="460"/>
      <c r="I23" s="460"/>
      <c r="J23" s="460"/>
      <c r="K23" s="452"/>
      <c r="L23" s="453"/>
      <c r="M23" s="453"/>
      <c r="N23" s="454"/>
      <c r="O23" s="105" t="str">
        <f>'P-Cita'!A18</f>
        <v>P-CIT-0014</v>
      </c>
      <c r="P23" s="25" t="str">
        <f>'P-Cita'!B18</f>
        <v>Asegurar que la hora solicitada no caiga dentro de ningún bloqueo del barbero, ni que la cita se extienda sobre uno</v>
      </c>
      <c r="Q23" s="25" t="s">
        <v>1052</v>
      </c>
      <c r="R23" s="110" t="s">
        <v>112</v>
      </c>
    </row>
    <row r="24" spans="1:18" ht="63.75" x14ac:dyDescent="0.25">
      <c r="A24" s="458"/>
      <c r="B24" s="454"/>
      <c r="C24" s="452"/>
      <c r="D24" s="453"/>
      <c r="E24" s="453"/>
      <c r="F24" s="454"/>
      <c r="G24" s="460"/>
      <c r="H24" s="460"/>
      <c r="I24" s="460"/>
      <c r="J24" s="460"/>
      <c r="K24" s="452"/>
      <c r="L24" s="453"/>
      <c r="M24" s="453"/>
      <c r="N24" s="454"/>
      <c r="O24" s="105" t="str">
        <f>'P-Cita'!A9</f>
        <v>P-CIT-0004</v>
      </c>
      <c r="P24" s="25" t="str">
        <f>'P-Cita'!B9</f>
        <v>Asegurar que cada servicio solicitado esté habilitado para ese barbero</v>
      </c>
      <c r="Q24" s="25" t="s">
        <v>1053</v>
      </c>
      <c r="R24" s="110" t="s">
        <v>112</v>
      </c>
    </row>
    <row r="25" spans="1:18" ht="76.5" x14ac:dyDescent="0.25">
      <c r="A25" s="458"/>
      <c r="B25" s="454"/>
      <c r="C25" s="452"/>
      <c r="D25" s="453"/>
      <c r="E25" s="453"/>
      <c r="F25" s="454"/>
      <c r="G25" s="460"/>
      <c r="H25" s="460"/>
      <c r="I25" s="460"/>
      <c r="J25" s="460"/>
      <c r="K25" s="452"/>
      <c r="L25" s="453"/>
      <c r="M25" s="453"/>
      <c r="N25" s="454"/>
      <c r="O25" s="105" t="str">
        <f>'P-Cita'!A17</f>
        <v>P-CIT-0013</v>
      </c>
      <c r="P25" s="25" t="str">
        <f>'P-Cita'!B17</f>
        <v>Asegurar que todos los servicios pedidos en la cita correspondan a un mismo barbero, porque una cita la atiende un único barbero de principio a fin</v>
      </c>
      <c r="Q25" s="25" t="s">
        <v>1054</v>
      </c>
      <c r="R25" s="110" t="s">
        <v>112</v>
      </c>
    </row>
    <row r="26" spans="1:18" ht="63.75" x14ac:dyDescent="0.25">
      <c r="A26" s="458"/>
      <c r="B26" s="454"/>
      <c r="C26" s="452"/>
      <c r="D26" s="453"/>
      <c r="E26" s="453"/>
      <c r="F26" s="454"/>
      <c r="G26" s="460"/>
      <c r="H26" s="460"/>
      <c r="I26" s="460"/>
      <c r="J26" s="460"/>
      <c r="K26" s="452"/>
      <c r="L26" s="453"/>
      <c r="M26" s="453"/>
      <c r="N26" s="454"/>
      <c r="O26" s="105" t="str">
        <f>'P-Cita'!A10</f>
        <v>P-CIT-0005</v>
      </c>
      <c r="P26" s="25" t="str">
        <f>'P-Cita'!B10</f>
        <v>Asegurar que la cita no se solicite para una fecha y hora que ya pasaron, es decir que la cita no se puede solicitar en un tiempo pasado</v>
      </c>
      <c r="Q26" s="25" t="s">
        <v>1055</v>
      </c>
      <c r="R26" s="110" t="s">
        <v>112</v>
      </c>
    </row>
    <row r="27" spans="1:18" ht="89.25" x14ac:dyDescent="0.25">
      <c r="A27" s="458"/>
      <c r="B27" s="454"/>
      <c r="C27" s="452"/>
      <c r="D27" s="453"/>
      <c r="E27" s="453"/>
      <c r="F27" s="454"/>
      <c r="G27" s="460"/>
      <c r="H27" s="460"/>
      <c r="I27" s="460"/>
      <c r="J27" s="460"/>
      <c r="K27" s="452"/>
      <c r="L27" s="453"/>
      <c r="M27" s="453"/>
      <c r="N27" s="454"/>
      <c r="O27" s="105" t="str">
        <f>'P-Cita'!A22</f>
        <v>P-CIT-0021</v>
      </c>
      <c r="P27" s="25" t="str">
        <f>'P-Cita'!B22</f>
        <v>Asegurar que la cita se agende como máximo hasta 15 días después del día actual: se permite agendar desde hoy hasta hoy + 15 días, y una fecha posterior a ese límite no se puede agendar</v>
      </c>
      <c r="Q27" s="25" t="s">
        <v>1056</v>
      </c>
      <c r="R27" s="110" t="s">
        <v>112</v>
      </c>
    </row>
    <row r="28" spans="1:18" ht="76.5" x14ac:dyDescent="0.25">
      <c r="A28" s="459"/>
      <c r="B28" s="457"/>
      <c r="C28" s="455"/>
      <c r="D28" s="456"/>
      <c r="E28" s="456"/>
      <c r="F28" s="457"/>
      <c r="G28" s="461"/>
      <c r="H28" s="461"/>
      <c r="I28" s="461"/>
      <c r="J28" s="461"/>
      <c r="K28" s="455"/>
      <c r="L28" s="456"/>
      <c r="M28" s="456"/>
      <c r="N28" s="457"/>
      <c r="O28" s="105" t="str">
        <f>'P-Cita'!A11</f>
        <v>P-CIT-0006</v>
      </c>
      <c r="P28" s="25" t="str">
        <f>'P-Cita'!B11</f>
        <v>Congelar en la cita el valor de multa, el tiempoEspera y el porcentajeDescuento en el momento de agendarla, para que un cambio posterior no altere citas ya registradas</v>
      </c>
      <c r="Q28" s="25" t="s">
        <v>1057</v>
      </c>
      <c r="R28" s="110" t="s">
        <v>112</v>
      </c>
    </row>
    <row r="29" spans="1:18" ht="63.75" x14ac:dyDescent="0.25">
      <c r="A29" s="423" t="s">
        <v>1058</v>
      </c>
      <c r="B29" s="451"/>
      <c r="C29" s="366" t="s">
        <v>1059</v>
      </c>
      <c r="D29" s="450"/>
      <c r="E29" s="450"/>
      <c r="F29" s="451"/>
      <c r="G29" s="111" t="s">
        <v>116</v>
      </c>
      <c r="H29" s="111" t="s">
        <v>117</v>
      </c>
      <c r="I29" s="64" t="s">
        <v>1060</v>
      </c>
      <c r="J29" s="377" t="s">
        <v>46</v>
      </c>
      <c r="K29" s="366" t="s">
        <v>1061</v>
      </c>
      <c r="L29" s="450"/>
      <c r="M29" s="450"/>
      <c r="N29" s="451"/>
      <c r="O29" s="111" t="str">
        <f>'P-Cita'!A19</f>
        <v>P-CIT-0015</v>
      </c>
      <c r="P29" s="64" t="str">
        <f>'P-Cita'!B19</f>
        <v>Asegurar que exista la cita con el id enviado</v>
      </c>
      <c r="Q29" s="64" t="s">
        <v>1062</v>
      </c>
      <c r="R29" s="112" t="s">
        <v>112</v>
      </c>
    </row>
    <row r="30" spans="1:18" ht="76.5" x14ac:dyDescent="0.25">
      <c r="A30" s="458"/>
      <c r="B30" s="454"/>
      <c r="C30" s="452"/>
      <c r="D30" s="453"/>
      <c r="E30" s="453"/>
      <c r="F30" s="454"/>
      <c r="G30" s="366" t="s">
        <v>1063</v>
      </c>
      <c r="H30" s="366" t="s">
        <v>1345</v>
      </c>
      <c r="I30" s="376" t="s">
        <v>1064</v>
      </c>
      <c r="J30" s="460"/>
      <c r="K30" s="452"/>
      <c r="L30" s="453"/>
      <c r="M30" s="453"/>
      <c r="N30" s="454"/>
      <c r="O30" s="111" t="str">
        <f>'P-Cita'!A20</f>
        <v>P-CIT-0016</v>
      </c>
      <c r="P30" s="64" t="str">
        <f>'P-Cita'!B20</f>
        <v>Asegurar que la cita se encuentre en estado Agendada</v>
      </c>
      <c r="Q30" s="64" t="s">
        <v>1065</v>
      </c>
      <c r="R30" s="112" t="s">
        <v>112</v>
      </c>
    </row>
    <row r="31" spans="1:18" ht="76.5" x14ac:dyDescent="0.25">
      <c r="A31" s="458"/>
      <c r="B31" s="454"/>
      <c r="C31" s="452"/>
      <c r="D31" s="453"/>
      <c r="E31" s="453"/>
      <c r="F31" s="454"/>
      <c r="G31" s="366"/>
      <c r="H31" s="366"/>
      <c r="I31" s="460"/>
      <c r="J31" s="460"/>
      <c r="K31" s="452"/>
      <c r="L31" s="453"/>
      <c r="M31" s="453"/>
      <c r="N31" s="454"/>
      <c r="O31" s="111" t="str">
        <f>'P-Cita'!A8</f>
        <v>P-CIT-0003</v>
      </c>
      <c r="P31" s="64" t="str">
        <f>'P-Cita'!B8</f>
        <v>Asegurar que la agenda tenga disponibilidad y que la hora solicitada quepa dentro del horario del barbero sin solaparse con otra cita o bloqueo</v>
      </c>
      <c r="Q31" s="64" t="s">
        <v>1051</v>
      </c>
      <c r="R31" s="112" t="s">
        <v>112</v>
      </c>
    </row>
    <row r="32" spans="1:18" ht="63.75" x14ac:dyDescent="0.25">
      <c r="A32" s="458"/>
      <c r="B32" s="454"/>
      <c r="C32" s="452"/>
      <c r="D32" s="453"/>
      <c r="E32" s="453"/>
      <c r="F32" s="454"/>
      <c r="G32" s="366"/>
      <c r="H32" s="366"/>
      <c r="I32" s="460"/>
      <c r="J32" s="460"/>
      <c r="K32" s="452"/>
      <c r="L32" s="453"/>
      <c r="M32" s="453"/>
      <c r="N32" s="454"/>
      <c r="O32" s="111" t="str">
        <f>'P-Cita'!A18</f>
        <v>P-CIT-0014</v>
      </c>
      <c r="P32" s="64" t="str">
        <f>'P-Cita'!B18</f>
        <v>Asegurar que la hora solicitada no caiga dentro de ningún bloqueo del barbero, ni que la cita se extienda sobre uno</v>
      </c>
      <c r="Q32" s="64" t="s">
        <v>1052</v>
      </c>
      <c r="R32" s="112" t="s">
        <v>112</v>
      </c>
    </row>
    <row r="33" spans="1:18" ht="75" customHeight="1" x14ac:dyDescent="0.25">
      <c r="A33" s="458"/>
      <c r="B33" s="454"/>
      <c r="C33" s="452"/>
      <c r="D33" s="453"/>
      <c r="E33" s="453"/>
      <c r="F33" s="454"/>
      <c r="G33" s="366"/>
      <c r="H33" s="366"/>
      <c r="I33" s="460"/>
      <c r="J33" s="460"/>
      <c r="K33" s="452"/>
      <c r="L33" s="453"/>
      <c r="M33" s="453"/>
      <c r="N33" s="454"/>
      <c r="O33" s="111" t="str">
        <f>'P-Cita'!A22</f>
        <v>P-CIT-0021</v>
      </c>
      <c r="P33" s="64" t="str">
        <f>'P-Cita'!B22</f>
        <v>Asegurar que la cita se agende como máximo hasta 15 días después del día actual: se permite agendar desde hoy hasta hoy + 15 días, y una fecha posterior a ese límite no se puede agendar</v>
      </c>
      <c r="Q33" s="64" t="s">
        <v>1066</v>
      </c>
      <c r="R33" s="112" t="s">
        <v>112</v>
      </c>
    </row>
    <row r="34" spans="1:18" ht="63.75" x14ac:dyDescent="0.25">
      <c r="A34" s="459"/>
      <c r="B34" s="457"/>
      <c r="C34" s="455"/>
      <c r="D34" s="456"/>
      <c r="E34" s="456"/>
      <c r="F34" s="457"/>
      <c r="G34" s="366"/>
      <c r="H34" s="366"/>
      <c r="I34" s="461"/>
      <c r="J34" s="461"/>
      <c r="K34" s="455"/>
      <c r="L34" s="456"/>
      <c r="M34" s="456"/>
      <c r="N34" s="457"/>
      <c r="O34" s="111" t="str">
        <f>'P-Cita'!A10</f>
        <v>P-CIT-0005</v>
      </c>
      <c r="P34" s="64" t="str">
        <f>'P-Cita'!B10</f>
        <v>Asegurar que la cita no se solicite para una fecha y hora que ya pasaron, es decir que la cita no se puede solicitar en un tiempo pasado</v>
      </c>
      <c r="Q34" s="64" t="s">
        <v>1055</v>
      </c>
      <c r="R34" s="112" t="s">
        <v>112</v>
      </c>
    </row>
    <row r="35" spans="1:18" ht="63.75" x14ac:dyDescent="0.25">
      <c r="A35" s="422" t="s">
        <v>1067</v>
      </c>
      <c r="B35" s="451"/>
      <c r="C35" s="361" t="s">
        <v>1068</v>
      </c>
      <c r="D35" s="450"/>
      <c r="E35" s="450"/>
      <c r="F35" s="451"/>
      <c r="G35" s="420" t="s">
        <v>116</v>
      </c>
      <c r="H35" s="420" t="s">
        <v>117</v>
      </c>
      <c r="I35" s="421" t="s">
        <v>1069</v>
      </c>
      <c r="J35" s="440" t="s">
        <v>46</v>
      </c>
      <c r="K35" s="361" t="s">
        <v>1070</v>
      </c>
      <c r="L35" s="450"/>
      <c r="M35" s="450"/>
      <c r="N35" s="451"/>
      <c r="O35" s="114" t="str">
        <f>'P-Cita'!A19</f>
        <v>P-CIT-0015</v>
      </c>
      <c r="P35" s="68" t="str">
        <f>'P-Cita'!B19</f>
        <v>Asegurar que exista la cita con el id enviado</v>
      </c>
      <c r="Q35" s="68" t="s">
        <v>1062</v>
      </c>
      <c r="R35" s="115" t="s">
        <v>112</v>
      </c>
    </row>
    <row r="36" spans="1:18" ht="63.75" x14ac:dyDescent="0.25">
      <c r="A36" s="458"/>
      <c r="B36" s="454"/>
      <c r="C36" s="452"/>
      <c r="D36" s="453"/>
      <c r="E36" s="453"/>
      <c r="F36" s="454"/>
      <c r="G36" s="420"/>
      <c r="H36" s="420"/>
      <c r="I36" s="460"/>
      <c r="J36" s="460"/>
      <c r="K36" s="452"/>
      <c r="L36" s="453"/>
      <c r="M36" s="453"/>
      <c r="N36" s="454"/>
      <c r="O36" s="114" t="str">
        <f>'P-Cita'!A20</f>
        <v>P-CIT-0016</v>
      </c>
      <c r="P36" s="68" t="str">
        <f>'P-Cita'!B20</f>
        <v>Asegurar que la cita se encuentre en estado Agendada</v>
      </c>
      <c r="Q36" s="68" t="s">
        <v>1071</v>
      </c>
      <c r="R36" s="115" t="s">
        <v>112</v>
      </c>
    </row>
    <row r="37" spans="1:18" ht="63.75" x14ac:dyDescent="0.25">
      <c r="A37" s="459"/>
      <c r="B37" s="457"/>
      <c r="C37" s="455"/>
      <c r="D37" s="456"/>
      <c r="E37" s="456"/>
      <c r="F37" s="457"/>
      <c r="G37" s="420"/>
      <c r="H37" s="420"/>
      <c r="I37" s="461"/>
      <c r="J37" s="461"/>
      <c r="K37" s="455"/>
      <c r="L37" s="456"/>
      <c r="M37" s="456"/>
      <c r="N37" s="457"/>
      <c r="O37" s="114" t="str">
        <f>'P-Cita'!A15</f>
        <v>P-CIT-0011</v>
      </c>
      <c r="P37" s="68" t="str">
        <f>'P-Cita'!B15</f>
        <v>El cliente tiene hasta 2 horas antes de la horaInicio de la cita para cancelarla; cuando faltan menos de 2 horas ya no se le permite cancelar</v>
      </c>
      <c r="Q37" s="68" t="s">
        <v>1072</v>
      </c>
      <c r="R37" s="115" t="s">
        <v>112</v>
      </c>
    </row>
    <row r="38" spans="1:18" ht="63.75" x14ac:dyDescent="0.25">
      <c r="A38" s="425" t="s">
        <v>1073</v>
      </c>
      <c r="B38" s="451"/>
      <c r="C38" s="306" t="s">
        <v>1074</v>
      </c>
      <c r="D38" s="450"/>
      <c r="E38" s="450"/>
      <c r="F38" s="451"/>
      <c r="G38" s="375" t="s">
        <v>116</v>
      </c>
      <c r="H38" s="375" t="s">
        <v>117</v>
      </c>
      <c r="I38" s="336" t="s">
        <v>1075</v>
      </c>
      <c r="J38" s="365" t="s">
        <v>46</v>
      </c>
      <c r="K38" s="306" t="s">
        <v>1076</v>
      </c>
      <c r="L38" s="450"/>
      <c r="M38" s="450"/>
      <c r="N38" s="451"/>
      <c r="O38" s="105" t="str">
        <f>'P-Cita'!A19</f>
        <v>P-CIT-0015</v>
      </c>
      <c r="P38" s="25" t="str">
        <f>'P-Cita'!B19</f>
        <v>Asegurar que exista la cita con el id enviado</v>
      </c>
      <c r="Q38" s="25" t="s">
        <v>1062</v>
      </c>
      <c r="R38" s="110" t="s">
        <v>112</v>
      </c>
    </row>
    <row r="39" spans="1:18" ht="63.75" x14ac:dyDescent="0.25">
      <c r="A39" s="458"/>
      <c r="B39" s="454"/>
      <c r="C39" s="452"/>
      <c r="D39" s="453"/>
      <c r="E39" s="453"/>
      <c r="F39" s="454"/>
      <c r="G39" s="375"/>
      <c r="H39" s="375"/>
      <c r="I39" s="460"/>
      <c r="J39" s="460"/>
      <c r="K39" s="452"/>
      <c r="L39" s="453"/>
      <c r="M39" s="453"/>
      <c r="N39" s="454"/>
      <c r="O39" s="105" t="str">
        <f>'P-Cita'!A20</f>
        <v>P-CIT-0016</v>
      </c>
      <c r="P39" s="25" t="str">
        <f>'P-Cita'!B20</f>
        <v>Asegurar que la cita se encuentre en estado Agendada</v>
      </c>
      <c r="Q39" s="25" t="s">
        <v>1077</v>
      </c>
      <c r="R39" s="110" t="s">
        <v>112</v>
      </c>
    </row>
    <row r="40" spans="1:18" ht="63.75" x14ac:dyDescent="0.25">
      <c r="A40" s="459"/>
      <c r="B40" s="457"/>
      <c r="C40" s="455"/>
      <c r="D40" s="456"/>
      <c r="E40" s="456"/>
      <c r="F40" s="457"/>
      <c r="G40" s="375"/>
      <c r="H40" s="375"/>
      <c r="I40" s="461"/>
      <c r="J40" s="461"/>
      <c r="K40" s="455"/>
      <c r="L40" s="456"/>
      <c r="M40" s="456"/>
      <c r="N40" s="457"/>
      <c r="O40" s="105" t="str">
        <f>'P-Cita'!A16</f>
        <v>P-CIT-0012</v>
      </c>
      <c r="P40" s="25" t="str">
        <f>'P-Cita'!B16</f>
        <v>El barbero tiene hasta 2 horas antes de la horaInicio de la cita para cancelarla; cuando faltan menos de 2 horas ya no se le permite cancelar</v>
      </c>
      <c r="Q40" s="25" t="s">
        <v>1078</v>
      </c>
      <c r="R40" s="110" t="s">
        <v>112</v>
      </c>
    </row>
    <row r="41" spans="1:18" ht="63.75" x14ac:dyDescent="0.25">
      <c r="A41" s="423" t="s">
        <v>1079</v>
      </c>
      <c r="B41" s="451"/>
      <c r="C41" s="376" t="s">
        <v>1080</v>
      </c>
      <c r="D41" s="450"/>
      <c r="E41" s="450"/>
      <c r="F41" s="451"/>
      <c r="G41" s="462" t="s">
        <v>116</v>
      </c>
      <c r="H41" s="462" t="s">
        <v>117</v>
      </c>
      <c r="I41" s="366" t="s">
        <v>1081</v>
      </c>
      <c r="J41" s="377" t="s">
        <v>46</v>
      </c>
      <c r="K41" s="376" t="s">
        <v>1082</v>
      </c>
      <c r="L41" s="450"/>
      <c r="M41" s="450"/>
      <c r="N41" s="451"/>
      <c r="O41" s="111" t="str">
        <f>'P-Cita'!A19</f>
        <v>P-CIT-0015</v>
      </c>
      <c r="P41" s="64" t="str">
        <f>'P-Cita'!B19</f>
        <v>Asegurar que exista la cita con el id enviado</v>
      </c>
      <c r="Q41" s="64" t="s">
        <v>1062</v>
      </c>
      <c r="R41" s="112" t="s">
        <v>112</v>
      </c>
    </row>
    <row r="42" spans="1:18" ht="76.5" x14ac:dyDescent="0.25">
      <c r="A42" s="458"/>
      <c r="B42" s="454"/>
      <c r="C42" s="452"/>
      <c r="D42" s="453"/>
      <c r="E42" s="453"/>
      <c r="F42" s="454"/>
      <c r="G42" s="463"/>
      <c r="H42" s="463"/>
      <c r="I42" s="460"/>
      <c r="J42" s="460"/>
      <c r="K42" s="452"/>
      <c r="L42" s="453"/>
      <c r="M42" s="453"/>
      <c r="N42" s="454"/>
      <c r="O42" s="111" t="str">
        <f>'P-Cita'!A20</f>
        <v>P-CIT-0016</v>
      </c>
      <c r="P42" s="64" t="str">
        <f>'P-Cita'!B20</f>
        <v>Asegurar que la cita se encuentre en estado Agendada</v>
      </c>
      <c r="Q42" s="64" t="s">
        <v>1083</v>
      </c>
      <c r="R42" s="112" t="s">
        <v>112</v>
      </c>
    </row>
    <row r="43" spans="1:18" ht="76.5" x14ac:dyDescent="0.25">
      <c r="A43" s="458"/>
      <c r="B43" s="454"/>
      <c r="C43" s="452"/>
      <c r="D43" s="453"/>
      <c r="E43" s="453"/>
      <c r="F43" s="454"/>
      <c r="G43" s="463"/>
      <c r="H43" s="463"/>
      <c r="I43" s="460"/>
      <c r="J43" s="460"/>
      <c r="K43" s="452"/>
      <c r="L43" s="453"/>
      <c r="M43" s="453"/>
      <c r="N43" s="454"/>
      <c r="O43" s="111" t="str">
        <f>'P-Cita'!A21</f>
        <v>P-CIT-0019</v>
      </c>
      <c r="P43" s="64" t="str">
        <f>'P-Cita'!B21</f>
        <v>Asegurar que la llegada del cliente no haya sido registrada previamente</v>
      </c>
      <c r="Q43" s="64" t="s">
        <v>1084</v>
      </c>
      <c r="R43" s="112" t="s">
        <v>112</v>
      </c>
    </row>
    <row r="44" spans="1:18" ht="63.75" x14ac:dyDescent="0.25">
      <c r="A44" s="459"/>
      <c r="B44" s="457"/>
      <c r="C44" s="455"/>
      <c r="D44" s="456"/>
      <c r="E44" s="456"/>
      <c r="F44" s="457"/>
      <c r="G44" s="464"/>
      <c r="H44" s="464"/>
      <c r="I44" s="461"/>
      <c r="J44" s="461"/>
      <c r="K44" s="455"/>
      <c r="L44" s="456"/>
      <c r="M44" s="456"/>
      <c r="N44" s="457"/>
      <c r="O44" s="111" t="str">
        <f>'P-Cita'!A12</f>
        <v>P-CIT-0008</v>
      </c>
      <c r="P44" s="64" t="str">
        <f>'P-Cita'!B12</f>
        <v>Cuando se registre la inasistencia del cliente, generar una Multa de tipo Inasistencia por el precioTotal de la cita</v>
      </c>
      <c r="Q44" s="64" t="s">
        <v>1085</v>
      </c>
      <c r="R44" s="112" t="s">
        <v>112</v>
      </c>
    </row>
  </sheetData>
  <mergeCells count="48">
    <mergeCell ref="A41:B44"/>
    <mergeCell ref="A20:B28"/>
    <mergeCell ref="O18:P18"/>
    <mergeCell ref="A18:B19"/>
    <mergeCell ref="G18:I18"/>
    <mergeCell ref="I41:I44"/>
    <mergeCell ref="C41:F44"/>
    <mergeCell ref="K41:N44"/>
    <mergeCell ref="G41:G44"/>
    <mergeCell ref="H41:H44"/>
    <mergeCell ref="C38:F40"/>
    <mergeCell ref="J29:J34"/>
    <mergeCell ref="I38:I40"/>
    <mergeCell ref="K38:N40"/>
    <mergeCell ref="K29:N34"/>
    <mergeCell ref="I35:I37"/>
    <mergeCell ref="J35:J37"/>
    <mergeCell ref="K35:N37"/>
    <mergeCell ref="W2:X2"/>
    <mergeCell ref="H38:H40"/>
    <mergeCell ref="Q18:R18"/>
    <mergeCell ref="J20:J28"/>
    <mergeCell ref="K19:N19"/>
    <mergeCell ref="A29:B34"/>
    <mergeCell ref="I30:I34"/>
    <mergeCell ref="J38:J40"/>
    <mergeCell ref="J41:J44"/>
    <mergeCell ref="H20:H28"/>
    <mergeCell ref="C35:F37"/>
    <mergeCell ref="A38:B40"/>
    <mergeCell ref="A35:B37"/>
    <mergeCell ref="G30:G34"/>
    <mergeCell ref="H30:H34"/>
    <mergeCell ref="G35:G37"/>
    <mergeCell ref="H35:H37"/>
    <mergeCell ref="G38:G40"/>
    <mergeCell ref="C29:F34"/>
    <mergeCell ref="G20:G28"/>
    <mergeCell ref="I20:I28"/>
    <mergeCell ref="AA2:AB2"/>
    <mergeCell ref="AC2:AD2"/>
    <mergeCell ref="A15:A16"/>
    <mergeCell ref="C20:F28"/>
    <mergeCell ref="J18:N18"/>
    <mergeCell ref="K20:N28"/>
    <mergeCell ref="C18:F19"/>
    <mergeCell ref="B15:B16"/>
    <mergeCell ref="Y2:Z2"/>
  </mergeCells>
  <hyperlinks>
    <hyperlink ref="A1" location="'Modelo de Dominio'!A1" display="&lt;&lt;&lt;&lt; Ir al modulo de dominio" xr:uid="{00000000-0004-0000-4600-000000000000}"/>
    <hyperlink ref="B1" location="'Objetos de Dominio'!A1" display="&lt;&lt;&lt;&lt; Ir a objetos de dominio" xr:uid="{00000000-0004-0000-4600-000001000000}"/>
    <hyperlink ref="V2" location="'C-Cita'!A20" display="#'C-Cita'.A28" xr:uid="{00000000-0004-0000-4600-000002000000}"/>
    <hyperlink ref="W2" location="'C-Cita'!A29" display="#'C-Cita'.A36" xr:uid="{00000000-0004-0000-4600-000003000000}"/>
    <hyperlink ref="Y2" location="'C-Cita'!A35" display="#'C-Cita'.A41" xr:uid="{00000000-0004-0000-4600-000004000000}"/>
    <hyperlink ref="AA2" location="'C-Cita'!A38" display="#'C-Cita'.A44" xr:uid="{00000000-0004-0000-4600-000005000000}"/>
    <hyperlink ref="AC2" location="'C-Cita'!A41" display="#'C-Cita'.A58" xr:uid="{00000000-0004-0000-4600-000006000000}"/>
    <hyperlink ref="A3" location="'M-Cita'!A3" display="#'M-Cita'.A3" xr:uid="{00000000-0004-0000-4600-000007000000}"/>
    <hyperlink ref="B3" location="'M-Cita'!A2" display="#'M-Cita'.A2" xr:uid="{00000000-0004-0000-4600-000008000000}"/>
    <hyperlink ref="A4" location="'M-Cita'!A3" display="#'M-Cita'.A3" xr:uid="{00000000-0004-0000-4600-000009000000}"/>
    <hyperlink ref="B4" location="'M-Cita'!A2" display="#'M-Cita'.A2" xr:uid="{00000000-0004-0000-4600-00000A000000}"/>
    <hyperlink ref="D4" location="'C-Cliente'!A1" display="Cliente" xr:uid="{00000000-0004-0000-4600-00000B000000}"/>
    <hyperlink ref="A5" location="'M-Cita'!A3" display="#'M-Cita'.A3" xr:uid="{00000000-0004-0000-4600-00000C000000}"/>
    <hyperlink ref="B5" location="'M-Cita'!A2" display="#'M-Cita'.A2" xr:uid="{00000000-0004-0000-4600-00000D000000}"/>
    <hyperlink ref="D5" location="'C-Agenda'!A1" display="Agenda" xr:uid="{00000000-0004-0000-4600-00000E000000}"/>
    <hyperlink ref="A6" location="'M-Cita'!A3" display="#'M-Cita'.A3" xr:uid="{00000000-0004-0000-4600-00000F000000}"/>
    <hyperlink ref="B6" location="'M-Cita'!A2" display="#'M-Cita'.A2" xr:uid="{00000000-0004-0000-4600-000010000000}"/>
    <hyperlink ref="D6" location="'C-Estado'!A1" display="Estado" xr:uid="{00000000-0004-0000-4600-000011000000}"/>
    <hyperlink ref="A7" location="'M-Cita'!A3" display="#'M-Cita'.A3" xr:uid="{00000000-0004-0000-4600-000012000000}"/>
    <hyperlink ref="B7" location="'M-Cita'!A2" display="#'M-Cita'.A2" xr:uid="{00000000-0004-0000-4600-000013000000}"/>
    <hyperlink ref="A8" location="'M-Cita'!A3" display="#'M-Cita'.A3" xr:uid="{00000000-0004-0000-4600-000014000000}"/>
    <hyperlink ref="B8" location="'M-Cita'!A2" display="#'M-Cita'.A2" xr:uid="{00000000-0004-0000-4600-000015000000}"/>
    <hyperlink ref="A9" location="'M-Cita'!A3" display="#'M-Cita'.A3" xr:uid="{00000000-0004-0000-4600-000016000000}"/>
    <hyperlink ref="B9" location="'M-Cita'!A2" display="#'M-Cita'.A2" xr:uid="{00000000-0004-0000-4600-000017000000}"/>
    <hyperlink ref="A10" location="'M-Cita'!A3" display="'M-Cita'!A3" xr:uid="{00000000-0004-0000-4600-000018000000}"/>
    <hyperlink ref="B10" location="'M-Cita'!A2" display="'M-Cita'!A2" xr:uid="{00000000-0004-0000-4600-000019000000}"/>
    <hyperlink ref="A11" location="'M-Cita'!A3" display="'M-Cita'!A3" xr:uid="{00000000-0004-0000-4600-00001A000000}"/>
    <hyperlink ref="B11" location="'M-Cita'!A2" display="'M-Cita'!A2" xr:uid="{00000000-0004-0000-4600-00001B000000}"/>
    <hyperlink ref="A12" location="'M-Cita'!A3" display="#'M-Cita'.A3" xr:uid="{00000000-0004-0000-4600-00001C000000}"/>
    <hyperlink ref="B12" location="'M-Cita'!A2" display="#'M-Cita'.A2" xr:uid="{00000000-0004-0000-4600-00001D000000}"/>
    <hyperlink ref="A15" location="'M-Cita'!A3" display="'M-Cita'!A3" xr:uid="{00000000-0004-0000-4600-00001E000000}"/>
    <hyperlink ref="B15" location="'M-Cita'!A2" display="'M-Cita'!A2" xr:uid="{00000000-0004-0000-4600-00001F000000}"/>
    <hyperlink ref="A20" location="'C-Cita'!V2" display="pedirCita" xr:uid="{00000000-0004-0000-4600-000020000000}"/>
    <hyperlink ref="A29" location="'C-Cita'!W2" display="reprogramarCita" xr:uid="{00000000-0004-0000-4600-000021000000}"/>
    <hyperlink ref="A35" location="'C-Cita'!Y2" display="cancelarCitaPorCliente" xr:uid="{00000000-0004-0000-4600-000022000000}"/>
    <hyperlink ref="A38" location="'C-Cita'!AA2" display="cancelarCitaPorBarbero" xr:uid="{00000000-0004-0000-4600-000023000000}"/>
    <hyperlink ref="A41" location="'C-Cita'!AC2" display="registrarInasistenciaCliente" xr:uid="{00000000-0004-0000-4600-000024000000}"/>
  </hyperlinks>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22"/>
  <sheetViews>
    <sheetView showGridLines="0" topLeftCell="A11" zoomScaleNormal="100" workbookViewId="0">
      <selection activeCell="D23" sqref="D23"/>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Dominio'!A20</f>
        <v>Cita</v>
      </c>
      <c r="C2" s="290"/>
      <c r="D2" s="290"/>
      <c r="E2" s="291"/>
    </row>
    <row r="3" spans="1:5" ht="30" customHeight="1" x14ac:dyDescent="0.25">
      <c r="A3" s="30" t="s">
        <v>140</v>
      </c>
      <c r="B3" s="336" t="str">
        <f>'Objetos de Dominio'!B20</f>
        <v>Representa la reserva de un cliente con un barbero para un fecha y hora puntual, con los servicios pedidos, su estado, y lo que realmente ocurrió (llegada, atención, tardanzas).</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28.5" customHeight="1" x14ac:dyDescent="0.25">
      <c r="A6" s="8" t="s">
        <v>1086</v>
      </c>
      <c r="B6" s="332" t="s">
        <v>1087</v>
      </c>
      <c r="C6" s="279"/>
      <c r="D6" s="31" t="s">
        <v>46</v>
      </c>
      <c r="E6" s="31"/>
    </row>
    <row r="7" spans="1:5" ht="30" customHeight="1" x14ac:dyDescent="0.25">
      <c r="A7" s="8" t="s">
        <v>1088</v>
      </c>
      <c r="B7" s="332" t="s">
        <v>1089</v>
      </c>
      <c r="C7" s="279"/>
      <c r="D7" s="31" t="s">
        <v>26</v>
      </c>
      <c r="E7" s="31"/>
    </row>
    <row r="8" spans="1:5" ht="51.75" customHeight="1" x14ac:dyDescent="0.25">
      <c r="A8" s="8" t="s">
        <v>1090</v>
      </c>
      <c r="B8" s="332" t="s">
        <v>1091</v>
      </c>
      <c r="C8" s="279"/>
      <c r="D8" s="31" t="s">
        <v>44</v>
      </c>
      <c r="E8" s="31"/>
    </row>
    <row r="9" spans="1:5" ht="30" customHeight="1" x14ac:dyDescent="0.25">
      <c r="A9" s="8" t="s">
        <v>1092</v>
      </c>
      <c r="B9" s="332" t="s">
        <v>1093</v>
      </c>
      <c r="C9" s="279"/>
      <c r="D9" s="31" t="s">
        <v>38</v>
      </c>
      <c r="E9" s="31"/>
    </row>
    <row r="10" spans="1:5" ht="30" customHeight="1" x14ac:dyDescent="0.25">
      <c r="A10" s="8" t="s">
        <v>1094</v>
      </c>
      <c r="B10" s="332" t="s">
        <v>1347</v>
      </c>
      <c r="C10" s="279"/>
      <c r="D10" s="31" t="s">
        <v>32</v>
      </c>
      <c r="E10" s="31"/>
    </row>
    <row r="11" spans="1:5" ht="49.5" customHeight="1" x14ac:dyDescent="0.25">
      <c r="A11" s="8" t="s">
        <v>1095</v>
      </c>
      <c r="B11" s="332" t="s">
        <v>1096</v>
      </c>
      <c r="C11" s="279"/>
      <c r="D11" s="31" t="s">
        <v>46</v>
      </c>
      <c r="E11" s="31"/>
    </row>
    <row r="12" spans="1:5" ht="30" customHeight="1" x14ac:dyDescent="0.25">
      <c r="A12" s="8" t="s">
        <v>1097</v>
      </c>
      <c r="B12" s="332" t="s">
        <v>1098</v>
      </c>
      <c r="C12" s="279"/>
      <c r="D12" s="31" t="s">
        <v>50</v>
      </c>
      <c r="E12" s="31"/>
    </row>
    <row r="13" spans="1:5" ht="59.25" customHeight="1" x14ac:dyDescent="0.25">
      <c r="A13" s="8" t="s">
        <v>1099</v>
      </c>
      <c r="B13" s="332" t="s">
        <v>1100</v>
      </c>
      <c r="C13" s="279"/>
      <c r="D13" s="31" t="s">
        <v>46</v>
      </c>
      <c r="E13" s="31"/>
    </row>
    <row r="14" spans="1:5" ht="46.5" customHeight="1" x14ac:dyDescent="0.25">
      <c r="A14" s="8" t="s">
        <v>1101</v>
      </c>
      <c r="B14" s="332" t="s">
        <v>1102</v>
      </c>
      <c r="C14" s="279"/>
      <c r="D14" s="31" t="s">
        <v>50</v>
      </c>
      <c r="E14" s="31"/>
    </row>
    <row r="15" spans="1:5" ht="31.5" customHeight="1" x14ac:dyDescent="0.25">
      <c r="A15" s="8" t="s">
        <v>1103</v>
      </c>
      <c r="B15" s="332" t="s">
        <v>1104</v>
      </c>
      <c r="C15" s="279"/>
      <c r="D15" s="31" t="s">
        <v>46</v>
      </c>
      <c r="E15" s="31"/>
    </row>
    <row r="16" spans="1:5" ht="30" customHeight="1" x14ac:dyDescent="0.25">
      <c r="A16" s="8" t="s">
        <v>1105</v>
      </c>
      <c r="B16" s="332" t="s">
        <v>1106</v>
      </c>
      <c r="C16" s="279"/>
      <c r="D16" s="31" t="s">
        <v>46</v>
      </c>
      <c r="E16" s="31"/>
    </row>
    <row r="17" spans="1:5" ht="42" customHeight="1" x14ac:dyDescent="0.25">
      <c r="A17" s="8" t="s">
        <v>1107</v>
      </c>
      <c r="B17" s="332" t="s">
        <v>1108</v>
      </c>
      <c r="C17" s="279"/>
      <c r="D17" s="31" t="s">
        <v>38</v>
      </c>
      <c r="E17" s="31"/>
    </row>
    <row r="18" spans="1:5" ht="33" customHeight="1" x14ac:dyDescent="0.25">
      <c r="A18" s="8" t="s">
        <v>1109</v>
      </c>
      <c r="B18" s="332" t="s">
        <v>1110</v>
      </c>
      <c r="C18" s="279"/>
      <c r="D18" s="31" t="s">
        <v>40</v>
      </c>
      <c r="E18" s="31"/>
    </row>
    <row r="19" spans="1:5" ht="30" customHeight="1" x14ac:dyDescent="0.25">
      <c r="A19" s="8" t="s">
        <v>1111</v>
      </c>
      <c r="B19" s="332" t="s">
        <v>1112</v>
      </c>
      <c r="C19" s="279"/>
      <c r="D19" s="31" t="s">
        <v>46</v>
      </c>
      <c r="E19" s="31"/>
    </row>
    <row r="20" spans="1:5" x14ac:dyDescent="0.25">
      <c r="A20" s="8" t="s">
        <v>1113</v>
      </c>
      <c r="B20" s="466" t="s">
        <v>1114</v>
      </c>
      <c r="C20" s="279"/>
      <c r="D20" s="31" t="s">
        <v>46</v>
      </c>
      <c r="E20" s="31"/>
    </row>
    <row r="21" spans="1:5" x14ac:dyDescent="0.25">
      <c r="A21" s="8" t="s">
        <v>1115</v>
      </c>
      <c r="B21" s="465" t="s">
        <v>1116</v>
      </c>
      <c r="C21" s="279"/>
      <c r="D21" s="31" t="s">
        <v>46</v>
      </c>
      <c r="E21" s="31"/>
    </row>
    <row r="22" spans="1:5" ht="51.75" customHeight="1" x14ac:dyDescent="0.25">
      <c r="A22" s="8" t="s">
        <v>1117</v>
      </c>
      <c r="B22" s="465" t="s">
        <v>1118</v>
      </c>
      <c r="C22" s="279"/>
      <c r="D22" s="31" t="s">
        <v>46</v>
      </c>
      <c r="E22" s="31"/>
    </row>
  </sheetData>
  <mergeCells count="23">
    <mergeCell ref="B22:C22"/>
    <mergeCell ref="B18:C18"/>
    <mergeCell ref="B12:C12"/>
    <mergeCell ref="B21:C21"/>
    <mergeCell ref="B11:C11"/>
    <mergeCell ref="B14:C14"/>
    <mergeCell ref="B20:C20"/>
    <mergeCell ref="A4:A5"/>
    <mergeCell ref="B19:C19"/>
    <mergeCell ref="B10:C10"/>
    <mergeCell ref="B2:E2"/>
    <mergeCell ref="B9:C9"/>
    <mergeCell ref="B6:C6"/>
    <mergeCell ref="B15:C15"/>
    <mergeCell ref="B3:E3"/>
    <mergeCell ref="B17:C17"/>
    <mergeCell ref="B8:C8"/>
    <mergeCell ref="B4:C5"/>
    <mergeCell ref="B13:C13"/>
    <mergeCell ref="B16:C16"/>
    <mergeCell ref="B7:C7"/>
    <mergeCell ref="E4:E5"/>
    <mergeCell ref="D4:D5"/>
  </mergeCells>
  <hyperlinks>
    <hyperlink ref="A1" location="'Modelo de Dominio'!A1" display="&lt;&lt; Ir al modelo de dominio" xr:uid="{00000000-0004-0000-4700-000000000000}"/>
    <hyperlink ref="B1" location="'Objetos de Dominio'!A1" display="&lt;&lt; Ir al listado de objetos de dominio" xr:uid="{00000000-0004-0000-4700-000001000000}"/>
    <hyperlink ref="C1" location="'C-Cita'!A1" display="&lt;&lt; Ir a la caracterización del objeto de dominio" xr:uid="{00000000-0004-0000-4700-000002000000}"/>
    <hyperlink ref="D1" location="'M-Cita'!A1" display="Ir al muestreo de datos del objeto de dominio &gt;&gt;" xr:uid="{00000000-0004-0000-4700-000003000000}"/>
    <hyperlink ref="E1" location="'E-Cita'!A1" display="Ir al event storming del objeto de dominio &gt;&gt;" xr:uid="{00000000-0004-0000-4700-000004000000}"/>
  </hyperlinks>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K33"/>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4.28515625" customWidth="1"/>
    <col min="5" max="5" width="22" customWidth="1"/>
    <col min="6" max="6" width="40" customWidth="1"/>
    <col min="7" max="7" width="10" customWidth="1"/>
    <col min="8" max="8" width="41.1406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Dominio'!A20</f>
        <v>Cita</v>
      </c>
      <c r="C2" s="290"/>
      <c r="D2" s="290"/>
      <c r="E2" s="290"/>
      <c r="F2" s="290"/>
      <c r="G2" s="290"/>
      <c r="H2" s="290"/>
      <c r="I2" s="290"/>
      <c r="J2" s="290"/>
      <c r="K2" s="291"/>
    </row>
    <row r="3" spans="1:11" ht="30" customHeight="1" x14ac:dyDescent="0.25">
      <c r="A3" s="72" t="s">
        <v>140</v>
      </c>
      <c r="B3" s="302" t="str">
        <f>'Objetos de Dominio'!B20</f>
        <v>Representa la reserva de un cliente con un barbero para un fecha y hora puntual, con los servicios pedidos, su estado, y lo que realmente ocurrió (llegada, atención, tardanzas).</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42.75" customHeight="1" x14ac:dyDescent="0.25">
      <c r="A7" s="283" t="s">
        <v>26</v>
      </c>
      <c r="B7" s="283" t="s">
        <v>1119</v>
      </c>
      <c r="C7" s="283" t="s">
        <v>1046</v>
      </c>
      <c r="D7" s="273" t="str">
        <f>$B$2</f>
        <v>Cita</v>
      </c>
      <c r="E7" s="137" t="s">
        <v>26</v>
      </c>
      <c r="F7" s="42" t="s">
        <v>1120</v>
      </c>
      <c r="G7" s="183" t="str">
        <f>'P-Cita'!A6</f>
        <v>P-CIT-0001</v>
      </c>
      <c r="H7" s="134" t="str">
        <f>'P-Cita'!B6</f>
        <v>Asegurar que los datos requeridos (agenda, hora de inicio, servicios solicitados) sean válidos en tipo de dato, obligatoriedad, formato y rango</v>
      </c>
      <c r="I7" s="273"/>
      <c r="J7" s="283" t="s">
        <v>1121</v>
      </c>
      <c r="K7" s="272"/>
    </row>
    <row r="8" spans="1:11" ht="30" customHeight="1" x14ac:dyDescent="0.25">
      <c r="A8" s="284"/>
      <c r="B8" s="284"/>
      <c r="C8" s="284"/>
      <c r="D8" s="284"/>
      <c r="E8" s="175" t="s">
        <v>44</v>
      </c>
      <c r="F8" s="184" t="s">
        <v>1122</v>
      </c>
      <c r="G8" s="183" t="str">
        <f>'P-Cita'!A7</f>
        <v>P-CIT-0002</v>
      </c>
      <c r="H8" s="134" t="str">
        <f>'P-Cita'!B7</f>
        <v>Asegurar que el cliente no esté vetado antes de permitirle agendar</v>
      </c>
      <c r="I8" s="284"/>
      <c r="J8" s="284"/>
      <c r="K8" s="284"/>
    </row>
    <row r="9" spans="1:11" ht="48" customHeight="1" x14ac:dyDescent="0.25">
      <c r="A9" s="284"/>
      <c r="B9" s="284"/>
      <c r="C9" s="284"/>
      <c r="D9" s="284"/>
      <c r="E9" s="175" t="s">
        <v>40</v>
      </c>
      <c r="F9" s="184" t="s">
        <v>1123</v>
      </c>
      <c r="G9" s="183" t="str">
        <f>'P-Cita'!A8</f>
        <v>P-CIT-0003</v>
      </c>
      <c r="H9" s="134" t="str">
        <f>'P-Cita'!B8</f>
        <v>Asegurar que la agenda tenga disponibilidad y que la hora solicitada quepa dentro del horario del barbero sin solaparse con otra cita o bloqueo</v>
      </c>
      <c r="I9" s="284"/>
      <c r="J9" s="284"/>
      <c r="K9" s="284"/>
    </row>
    <row r="10" spans="1:11" ht="42.75" customHeight="1" x14ac:dyDescent="0.25">
      <c r="A10" s="284"/>
      <c r="B10" s="284"/>
      <c r="C10" s="284"/>
      <c r="D10" s="284"/>
      <c r="E10" s="175" t="s">
        <v>42</v>
      </c>
      <c r="F10" s="184" t="s">
        <v>1124</v>
      </c>
      <c r="G10" s="183" t="str">
        <f>'P-Cita'!A18</f>
        <v>P-CIT-0014</v>
      </c>
      <c r="H10" s="134" t="str">
        <f>'P-Cita'!B18</f>
        <v>Asegurar que la hora solicitada no caiga dentro de ningún bloqueo del barbero, ni que la cita se extienda sobre uno</v>
      </c>
      <c r="I10" s="284"/>
      <c r="J10" s="284"/>
      <c r="K10" s="284"/>
    </row>
    <row r="11" spans="1:11" ht="30" customHeight="1" x14ac:dyDescent="0.25">
      <c r="A11" s="284"/>
      <c r="B11" s="284"/>
      <c r="C11" s="284"/>
      <c r="D11" s="284"/>
      <c r="E11" s="137" t="s">
        <v>38</v>
      </c>
      <c r="F11" s="42" t="s">
        <v>1125</v>
      </c>
      <c r="G11" s="183" t="str">
        <f>'P-Cita'!A9</f>
        <v>P-CIT-0004</v>
      </c>
      <c r="H11" s="134" t="str">
        <f>'P-Cita'!B9</f>
        <v>Asegurar que cada servicio solicitado esté habilitado para ese barbero</v>
      </c>
      <c r="I11" s="284"/>
      <c r="J11" s="284"/>
      <c r="K11" s="284"/>
    </row>
    <row r="12" spans="1:11" ht="40.5" customHeight="1" x14ac:dyDescent="0.25">
      <c r="A12" s="284"/>
      <c r="B12" s="284"/>
      <c r="C12" s="284"/>
      <c r="D12" s="284"/>
      <c r="E12" s="185" t="s">
        <v>32</v>
      </c>
      <c r="F12" s="186" t="s">
        <v>1126</v>
      </c>
      <c r="G12" s="183" t="str">
        <f>'P-Cita'!A17</f>
        <v>P-CIT-0013</v>
      </c>
      <c r="H12" s="134" t="str">
        <f>'P-Cita'!B17</f>
        <v>Asegurar que todos los servicios pedidos en la cita correspondan a un mismo barbero, porque una cita la atiende un único barbero de principio a fin</v>
      </c>
      <c r="I12" s="284"/>
      <c r="J12" s="284"/>
      <c r="K12" s="284"/>
    </row>
    <row r="13" spans="1:11" ht="40.5" x14ac:dyDescent="0.25">
      <c r="A13" s="284"/>
      <c r="B13" s="284"/>
      <c r="C13" s="284"/>
      <c r="D13" s="284"/>
      <c r="E13" s="293" t="s">
        <v>18</v>
      </c>
      <c r="F13" s="300" t="s">
        <v>1127</v>
      </c>
      <c r="G13" s="183" t="str">
        <f>'P-Cita'!A10</f>
        <v>P-CIT-0005</v>
      </c>
      <c r="H13" s="134" t="str">
        <f>'P-Cita'!B10</f>
        <v>Asegurar que la cita no se solicite para una fecha y hora que ya pasaron, es decir que la cita no se puede solicitar en un tiempo pasado</v>
      </c>
      <c r="I13" s="284"/>
      <c r="J13" s="284"/>
      <c r="K13" s="284"/>
    </row>
    <row r="14" spans="1:11" ht="54" x14ac:dyDescent="0.25">
      <c r="A14" s="284"/>
      <c r="B14" s="284"/>
      <c r="C14" s="284"/>
      <c r="D14" s="284"/>
      <c r="E14" s="284"/>
      <c r="F14" s="301"/>
      <c r="G14" s="229" t="str">
        <f>'P-Cita'!A22</f>
        <v>P-CIT-0021</v>
      </c>
      <c r="H14" s="134" t="str">
        <f>'P-Cita'!B22</f>
        <v>Asegurar que la cita se agende como máximo hasta 15 días después del día actual: se permite agendar desde hoy hasta hoy + 15 días, y una fecha posterior a ese límite no se puede agendar</v>
      </c>
      <c r="I14" s="284"/>
      <c r="J14" s="284"/>
      <c r="K14" s="284"/>
    </row>
    <row r="15" spans="1:11" ht="57" customHeight="1" x14ac:dyDescent="0.25">
      <c r="A15" s="281"/>
      <c r="B15" s="281"/>
      <c r="C15" s="281"/>
      <c r="D15" s="281"/>
      <c r="E15" s="281"/>
      <c r="F15" s="280"/>
      <c r="G15" s="183" t="str">
        <f>'P-Cita'!A11</f>
        <v>P-CIT-0006</v>
      </c>
      <c r="H15" s="134" t="str">
        <f>'P-Cita'!B11</f>
        <v>Congelar en la cita el valor de multa, el tiempoEspera y el porcentajeDescuento en el momento de agendarla, para que un cambio posterior no altere citas ya registradas</v>
      </c>
      <c r="I15" s="281"/>
      <c r="J15" s="281"/>
      <c r="K15" s="281"/>
    </row>
    <row r="16" spans="1:11" ht="27" customHeight="1" x14ac:dyDescent="0.25">
      <c r="A16" s="269" t="s">
        <v>26</v>
      </c>
      <c r="B16" s="269" t="s">
        <v>1128</v>
      </c>
      <c r="C16" s="269" t="s">
        <v>1059</v>
      </c>
      <c r="D16" s="275" t="str">
        <f>$B$2</f>
        <v>Cita</v>
      </c>
      <c r="E16" s="137" t="s">
        <v>44</v>
      </c>
      <c r="F16" s="42" t="s">
        <v>1129</v>
      </c>
      <c r="G16" s="183" t="str">
        <f>'P-Cita'!A20</f>
        <v>P-CIT-0016</v>
      </c>
      <c r="H16" s="134" t="str">
        <f>'P-Cita'!B20</f>
        <v>Asegurar que la cita se encuentre en estado Agendada</v>
      </c>
      <c r="I16" s="8"/>
      <c r="J16" s="137" t="s">
        <v>1130</v>
      </c>
      <c r="K16" s="8"/>
    </row>
    <row r="17" spans="1:11" ht="40.5" x14ac:dyDescent="0.25">
      <c r="A17" s="270"/>
      <c r="B17" s="270"/>
      <c r="C17" s="270"/>
      <c r="D17" s="276"/>
      <c r="E17" s="175" t="s">
        <v>40</v>
      </c>
      <c r="F17" s="184" t="s">
        <v>1131</v>
      </c>
      <c r="G17" s="183" t="str">
        <f>'P-Cita'!A8</f>
        <v>P-CIT-0003</v>
      </c>
      <c r="H17" s="134" t="str">
        <f>'P-Cita'!B8</f>
        <v>Asegurar que la agenda tenga disponibilidad y que la hora solicitada quepa dentro del horario del barbero sin solaparse con otra cita o bloqueo</v>
      </c>
      <c r="I17" s="266"/>
      <c r="J17" s="269" t="s">
        <v>1136</v>
      </c>
      <c r="K17" s="266"/>
    </row>
    <row r="18" spans="1:11" ht="40.5" customHeight="1" x14ac:dyDescent="0.25">
      <c r="A18" s="270"/>
      <c r="B18" s="270"/>
      <c r="C18" s="270"/>
      <c r="D18" s="276"/>
      <c r="E18" s="175" t="s">
        <v>32</v>
      </c>
      <c r="F18" s="184" t="s">
        <v>1132</v>
      </c>
      <c r="G18" s="183" t="str">
        <f>'P-Cita'!A18</f>
        <v>P-CIT-0014</v>
      </c>
      <c r="H18" s="134" t="str">
        <f>'P-Cita'!B18</f>
        <v>Asegurar que la hora solicitada no caiga dentro de ningún bloqueo del barbero, ni que la cita se extienda sobre uno</v>
      </c>
      <c r="I18" s="267"/>
      <c r="J18" s="270"/>
      <c r="K18" s="267"/>
    </row>
    <row r="19" spans="1:11" ht="40.5" customHeight="1" x14ac:dyDescent="0.25">
      <c r="A19" s="270"/>
      <c r="B19" s="270"/>
      <c r="C19" s="270"/>
      <c r="D19" s="276"/>
      <c r="E19" s="287" t="s">
        <v>18</v>
      </c>
      <c r="F19" s="285" t="s">
        <v>1133</v>
      </c>
      <c r="G19" s="229" t="str">
        <f>'P-Cita'!A22</f>
        <v>P-CIT-0021</v>
      </c>
      <c r="H19" s="134" t="str">
        <f>'P-Cita'!B22</f>
        <v>Asegurar que la cita se agende como máximo hasta 15 días después del día actual: se permite agendar desde hoy hasta hoy + 15 días, y una fecha posterior a ese límite no se puede agendar</v>
      </c>
      <c r="I19" s="267"/>
      <c r="J19" s="270"/>
      <c r="K19" s="267"/>
    </row>
    <row r="20" spans="1:11" ht="40.5" customHeight="1" x14ac:dyDescent="0.25">
      <c r="A20" s="271"/>
      <c r="B20" s="271"/>
      <c r="C20" s="271"/>
      <c r="D20" s="277"/>
      <c r="E20" s="288"/>
      <c r="F20" s="286"/>
      <c r="G20" s="183" t="str">
        <f>'P-Cita'!A10</f>
        <v>P-CIT-0005</v>
      </c>
      <c r="H20" s="134" t="str">
        <f>'P-Cita'!B10</f>
        <v>Asegurar que la cita no se solicite para una fecha y hora que ya pasaron, es decir que la cita no se puede solicitar en un tiempo pasado</v>
      </c>
      <c r="I20" s="267"/>
      <c r="J20" s="270"/>
      <c r="K20" s="267"/>
    </row>
    <row r="21" spans="1:11" ht="30" customHeight="1" x14ac:dyDescent="0.25">
      <c r="A21" s="283" t="s">
        <v>26</v>
      </c>
      <c r="B21" s="283" t="s">
        <v>1134</v>
      </c>
      <c r="C21" s="283" t="s">
        <v>1068</v>
      </c>
      <c r="D21" s="273" t="str">
        <f>$B$2</f>
        <v>Cita</v>
      </c>
      <c r="E21" s="283" t="s">
        <v>18</v>
      </c>
      <c r="F21" s="272" t="s">
        <v>1135</v>
      </c>
      <c r="G21" s="183" t="str">
        <f>'P-Cita'!A20</f>
        <v>P-CIT-0016</v>
      </c>
      <c r="H21" s="104" t="str">
        <f>'P-Cita'!B20</f>
        <v>Asegurar que la cita se encuentre en estado Agendada</v>
      </c>
      <c r="I21" s="267"/>
      <c r="J21" s="270"/>
      <c r="K21" s="267"/>
    </row>
    <row r="22" spans="1:11" ht="41.25" customHeight="1" x14ac:dyDescent="0.25">
      <c r="A22" s="281"/>
      <c r="B22" s="281"/>
      <c r="C22" s="281"/>
      <c r="D22" s="281"/>
      <c r="E22" s="281"/>
      <c r="F22" s="280"/>
      <c r="G22" s="183" t="str">
        <f>'P-Cita'!A15</f>
        <v>P-CIT-0011</v>
      </c>
      <c r="H22" s="104" t="str">
        <f>'P-Cita'!B15</f>
        <v>El cliente tiene hasta 2 horas antes de la horaInicio de la cita para cancelarla; cuando faltan menos de 2 horas ya no se le permite cancelar</v>
      </c>
      <c r="I22" s="268"/>
      <c r="J22" s="271"/>
      <c r="K22" s="268"/>
    </row>
    <row r="23" spans="1:11" ht="41.25" customHeight="1" x14ac:dyDescent="0.25">
      <c r="A23" s="283" t="s">
        <v>32</v>
      </c>
      <c r="B23" s="283" t="s">
        <v>1137</v>
      </c>
      <c r="C23" s="283" t="s">
        <v>1074</v>
      </c>
      <c r="D23" s="273" t="str">
        <f>$B$2</f>
        <v>Cita</v>
      </c>
      <c r="E23" s="283" t="s">
        <v>18</v>
      </c>
      <c r="F23" s="272" t="s">
        <v>1138</v>
      </c>
      <c r="G23" s="183" t="str">
        <f>'P-Cita'!A20</f>
        <v>P-CIT-0016</v>
      </c>
      <c r="H23" s="104" t="str">
        <f>'P-Cita'!B20</f>
        <v>Asegurar que la cita se encuentre en estado Agendada</v>
      </c>
      <c r="I23" s="274"/>
      <c r="J23" s="283" t="s">
        <v>1139</v>
      </c>
      <c r="K23" s="274"/>
    </row>
    <row r="24" spans="1:11" ht="40.5" x14ac:dyDescent="0.25">
      <c r="A24" s="281"/>
      <c r="B24" s="281"/>
      <c r="C24" s="281"/>
      <c r="D24" s="281"/>
      <c r="E24" s="281"/>
      <c r="F24" s="280"/>
      <c r="G24" s="183" t="str">
        <f>'P-Cita'!A16</f>
        <v>P-CIT-0012</v>
      </c>
      <c r="H24" s="104" t="str">
        <f>'P-Cita'!B16</f>
        <v>El barbero tiene hasta 2 horas antes de la horaInicio de la cita para cancelarla; cuando faltan menos de 2 horas ya no se le permite cancelar</v>
      </c>
      <c r="I24" s="281"/>
      <c r="J24" s="281"/>
      <c r="K24" s="281"/>
    </row>
    <row r="25" spans="1:11" ht="27" x14ac:dyDescent="0.25">
      <c r="A25" s="269" t="s">
        <v>32</v>
      </c>
      <c r="B25" s="269" t="s">
        <v>1140</v>
      </c>
      <c r="C25" s="269" t="s">
        <v>1080</v>
      </c>
      <c r="D25" s="275" t="str">
        <f>$B$2</f>
        <v>Cita</v>
      </c>
      <c r="E25" s="137" t="s">
        <v>50</v>
      </c>
      <c r="F25" s="42" t="s">
        <v>1141</v>
      </c>
      <c r="G25" s="183" t="str">
        <f>'P-Cita'!A20</f>
        <v>P-CIT-0016</v>
      </c>
      <c r="H25" s="134" t="str">
        <f>'P-Cita'!B20</f>
        <v>Asegurar que la cita se encuentre en estado Agendada</v>
      </c>
      <c r="I25" s="266"/>
      <c r="J25" s="269" t="s">
        <v>1142</v>
      </c>
      <c r="K25" s="266"/>
    </row>
    <row r="26" spans="1:11" ht="27" x14ac:dyDescent="0.25">
      <c r="A26" s="270"/>
      <c r="B26" s="270"/>
      <c r="C26" s="270"/>
      <c r="D26" s="276"/>
      <c r="E26" s="137" t="s">
        <v>52</v>
      </c>
      <c r="F26" s="42" t="s">
        <v>1348</v>
      </c>
      <c r="G26" s="183" t="str">
        <f>'P-Cita'!A21</f>
        <v>P-CIT-0019</v>
      </c>
      <c r="H26" s="134" t="str">
        <f>'P-Cita'!B21</f>
        <v>Asegurar que la llegada del cliente no haya sido registrada previamente</v>
      </c>
      <c r="I26" s="267"/>
      <c r="J26" s="270"/>
      <c r="K26" s="267"/>
    </row>
    <row r="27" spans="1:11" ht="27" customHeight="1" x14ac:dyDescent="0.25">
      <c r="A27" s="271"/>
      <c r="B27" s="271"/>
      <c r="C27" s="271"/>
      <c r="D27" s="277"/>
      <c r="E27" s="137" t="s">
        <v>18</v>
      </c>
      <c r="F27" s="137" t="s">
        <v>1143</v>
      </c>
      <c r="G27" s="183" t="str">
        <f>'P-Cita'!A12</f>
        <v>P-CIT-0008</v>
      </c>
      <c r="H27" s="134" t="str">
        <f>'P-Cita'!B12</f>
        <v>Cuando se registre la inasistencia del cliente, generar una Multa de tipo Inasistencia por el precioTotal de la cita</v>
      </c>
      <c r="I27" s="268"/>
      <c r="J27" s="271"/>
      <c r="K27" s="268"/>
    </row>
    <row r="28" spans="1:11" ht="28.5" customHeight="1" x14ac:dyDescent="0.25">
      <c r="A28" s="272" t="s">
        <v>320</v>
      </c>
      <c r="B28" s="272" t="s">
        <v>1140</v>
      </c>
      <c r="C28" s="272" t="s">
        <v>1144</v>
      </c>
      <c r="D28" s="273" t="str">
        <f>$B$2</f>
        <v>Cita</v>
      </c>
      <c r="E28" s="137" t="s">
        <v>50</v>
      </c>
      <c r="F28" s="42" t="s">
        <v>1141</v>
      </c>
      <c r="G28" s="183" t="str">
        <f>'P-Cita'!A20</f>
        <v>P-CIT-0016</v>
      </c>
      <c r="H28" s="134" t="str">
        <f>'P-Cita'!B20</f>
        <v>Asegurar que la cita se encuentre en estado Agendada</v>
      </c>
      <c r="I28" s="274"/>
      <c r="J28" s="272" t="s">
        <v>1142</v>
      </c>
      <c r="K28" s="274"/>
    </row>
    <row r="29" spans="1:11" ht="28.5" customHeight="1" x14ac:dyDescent="0.25">
      <c r="A29" s="272"/>
      <c r="B29" s="272"/>
      <c r="C29" s="272"/>
      <c r="D29" s="273"/>
      <c r="E29" s="137" t="s">
        <v>52</v>
      </c>
      <c r="F29" s="42" t="s">
        <v>1348</v>
      </c>
      <c r="G29" s="183" t="str">
        <f>'P-Cita'!A21</f>
        <v>P-CIT-0019</v>
      </c>
      <c r="H29" s="134" t="str">
        <f>'P-Cita'!B21</f>
        <v>Asegurar que la llegada del cliente no haya sido registrada previamente</v>
      </c>
      <c r="I29" s="274"/>
      <c r="J29" s="272"/>
      <c r="K29" s="274"/>
    </row>
    <row r="30" spans="1:11" ht="40.5" x14ac:dyDescent="0.25">
      <c r="A30" s="272"/>
      <c r="B30" s="272"/>
      <c r="C30" s="272"/>
      <c r="D30" s="273"/>
      <c r="E30" s="137" t="s">
        <v>18</v>
      </c>
      <c r="F30" s="137" t="s">
        <v>1143</v>
      </c>
      <c r="G30" s="183" t="str">
        <f>'P-Cita'!A12</f>
        <v>P-CIT-0008</v>
      </c>
      <c r="H30" s="134" t="str">
        <f>'P-Cita'!B12</f>
        <v>Cuando se registre la inasistencia del cliente, generar una Multa de tipo Inasistencia por el precioTotal de la cita</v>
      </c>
      <c r="I30" s="274"/>
      <c r="J30" s="272"/>
      <c r="K30" s="274"/>
    </row>
    <row r="33" spans="5:6" x14ac:dyDescent="0.25">
      <c r="E33" s="187"/>
      <c r="F33" s="187"/>
    </row>
  </sheetData>
  <mergeCells count="65">
    <mergeCell ref="B23:B24"/>
    <mergeCell ref="C1:E1"/>
    <mergeCell ref="F13:F15"/>
    <mergeCell ref="A23:A24"/>
    <mergeCell ref="J1:K1"/>
    <mergeCell ref="A1:B1"/>
    <mergeCell ref="E4:F4"/>
    <mergeCell ref="F1:I1"/>
    <mergeCell ref="J23:J24"/>
    <mergeCell ref="J7:J15"/>
    <mergeCell ref="K7:K15"/>
    <mergeCell ref="I23:I24"/>
    <mergeCell ref="B3:K3"/>
    <mergeCell ref="D23:D24"/>
    <mergeCell ref="I5:I6"/>
    <mergeCell ref="E23:E24"/>
    <mergeCell ref="E5:F5"/>
    <mergeCell ref="D7:D15"/>
    <mergeCell ref="C21:C22"/>
    <mergeCell ref="F21:F22"/>
    <mergeCell ref="C7:C15"/>
    <mergeCell ref="B2:K2"/>
    <mergeCell ref="B5:B6"/>
    <mergeCell ref="D5:D6"/>
    <mergeCell ref="E13:E15"/>
    <mergeCell ref="G4:H4"/>
    <mergeCell ref="K5:K6"/>
    <mergeCell ref="J5:J6"/>
    <mergeCell ref="G5:H5"/>
    <mergeCell ref="C5:C6"/>
    <mergeCell ref="I7:I15"/>
    <mergeCell ref="B4:C4"/>
    <mergeCell ref="F23:F24"/>
    <mergeCell ref="D21:D22"/>
    <mergeCell ref="A5:A6"/>
    <mergeCell ref="A21:A22"/>
    <mergeCell ref="B7:B15"/>
    <mergeCell ref="A7:A15"/>
    <mergeCell ref="F19:F20"/>
    <mergeCell ref="E19:E20"/>
    <mergeCell ref="A16:A20"/>
    <mergeCell ref="B16:B20"/>
    <mergeCell ref="C16:C20"/>
    <mergeCell ref="D16:D20"/>
    <mergeCell ref="B21:B22"/>
    <mergeCell ref="E21:E22"/>
    <mergeCell ref="C23:C24"/>
    <mergeCell ref="J28:J30"/>
    <mergeCell ref="K28:K30"/>
    <mergeCell ref="A25:A27"/>
    <mergeCell ref="B25:B27"/>
    <mergeCell ref="C25:C27"/>
    <mergeCell ref="D25:D27"/>
    <mergeCell ref="I25:I27"/>
    <mergeCell ref="A28:A30"/>
    <mergeCell ref="B28:B30"/>
    <mergeCell ref="C28:C30"/>
    <mergeCell ref="D28:D30"/>
    <mergeCell ref="I28:I30"/>
    <mergeCell ref="I17:I22"/>
    <mergeCell ref="K17:K22"/>
    <mergeCell ref="J17:J22"/>
    <mergeCell ref="J25:J27"/>
    <mergeCell ref="K25:K27"/>
    <mergeCell ref="K23:K24"/>
  </mergeCells>
  <hyperlinks>
    <hyperlink ref="A1" location="'Modelo de Dominio'!A1" display="&lt;&lt; Ir al modelo de dominio" xr:uid="{00000000-0004-0000-4800-000000000000}"/>
    <hyperlink ref="C1" location="'Objetos de Dominio'!A1" display="&lt;&lt; Ir al listado de objetos de dominio" xr:uid="{00000000-0004-0000-4800-000001000000}"/>
    <hyperlink ref="F1" location="'C-Cita'!A1" display="&lt;&lt; Ir a la caracterización del objeto de dominio" xr:uid="{00000000-0004-0000-4800-000002000000}"/>
    <hyperlink ref="J1" location="'M-Cita'!A1" display="Ir al muestreo de datos del objeto de dominio &gt;&gt;" xr:uid="{00000000-0004-0000-4800-000003000000}"/>
    <hyperlink ref="G7" location="'P-Cita'!A6" display="#'P-Cita'.A6" xr:uid="{00000000-0004-0000-4800-000004000000}"/>
    <hyperlink ref="G8" location="'P-Cita'!A7" display="#'P-Cita'.A7" xr:uid="{00000000-0004-0000-4800-000005000000}"/>
    <hyperlink ref="G9" location="'P-Cita'!A8" display="#'P-Cita'.A8" xr:uid="{00000000-0004-0000-4800-000006000000}"/>
    <hyperlink ref="G10" location="'P-Cita'!A18" display="#'P-Cita'.A19" xr:uid="{00000000-0004-0000-4800-000007000000}"/>
    <hyperlink ref="G11" location="'P-Cita'!A9" display="#'P-Cita'.A9" xr:uid="{00000000-0004-0000-4800-000008000000}"/>
    <hyperlink ref="G12" location="'P-Cita'!A17" display="#'P-Cita'.A18" xr:uid="{00000000-0004-0000-4800-000009000000}"/>
    <hyperlink ref="G13" location="'P-Cita'!A10" display="#'P-Cita'.A10" xr:uid="{00000000-0004-0000-4800-00000A000000}"/>
    <hyperlink ref="G14" location="'P-Cita'!A22" display="'P-Cita'!A22" xr:uid="{00000000-0004-0000-4800-00000B000000}"/>
    <hyperlink ref="G15" location="'P-Cita'!A11" display="#'P-Cita'.A11" xr:uid="{00000000-0004-0000-4800-00000C000000}"/>
    <hyperlink ref="G16" location="'P-Cita'!A20" display="#'P-Cita'.A21" xr:uid="{00000000-0004-0000-4800-00000D000000}"/>
    <hyperlink ref="G17" location="'P-Cita'!A8" display="#'P-Cita'.A8" xr:uid="{00000000-0004-0000-4800-00000E000000}"/>
    <hyperlink ref="G18" location="'P-Cita'!A18" display="#'P-Cita'.A19" xr:uid="{00000000-0004-0000-4800-00000F000000}"/>
    <hyperlink ref="G19" location="'P-Cita'!A22" display="'P-Cita'!A22" xr:uid="{00000000-0004-0000-4800-000010000000}"/>
    <hyperlink ref="G20" location="'P-Cita'!A10" display="#'P-Cita'.A10" xr:uid="{00000000-0004-0000-4800-000011000000}"/>
    <hyperlink ref="G21" location="'P-Cita'!A20" display="#'P-Cita'.A21" xr:uid="{00000000-0004-0000-4800-000012000000}"/>
    <hyperlink ref="G22" location="'P-Cita'!A15" display="#'P-Cita'.A16" xr:uid="{00000000-0004-0000-4800-000013000000}"/>
    <hyperlink ref="G23" location="'P-Cita'!A20" display="#'P-Cita'.A21" xr:uid="{00000000-0004-0000-4800-000014000000}"/>
    <hyperlink ref="G24" location="'P-Cita'!A16" display="#'P-Cita'.A17" xr:uid="{00000000-0004-0000-4800-000015000000}"/>
    <hyperlink ref="G25" location="'P-Cita'!A20" display="#'P-Cita'.A21" xr:uid="{00000000-0004-0000-4800-000016000000}"/>
    <hyperlink ref="G26" location="'P-Cita'!A21" display="#'P-Cita'.A24" xr:uid="{00000000-0004-0000-4800-000017000000}"/>
    <hyperlink ref="G27" location="'P-Cita'!A12" display="#'P-Cita'.A13" xr:uid="{00000000-0004-0000-4800-000018000000}"/>
    <hyperlink ref="G28" location="'P-Cita'!A20" display="#'P-Cita'.A21" xr:uid="{00000000-0004-0000-4800-000019000000}"/>
    <hyperlink ref="G29" location="'P-Cita'!A21" display="#'P-Cita'.A24" xr:uid="{00000000-0004-0000-4800-00001A000000}"/>
    <hyperlink ref="G30" location="'P-Cita'!A12" display="#'P-Cita'.A13" xr:uid="{00000000-0004-0000-4800-00001B000000}"/>
  </hyperlinks>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K25"/>
  <sheetViews>
    <sheetView zoomScaleNormal="100" workbookViewId="0">
      <selection activeCell="B1" sqref="B1"/>
    </sheetView>
  </sheetViews>
  <sheetFormatPr baseColWidth="10" defaultColWidth="8.7109375" defaultRowHeight="15" x14ac:dyDescent="0.25"/>
  <cols>
    <col min="1" max="1" width="25" customWidth="1"/>
    <col min="2" max="2" width="27.5703125" customWidth="1"/>
    <col min="3" max="3" width="34" customWidth="1"/>
    <col min="4" max="4" width="16.7109375" customWidth="1"/>
    <col min="5" max="5" width="19.85546875" customWidth="1"/>
    <col min="6" max="6" width="17.5703125" customWidth="1"/>
    <col min="7" max="9" width="36" customWidth="1"/>
    <col min="10" max="10" width="26.7109375" customWidth="1"/>
    <col min="11" max="11" width="36" customWidth="1"/>
  </cols>
  <sheetData>
    <row r="1" spans="1:11" ht="14.25" customHeight="1" x14ac:dyDescent="0.25">
      <c r="A1" s="4" t="s">
        <v>0</v>
      </c>
      <c r="B1" s="4" t="s">
        <v>55</v>
      </c>
    </row>
    <row r="2" spans="1:11" ht="64.5" customHeight="1" x14ac:dyDescent="0.25">
      <c r="A2" s="44" t="s">
        <v>183</v>
      </c>
      <c r="B2" s="44" t="s">
        <v>1145</v>
      </c>
      <c r="C2" s="44" t="s">
        <v>1146</v>
      </c>
      <c r="D2" s="44" t="s">
        <v>1147</v>
      </c>
      <c r="E2" s="44" t="s">
        <v>1148</v>
      </c>
      <c r="F2" s="44" t="s">
        <v>1149</v>
      </c>
      <c r="G2" s="44" t="s">
        <v>1150</v>
      </c>
      <c r="H2" s="44" t="s">
        <v>1151</v>
      </c>
      <c r="I2" s="44" t="s">
        <v>1152</v>
      </c>
      <c r="J2" s="44" t="s">
        <v>1153</v>
      </c>
      <c r="K2" s="44" t="s">
        <v>1154</v>
      </c>
    </row>
    <row r="3" spans="1:11" ht="14.25" customHeight="1" x14ac:dyDescent="0.25">
      <c r="A3" s="46" t="s">
        <v>116</v>
      </c>
      <c r="B3" s="118" t="s">
        <v>1155</v>
      </c>
      <c r="C3" s="118" t="s">
        <v>1156</v>
      </c>
      <c r="D3" s="118" t="s">
        <v>1157</v>
      </c>
      <c r="E3" s="47" t="s">
        <v>987</v>
      </c>
      <c r="F3" s="131" t="s">
        <v>1158</v>
      </c>
      <c r="G3" s="47" t="s">
        <v>1159</v>
      </c>
      <c r="H3" s="47" t="s">
        <v>1160</v>
      </c>
      <c r="I3" s="47" t="s">
        <v>1161</v>
      </c>
      <c r="J3" s="131" t="s">
        <v>1162</v>
      </c>
      <c r="K3" s="48" t="s">
        <v>189</v>
      </c>
    </row>
    <row r="4" spans="1:11" ht="60" x14ac:dyDescent="0.25">
      <c r="A4" s="49">
        <v>1</v>
      </c>
      <c r="B4" s="119" t="str">
        <f>'M-Cliente'!J4</f>
        <v>+57-3234528921</v>
      </c>
      <c r="C4" s="188" t="str">
        <f>'M-Agenda'!D4</f>
        <v>+57-3245627890-900123456-7-Sede Poblado-Lunes-09:00-19:00-12/11/2023-1/01/1000-10:00-16:00-03/05/2025-1/01/1000-05/10/2026</v>
      </c>
      <c r="D4" s="188" t="str">
        <f>'M-Estado'!D4</f>
        <v>Agendada</v>
      </c>
      <c r="E4" s="189">
        <v>0.41666666666666669</v>
      </c>
      <c r="F4" s="189">
        <f>E4+TIME(0,SUMIF('M-CitaServicio'!$B$4:$B$14,K4,'M-CitaServicio'!$E$4:$E$14)*60+SUMIF('M-CitaServicio'!$B$4:$B$14,K4,'M-CitaServicio'!$F$4:$F$14)+SUMIF('M-CitaServicio'!$B$4:$B$14,K4,'M-CitaServicio'!$G$4:$G$14),0)</f>
        <v>0.45833333333333337</v>
      </c>
      <c r="G4" s="190">
        <v>10</v>
      </c>
      <c r="H4" s="190">
        <v>10000</v>
      </c>
      <c r="I4" s="190">
        <v>10</v>
      </c>
      <c r="J4" s="191">
        <f>SUMIF('M-CitaServicio'!$B$4:$B$14,K4,'M-CitaServicio'!$D$4:$D$14)*(1-IF(D4='M-Estado'!$D$9,G4,0)/100)</f>
        <v>22000</v>
      </c>
      <c r="K4" s="79" t="str">
        <f t="shared" ref="K4:K13" si="0">_xlfn.CONCAT(C4,"-",TEXT(E4,"hh:mm"))</f>
        <v>+57-3245627890-900123456-7-Sede Poblado-Lunes-09:00-19:00-12/11/2023-1/01/1000-10:00-16:00-03/05/2025-1/01/1000-05/10/2026-10:00</v>
      </c>
    </row>
    <row r="5" spans="1:11" ht="75" x14ac:dyDescent="0.25">
      <c r="A5" s="49">
        <v>2</v>
      </c>
      <c r="B5" s="119" t="str">
        <f>'M-Cliente'!J5</f>
        <v>+57-3161657782</v>
      </c>
      <c r="C5" s="188" t="str">
        <f>'M-Agenda'!D5</f>
        <v>+57-3124518923-900123456-7-Sede Poblado-Martes-09:00-19:00-12/11/2023-1/01/1000-09:00-15:00-02/03/2025-1/01/1000-10/03/2026</v>
      </c>
      <c r="D5" s="188" t="str">
        <f>'M-Estado'!D5</f>
        <v>Finalizada</v>
      </c>
      <c r="E5" s="189">
        <v>0.39583333333333331</v>
      </c>
      <c r="F5" s="189">
        <f>E5+TIME(0,SUMIF('M-CitaServicio'!$B$4:$B$14,K5,'M-CitaServicio'!$E$4:$E$14)*60+SUMIF('M-CitaServicio'!$B$4:$B$14,K5,'M-CitaServicio'!$F$4:$F$14)+SUMIF('M-CitaServicio'!$B$4:$B$14,K5,'M-CitaServicio'!$G$4:$G$14),0)</f>
        <v>0.40625</v>
      </c>
      <c r="G5" s="190">
        <v>10</v>
      </c>
      <c r="H5" s="190">
        <v>10000</v>
      </c>
      <c r="I5" s="190">
        <v>10</v>
      </c>
      <c r="J5" s="191">
        <f>SUMIF('M-CitaServicio'!$B$4:$B$14,K5,'M-CitaServicio'!$D$4:$D$14)*(1-IF(D5='M-Estado'!$D$9,G5,0)/100)</f>
        <v>12000</v>
      </c>
      <c r="K5" s="79" t="str">
        <f t="shared" si="0"/>
        <v>+57-3124518923-900123456-7-Sede Poblado-Martes-09:00-19:00-12/11/2023-1/01/1000-09:00-15:00-02/03/2025-1/01/1000-10/03/2026-09:30</v>
      </c>
    </row>
    <row r="6" spans="1:11" ht="75" x14ac:dyDescent="0.25">
      <c r="A6" s="49">
        <v>3</v>
      </c>
      <c r="B6" s="119" t="str">
        <f>'M-Cliente'!J6</f>
        <v>+57-3119884321</v>
      </c>
      <c r="C6" s="188" t="str">
        <f>'M-Agenda'!D6</f>
        <v>+57-3214533321-900123456-7-Sede Poblado-Jueves-09:00-19:00-12/11/2023-1/01/1000-13:00-19:00-22/12/2022-1/01/1000-14/05/2026</v>
      </c>
      <c r="D6" s="188" t="str">
        <f>'M-Estado'!D8</f>
        <v>El cliente se demoro</v>
      </c>
      <c r="E6" s="189">
        <v>0.54166666666666663</v>
      </c>
      <c r="F6" s="189">
        <f>E6+TIME(0,SUMIF('M-CitaServicio'!$B$4:$B$14,K6,'M-CitaServicio'!$E$4:$E$14)*60+SUMIF('M-CitaServicio'!$B$4:$B$14,K6,'M-CitaServicio'!$F$4:$F$14)+SUMIF('M-CitaServicio'!$B$4:$B$14,K6,'M-CitaServicio'!$G$4:$G$14),0)</f>
        <v>0.55555555555555547</v>
      </c>
      <c r="G6" s="190">
        <v>10</v>
      </c>
      <c r="H6" s="190">
        <v>10000</v>
      </c>
      <c r="I6" s="190">
        <v>10</v>
      </c>
      <c r="J6" s="191">
        <f>SUMIF('M-CitaServicio'!$B$4:$B$14,K6,'M-CitaServicio'!$D$4:$D$14)*(1-IF(D6='M-Estado'!$D$9,G6,0)/100)</f>
        <v>15000</v>
      </c>
      <c r="K6" s="79" t="str">
        <f t="shared" si="0"/>
        <v>+57-3214533321-900123456-7-Sede Poblado-Jueves-09:00-19:00-12/11/2023-1/01/1000-13:00-19:00-22/12/2022-1/01/1000-14/05/2026-13:00</v>
      </c>
    </row>
    <row r="7" spans="1:11" ht="75" x14ac:dyDescent="0.25">
      <c r="A7" s="49">
        <v>4</v>
      </c>
      <c r="B7" s="119" t="str">
        <f>'M-Cliente'!J7</f>
        <v>+58-4127359182</v>
      </c>
      <c r="C7" s="188" t="str">
        <f>'M-Agenda'!D8</f>
        <v>+91-9876543210-900123456-7-Sede Poblado-Sábado-08:00-21:00-12/12/2024-1/01/1000-08:00-14:00-15/09/2025-01/01/2026-22/11/2025</v>
      </c>
      <c r="D7" s="188" t="str">
        <f>'M-Estado'!D10</f>
        <v>Inasistencia del cliente</v>
      </c>
      <c r="E7" s="189">
        <v>0.54166666666666663</v>
      </c>
      <c r="F7" s="189">
        <f>E7+TIME(0,SUMIF('M-CitaServicio'!$B$4:$B$14,K7,'M-CitaServicio'!$E$4:$E$14)*60+SUMIF('M-CitaServicio'!$B$4:$B$14,K7,'M-CitaServicio'!$F$4:$F$14)+SUMIF('M-CitaServicio'!$B$4:$B$14,K7,'M-CitaServicio'!$G$4:$G$14),0)</f>
        <v>0.57638888888888884</v>
      </c>
      <c r="G7" s="190">
        <v>10</v>
      </c>
      <c r="H7" s="190">
        <v>12000</v>
      </c>
      <c r="I7" s="190">
        <v>15</v>
      </c>
      <c r="J7" s="191">
        <f>SUMIF('M-CitaServicio'!$B$4:$B$14,K7,'M-CitaServicio'!$D$4:$D$14)*(1-IF(D7='M-Estado'!$D$9,G7,0)/100)</f>
        <v>35000</v>
      </c>
      <c r="K7" s="79" t="str">
        <f t="shared" si="0"/>
        <v>+91-9876543210-900123456-7-Sede Poblado-Sábado-08:00-21:00-12/12/2024-1/01/1000-08:00-14:00-15/09/2025-01/01/2026-22/11/2025-13:00</v>
      </c>
    </row>
    <row r="8" spans="1:11" ht="75" x14ac:dyDescent="0.25">
      <c r="A8" s="49">
        <v>5</v>
      </c>
      <c r="B8" s="119" t="str">
        <f>'M-Cliente'!J7</f>
        <v>+58-4127359182</v>
      </c>
      <c r="C8" s="188" t="str">
        <f>'M-Agenda'!D9</f>
        <v>+57-3214533321-900123456-7-Sede Poblado-Jueves-09:00-19:00-12/11/2023-1/01/1000-13:00-19:00-22/12/2022-1/01/1000-06/08/2026</v>
      </c>
      <c r="D8" s="188" t="str">
        <f>'M-Estado'!D9</f>
        <v>El barbero se demoro</v>
      </c>
      <c r="E8" s="189">
        <v>0.75</v>
      </c>
      <c r="F8" s="189">
        <f>E8+TIME(0,SUMIF('M-CitaServicio'!$B$4:$B$14,K8,'M-CitaServicio'!$E$4:$E$14)*60+SUMIF('M-CitaServicio'!$B$4:$B$14,K8,'M-CitaServicio'!$F$4:$F$14)+SUMIF('M-CitaServicio'!$B$4:$B$14,K8,'M-CitaServicio'!$G$4:$G$14),0)</f>
        <v>0.76388888888888884</v>
      </c>
      <c r="G8" s="190">
        <v>10</v>
      </c>
      <c r="H8" s="190">
        <v>10000</v>
      </c>
      <c r="I8" s="190">
        <v>10</v>
      </c>
      <c r="J8" s="191">
        <f>SUMIF('M-CitaServicio'!$B$4:$B$14,K8,'M-CitaServicio'!$D$4:$D$14)*(1-IF(D8='M-Estado'!$D$9,G8,0)/100)</f>
        <v>10800</v>
      </c>
      <c r="K8" s="79" t="str">
        <f t="shared" si="0"/>
        <v>+57-3214533321-900123456-7-Sede Poblado-Jueves-09:00-19:00-12/11/2023-1/01/1000-13:00-19:00-22/12/2022-1/01/1000-06/08/2026-18:00</v>
      </c>
    </row>
    <row r="9" spans="1:11" ht="75" x14ac:dyDescent="0.25">
      <c r="A9" s="49">
        <v>6</v>
      </c>
      <c r="B9" s="119" t="str">
        <f>'M-Cliente'!J4</f>
        <v>+57-3234528921</v>
      </c>
      <c r="C9" s="188" t="str">
        <f>'M-Agenda'!D7</f>
        <v>+91-9876543210-900123456-7-Sede Poblado-Festivo-10:00-15:00-12/12/2024-1/01/1000-12:00-15:00-02/01/2026-02/03/2026-12/01/2026</v>
      </c>
      <c r="D9" s="188" t="str">
        <f>'M-Estado'!D5</f>
        <v>Finalizada</v>
      </c>
      <c r="E9" s="189">
        <v>0.58333333333333337</v>
      </c>
      <c r="F9" s="189">
        <f>E9+TIME(0,SUMIF('M-CitaServicio'!$B$4:$B$14,K9,'M-CitaServicio'!$E$4:$E$14)*60+SUMIF('M-CitaServicio'!$B$4:$B$14,K9,'M-CitaServicio'!$F$4:$F$14)+SUMIF('M-CitaServicio'!$B$4:$B$14,K9,'M-CitaServicio'!$G$4:$G$14),0)</f>
        <v>0.61805555555555558</v>
      </c>
      <c r="G9" s="190">
        <v>10</v>
      </c>
      <c r="H9" s="190">
        <v>10000</v>
      </c>
      <c r="I9" s="190">
        <v>10</v>
      </c>
      <c r="J9" s="191">
        <f>SUMIF('M-CitaServicio'!$B$4:$B$14,K9,'M-CitaServicio'!$D$4:$D$14)*(1-IF(D9='M-Estado'!$D$9,G9,0)/100)</f>
        <v>35000</v>
      </c>
      <c r="K9" s="79" t="str">
        <f t="shared" si="0"/>
        <v>+91-9876543210-900123456-7-Sede Poblado-Festivo-10:00-15:00-12/12/2024-1/01/1000-12:00-15:00-02/01/2026-02/03/2026-12/01/2026-14:00</v>
      </c>
    </row>
    <row r="10" spans="1:11" ht="68.25" customHeight="1" x14ac:dyDescent="0.25">
      <c r="A10" s="49">
        <v>7</v>
      </c>
      <c r="B10" s="119" t="str">
        <f>'M-Cliente'!J8</f>
        <v>+57-3005544332</v>
      </c>
      <c r="C10" s="188" t="str">
        <f>'M-Agenda'!D10</f>
        <v>+57-3245627890-900123456-7-Sede Poblado-Lunes-09:00-19:00-12/11/2023-1/01/1000-10:00-16:00-03/05/2025-1/01/1000-01/06/2026</v>
      </c>
      <c r="D10" s="188" t="str">
        <f>'M-Estado'!D10</f>
        <v>Inasistencia del cliente</v>
      </c>
      <c r="E10" s="189">
        <v>0.41666666666666669</v>
      </c>
      <c r="F10" s="189">
        <f>E10+TIME(0,SUMIF('M-CitaServicio'!$B$4:$B$14,K10,'M-CitaServicio'!$E$4:$E$14)*60+SUMIF('M-CitaServicio'!$B$4:$B$14,K10,'M-CitaServicio'!$F$4:$F$14)+SUMIF('M-CitaServicio'!$B$4:$B$14,K10,'M-CitaServicio'!$G$4:$G$14),0)</f>
        <v>0.45833333333333337</v>
      </c>
      <c r="G10" s="190">
        <v>10</v>
      </c>
      <c r="H10" s="190">
        <v>12000</v>
      </c>
      <c r="I10" s="190">
        <v>15</v>
      </c>
      <c r="J10" s="191">
        <f>SUMIF('M-CitaServicio'!$B$4:$B$14,K10,'M-CitaServicio'!$D$4:$D$14)*(1-IF(D10='M-Estado'!$D$9,G10,0)/100)</f>
        <v>22000</v>
      </c>
      <c r="K10" s="79" t="str">
        <f t="shared" si="0"/>
        <v>+57-3245627890-900123456-7-Sede Poblado-Lunes-09:00-19:00-12/11/2023-1/01/1000-10:00-16:00-03/05/2025-1/01/1000-01/06/2026-10:00</v>
      </c>
    </row>
    <row r="11" spans="1:11" ht="67.5" customHeight="1" x14ac:dyDescent="0.25">
      <c r="A11" s="49">
        <v>8</v>
      </c>
      <c r="B11" s="119" t="str">
        <f>'M-Cliente'!J8</f>
        <v>+57-3005544332</v>
      </c>
      <c r="C11" s="188" t="str">
        <f>'M-Agenda'!D11</f>
        <v>+57-3124518923-900123456-7-Sede Poblado-Martes-09:00-19:00-12/11/2023-1/01/1000-09:00-15:00-02/03/2025-1/01/1000-16/06/2026</v>
      </c>
      <c r="D11" s="188" t="str">
        <f>'M-Estado'!D10</f>
        <v>Inasistencia del cliente</v>
      </c>
      <c r="E11" s="189">
        <v>0.375</v>
      </c>
      <c r="F11" s="189">
        <f>E11+TIME(0,SUMIF('M-CitaServicio'!$B$4:$B$14,K11,'M-CitaServicio'!$E$4:$E$14)*60+SUMIF('M-CitaServicio'!$B$4:$B$14,K11,'M-CitaServicio'!$F$4:$F$14)+SUMIF('M-CitaServicio'!$B$4:$B$14,K11,'M-CitaServicio'!$G$4:$G$14),0)</f>
        <v>0.38541666666666669</v>
      </c>
      <c r="G11" s="190">
        <v>5</v>
      </c>
      <c r="H11" s="190">
        <v>10000</v>
      </c>
      <c r="I11" s="190">
        <v>10</v>
      </c>
      <c r="J11" s="191">
        <f>SUMIF('M-CitaServicio'!$B$4:$B$14,K11,'M-CitaServicio'!$D$4:$D$14)*(1-IF(D11='M-Estado'!$D$9,G11,0)/100)</f>
        <v>12000</v>
      </c>
      <c r="K11" s="79" t="str">
        <f t="shared" si="0"/>
        <v>+57-3124518923-900123456-7-Sede Poblado-Martes-09:00-19:00-12/11/2023-1/01/1000-09:00-15:00-02/03/2025-1/01/1000-16/06/2026-09:00</v>
      </c>
    </row>
    <row r="12" spans="1:11" ht="75" x14ac:dyDescent="0.25">
      <c r="A12" s="49">
        <v>9</v>
      </c>
      <c r="B12" s="119" t="str">
        <f>'M-Cliente'!J8</f>
        <v>+57-3005544332</v>
      </c>
      <c r="C12" s="188" t="str">
        <f>'M-Agenda'!D12</f>
        <v>+57-3214533321-900123456-7-Sede Poblado-Jueves-09:00-19:00-12/11/2023-1/01/1000-13:00-19:00-22/12/2022-1/01/1000-02/07/2026</v>
      </c>
      <c r="D12" s="188" t="str">
        <f>'M-Estado'!D10</f>
        <v>Inasistencia del cliente</v>
      </c>
      <c r="E12" s="189">
        <v>0.625</v>
      </c>
      <c r="F12" s="189">
        <f>E12+TIME(0,SUMIF('M-CitaServicio'!$B$4:$B$14,K12,'M-CitaServicio'!$E$4:$E$14)*60+SUMIF('M-CitaServicio'!$B$4:$B$14,K12,'M-CitaServicio'!$F$4:$F$14)+SUMIF('M-CitaServicio'!$B$4:$B$14,K12,'M-CitaServicio'!$G$4:$G$14),0)</f>
        <v>0.63888888888888884</v>
      </c>
      <c r="G12" s="190">
        <v>15</v>
      </c>
      <c r="H12" s="190">
        <v>10000</v>
      </c>
      <c r="I12" s="190">
        <v>10</v>
      </c>
      <c r="J12" s="191">
        <f>SUMIF('M-CitaServicio'!$B$4:$B$14,K12,'M-CitaServicio'!$D$4:$D$14)*(1-IF(D12='M-Estado'!$D$9,G12,0)/100)</f>
        <v>15000</v>
      </c>
      <c r="K12" s="79" t="str">
        <f t="shared" si="0"/>
        <v>+57-3214533321-900123456-7-Sede Poblado-Jueves-09:00-19:00-12/11/2023-1/01/1000-13:00-19:00-22/12/2022-1/01/1000-02/07/2026-15:00</v>
      </c>
    </row>
    <row r="13" spans="1:11" ht="75" x14ac:dyDescent="0.25">
      <c r="A13" s="49">
        <v>10</v>
      </c>
      <c r="B13" s="119" t="str">
        <f>'M-Cliente'!J5</f>
        <v>+57-3161657782</v>
      </c>
      <c r="C13" s="188" t="str">
        <f>'M-Agenda'!D6</f>
        <v>+57-3214533321-900123456-7-Sede Poblado-Jueves-09:00-19:00-12/11/2023-1/01/1000-13:00-19:00-22/12/2022-1/01/1000-14/05/2026</v>
      </c>
      <c r="D13" s="119" t="str">
        <f>'M-Estado'!D5</f>
        <v>Finalizada</v>
      </c>
      <c r="E13" s="189">
        <v>0.5625</v>
      </c>
      <c r="F13" s="189">
        <f>E13+TIME(0,SUMIF('M-CitaServicio'!$B$4:$B$14,K13,'M-CitaServicio'!$E$4:$E$14)*60+SUMIF('M-CitaServicio'!$B$4:$B$14,K13,'M-CitaServicio'!$F$4:$F$14)+SUMIF('M-CitaServicio'!$B$4:$B$14,K13,'M-CitaServicio'!$G$4:$G$14),0)</f>
        <v>0.59027777777777779</v>
      </c>
      <c r="G13" s="190">
        <v>0</v>
      </c>
      <c r="H13" s="190">
        <v>10000</v>
      </c>
      <c r="I13" s="190">
        <v>15</v>
      </c>
      <c r="J13" s="191">
        <f>SUMIF('M-CitaServicio'!$B$4:$B$14,K13,'M-CitaServicio'!$D$4:$D$14)*(1-IF(D13='M-Estado'!$D$9,G13,0)/100)</f>
        <v>27000</v>
      </c>
      <c r="K13" s="79" t="str">
        <f t="shared" si="0"/>
        <v>+57-3214533321-900123456-7-Sede Poblado-Jueves-09:00-19:00-12/11/2023-1/01/1000-13:00-19:00-22/12/2022-1/01/1000-14/05/2026-13:30</v>
      </c>
    </row>
    <row r="14" spans="1:11" ht="14.25" customHeight="1" x14ac:dyDescent="0.25">
      <c r="B14" s="53"/>
    </row>
    <row r="19" spans="1:2" ht="28.5" customHeight="1" x14ac:dyDescent="0.25">
      <c r="A19" s="52"/>
      <c r="B19" s="53" t="s">
        <v>194</v>
      </c>
    </row>
    <row r="20" spans="1:2" ht="28.5" customHeight="1" x14ac:dyDescent="0.25">
      <c r="A20" s="54"/>
      <c r="B20" s="53" t="s">
        <v>195</v>
      </c>
    </row>
    <row r="21" spans="1:2" ht="28.5" customHeight="1" x14ac:dyDescent="0.25">
      <c r="A21" s="120"/>
      <c r="B21" s="53" t="s">
        <v>443</v>
      </c>
    </row>
    <row r="22" spans="1:2" ht="28.5" customHeight="1" x14ac:dyDescent="0.25">
      <c r="A22" s="132"/>
      <c r="B22" s="53" t="s">
        <v>444</v>
      </c>
    </row>
    <row r="23" spans="1:2" ht="28.5" customHeight="1" x14ac:dyDescent="0.25">
      <c r="A23" s="55"/>
      <c r="B23" s="53" t="s">
        <v>196</v>
      </c>
    </row>
    <row r="24" spans="1:2" ht="28.5" customHeight="1" x14ac:dyDescent="0.25">
      <c r="A24" s="143"/>
      <c r="B24" s="53" t="s">
        <v>197</v>
      </c>
    </row>
    <row r="25" spans="1:2" x14ac:dyDescent="0.25">
      <c r="B25" s="53"/>
    </row>
  </sheetData>
  <hyperlinks>
    <hyperlink ref="A1" location="'Modelo de Dominio'!A1" display="&lt;&lt;&lt;&lt; Ir al modulo de dominio" xr:uid="{00000000-0004-0000-4900-000000000000}"/>
    <hyperlink ref="B1" location="'Objetos de Dominio'!A1" display="&lt;&lt;&lt;&lt; Ir a objetos de dominio" xr:uid="{00000000-0004-0000-4900-000001000000}"/>
    <hyperlink ref="B3" location="'M-Cliente'!A1" display="cliente" xr:uid="{00000000-0004-0000-4900-000002000000}"/>
    <hyperlink ref="C3" location="'M-Agenda'!A1" display="agenda" xr:uid="{00000000-0004-0000-4900-000003000000}"/>
    <hyperlink ref="D3" location="'M-Estado'!A1" display="estado" xr:uid="{00000000-0004-0000-4900-000004000000}"/>
    <hyperlink ref="B4" location="'M-Cliente'!A4" display="#'M-Cliente'.A4" xr:uid="{00000000-0004-0000-4900-000005000000}"/>
    <hyperlink ref="C4" location="'M-Agenda'!A4" display="#'M-Agenda'.A4" xr:uid="{00000000-0004-0000-4900-000006000000}"/>
    <hyperlink ref="D4" location="'M-Estado'!A4" display="#'M-Estado'.A4" xr:uid="{00000000-0004-0000-4900-000007000000}"/>
    <hyperlink ref="J4" location="'M-CitaServicio'!A4" display="#'M-CitaServicio'.A4" xr:uid="{00000000-0004-0000-4900-000008000000}"/>
    <hyperlink ref="B5" location="'M-Cliente'!A5" display="#'M-Cliente'.A5" xr:uid="{00000000-0004-0000-4900-000009000000}"/>
    <hyperlink ref="C5" location="'M-Agenda'!A5" display="#'M-Agenda'.A5" xr:uid="{00000000-0004-0000-4900-00000A000000}"/>
    <hyperlink ref="D5" location="'M-Estado'!A5" display="#'M-Estado'.A5" xr:uid="{00000000-0004-0000-4900-00000B000000}"/>
    <hyperlink ref="J5" location="'M-CitaServicio'!A4" display="#'M-CitaServicio'.A4" xr:uid="{00000000-0004-0000-4900-00000C000000}"/>
    <hyperlink ref="B6" location="'M-Cliente'!A6" display="#'M-Cliente'.A6" xr:uid="{00000000-0004-0000-4900-00000D000000}"/>
    <hyperlink ref="C6" location="'M-Agenda'!A6" display="#'M-Agenda'.A6" xr:uid="{00000000-0004-0000-4900-00000E000000}"/>
    <hyperlink ref="D6" location="'M-Estado'!A8" display="#'M-Estado'.A8" xr:uid="{00000000-0004-0000-4900-00000F000000}"/>
    <hyperlink ref="J6" location="'M-CitaServicio'!A4" display="#'M-CitaServicio'.A4" xr:uid="{00000000-0004-0000-4900-000010000000}"/>
    <hyperlink ref="B7" location="'M-Cliente'!A7" display="#'M-Cliente'.A7" xr:uid="{00000000-0004-0000-4900-000011000000}"/>
    <hyperlink ref="C7" location="'M-Agenda'!A8" display="#'M-Agenda'.A8" xr:uid="{00000000-0004-0000-4900-000012000000}"/>
    <hyperlink ref="D7" location="'M-Estado'!A10" display="#'M-Estado'.A10" xr:uid="{00000000-0004-0000-4900-000013000000}"/>
    <hyperlink ref="J7" location="'M-CitaServicio'!A4" display="#'M-CitaServicio'.A4" xr:uid="{00000000-0004-0000-4900-000014000000}"/>
    <hyperlink ref="B8" location="'M-Cliente'!A7" display="#'M-Cliente'.A7" xr:uid="{00000000-0004-0000-4900-000015000000}"/>
    <hyperlink ref="C8" location="'M-Agenda'!A9" display="#'M-Agenda'.A9" xr:uid="{00000000-0004-0000-4900-000016000000}"/>
    <hyperlink ref="D8" location="'M-Estado'!A9" display="#'M-Estado'.A9" xr:uid="{00000000-0004-0000-4900-000017000000}"/>
    <hyperlink ref="J8" location="'M-CitaServicio'!A4" display="#'M-CitaServicio'.A4" xr:uid="{00000000-0004-0000-4900-000018000000}"/>
    <hyperlink ref="B9" location="'M-Cliente'!A4" display="#'M-Cliente'.A4" xr:uid="{00000000-0004-0000-4900-000019000000}"/>
    <hyperlink ref="C9" location="'M-Agenda'!A7" display="#'M-Agenda'.A7" xr:uid="{00000000-0004-0000-4900-00001A000000}"/>
    <hyperlink ref="D9" location="'M-Estado'!A5" display="#'M-Estado'.A5" xr:uid="{00000000-0004-0000-4900-00001B000000}"/>
    <hyperlink ref="J9" location="'M-CitaServicio'!A4" display="#'M-CitaServicio'.A4" xr:uid="{00000000-0004-0000-4900-00001C000000}"/>
    <hyperlink ref="B10" location="'M-Cliente'!A8" display="#'M-Cliente'.A8" xr:uid="{00000000-0004-0000-4900-00001D000000}"/>
    <hyperlink ref="C10" location="'M-Agenda'!A10" display="#'M-Agenda'.A10" xr:uid="{00000000-0004-0000-4900-00001E000000}"/>
    <hyperlink ref="D10" location="'M-Estado'!A10" display="#'M-Estado'.A10" xr:uid="{00000000-0004-0000-4900-00001F000000}"/>
    <hyperlink ref="J10" location="'M-CitaServicio'!A4" display="#'M-CitaServicio'.A4" xr:uid="{00000000-0004-0000-4900-000020000000}"/>
    <hyperlink ref="B11" location="'M-Cliente'!A8" display="#'M-Cliente'.A8" xr:uid="{00000000-0004-0000-4900-000021000000}"/>
    <hyperlink ref="C11" location="'M-Agenda'!A11" display="#'M-Agenda'.A11" xr:uid="{00000000-0004-0000-4900-000022000000}"/>
    <hyperlink ref="D11" location="'M-Estado'!A10" display="#'M-Estado'.A10" xr:uid="{00000000-0004-0000-4900-000023000000}"/>
    <hyperlink ref="J11" location="'M-CitaServicio'!A4" display="#'M-CitaServicio'.A4" xr:uid="{00000000-0004-0000-4900-000024000000}"/>
    <hyperlink ref="B12" location="'M-Cliente'!A8" display="#'M-Cliente'.A8" xr:uid="{00000000-0004-0000-4900-000025000000}"/>
    <hyperlink ref="C12" location="'M-Agenda'!A12" display="#'M-Agenda'.A12" xr:uid="{00000000-0004-0000-4900-000026000000}"/>
    <hyperlink ref="D12" location="'M-Estado'!A10" display="#'M-Estado'.A10" xr:uid="{00000000-0004-0000-4900-000027000000}"/>
    <hyperlink ref="J12" location="'M-CitaServicio'!A4" display="#'M-CitaServicio'.A4" xr:uid="{00000000-0004-0000-4900-000028000000}"/>
    <hyperlink ref="B13" location="'M-Cliente'!A5" display="#'M-Cliente'.A5" xr:uid="{00000000-0004-0000-4900-000029000000}"/>
    <hyperlink ref="C13" location="'M-Agenda'!A6" display="#'M-Agenda'.A6" xr:uid="{00000000-0004-0000-4900-00002A000000}"/>
    <hyperlink ref="D13" location="'M-Estado'!A5" display="#'M-Estado'.A5" xr:uid="{00000000-0004-0000-4900-00002B000000}"/>
    <hyperlink ref="J13" location="'M-CitaServicio'!A4" display="#'M-CitaServicio'.A4" xr:uid="{00000000-0004-0000-4900-00002C000000}"/>
  </hyperlinks>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X19"/>
  <sheetViews>
    <sheetView zoomScaleNormal="100" workbookViewId="0">
      <selection activeCell="Q12" sqref="Q12"/>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7" max="9" width="13" customWidth="1"/>
    <col min="10" max="10" width="17.5703125" customWidth="1"/>
    <col min="11" max="11" width="13" customWidth="1"/>
    <col min="12" max="12" width="9.140625" customWidth="1"/>
    <col min="13" max="13" width="40" customWidth="1"/>
    <col min="14" max="14" width="18" customWidth="1"/>
    <col min="15" max="15" width="13" customWidth="1"/>
    <col min="16" max="16" width="16.28515625" customWidth="1"/>
    <col min="17" max="17" width="13" customWidth="1"/>
    <col min="18" max="18" width="13.7109375" customWidth="1"/>
    <col min="22" max="22" width="24.7109375" customWidth="1"/>
    <col min="23" max="24" width="22" customWidth="1"/>
  </cols>
  <sheetData>
    <row r="1" spans="1:24" ht="15" customHeight="1" x14ac:dyDescent="0.25">
      <c r="A1" s="4" t="s">
        <v>0</v>
      </c>
      <c r="B1" s="4" t="s">
        <v>55</v>
      </c>
    </row>
    <row r="2" spans="1:24"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A17</f>
        <v>consultarServiciosDeCita</v>
      </c>
      <c r="W2" s="83" t="str">
        <f>A18</f>
        <v>consultarPrecioDeCadaServicio</v>
      </c>
      <c r="X2" s="83" t="str">
        <f>A19</f>
        <v>crearCitaServicio</v>
      </c>
    </row>
    <row r="3" spans="1:24" ht="45" customHeight="1" x14ac:dyDescent="0.25">
      <c r="A3" s="107" t="str">
        <f>'M-CitaServicio'!A3</f>
        <v>id</v>
      </c>
      <c r="B3" s="145" t="str">
        <f>'M-CitaServicio'!A2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07" t="s">
        <v>79</v>
      </c>
      <c r="N3" s="107" t="s">
        <v>80</v>
      </c>
      <c r="O3" s="107" t="s">
        <v>80</v>
      </c>
      <c r="P3" s="107" t="s">
        <v>79</v>
      </c>
      <c r="Q3" s="107" t="s">
        <v>80</v>
      </c>
      <c r="R3" s="107" t="s">
        <v>80</v>
      </c>
      <c r="S3" s="107" t="s">
        <v>80</v>
      </c>
      <c r="T3" s="107" t="s">
        <v>81</v>
      </c>
      <c r="U3" s="107" t="s">
        <v>77</v>
      </c>
      <c r="V3" s="85" t="s">
        <v>83</v>
      </c>
      <c r="W3" s="86" t="s">
        <v>83</v>
      </c>
      <c r="X3" s="86" t="s">
        <v>82</v>
      </c>
    </row>
    <row r="4" spans="1:24" ht="30" customHeight="1" x14ac:dyDescent="0.25">
      <c r="A4" s="159" t="str">
        <f>'M-CitaServicio'!B3</f>
        <v>cita</v>
      </c>
      <c r="B4" s="159" t="str">
        <f>'M-CitaServicio'!B2</f>
        <v>Hace referencia a la cita a la que pertenece este servicio pedido</v>
      </c>
      <c r="C4" s="159" t="s">
        <v>80</v>
      </c>
      <c r="D4" s="192" t="s">
        <v>46</v>
      </c>
      <c r="E4" s="159" t="s">
        <v>77</v>
      </c>
      <c r="F4" s="159" t="s">
        <v>79</v>
      </c>
      <c r="G4" s="159" t="s">
        <v>79</v>
      </c>
      <c r="H4" s="159" t="s">
        <v>79</v>
      </c>
      <c r="I4" s="159" t="s">
        <v>79</v>
      </c>
      <c r="J4" s="159" t="s">
        <v>79</v>
      </c>
      <c r="K4" s="159" t="s">
        <v>79</v>
      </c>
      <c r="L4" s="159" t="s">
        <v>79</v>
      </c>
      <c r="M4" s="179" t="s">
        <v>331</v>
      </c>
      <c r="N4" s="159" t="s">
        <v>80</v>
      </c>
      <c r="O4" s="159" t="s">
        <v>79</v>
      </c>
      <c r="P4" s="159" t="s">
        <v>79</v>
      </c>
      <c r="Q4" s="159" t="s">
        <v>79</v>
      </c>
      <c r="R4" s="159" t="s">
        <v>79</v>
      </c>
      <c r="S4" s="159" t="s">
        <v>80</v>
      </c>
      <c r="T4" s="159" t="s">
        <v>81</v>
      </c>
      <c r="U4" s="159" t="s">
        <v>80</v>
      </c>
      <c r="V4" s="85" t="s">
        <v>83</v>
      </c>
      <c r="W4" s="86" t="s">
        <v>83</v>
      </c>
      <c r="X4" s="86" t="s">
        <v>84</v>
      </c>
    </row>
    <row r="5" spans="1:24" ht="60" customHeight="1" x14ac:dyDescent="0.25">
      <c r="A5" s="107" t="str">
        <f>'M-CitaServicio'!C3</f>
        <v>barberoServicio</v>
      </c>
      <c r="B5" s="145" t="str">
        <f>'M-CitaServicio'!C2</f>
        <v>Hace referencia a qué servicio, de qué barbero específico, se pidió en esta cita. No se referencia el Servicio directamente porque un barbero podría no ofrecerlo</v>
      </c>
      <c r="C5" s="107" t="s">
        <v>80</v>
      </c>
      <c r="D5" s="146" t="s">
        <v>38</v>
      </c>
      <c r="E5" s="107" t="s">
        <v>77</v>
      </c>
      <c r="F5" s="107" t="s">
        <v>79</v>
      </c>
      <c r="G5" s="107" t="s">
        <v>79</v>
      </c>
      <c r="H5" s="107" t="s">
        <v>79</v>
      </c>
      <c r="I5" s="107" t="s">
        <v>79</v>
      </c>
      <c r="J5" s="107" t="s">
        <v>79</v>
      </c>
      <c r="K5" s="107" t="s">
        <v>79</v>
      </c>
      <c r="L5" s="107" t="s">
        <v>79</v>
      </c>
      <c r="M5" s="179" t="s">
        <v>331</v>
      </c>
      <c r="N5" s="107" t="s">
        <v>80</v>
      </c>
      <c r="O5" s="107" t="s">
        <v>79</v>
      </c>
      <c r="P5" s="107" t="s">
        <v>79</v>
      </c>
      <c r="Q5" s="107" t="s">
        <v>79</v>
      </c>
      <c r="R5" s="107" t="s">
        <v>79</v>
      </c>
      <c r="S5" s="107" t="s">
        <v>80</v>
      </c>
      <c r="T5" s="107" t="s">
        <v>81</v>
      </c>
      <c r="U5" s="107" t="s">
        <v>80</v>
      </c>
      <c r="V5" s="85" t="s">
        <v>89</v>
      </c>
      <c r="W5" s="86" t="s">
        <v>89</v>
      </c>
      <c r="X5" s="86" t="s">
        <v>84</v>
      </c>
    </row>
    <row r="6" spans="1:24" ht="75" customHeight="1" x14ac:dyDescent="0.25">
      <c r="A6" s="159" t="str">
        <f>'M-CitaServicio'!D3</f>
        <v>precioServicio</v>
      </c>
      <c r="B6" s="159" t="str">
        <f>'M-CitaServicio'!D2</f>
        <v>Representa el precio que tenía el servicio en el momento en que se agendó esta cita. Es un dato auto generado: copia de Servicio.precio, para que cambios futuros en el precio del catálogo no alteren una cita ya registrada</v>
      </c>
      <c r="C6" s="159" t="s">
        <v>80</v>
      </c>
      <c r="D6" s="159" t="s">
        <v>361</v>
      </c>
      <c r="E6" s="159" t="s">
        <v>77</v>
      </c>
      <c r="F6" s="159" t="s">
        <v>79</v>
      </c>
      <c r="G6" s="159" t="s">
        <v>79</v>
      </c>
      <c r="H6" s="159" t="s">
        <v>79</v>
      </c>
      <c r="I6" s="159" t="s">
        <v>79</v>
      </c>
      <c r="J6" s="159">
        <v>0</v>
      </c>
      <c r="K6" s="159">
        <v>2000000</v>
      </c>
      <c r="L6" s="107" t="s">
        <v>79</v>
      </c>
      <c r="M6" s="159" t="s">
        <v>1163</v>
      </c>
      <c r="N6" s="159" t="s">
        <v>80</v>
      </c>
      <c r="O6" s="159" t="s">
        <v>79</v>
      </c>
      <c r="P6" s="159" t="s">
        <v>79</v>
      </c>
      <c r="Q6" s="159" t="s">
        <v>79</v>
      </c>
      <c r="R6" s="159" t="s">
        <v>79</v>
      </c>
      <c r="S6" s="159" t="s">
        <v>80</v>
      </c>
      <c r="T6" s="159" t="s">
        <v>333</v>
      </c>
      <c r="U6" s="159" t="s">
        <v>77</v>
      </c>
      <c r="V6" s="85" t="s">
        <v>89</v>
      </c>
      <c r="W6" s="86" t="s">
        <v>89</v>
      </c>
      <c r="X6" s="86" t="s">
        <v>82</v>
      </c>
    </row>
    <row r="7" spans="1:24" ht="75" customHeight="1" x14ac:dyDescent="0.25">
      <c r="A7" s="159" t="str">
        <f>'M-CitaServicio'!E3</f>
        <v>duracionEnHorasElServicio</v>
      </c>
      <c r="B7" s="159" t="str">
        <f>'M-CitaServicio'!E2</f>
        <v>Representa la duración en horas que tenía el servicio para ese barbero en el momento en que se agendó esta cita. Es un dato auto generado: copia de BarberoServicio.duracionServicio</v>
      </c>
      <c r="C7" s="159" t="s">
        <v>80</v>
      </c>
      <c r="D7" s="159" t="s">
        <v>361</v>
      </c>
      <c r="E7" s="159" t="s">
        <v>77</v>
      </c>
      <c r="F7" s="159" t="s">
        <v>79</v>
      </c>
      <c r="G7" s="159" t="s">
        <v>79</v>
      </c>
      <c r="H7" s="159" t="s">
        <v>79</v>
      </c>
      <c r="I7" s="159" t="s">
        <v>79</v>
      </c>
      <c r="J7" s="159">
        <v>0</v>
      </c>
      <c r="K7" s="159">
        <v>3</v>
      </c>
      <c r="L7" s="107" t="s">
        <v>79</v>
      </c>
      <c r="M7" s="159" t="s">
        <v>1164</v>
      </c>
      <c r="N7" s="159" t="s">
        <v>80</v>
      </c>
      <c r="O7" s="159" t="s">
        <v>79</v>
      </c>
      <c r="P7" s="159" t="s">
        <v>79</v>
      </c>
      <c r="Q7" s="159" t="s">
        <v>79</v>
      </c>
      <c r="R7" s="159" t="s">
        <v>79</v>
      </c>
      <c r="S7" s="159" t="s">
        <v>80</v>
      </c>
      <c r="T7" s="193">
        <v>0</v>
      </c>
      <c r="U7" s="159" t="s">
        <v>77</v>
      </c>
      <c r="V7" s="85" t="s">
        <v>89</v>
      </c>
      <c r="W7" s="86" t="s">
        <v>83</v>
      </c>
      <c r="X7" s="86" t="s">
        <v>82</v>
      </c>
    </row>
    <row r="8" spans="1:24" ht="60" customHeight="1" x14ac:dyDescent="0.25">
      <c r="A8" s="107" t="str">
        <f>'M-CitaServicio'!F3</f>
        <v>duracionEnMinutosElServicio</v>
      </c>
      <c r="B8" s="145" t="str">
        <f>'M-CitaServicio'!F2</f>
        <v>Representa la duración en minutos que tenía el servicio para ese barbero en el momento en que se agendó esta cita. Es un dato auto generado: copia de BarberoServicio.duracionServicio</v>
      </c>
      <c r="C8" s="107" t="s">
        <v>80</v>
      </c>
      <c r="D8" s="107" t="s">
        <v>361</v>
      </c>
      <c r="E8" s="107" t="s">
        <v>77</v>
      </c>
      <c r="F8" s="107" t="s">
        <v>79</v>
      </c>
      <c r="G8" s="107" t="s">
        <v>79</v>
      </c>
      <c r="H8" s="107" t="s">
        <v>79</v>
      </c>
      <c r="I8" s="107" t="s">
        <v>79</v>
      </c>
      <c r="J8" s="107">
        <v>0</v>
      </c>
      <c r="K8" s="107">
        <v>59</v>
      </c>
      <c r="L8" s="107" t="s">
        <v>79</v>
      </c>
      <c r="M8" s="145" t="s">
        <v>1165</v>
      </c>
      <c r="N8" s="107" t="s">
        <v>80</v>
      </c>
      <c r="O8" s="107" t="s">
        <v>79</v>
      </c>
      <c r="P8" s="107" t="s">
        <v>79</v>
      </c>
      <c r="Q8" s="107" t="s">
        <v>79</v>
      </c>
      <c r="R8" s="107" t="s">
        <v>79</v>
      </c>
      <c r="S8" s="107" t="s">
        <v>80</v>
      </c>
      <c r="T8" s="107" t="s">
        <v>333</v>
      </c>
      <c r="U8" s="107" t="s">
        <v>77</v>
      </c>
      <c r="V8" s="85" t="s">
        <v>89</v>
      </c>
      <c r="W8" s="86" t="s">
        <v>83</v>
      </c>
      <c r="X8" s="86" t="s">
        <v>82</v>
      </c>
    </row>
    <row r="9" spans="1:24" ht="105" customHeight="1" x14ac:dyDescent="0.25">
      <c r="A9" s="159" t="str">
        <f>'M-CitaServicio'!G3</f>
        <v>tiempoExtra</v>
      </c>
      <c r="B9" s="159"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59" t="s">
        <v>80</v>
      </c>
      <c r="D9" s="159" t="s">
        <v>361</v>
      </c>
      <c r="E9" s="159" t="s">
        <v>77</v>
      </c>
      <c r="F9" s="159" t="s">
        <v>79</v>
      </c>
      <c r="G9" s="159" t="s">
        <v>79</v>
      </c>
      <c r="H9" s="159" t="s">
        <v>79</v>
      </c>
      <c r="I9" s="159" t="s">
        <v>79</v>
      </c>
      <c r="J9" s="159">
        <v>0</v>
      </c>
      <c r="K9" s="159">
        <v>59</v>
      </c>
      <c r="L9" s="107" t="s">
        <v>79</v>
      </c>
      <c r="M9" s="159" t="s">
        <v>1166</v>
      </c>
      <c r="N9" s="159" t="s">
        <v>80</v>
      </c>
      <c r="O9" s="159" t="s">
        <v>79</v>
      </c>
      <c r="P9" s="159" t="s">
        <v>79</v>
      </c>
      <c r="Q9" s="159" t="s">
        <v>79</v>
      </c>
      <c r="R9" s="159" t="s">
        <v>79</v>
      </c>
      <c r="S9" s="159" t="s">
        <v>80</v>
      </c>
      <c r="T9" s="159" t="s">
        <v>333</v>
      </c>
      <c r="U9" s="159" t="s">
        <v>77</v>
      </c>
      <c r="V9" s="85" t="s">
        <v>89</v>
      </c>
      <c r="W9" s="86" t="s">
        <v>83</v>
      </c>
      <c r="X9" s="86" t="s">
        <v>82</v>
      </c>
    </row>
    <row r="11" spans="1:24" ht="15" customHeight="1" x14ac:dyDescent="0.25">
      <c r="A11" s="19" t="s">
        <v>93</v>
      </c>
      <c r="B11" s="19" t="s">
        <v>94</v>
      </c>
      <c r="C11" s="19" t="s">
        <v>95</v>
      </c>
    </row>
    <row r="12" spans="1:24" ht="57" customHeight="1" x14ac:dyDescent="0.25">
      <c r="A12" s="364" t="str">
        <f>'M-CitaServicio'!H3</f>
        <v xml:space="preserve">Combinación única </v>
      </c>
      <c r="B12" s="371" t="str">
        <f>'M-CitaServicio'!H2</f>
        <v>Combinación única que indica que un mismo servicio no se puede pedir dos veces en la misma cita, es decir que CitaServicio no puede tener la misma cita y el barberoServicio</v>
      </c>
      <c r="C12" s="20" t="str">
        <f>A4</f>
        <v>cita</v>
      </c>
    </row>
    <row r="13" spans="1:24" ht="15" customHeight="1" x14ac:dyDescent="0.25">
      <c r="A13" s="281"/>
      <c r="B13" s="281"/>
      <c r="C13" s="20" t="str">
        <f>A5</f>
        <v>barberoServicio</v>
      </c>
    </row>
    <row r="15" spans="1:24" x14ac:dyDescent="0.25">
      <c r="A15" s="320" t="s">
        <v>96</v>
      </c>
      <c r="B15" s="321"/>
      <c r="C15" s="323" t="s">
        <v>94</v>
      </c>
      <c r="D15" s="326"/>
      <c r="E15" s="326"/>
      <c r="F15" s="321"/>
      <c r="G15" s="323" t="s">
        <v>97</v>
      </c>
      <c r="H15" s="290"/>
      <c r="I15" s="291"/>
      <c r="J15" s="323" t="s">
        <v>98</v>
      </c>
      <c r="K15" s="290"/>
      <c r="L15" s="290"/>
      <c r="M15" s="290"/>
      <c r="N15" s="291"/>
      <c r="O15" s="323" t="s">
        <v>99</v>
      </c>
      <c r="P15" s="291"/>
      <c r="Q15" s="323" t="s">
        <v>100</v>
      </c>
      <c r="R15" s="291"/>
    </row>
    <row r="16" spans="1:24" x14ac:dyDescent="0.25">
      <c r="A16" s="322"/>
      <c r="B16" s="312"/>
      <c r="C16" s="310"/>
      <c r="D16" s="311"/>
      <c r="E16" s="311"/>
      <c r="F16" s="312"/>
      <c r="G16" s="3" t="s">
        <v>101</v>
      </c>
      <c r="H16" s="3" t="s">
        <v>59</v>
      </c>
      <c r="I16" s="3" t="s">
        <v>94</v>
      </c>
      <c r="J16" s="3" t="s">
        <v>102</v>
      </c>
      <c r="K16" s="325" t="s">
        <v>94</v>
      </c>
      <c r="L16" s="303"/>
      <c r="M16" s="303"/>
      <c r="N16" s="279"/>
      <c r="O16" s="3" t="s">
        <v>103</v>
      </c>
      <c r="P16" s="3" t="s">
        <v>94</v>
      </c>
      <c r="Q16" s="3" t="s">
        <v>104</v>
      </c>
      <c r="R16" s="23" t="s">
        <v>105</v>
      </c>
    </row>
    <row r="17" spans="1:18" ht="63.75" customHeight="1" x14ac:dyDescent="0.25">
      <c r="A17" s="328" t="s">
        <v>1167</v>
      </c>
      <c r="B17" s="279"/>
      <c r="C17" s="307" t="s">
        <v>1168</v>
      </c>
      <c r="D17" s="303"/>
      <c r="E17" s="303"/>
      <c r="F17" s="279"/>
      <c r="G17" s="24" t="s">
        <v>1169</v>
      </c>
      <c r="H17" s="24" t="s">
        <v>48</v>
      </c>
      <c r="I17" s="25" t="s">
        <v>1170</v>
      </c>
      <c r="J17" s="26" t="s">
        <v>1171</v>
      </c>
      <c r="K17" s="307" t="s">
        <v>1172</v>
      </c>
      <c r="L17" s="303"/>
      <c r="M17" s="303"/>
      <c r="N17" s="279"/>
      <c r="O17" s="24"/>
      <c r="P17" s="2"/>
      <c r="Q17" s="2"/>
      <c r="R17" s="18"/>
    </row>
    <row r="18" spans="1:18" ht="76.5" customHeight="1" x14ac:dyDescent="0.25">
      <c r="A18" s="467" t="s">
        <v>1173</v>
      </c>
      <c r="B18" s="279"/>
      <c r="C18" s="353" t="s">
        <v>1174</v>
      </c>
      <c r="D18" s="303"/>
      <c r="E18" s="303"/>
      <c r="F18" s="279"/>
      <c r="G18" s="60" t="s">
        <v>1169</v>
      </c>
      <c r="H18" s="60" t="s">
        <v>48</v>
      </c>
      <c r="I18" s="64" t="s">
        <v>1175</v>
      </c>
      <c r="J18" s="168" t="s">
        <v>1171</v>
      </c>
      <c r="K18" s="353" t="s">
        <v>1176</v>
      </c>
      <c r="L18" s="303"/>
      <c r="M18" s="303"/>
      <c r="N18" s="279"/>
      <c r="O18" s="60"/>
      <c r="P18" s="63"/>
      <c r="Q18" s="63"/>
      <c r="R18" s="92"/>
    </row>
    <row r="19" spans="1:18" ht="63.75" customHeight="1" x14ac:dyDescent="0.25">
      <c r="A19" s="328" t="s">
        <v>1177</v>
      </c>
      <c r="B19" s="279"/>
      <c r="C19" s="307" t="s">
        <v>1178</v>
      </c>
      <c r="D19" s="303"/>
      <c r="E19" s="303"/>
      <c r="F19" s="279"/>
      <c r="G19" s="24" t="s">
        <v>1179</v>
      </c>
      <c r="H19" s="24" t="s">
        <v>48</v>
      </c>
      <c r="I19" s="25" t="s">
        <v>1180</v>
      </c>
      <c r="J19" s="203" t="s">
        <v>48</v>
      </c>
      <c r="K19" s="307" t="s">
        <v>1181</v>
      </c>
      <c r="L19" s="303"/>
      <c r="M19" s="303"/>
      <c r="N19" s="279"/>
      <c r="O19" s="24" t="str">
        <f>'P-CitaServicio'!A6</f>
        <v>P-CSE-0001</v>
      </c>
      <c r="P19" s="2" t="str">
        <f>'P-CitaServicio'!B6</f>
        <v>Asegurar que al crear el CitaServicio se copien el precio del Servicio y la duración y el tiempo extra del BarberoServicio vigentes en el momento de agendar la cita, para que un cambio posterior no altere la cita</v>
      </c>
      <c r="Q19" s="2" t="s">
        <v>1182</v>
      </c>
      <c r="R19" s="18" t="s">
        <v>112</v>
      </c>
    </row>
  </sheetData>
  <mergeCells count="18">
    <mergeCell ref="A12:A13"/>
    <mergeCell ref="J15:N15"/>
    <mergeCell ref="Q15:R15"/>
    <mergeCell ref="K17:N17"/>
    <mergeCell ref="B12:B13"/>
    <mergeCell ref="A19:B19"/>
    <mergeCell ref="A15:B16"/>
    <mergeCell ref="K19:N19"/>
    <mergeCell ref="K16:N16"/>
    <mergeCell ref="O15:P15"/>
    <mergeCell ref="A17:B17"/>
    <mergeCell ref="C15:F16"/>
    <mergeCell ref="A18:B18"/>
    <mergeCell ref="C19:F19"/>
    <mergeCell ref="G15:I15"/>
    <mergeCell ref="C18:F18"/>
    <mergeCell ref="C17:F17"/>
    <mergeCell ref="K18:N18"/>
  </mergeCells>
  <hyperlinks>
    <hyperlink ref="A1" location="'Modelo de Dominio'!A1" display="&lt;&lt;&lt;&lt; Ir al modulo de dominio" xr:uid="{00000000-0004-0000-4A00-000000000000}"/>
    <hyperlink ref="B1" location="'Objetos de Dominio'!A1" display="&lt;&lt;&lt;&lt; Ir a objetos de dominio" xr:uid="{00000000-0004-0000-4A00-000001000000}"/>
    <hyperlink ref="V2" location="'C-CitaServicio'!A17" display="#'C-CitaServicio'.A17" xr:uid="{00000000-0004-0000-4A00-000002000000}"/>
    <hyperlink ref="W2" location="'C-CitaServicio'!A18" display="#'C-CitaServicio'.A18" xr:uid="{00000000-0004-0000-4A00-000003000000}"/>
    <hyperlink ref="X2" location="'C-CitaServicio'!A19" display="'C-CitaServicio'!A19" xr:uid="{00000000-0004-0000-4A00-000004000000}"/>
    <hyperlink ref="A3" location="'M-CitaServicio'!A3" display="#'M-CitaServicio'.A3" xr:uid="{00000000-0004-0000-4A00-000005000000}"/>
    <hyperlink ref="B3" location="'M-CitaServicio'!A2" display="#'M-CitaServicio'.A2" xr:uid="{00000000-0004-0000-4A00-000006000000}"/>
    <hyperlink ref="A4" location="'M-CitaServicio'!A3" display="#'M-CitaServicio'.A3" xr:uid="{00000000-0004-0000-4A00-000007000000}"/>
    <hyperlink ref="B4" location="'M-CitaServicio'!A2" display="#'M-CitaServicio'.A2" xr:uid="{00000000-0004-0000-4A00-000008000000}"/>
    <hyperlink ref="D4" location="'C-Cita'!A1" display="Cita" xr:uid="{00000000-0004-0000-4A00-000009000000}"/>
    <hyperlink ref="A5" location="'M-CitaServicio'!A3" display="#'M-CitaServicio'.A3" xr:uid="{00000000-0004-0000-4A00-00000A000000}"/>
    <hyperlink ref="B5" location="'M-CitaServicio'!A2" display="#'M-CitaServicio'.A2" xr:uid="{00000000-0004-0000-4A00-00000B000000}"/>
    <hyperlink ref="D5" location="'C-BarberoServicio'!A1" display="BarberoServicio" xr:uid="{00000000-0004-0000-4A00-00000C000000}"/>
    <hyperlink ref="A6" location="'M-CitaServicio'!A3" display="#'M-CitaServicio'.A3" xr:uid="{00000000-0004-0000-4A00-00000D000000}"/>
    <hyperlink ref="B6" location="'M-CitaServicio'!A2" display="#'M-CitaServicio'.A2" xr:uid="{00000000-0004-0000-4A00-00000E000000}"/>
    <hyperlink ref="A7" location="'M-CitaServicio'!A3" display="'M-CitaServicio'!A3" xr:uid="{00000000-0004-0000-4A00-00000F000000}"/>
    <hyperlink ref="B7" location="'M-CitaServicio'!A2" display="'M-CitaServicio'!A2" xr:uid="{00000000-0004-0000-4A00-000010000000}"/>
    <hyperlink ref="A8" location="'M-CitaServicio'!A3" display="#'M-CitaServicio'.A3" xr:uid="{00000000-0004-0000-4A00-000011000000}"/>
    <hyperlink ref="B8" location="'M-CitaServicio'!A2" display="#'M-CitaServicio'.A2" xr:uid="{00000000-0004-0000-4A00-000012000000}"/>
    <hyperlink ref="A9" location="'M-CitaServicio'!A3" display="#'M-CitaServicio'.A3" xr:uid="{00000000-0004-0000-4A00-000013000000}"/>
    <hyperlink ref="B9" location="'M-CitaServicio'!A2" display="#'M-CitaServicio'.A2" xr:uid="{00000000-0004-0000-4A00-000014000000}"/>
    <hyperlink ref="A12" location="'M-CitaServicio'!A3" display="#'M-CitaServicio'.A3" xr:uid="{00000000-0004-0000-4A00-000015000000}"/>
    <hyperlink ref="B12" location="'M-CitaServicio'!A2" display="#'M-CitaServicio'.A2" xr:uid="{00000000-0004-0000-4A00-000016000000}"/>
    <hyperlink ref="A17" location="'C-CitaServicio'!V2" display="consultarServiciosDeCita" xr:uid="{00000000-0004-0000-4A00-000017000000}"/>
    <hyperlink ref="A18" location="'C-CitaServicio'!W2" display="consultarPrecioDeCadaServicio" xr:uid="{00000000-0004-0000-4A00-000018000000}"/>
    <hyperlink ref="A19" location="'C-CitaServicio'!X2" display="crearCitaServicio" xr:uid="{00000000-0004-0000-4A00-000019000000}"/>
  </hyperlinks>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6"/>
  <sheetViews>
    <sheetView showGridLines="0" zoomScaleNormal="100" workbookViewId="0">
      <selection activeCell="A6" sqref="A6"/>
    </sheetView>
  </sheetViews>
  <sheetFormatPr baseColWidth="10" defaultColWidth="8.7109375" defaultRowHeight="15" x14ac:dyDescent="0.25"/>
  <cols>
    <col min="1" max="1" width="16"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Dominio'!A21</f>
        <v>CitaServicio</v>
      </c>
      <c r="C2" s="290"/>
      <c r="D2" s="290"/>
      <c r="E2" s="291"/>
    </row>
    <row r="3" spans="1:5" ht="30" customHeight="1" x14ac:dyDescent="0.25">
      <c r="A3" s="30" t="s">
        <v>140</v>
      </c>
      <c r="B3" s="336" t="str">
        <f>'Objetos de Dominio'!B21</f>
        <v>Representa cada servicio incluido dentro de una cita puntual, guardando el precio y la duración que tenía ese servicio para ese barbero en el momento exacto en que se agendó, para que cambios futuros en el catálogo no alteren citas ya registradas.</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1183</v>
      </c>
      <c r="B6" s="332" t="s">
        <v>1184</v>
      </c>
      <c r="C6" s="279"/>
      <c r="D6" s="31" t="s">
        <v>48</v>
      </c>
      <c r="E6" s="31"/>
    </row>
  </sheetData>
  <mergeCells count="7">
    <mergeCell ref="B2:E2"/>
    <mergeCell ref="B4:C5"/>
    <mergeCell ref="B6:C6"/>
    <mergeCell ref="A4:A5"/>
    <mergeCell ref="D4:D5"/>
    <mergeCell ref="E4:E5"/>
    <mergeCell ref="B3:E3"/>
  </mergeCells>
  <hyperlinks>
    <hyperlink ref="A1" location="'Modelo de Dominio'!A1" display="&lt;&lt; Ir al modelo de dominio" xr:uid="{00000000-0004-0000-4B00-000000000000}"/>
    <hyperlink ref="B1" location="'Objetos de Dominio'!A1" display="&lt;&lt; Ir al listado de objetos de dominio" xr:uid="{00000000-0004-0000-4B00-000001000000}"/>
    <hyperlink ref="C1" location="'C-CitaServicio'!A1" display="&lt;&lt; Ir a la caracterización del objeto de dominio" xr:uid="{00000000-0004-0000-4B00-000002000000}"/>
    <hyperlink ref="D1" location="'M-CitaServicio'!A1" display="Ir al muestreo de datos del objeto de dominio &gt;&gt;" xr:uid="{00000000-0004-0000-4B00-000003000000}"/>
    <hyperlink ref="E1" location="'E-CitaServicio'!A1" display="Ir al event storming del objeto de dominio &gt;&gt;" xr:uid="{00000000-0004-0000-4B00-000004000000}"/>
  </hyperlinks>
  <pageMargins left="0.75" right="0.75" top="1" bottom="1"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K13"/>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28.710937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Dominio'!A21</f>
        <v>CitaServicio</v>
      </c>
      <c r="C2" s="290"/>
      <c r="D2" s="290"/>
      <c r="E2" s="290"/>
      <c r="F2" s="290"/>
      <c r="G2" s="290"/>
      <c r="H2" s="290"/>
      <c r="I2" s="290"/>
      <c r="J2" s="290"/>
      <c r="K2" s="291"/>
    </row>
    <row r="3" spans="1:11" ht="30" customHeight="1" x14ac:dyDescent="0.25">
      <c r="A3" s="72" t="s">
        <v>140</v>
      </c>
      <c r="B3" s="302" t="str">
        <f>'Objetos de Dominio'!B21</f>
        <v>Representa cada servicio incluido dentro de una cita puntual, guardando el precio y la duración que tenía ese servicio para ese barbero en el momento exacto en que se agendó, para que cambios futuros en el catálogo no alteren citas ya registradas.</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30" customHeight="1" x14ac:dyDescent="0.25">
      <c r="A7" s="41" t="s">
        <v>32</v>
      </c>
      <c r="B7" s="42" t="s">
        <v>1185</v>
      </c>
      <c r="C7" s="42" t="s">
        <v>1168</v>
      </c>
      <c r="D7" s="41" t="str">
        <f>$B$2</f>
        <v>CitaServicio</v>
      </c>
      <c r="E7" s="42"/>
      <c r="F7" s="42"/>
      <c r="G7" s="41"/>
      <c r="H7" s="43"/>
      <c r="I7" s="41"/>
      <c r="J7" s="42" t="s">
        <v>1186</v>
      </c>
      <c r="K7" s="42"/>
    </row>
    <row r="8" spans="1:11" ht="30" customHeight="1" x14ac:dyDescent="0.25">
      <c r="A8" s="41" t="s">
        <v>26</v>
      </c>
      <c r="B8" s="42" t="s">
        <v>1185</v>
      </c>
      <c r="C8" s="42" t="s">
        <v>1168</v>
      </c>
      <c r="D8" s="41" t="str">
        <f>$B$2</f>
        <v>CitaServicio</v>
      </c>
      <c r="E8" s="42"/>
      <c r="F8" s="42"/>
      <c r="G8" s="41"/>
      <c r="H8" s="43"/>
      <c r="I8" s="41"/>
      <c r="J8" s="42" t="s">
        <v>1186</v>
      </c>
      <c r="K8" s="42"/>
    </row>
    <row r="9" spans="1:11" ht="42" customHeight="1" x14ac:dyDescent="0.25">
      <c r="A9" s="41" t="s">
        <v>32</v>
      </c>
      <c r="B9" s="42" t="s">
        <v>1187</v>
      </c>
      <c r="C9" s="42" t="s">
        <v>1174</v>
      </c>
      <c r="D9" s="41" t="str">
        <f>$B$2</f>
        <v>CitaServicio</v>
      </c>
      <c r="E9" s="42"/>
      <c r="F9" s="42"/>
      <c r="G9" s="41"/>
      <c r="H9" s="43"/>
      <c r="I9" s="41"/>
      <c r="J9" s="42" t="s">
        <v>1188</v>
      </c>
      <c r="K9" s="42"/>
    </row>
    <row r="10" spans="1:11" ht="41.25" customHeight="1" x14ac:dyDescent="0.25">
      <c r="A10" s="41" t="s">
        <v>26</v>
      </c>
      <c r="B10" s="42" t="s">
        <v>1187</v>
      </c>
      <c r="C10" s="42" t="s">
        <v>1174</v>
      </c>
      <c r="D10" s="41" t="str">
        <f>$B$2</f>
        <v>CitaServicio</v>
      </c>
      <c r="E10" s="42"/>
      <c r="F10" s="42"/>
      <c r="G10" s="41"/>
      <c r="H10" s="43"/>
      <c r="I10" s="41"/>
      <c r="J10" s="42" t="s">
        <v>1188</v>
      </c>
      <c r="K10" s="42"/>
    </row>
    <row r="11" spans="1:11" ht="30" customHeight="1" x14ac:dyDescent="0.25">
      <c r="A11" s="273" t="s">
        <v>320</v>
      </c>
      <c r="B11" s="272" t="s">
        <v>1189</v>
      </c>
      <c r="C11" s="272" t="s">
        <v>1190</v>
      </c>
      <c r="D11" s="273" t="str">
        <f>$B$2</f>
        <v>CitaServicio</v>
      </c>
      <c r="E11" s="42" t="s">
        <v>46</v>
      </c>
      <c r="F11" s="42" t="s">
        <v>1191</v>
      </c>
      <c r="G11" s="468" t="str">
        <f>'P-CitaServicio'!A6</f>
        <v>P-CSE-0001</v>
      </c>
      <c r="H11" s="439" t="str">
        <f>'P-CitaServicio'!B6</f>
        <v>Asegurar que al crear el CitaServicio se copien el precio del Servicio y la duración y el tiempo extra del BarberoServicio vigentes en el momento de agendar la cita, para que un cambio posterior no altere la cita</v>
      </c>
      <c r="I11" s="273"/>
      <c r="J11" s="272" t="s">
        <v>1192</v>
      </c>
      <c r="K11" s="272"/>
    </row>
    <row r="12" spans="1:11" ht="30" customHeight="1" x14ac:dyDescent="0.25">
      <c r="A12" s="284"/>
      <c r="B12" s="284"/>
      <c r="C12" s="284"/>
      <c r="D12" s="284"/>
      <c r="E12" s="42" t="s">
        <v>38</v>
      </c>
      <c r="F12" s="42" t="s">
        <v>1193</v>
      </c>
      <c r="G12" s="284"/>
      <c r="H12" s="284"/>
      <c r="I12" s="284"/>
      <c r="J12" s="284"/>
      <c r="K12" s="284"/>
    </row>
    <row r="13" spans="1:11" ht="30" customHeight="1" x14ac:dyDescent="0.25">
      <c r="A13" s="281"/>
      <c r="B13" s="281"/>
      <c r="C13" s="281"/>
      <c r="D13" s="281"/>
      <c r="E13" s="42" t="s">
        <v>36</v>
      </c>
      <c r="F13" s="42" t="s">
        <v>1194</v>
      </c>
      <c r="G13" s="281"/>
      <c r="H13" s="281"/>
      <c r="I13" s="281"/>
      <c r="J13" s="281"/>
      <c r="K13" s="281"/>
    </row>
  </sheetData>
  <mergeCells count="27">
    <mergeCell ref="C1:E1"/>
    <mergeCell ref="C11:C13"/>
    <mergeCell ref="J1:K1"/>
    <mergeCell ref="E5:F5"/>
    <mergeCell ref="A1:B1"/>
    <mergeCell ref="E4:F4"/>
    <mergeCell ref="F1:I1"/>
    <mergeCell ref="B3:K3"/>
    <mergeCell ref="I5:I6"/>
    <mergeCell ref="A5:A6"/>
    <mergeCell ref="G11:G13"/>
    <mergeCell ref="I11:I13"/>
    <mergeCell ref="K11:K13"/>
    <mergeCell ref="A11:A13"/>
    <mergeCell ref="G5:H5"/>
    <mergeCell ref="B11:B13"/>
    <mergeCell ref="B2:K2"/>
    <mergeCell ref="B5:B6"/>
    <mergeCell ref="D5:D6"/>
    <mergeCell ref="G4:H4"/>
    <mergeCell ref="K5:K6"/>
    <mergeCell ref="J5:J6"/>
    <mergeCell ref="H11:H13"/>
    <mergeCell ref="D11:D13"/>
    <mergeCell ref="J11:J13"/>
    <mergeCell ref="B4:C4"/>
    <mergeCell ref="C5:C6"/>
  </mergeCells>
  <hyperlinks>
    <hyperlink ref="A1" location="'Modelo de Dominio'!A1" display="&lt;&lt; Ir al modelo de dominio" xr:uid="{00000000-0004-0000-4C00-000000000000}"/>
    <hyperlink ref="C1" location="'Objetos de Dominio'!A1" display="&lt;&lt; Ir al listado de objetos de dominio" xr:uid="{00000000-0004-0000-4C00-000001000000}"/>
    <hyperlink ref="F1" location="'C-CitaServicio'!A1" display="&lt;&lt; Ir a la caracterización del objeto de dominio" xr:uid="{00000000-0004-0000-4C00-000002000000}"/>
    <hyperlink ref="J1" location="'M-CitaServicio'!A1" display="Ir al muestreo de datos del objeto de dominio &gt;&gt;" xr:uid="{00000000-0004-0000-4C00-000003000000}"/>
    <hyperlink ref="G11" location="'P-CitaServicio'!A6" display="'P-CitaServicio'!A6" xr:uid="{00000000-0004-0000-4C00-000004000000}"/>
  </hyperlinks>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H24"/>
  <sheetViews>
    <sheetView topLeftCell="A2" zoomScaleNormal="100" workbookViewId="0">
      <selection activeCell="D4" sqref="D4"/>
    </sheetView>
  </sheetViews>
  <sheetFormatPr baseColWidth="10" defaultColWidth="8.7109375" defaultRowHeight="15" x14ac:dyDescent="0.25"/>
  <cols>
    <col min="1" max="1" width="27" customWidth="1"/>
    <col min="2" max="2" width="33.7109375" customWidth="1"/>
    <col min="3" max="3" width="26.140625" customWidth="1"/>
    <col min="4" max="4" width="36.140625" customWidth="1"/>
    <col min="5" max="5" width="25.5703125" customWidth="1"/>
    <col min="6" max="6" width="27.28515625" customWidth="1"/>
    <col min="7" max="7" width="45.42578125" customWidth="1"/>
    <col min="8" max="8" width="29.28515625" customWidth="1"/>
  </cols>
  <sheetData>
    <row r="1" spans="1:8" ht="14.25" customHeight="1" x14ac:dyDescent="0.25">
      <c r="A1" s="4" t="s">
        <v>0</v>
      </c>
      <c r="B1" s="4" t="s">
        <v>55</v>
      </c>
      <c r="C1" s="77"/>
      <c r="D1" s="77"/>
      <c r="E1" s="77"/>
      <c r="F1" s="77"/>
    </row>
    <row r="2" spans="1:8" ht="49.5" customHeight="1" x14ac:dyDescent="0.25">
      <c r="A2" s="44" t="s">
        <v>183</v>
      </c>
      <c r="B2" s="44" t="s">
        <v>1195</v>
      </c>
      <c r="C2" s="44" t="s">
        <v>1196</v>
      </c>
      <c r="D2" s="44" t="s">
        <v>1197</v>
      </c>
      <c r="E2" s="44" t="s">
        <v>1198</v>
      </c>
      <c r="F2" s="44" t="s">
        <v>1199</v>
      </c>
      <c r="G2" s="96" t="s">
        <v>1200</v>
      </c>
      <c r="H2" s="45" t="s">
        <v>1201</v>
      </c>
    </row>
    <row r="3" spans="1:8" ht="14.25" customHeight="1" x14ac:dyDescent="0.25">
      <c r="A3" s="46" t="s">
        <v>116</v>
      </c>
      <c r="B3" s="118" t="s">
        <v>1202</v>
      </c>
      <c r="C3" s="118" t="s">
        <v>1203</v>
      </c>
      <c r="D3" s="177" t="s">
        <v>1204</v>
      </c>
      <c r="E3" s="177" t="s">
        <v>1205</v>
      </c>
      <c r="F3" s="177" t="s">
        <v>1206</v>
      </c>
      <c r="G3" s="177" t="s">
        <v>856</v>
      </c>
      <c r="H3" s="48" t="s">
        <v>209</v>
      </c>
    </row>
    <row r="4" spans="1:8" ht="45" customHeight="1" x14ac:dyDescent="0.25">
      <c r="A4" s="49">
        <v>1</v>
      </c>
      <c r="B4" s="194" t="str">
        <f>'M-Cita'!K4</f>
        <v>+57-3245627890-900123456-7-Sede Poblado-Lunes-09:00-19:00-12/11/2023-1/01/1000-10:00-16:00-03/05/2025-1/01/1000-05/10/2026-10:00</v>
      </c>
      <c r="C4" s="194" t="str">
        <f>'M-BarberoServicio'!H4</f>
        <v>Juan García-Motilada</v>
      </c>
      <c r="D4" s="195">
        <f>'M-Servicio'!E4</f>
        <v>22000</v>
      </c>
      <c r="E4" s="196">
        <f>'M-BarberoServicio'!D4</f>
        <v>0</v>
      </c>
      <c r="F4" s="156">
        <f>'M-BarberoServicio'!E4</f>
        <v>45</v>
      </c>
      <c r="G4" s="156">
        <f>'M-BarberoServicio'!F4</f>
        <v>15</v>
      </c>
      <c r="H4" s="78" t="str">
        <f t="shared" ref="H4:H14" si="0">_xlfn.CONCAT(B4,"-",C4)</f>
        <v>+57-3245627890-900123456-7-Sede Poblado-Lunes-09:00-19:00-12/11/2023-1/01/1000-10:00-16:00-03/05/2025-1/01/1000-05/10/2026-10:00-Juan García-Motilada</v>
      </c>
    </row>
    <row r="5" spans="1:8" ht="45" customHeight="1" x14ac:dyDescent="0.25">
      <c r="A5" s="49">
        <v>2</v>
      </c>
      <c r="B5" s="188" t="str">
        <f>'M-Cita'!K5</f>
        <v>+57-3124518923-900123456-7-Sede Poblado-Martes-09:00-19:00-12/11/2023-1/01/1000-09:00-15:00-02/03/2025-1/01/1000-10/03/2026-09:30</v>
      </c>
      <c r="C5" s="188" t="str">
        <f>'M-BarberoServicio'!H5</f>
        <v>Juan Ortiz-Corte de barba</v>
      </c>
      <c r="D5" s="195">
        <f>'M-Servicio'!E5</f>
        <v>12000</v>
      </c>
      <c r="E5" s="196">
        <f>'M-BarberoServicio'!D5</f>
        <v>0</v>
      </c>
      <c r="F5" s="156">
        <f>'M-BarberoServicio'!E5</f>
        <v>10</v>
      </c>
      <c r="G5" s="156">
        <f>'M-BarberoServicio'!F5</f>
        <v>5</v>
      </c>
      <c r="H5" s="78" t="str">
        <f t="shared" si="0"/>
        <v>+57-3124518923-900123456-7-Sede Poblado-Martes-09:00-19:00-12/11/2023-1/01/1000-09:00-15:00-02/03/2025-1/01/1000-10/03/2026-09:30-Juan Ortiz-Corte de barba</v>
      </c>
    </row>
    <row r="6" spans="1:8" ht="60" customHeight="1" x14ac:dyDescent="0.25">
      <c r="A6" s="49">
        <v>3</v>
      </c>
      <c r="B6" s="188" t="str">
        <f>'M-Cita'!K6</f>
        <v>+57-3214533321-900123456-7-Sede Poblado-Jueves-09:00-19:00-12/11/2023-1/01/1000-13:00-19:00-22/12/2022-1/01/1000-14/05/2026-13:00</v>
      </c>
      <c r="C6" s="188" t="str">
        <f>'M-BarberoServicio'!H6</f>
        <v>Carlos Arbeladez-Perfilada de barba</v>
      </c>
      <c r="D6" s="195">
        <f>'M-Servicio'!E6</f>
        <v>15000</v>
      </c>
      <c r="E6" s="196">
        <f>'M-BarberoServicio'!D6</f>
        <v>0</v>
      </c>
      <c r="F6" s="156">
        <f>'M-BarberoServicio'!E6</f>
        <v>15</v>
      </c>
      <c r="G6" s="156">
        <f>'M-BarberoServicio'!F6</f>
        <v>5</v>
      </c>
      <c r="H6" s="78" t="str">
        <f t="shared" si="0"/>
        <v>+57-3214533321-900123456-7-Sede Poblado-Jueves-09:00-19:00-12/11/2023-1/01/1000-13:00-19:00-22/12/2022-1/01/1000-14/05/2026-13:00-Carlos Arbeladez-Perfilada de barba</v>
      </c>
    </row>
    <row r="7" spans="1:8" ht="75" customHeight="1" x14ac:dyDescent="0.25">
      <c r="A7" s="49">
        <v>4</v>
      </c>
      <c r="B7" s="188" t="str">
        <f>'M-Cita'!K7</f>
        <v>+91-9876543210-900123456-7-Sede Poblado-Sábado-08:00-21:00-12/12/2024-1/01/1000-08:00-14:00-15/09/2025-01/01/2026-22/11/2025-13:00</v>
      </c>
      <c r="C7" s="188" t="str">
        <f>'M-BarberoServicio'!H7</f>
        <v>Andres Ramirez-Arreglo completo de barba con toalla caliente</v>
      </c>
      <c r="D7" s="195">
        <f>'M-Servicio'!E7</f>
        <v>35000</v>
      </c>
      <c r="E7" s="196">
        <f>'M-BarberoServicio'!D7</f>
        <v>0</v>
      </c>
      <c r="F7" s="156">
        <f>'M-BarberoServicio'!E7</f>
        <v>40</v>
      </c>
      <c r="G7" s="156">
        <f>'M-BarberoServicio'!F7</f>
        <v>10</v>
      </c>
      <c r="H7" s="78" t="str">
        <f t="shared" si="0"/>
        <v>+91-9876543210-900123456-7-Sede Poblado-Sábado-08:00-21:00-12/12/2024-1/01/1000-08:00-14:00-15/09/2025-01/01/2026-22/11/2025-13:00-Andres Ramirez-Arreglo completo de barba con toalla caliente</v>
      </c>
    </row>
    <row r="8" spans="1:8" ht="60" customHeight="1" x14ac:dyDescent="0.25">
      <c r="A8" s="49">
        <v>5</v>
      </c>
      <c r="B8" s="188" t="str">
        <f>'M-Cita'!K8</f>
        <v>+57-3214533321-900123456-7-Sede Poblado-Jueves-09:00-19:00-12/11/2023-1/01/1000-13:00-19:00-22/12/2022-1/01/1000-06/08/2026-18:00</v>
      </c>
      <c r="C8" s="188" t="str">
        <f>'M-BarberoServicio'!H9</f>
        <v>Carlos Arbeladez-Corte de barba</v>
      </c>
      <c r="D8" s="195">
        <f>'M-Servicio'!E5</f>
        <v>12000</v>
      </c>
      <c r="E8" s="196">
        <f>'M-BarberoServicio'!D9</f>
        <v>0</v>
      </c>
      <c r="F8" s="156">
        <f>'M-BarberoServicio'!E9</f>
        <v>15</v>
      </c>
      <c r="G8" s="156">
        <f>'M-BarberoServicio'!F9</f>
        <v>5</v>
      </c>
      <c r="H8" s="78" t="str">
        <f t="shared" si="0"/>
        <v>+57-3214533321-900123456-7-Sede Poblado-Jueves-09:00-19:00-12/11/2023-1/01/1000-13:00-19:00-22/12/2022-1/01/1000-06/08/2026-18:00-Carlos Arbeladez-Corte de barba</v>
      </c>
    </row>
    <row r="9" spans="1:8" ht="75" customHeight="1" x14ac:dyDescent="0.25">
      <c r="A9" s="49">
        <v>6</v>
      </c>
      <c r="B9" s="188" t="str">
        <f>'M-Cita'!K9</f>
        <v>+91-9876543210-900123456-7-Sede Poblado-Festivo-10:00-15:00-12/12/2024-1/01/1000-12:00-15:00-02/01/2026-02/03/2026-12/01/2026-14:00</v>
      </c>
      <c r="C9" s="188" t="str">
        <f>'M-BarberoServicio'!H7</f>
        <v>Andres Ramirez-Arreglo completo de barba con toalla caliente</v>
      </c>
      <c r="D9" s="195">
        <f>'M-Servicio'!E7</f>
        <v>35000</v>
      </c>
      <c r="E9" s="196">
        <f>'M-BarberoServicio'!D7</f>
        <v>0</v>
      </c>
      <c r="F9" s="156">
        <f>'M-BarberoServicio'!E7</f>
        <v>40</v>
      </c>
      <c r="G9" s="156">
        <f>'M-BarberoServicio'!F7</f>
        <v>10</v>
      </c>
      <c r="H9" s="78" t="str">
        <f t="shared" si="0"/>
        <v>+91-9876543210-900123456-7-Sede Poblado-Festivo-10:00-15:00-12/12/2024-1/01/1000-12:00-15:00-02/01/2026-02/03/2026-12/01/2026-14:00-Andres Ramirez-Arreglo completo de barba con toalla caliente</v>
      </c>
    </row>
    <row r="10" spans="1:8" ht="45" customHeight="1" x14ac:dyDescent="0.25">
      <c r="A10" s="49">
        <v>7</v>
      </c>
      <c r="B10" s="188" t="str">
        <f>'M-Cita'!K10</f>
        <v>+57-3245627890-900123456-7-Sede Poblado-Lunes-09:00-19:00-12/11/2023-1/01/1000-10:00-16:00-03/05/2025-1/01/1000-01/06/2026-10:00</v>
      </c>
      <c r="C10" s="188" t="str">
        <f>'M-BarberoServicio'!H4</f>
        <v>Juan García-Motilada</v>
      </c>
      <c r="D10" s="195">
        <f>'M-Servicio'!E4</f>
        <v>22000</v>
      </c>
      <c r="E10" s="196">
        <f>'M-BarberoServicio'!D4</f>
        <v>0</v>
      </c>
      <c r="F10" s="156">
        <f>'M-BarberoServicio'!E4</f>
        <v>45</v>
      </c>
      <c r="G10" s="156">
        <f>'M-BarberoServicio'!F4</f>
        <v>15</v>
      </c>
      <c r="H10" s="79" t="str">
        <f t="shared" si="0"/>
        <v>+57-3245627890-900123456-7-Sede Poblado-Lunes-09:00-19:00-12/11/2023-1/01/1000-10:00-16:00-03/05/2025-1/01/1000-01/06/2026-10:00-Juan García-Motilada</v>
      </c>
    </row>
    <row r="11" spans="1:8" ht="45" customHeight="1" x14ac:dyDescent="0.25">
      <c r="A11" s="49">
        <v>8</v>
      </c>
      <c r="B11" s="188" t="str">
        <f>'M-Cita'!K11</f>
        <v>+57-3124518923-900123456-7-Sede Poblado-Martes-09:00-19:00-12/11/2023-1/01/1000-09:00-15:00-02/03/2025-1/01/1000-16/06/2026-09:00</v>
      </c>
      <c r="C11" s="188" t="str">
        <f>'M-BarberoServicio'!H5</f>
        <v>Juan Ortiz-Corte de barba</v>
      </c>
      <c r="D11" s="195">
        <f>'M-Servicio'!E5</f>
        <v>12000</v>
      </c>
      <c r="E11" s="196">
        <f>'M-BarberoServicio'!D5</f>
        <v>0</v>
      </c>
      <c r="F11" s="156">
        <f>'M-BarberoServicio'!E5</f>
        <v>10</v>
      </c>
      <c r="G11" s="156">
        <f>'M-BarberoServicio'!F5</f>
        <v>5</v>
      </c>
      <c r="H11" s="79" t="str">
        <f t="shared" si="0"/>
        <v>+57-3124518923-900123456-7-Sede Poblado-Martes-09:00-19:00-12/11/2023-1/01/1000-09:00-15:00-02/03/2025-1/01/1000-16/06/2026-09:00-Juan Ortiz-Corte de barba</v>
      </c>
    </row>
    <row r="12" spans="1:8" ht="60" customHeight="1" x14ac:dyDescent="0.25">
      <c r="A12" s="49">
        <v>9</v>
      </c>
      <c r="B12" s="188" t="str">
        <f>'M-Cita'!K12</f>
        <v>+57-3214533321-900123456-7-Sede Poblado-Jueves-09:00-19:00-12/11/2023-1/01/1000-13:00-19:00-22/12/2022-1/01/1000-02/07/2026-15:00</v>
      </c>
      <c r="C12" s="188" t="str">
        <f>'M-BarberoServicio'!H6</f>
        <v>Carlos Arbeladez-Perfilada de barba</v>
      </c>
      <c r="D12" s="195">
        <f>'M-Servicio'!E6</f>
        <v>15000</v>
      </c>
      <c r="E12" s="196">
        <f>'M-BarberoServicio'!D6</f>
        <v>0</v>
      </c>
      <c r="F12" s="156">
        <f>'M-BarberoServicio'!E6</f>
        <v>15</v>
      </c>
      <c r="G12" s="156">
        <f>'M-BarberoServicio'!F6</f>
        <v>5</v>
      </c>
      <c r="H12" s="79" t="str">
        <f t="shared" si="0"/>
        <v>+57-3214533321-900123456-7-Sede Poblado-Jueves-09:00-19:00-12/11/2023-1/01/1000-13:00-19:00-22/12/2022-1/01/1000-02/07/2026-15:00-Carlos Arbeladez-Perfilada de barba</v>
      </c>
    </row>
    <row r="13" spans="1:8" ht="60" customHeight="1" x14ac:dyDescent="0.25">
      <c r="A13" s="49">
        <v>10</v>
      </c>
      <c r="B13" s="188" t="str">
        <f>'M-Cita'!K13</f>
        <v>+57-3214533321-900123456-7-Sede Poblado-Jueves-09:00-19:00-12/11/2023-1/01/1000-13:00-19:00-22/12/2022-1/01/1000-14/05/2026-13:30</v>
      </c>
      <c r="C13" s="188" t="str">
        <f>'M-BarberoServicio'!H6</f>
        <v>Carlos Arbeladez-Perfilada de barba</v>
      </c>
      <c r="D13" s="195">
        <f>'M-Servicio'!E6</f>
        <v>15000</v>
      </c>
      <c r="E13" s="196">
        <f>'M-BarberoServicio'!D6</f>
        <v>0</v>
      </c>
      <c r="F13" s="156">
        <f>'M-BarberoServicio'!E6</f>
        <v>15</v>
      </c>
      <c r="G13" s="156">
        <f>'M-BarberoServicio'!F6</f>
        <v>5</v>
      </c>
      <c r="H13" s="79" t="str">
        <f t="shared" si="0"/>
        <v>+57-3214533321-900123456-7-Sede Poblado-Jueves-09:00-19:00-12/11/2023-1/01/1000-13:00-19:00-22/12/2022-1/01/1000-14/05/2026-13:30-Carlos Arbeladez-Perfilada de barba</v>
      </c>
    </row>
    <row r="14" spans="1:8" ht="60" customHeight="1" x14ac:dyDescent="0.25">
      <c r="A14" s="49">
        <v>11</v>
      </c>
      <c r="B14" s="188" t="str">
        <f>'M-Cita'!K13</f>
        <v>+57-3214533321-900123456-7-Sede Poblado-Jueves-09:00-19:00-12/11/2023-1/01/1000-13:00-19:00-22/12/2022-1/01/1000-14/05/2026-13:30</v>
      </c>
      <c r="C14" s="188" t="str">
        <f>'M-BarberoServicio'!H9</f>
        <v>Carlos Arbeladez-Corte de barba</v>
      </c>
      <c r="D14" s="195">
        <f>'M-Servicio'!E5</f>
        <v>12000</v>
      </c>
      <c r="E14" s="196">
        <f>'M-BarberoServicio'!D9</f>
        <v>0</v>
      </c>
      <c r="F14" s="156">
        <f>'M-BarberoServicio'!E9</f>
        <v>15</v>
      </c>
      <c r="G14" s="156">
        <f>'M-BarberoServicio'!F9</f>
        <v>5</v>
      </c>
      <c r="H14" s="79" t="str">
        <f t="shared" si="0"/>
        <v>+57-3214533321-900123456-7-Sede Poblado-Jueves-09:00-19:00-12/11/2023-1/01/1000-13:00-19:00-22/12/2022-1/01/1000-14/05/2026-13:30-Carlos Arbeladez-Corte de barba</v>
      </c>
    </row>
    <row r="15" spans="1:8" ht="28.5" customHeight="1" x14ac:dyDescent="0.25">
      <c r="B15" s="53"/>
    </row>
    <row r="16" spans="1:8" ht="28.5" customHeight="1" x14ac:dyDescent="0.25">
      <c r="B16" s="53"/>
    </row>
    <row r="17" spans="1:2" ht="28.5" customHeight="1" x14ac:dyDescent="0.25">
      <c r="B17" s="53"/>
    </row>
    <row r="18" spans="1:2" ht="28.5" customHeight="1" x14ac:dyDescent="0.25">
      <c r="B18" s="53"/>
    </row>
    <row r="19" spans="1:2" ht="28.5" customHeight="1" x14ac:dyDescent="0.25">
      <c r="B19" s="53"/>
    </row>
    <row r="20" spans="1:2" ht="28.5" customHeight="1" x14ac:dyDescent="0.25">
      <c r="A20" s="52"/>
      <c r="B20" s="53" t="s">
        <v>194</v>
      </c>
    </row>
    <row r="21" spans="1:2" ht="28.5" customHeight="1" x14ac:dyDescent="0.25">
      <c r="A21" s="54"/>
      <c r="B21" s="53" t="s">
        <v>195</v>
      </c>
    </row>
    <row r="22" spans="1:2" ht="28.5" customHeight="1" x14ac:dyDescent="0.25">
      <c r="A22" s="120"/>
      <c r="B22" s="53" t="s">
        <v>443</v>
      </c>
    </row>
    <row r="23" spans="1:2" ht="33" customHeight="1" x14ac:dyDescent="0.25">
      <c r="A23" s="103"/>
      <c r="B23" s="53" t="s">
        <v>642</v>
      </c>
    </row>
    <row r="24" spans="1:2" ht="14.25" customHeight="1" x14ac:dyDescent="0.25">
      <c r="A24" s="56"/>
      <c r="B24" t="s">
        <v>197</v>
      </c>
    </row>
  </sheetData>
  <hyperlinks>
    <hyperlink ref="A1" location="'Modelo de Dominio'!A1" display="&lt;&lt;&lt;&lt; Ir al modulo de dominio" xr:uid="{00000000-0004-0000-4D00-000000000000}"/>
    <hyperlink ref="B1" location="'Objetos de Dominio'!A1" display="&lt;&lt;&lt;&lt; Ir a objetos de dominio" xr:uid="{00000000-0004-0000-4D00-000001000000}"/>
    <hyperlink ref="B3" location="'M-Cita'!A1" display="cita" xr:uid="{00000000-0004-0000-4D00-000002000000}"/>
    <hyperlink ref="C3" location="'M-BarberoServicio'!A1" display="barberoServicio" xr:uid="{00000000-0004-0000-4D00-000003000000}"/>
    <hyperlink ref="B4" location="'M-Cita'!A4" display="#'M-Cita'.A4" xr:uid="{00000000-0004-0000-4D00-000004000000}"/>
    <hyperlink ref="C4" location="'M-BarberoServicio'!A4" display="#'M-BarberoServicio'.A4" xr:uid="{00000000-0004-0000-4D00-000005000000}"/>
    <hyperlink ref="D4" location="'M-Servicio'!A4" display="'M-Servicio'!A4" xr:uid="{00000000-0004-0000-4D00-000006000000}"/>
    <hyperlink ref="E4" location="'M-BarberoServicio'!A4" display="'M-BarberoServicio'!A4" xr:uid="{00000000-0004-0000-4D00-000007000000}"/>
    <hyperlink ref="F4" location="'M-BarberoServicio'!A4" display="'M-BarberoServicio'!A4" xr:uid="{00000000-0004-0000-4D00-000008000000}"/>
    <hyperlink ref="G4" location="'M-BarberoServicio'!A4" display="'M-BarberoServicio'!A4" xr:uid="{00000000-0004-0000-4D00-000009000000}"/>
    <hyperlink ref="B5" location="'M-Cita'!A5" display="#'M-Cita'.A5" xr:uid="{00000000-0004-0000-4D00-00000A000000}"/>
    <hyperlink ref="C5" location="'M-BarberoServicio'!A5" display="#'M-BarberoServicio'.A5" xr:uid="{00000000-0004-0000-4D00-00000B000000}"/>
    <hyperlink ref="D5" location="'M-Servicio'!A5" display="'M-Servicio'!A5" xr:uid="{00000000-0004-0000-4D00-00000C000000}"/>
    <hyperlink ref="E5" location="'M-BarberoServicio'!A5" display="'M-BarberoServicio'!A5" xr:uid="{00000000-0004-0000-4D00-00000D000000}"/>
    <hyperlink ref="F5" location="'M-BarberoServicio'!A5" display="'M-BarberoServicio'!A5" xr:uid="{00000000-0004-0000-4D00-00000E000000}"/>
    <hyperlink ref="G5" location="'M-BarberoServicio'!A5" display="'M-BarberoServicio'!A5" xr:uid="{00000000-0004-0000-4D00-00000F000000}"/>
    <hyperlink ref="B6" location="'M-Cita'!A6" display="#'M-Cita'.A6" xr:uid="{00000000-0004-0000-4D00-000010000000}"/>
    <hyperlink ref="C6" location="'M-BarberoServicio'!A6" display="#'M-BarberoServicio'.A6" xr:uid="{00000000-0004-0000-4D00-000011000000}"/>
    <hyperlink ref="D6" location="'M-Servicio'!A6" display="'M-Servicio'!A6" xr:uid="{00000000-0004-0000-4D00-000012000000}"/>
    <hyperlink ref="E6" location="'M-BarberoServicio'!A6" display="'M-BarberoServicio'!A6" xr:uid="{00000000-0004-0000-4D00-000013000000}"/>
    <hyperlink ref="F6" location="'M-BarberoServicio'!A6" display="'M-BarberoServicio'!A6" xr:uid="{00000000-0004-0000-4D00-000014000000}"/>
    <hyperlink ref="G6" location="'M-BarberoServicio'!A6" display="'M-BarberoServicio'!A6" xr:uid="{00000000-0004-0000-4D00-000015000000}"/>
    <hyperlink ref="B7" location="'M-Cita'!A7" display="#'M-Cita'.A7" xr:uid="{00000000-0004-0000-4D00-000016000000}"/>
    <hyperlink ref="C7" location="'M-BarberoServicio'!A7" display="#'M-BarberoServicio'.A7" xr:uid="{00000000-0004-0000-4D00-000017000000}"/>
    <hyperlink ref="D7" location="'M-Servicio'!A7" display="'M-Servicio'!A7" xr:uid="{00000000-0004-0000-4D00-000018000000}"/>
    <hyperlink ref="E7" location="'M-BarberoServicio'!A7" display="'M-BarberoServicio'!A7" xr:uid="{00000000-0004-0000-4D00-000019000000}"/>
    <hyperlink ref="F7" location="'M-BarberoServicio'!A7" display="'M-BarberoServicio'!A7" xr:uid="{00000000-0004-0000-4D00-00001A000000}"/>
    <hyperlink ref="G7" location="'M-BarberoServicio'!A7" display="'M-BarberoServicio'!A7" xr:uid="{00000000-0004-0000-4D00-00001B000000}"/>
    <hyperlink ref="B8" location="'M-Cita'!A8" display="#'M-Cita'.A8" xr:uid="{00000000-0004-0000-4D00-00001C000000}"/>
    <hyperlink ref="C8" location="'M-BarberoServicio'!A9" display="#'M-BarberoServicio'.A9" xr:uid="{00000000-0004-0000-4D00-00001D000000}"/>
    <hyperlink ref="D8" location="'M-Servicio'!A5" display="'M-Servicio'!A5" xr:uid="{00000000-0004-0000-4D00-00001E000000}"/>
    <hyperlink ref="E8" location="'M-BarberoServicio'!A9" display="'M-BarberoServicio'!A9" xr:uid="{00000000-0004-0000-4D00-00001F000000}"/>
    <hyperlink ref="F8" location="'M-BarberoServicio'!A9" display="'M-BarberoServicio'!A9" xr:uid="{00000000-0004-0000-4D00-000020000000}"/>
    <hyperlink ref="G8" location="'M-BarberoServicio'!A9" display="'M-BarberoServicio'!A9" xr:uid="{00000000-0004-0000-4D00-000021000000}"/>
    <hyperlink ref="B9" location="'M-Cita'!A9" display="#'M-Cita'.A9" xr:uid="{00000000-0004-0000-4D00-000022000000}"/>
    <hyperlink ref="C9" location="'M-BarberoServicio'!A7" display="#'M-BarberoServicio'.A7" xr:uid="{00000000-0004-0000-4D00-000023000000}"/>
    <hyperlink ref="D9" location="'M-Servicio'!A7" display="'M-Servicio'!A7" xr:uid="{00000000-0004-0000-4D00-000024000000}"/>
    <hyperlink ref="E9" location="'M-BarberoServicio'!A7" display="'M-BarberoServicio'!A7" xr:uid="{00000000-0004-0000-4D00-000025000000}"/>
    <hyperlink ref="F9" location="'M-BarberoServicio'!A7" display="'M-BarberoServicio'!A7" xr:uid="{00000000-0004-0000-4D00-000026000000}"/>
    <hyperlink ref="G9" location="'M-BarberoServicio'!A7" display="'M-BarberoServicio'!A7" xr:uid="{00000000-0004-0000-4D00-000027000000}"/>
    <hyperlink ref="B10" location="'M-Cita'!A10" display="#'M-Cita'.A10" xr:uid="{00000000-0004-0000-4D00-000028000000}"/>
    <hyperlink ref="C10" location="'M-BarberoServicio'!A4" display="#'M-BarberoServicio'.A4" xr:uid="{00000000-0004-0000-4D00-000029000000}"/>
    <hyperlink ref="D10" location="'M-Servicio'!A4" display="'M-Servicio'!A4" xr:uid="{00000000-0004-0000-4D00-00002A000000}"/>
    <hyperlink ref="E10" location="'M-BarberoServicio'!A4" display="'M-BarberoServicio'!A4" xr:uid="{00000000-0004-0000-4D00-00002B000000}"/>
    <hyperlink ref="F10" location="'M-BarberoServicio'!A4" display="'M-BarberoServicio'!A4" xr:uid="{00000000-0004-0000-4D00-00002C000000}"/>
    <hyperlink ref="G10" location="'M-BarberoServicio'!A4" display="'M-BarberoServicio'!A4" xr:uid="{00000000-0004-0000-4D00-00002D000000}"/>
    <hyperlink ref="B11" location="'M-Cita'!A11" display="#'M-Cita'.A11" xr:uid="{00000000-0004-0000-4D00-00002E000000}"/>
    <hyperlink ref="C11" location="'M-BarberoServicio'!A5" display="#'M-BarberoServicio'.A5" xr:uid="{00000000-0004-0000-4D00-00002F000000}"/>
    <hyperlink ref="D11" location="'M-Servicio'!A5" display="'M-Servicio'!A5" xr:uid="{00000000-0004-0000-4D00-000030000000}"/>
    <hyperlink ref="E11" location="'M-BarberoServicio'!A5" display="'M-BarberoServicio'!A5" xr:uid="{00000000-0004-0000-4D00-000031000000}"/>
    <hyperlink ref="F11" location="'M-BarberoServicio'!A5" display="'M-BarberoServicio'!A5" xr:uid="{00000000-0004-0000-4D00-000032000000}"/>
    <hyperlink ref="G11" location="'M-BarberoServicio'!A5" display="'M-BarberoServicio'!A5" xr:uid="{00000000-0004-0000-4D00-000033000000}"/>
    <hyperlink ref="B12" location="'M-Cita'!A12" display="#'M-Cita'.A12" xr:uid="{00000000-0004-0000-4D00-000034000000}"/>
    <hyperlink ref="C12" location="'M-BarberoServicio'!A6" display="#'M-BarberoServicio'.A6" xr:uid="{00000000-0004-0000-4D00-000035000000}"/>
    <hyperlink ref="D12" location="'M-Servicio'!A6" display="'M-Servicio'!A6" xr:uid="{00000000-0004-0000-4D00-000036000000}"/>
    <hyperlink ref="E12" location="'M-BarberoServicio'!A6" display="'M-BarberoServicio'!A6" xr:uid="{00000000-0004-0000-4D00-000037000000}"/>
    <hyperlink ref="F12" location="'M-BarberoServicio'!A6" display="'M-BarberoServicio'!A6" xr:uid="{00000000-0004-0000-4D00-000038000000}"/>
    <hyperlink ref="G12" location="'M-BarberoServicio'!A6" display="'M-BarberoServicio'!A6" xr:uid="{00000000-0004-0000-4D00-000039000000}"/>
    <hyperlink ref="B13" location="'M-Cita'!A13" display="#'M-Cita'.A13" xr:uid="{00000000-0004-0000-4D00-00003A000000}"/>
    <hyperlink ref="C13" location="'M-BarberoServicio'!A6" display="#'M-BarberoServicio'.A6" xr:uid="{00000000-0004-0000-4D00-00003B000000}"/>
    <hyperlink ref="D13" location="'M-Servicio'!A6" display="'M-Servicio'!A6" xr:uid="{00000000-0004-0000-4D00-00003C000000}"/>
    <hyperlink ref="E13" location="'M-BarberoServicio'!A6" display="'M-BarberoServicio'!A6" xr:uid="{00000000-0004-0000-4D00-00003D000000}"/>
    <hyperlink ref="F13" location="'M-BarberoServicio'!A6" display="'M-BarberoServicio'!A6" xr:uid="{00000000-0004-0000-4D00-00003E000000}"/>
    <hyperlink ref="G13" location="'M-BarberoServicio'!A6" display="'M-BarberoServicio'!A6" xr:uid="{00000000-0004-0000-4D00-00003F000000}"/>
    <hyperlink ref="B14" location="'M-Cita'!A13" display="#'M-Cita'.A13" xr:uid="{00000000-0004-0000-4D00-000040000000}"/>
    <hyperlink ref="C14" location="'M-BarberoServicio'!A9" display="#'M-BarberoServicio'.A9" xr:uid="{00000000-0004-0000-4D00-000041000000}"/>
    <hyperlink ref="D14" location="'M-Servicio'!A5" display="'M-Servicio'!A5" xr:uid="{00000000-0004-0000-4D00-000042000000}"/>
    <hyperlink ref="E14" location="'M-BarberoServicio'!A9" display="'M-BarberoServicio'!A9" xr:uid="{00000000-0004-0000-4D00-000043000000}"/>
    <hyperlink ref="F14" location="'M-BarberoServicio'!A9" display="'M-BarberoServicio'!A9" xr:uid="{00000000-0004-0000-4D00-000044000000}"/>
    <hyperlink ref="G14" location="'M-BarberoServicio'!A9" display="'M-BarberoServicio'!A9" xr:uid="{00000000-0004-0000-4D00-000045000000}"/>
  </hyperlinks>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Y20"/>
  <sheetViews>
    <sheetView tabSelected="1" zoomScaleNormal="100" workbookViewId="0">
      <selection activeCell="E10" sqref="E10"/>
    </sheetView>
  </sheetViews>
  <sheetFormatPr baseColWidth="10" defaultColWidth="8.7109375" defaultRowHeight="15" x14ac:dyDescent="0.25"/>
  <cols>
    <col min="1" max="1" width="26.7109375" customWidth="1"/>
    <col min="2" max="2" width="45" customWidth="1"/>
    <col min="3" max="3" width="21.5703125" customWidth="1"/>
    <col min="4" max="4" width="26.7109375" bestFit="1" customWidth="1"/>
    <col min="5" max="5" width="18" customWidth="1"/>
    <col min="6" max="6" width="12.7109375" customWidth="1"/>
    <col min="7" max="7" width="16.28515625" customWidth="1"/>
    <col min="8" max="11" width="13" customWidth="1"/>
    <col min="12" max="12" width="12.140625" customWidth="1"/>
    <col min="13" max="13" width="40" customWidth="1"/>
    <col min="14" max="14" width="18" customWidth="1"/>
    <col min="15" max="15" width="13" customWidth="1"/>
    <col min="16" max="16" width="20.5703125" customWidth="1"/>
    <col min="17" max="17" width="19.42578125" customWidth="1"/>
    <col min="18" max="18" width="17.7109375" customWidth="1"/>
    <col min="19" max="19" width="9.42578125" bestFit="1" customWidth="1"/>
    <col min="20" max="20" width="10.42578125" bestFit="1" customWidth="1"/>
    <col min="21" max="21" width="11.28515625" customWidth="1"/>
    <col min="22" max="22" width="22" customWidth="1"/>
    <col min="23" max="23" width="25.140625" customWidth="1"/>
    <col min="24" max="24" width="13" customWidth="1"/>
    <col min="25" max="25" width="15.42578125" customWidth="1"/>
  </cols>
  <sheetData>
    <row r="1" spans="1:25" ht="15" customHeight="1" x14ac:dyDescent="0.25">
      <c r="A1" s="4" t="s">
        <v>0</v>
      </c>
      <c r="B1" s="4" t="s">
        <v>55</v>
      </c>
    </row>
    <row r="2" spans="1:25" ht="45" customHeight="1" x14ac:dyDescent="0.25">
      <c r="A2" s="144" t="s">
        <v>56</v>
      </c>
      <c r="B2" s="144" t="s">
        <v>57</v>
      </c>
      <c r="C2" s="144" t="s">
        <v>58</v>
      </c>
      <c r="D2" s="144" t="s">
        <v>59</v>
      </c>
      <c r="E2" s="144" t="s">
        <v>60</v>
      </c>
      <c r="F2" s="144" t="s">
        <v>61</v>
      </c>
      <c r="G2" s="144" t="s">
        <v>62</v>
      </c>
      <c r="H2" s="144" t="s">
        <v>63</v>
      </c>
      <c r="I2" s="144" t="s">
        <v>64</v>
      </c>
      <c r="J2" s="144" t="s">
        <v>65</v>
      </c>
      <c r="K2" s="144" t="s">
        <v>66</v>
      </c>
      <c r="L2" s="144" t="s">
        <v>67</v>
      </c>
      <c r="M2" s="144" t="s">
        <v>68</v>
      </c>
      <c r="N2" s="144" t="s">
        <v>69</v>
      </c>
      <c r="O2" s="144" t="s">
        <v>70</v>
      </c>
      <c r="P2" s="144" t="s">
        <v>71</v>
      </c>
      <c r="Q2" s="144" t="s">
        <v>72</v>
      </c>
      <c r="R2" s="144" t="s">
        <v>73</v>
      </c>
      <c r="S2" s="144" t="s">
        <v>74</v>
      </c>
      <c r="T2" s="144" t="s">
        <v>75</v>
      </c>
      <c r="U2" s="144" t="s">
        <v>76</v>
      </c>
      <c r="V2" s="82" t="str">
        <f>A16</f>
        <v>imponerMultaCliente</v>
      </c>
      <c r="W2" s="83" t="str">
        <f>A18</f>
        <v>consultarMultasDeCliente</v>
      </c>
      <c r="X2" s="486" t="str">
        <f>A19</f>
        <v>registrarPagoMulta</v>
      </c>
      <c r="Y2" s="487"/>
    </row>
    <row r="3" spans="1:25" ht="45" customHeight="1" x14ac:dyDescent="0.25">
      <c r="A3" s="107" t="str">
        <f>'M-Multa'!A3</f>
        <v>id</v>
      </c>
      <c r="B3" s="145" t="str">
        <f>'M-Multa'!A2</f>
        <v>Representa un identificador que hará unico cada objeto de dominio de este tipo, no se puede repetir</v>
      </c>
      <c r="C3" s="107" t="s">
        <v>77</v>
      </c>
      <c r="D3" s="107" t="s">
        <v>78</v>
      </c>
      <c r="E3" s="107" t="s">
        <v>77</v>
      </c>
      <c r="F3" s="107" t="s">
        <v>79</v>
      </c>
      <c r="G3" s="107" t="s">
        <v>79</v>
      </c>
      <c r="H3" s="107" t="s">
        <v>79</v>
      </c>
      <c r="I3" s="107" t="s">
        <v>79</v>
      </c>
      <c r="J3" s="107" t="s">
        <v>79</v>
      </c>
      <c r="K3" s="107" t="s">
        <v>79</v>
      </c>
      <c r="L3" s="107" t="s">
        <v>79</v>
      </c>
      <c r="M3" s="145" t="s">
        <v>79</v>
      </c>
      <c r="N3" s="107" t="s">
        <v>80</v>
      </c>
      <c r="O3" s="159" t="s">
        <v>79</v>
      </c>
      <c r="P3" s="107" t="s">
        <v>79</v>
      </c>
      <c r="Q3" s="159" t="s">
        <v>79</v>
      </c>
      <c r="R3" s="159" t="s">
        <v>79</v>
      </c>
      <c r="S3" s="159" t="s">
        <v>80</v>
      </c>
      <c r="T3" s="107" t="s">
        <v>81</v>
      </c>
      <c r="U3" s="107" t="s">
        <v>77</v>
      </c>
      <c r="V3" s="85" t="s">
        <v>82</v>
      </c>
      <c r="W3" s="86" t="s">
        <v>83</v>
      </c>
      <c r="X3" s="87" t="s">
        <v>84</v>
      </c>
      <c r="Y3" s="87" t="s">
        <v>85</v>
      </c>
    </row>
    <row r="4" spans="1:25" ht="75" x14ac:dyDescent="0.25">
      <c r="A4" s="159" t="str">
        <f>'M-Multa'!B3</f>
        <v>cita</v>
      </c>
      <c r="B4" s="159" t="str">
        <f>'M-Multa'!B2</f>
        <v>Hace referencia a la cita puntual que el cliente incumplió (llegando tarde fuera de la tolerancia o no presentándose), de esa cita es de donde sale el valor de monto si fue el caso de no presentase</v>
      </c>
      <c r="C4" s="159" t="s">
        <v>80</v>
      </c>
      <c r="D4" s="192" t="s">
        <v>46</v>
      </c>
      <c r="E4" s="159" t="s">
        <v>77</v>
      </c>
      <c r="F4" s="159" t="s">
        <v>79</v>
      </c>
      <c r="G4" s="159" t="s">
        <v>79</v>
      </c>
      <c r="H4" s="159" t="s">
        <v>79</v>
      </c>
      <c r="I4" s="159" t="s">
        <v>79</v>
      </c>
      <c r="J4" s="159" t="s">
        <v>79</v>
      </c>
      <c r="K4" s="159" t="s">
        <v>79</v>
      </c>
      <c r="L4" s="159" t="s">
        <v>79</v>
      </c>
      <c r="M4" s="159" t="s">
        <v>331</v>
      </c>
      <c r="N4" s="159" t="s">
        <v>80</v>
      </c>
      <c r="O4" s="159" t="s">
        <v>79</v>
      </c>
      <c r="P4" s="159" t="s">
        <v>79</v>
      </c>
      <c r="Q4" s="159" t="s">
        <v>79</v>
      </c>
      <c r="R4" s="159" t="s">
        <v>79</v>
      </c>
      <c r="S4" s="159" t="s">
        <v>80</v>
      </c>
      <c r="T4" s="159" t="s">
        <v>81</v>
      </c>
      <c r="U4" s="159" t="s">
        <v>80</v>
      </c>
      <c r="V4" s="85" t="s">
        <v>84</v>
      </c>
      <c r="W4" s="86" t="s">
        <v>89</v>
      </c>
      <c r="X4" s="87" t="s">
        <v>82</v>
      </c>
      <c r="Y4" s="87" t="s">
        <v>85</v>
      </c>
    </row>
    <row r="5" spans="1:25" ht="45" customHeight="1" x14ac:dyDescent="0.25">
      <c r="A5" s="107" t="str">
        <f>'M-Multa'!C3</f>
        <v>tipo</v>
      </c>
      <c r="B5" s="145" t="str">
        <f>'M-Multa'!C2</f>
        <v>Hace referencia al tipo de multa -tardanza o inasistencia- según lo que haya ocurrido con la cita</v>
      </c>
      <c r="C5" s="107" t="s">
        <v>80</v>
      </c>
      <c r="D5" s="146" t="s">
        <v>22</v>
      </c>
      <c r="E5" s="107" t="s">
        <v>77</v>
      </c>
      <c r="F5" s="107" t="s">
        <v>79</v>
      </c>
      <c r="G5" s="107" t="s">
        <v>79</v>
      </c>
      <c r="H5" s="107" t="s">
        <v>79</v>
      </c>
      <c r="I5" s="107" t="s">
        <v>79</v>
      </c>
      <c r="J5" s="107" t="s">
        <v>79</v>
      </c>
      <c r="K5" s="107" t="s">
        <v>79</v>
      </c>
      <c r="L5" s="107" t="s">
        <v>79</v>
      </c>
      <c r="M5" s="145" t="s">
        <v>331</v>
      </c>
      <c r="N5" s="107" t="s">
        <v>80</v>
      </c>
      <c r="O5" s="107" t="s">
        <v>79</v>
      </c>
      <c r="P5" s="107" t="s">
        <v>79</v>
      </c>
      <c r="Q5" s="107" t="s">
        <v>79</v>
      </c>
      <c r="R5" s="107" t="s">
        <v>79</v>
      </c>
      <c r="S5" s="107" t="s">
        <v>80</v>
      </c>
      <c r="T5" s="107" t="s">
        <v>81</v>
      </c>
      <c r="U5" s="107" t="s">
        <v>80</v>
      </c>
      <c r="V5" s="85" t="s">
        <v>84</v>
      </c>
      <c r="W5" s="86" t="s">
        <v>89</v>
      </c>
      <c r="X5" s="87" t="s">
        <v>82</v>
      </c>
      <c r="Y5" s="87" t="s">
        <v>85</v>
      </c>
    </row>
    <row r="6" spans="1:25" ht="105" customHeight="1" x14ac:dyDescent="0.25">
      <c r="A6" s="159" t="str">
        <f>'M-Multa'!D3</f>
        <v>monto</v>
      </c>
      <c r="B6" s="159" t="str">
        <f>'M-Multa'!D2</f>
        <v>Representa cuánto dinero en pesos colombianos debe pagar el cliente por esta multa. Es un dato auto generado: si el tipo es Tardanza copia el valor de multa de la Cita incumplida; si el tipo es Inasistencia copia el precioTotal de la Cita incumplida</v>
      </c>
      <c r="C6" s="159" t="s">
        <v>80</v>
      </c>
      <c r="D6" s="159" t="s">
        <v>361</v>
      </c>
      <c r="E6" s="159" t="s">
        <v>77</v>
      </c>
      <c r="F6" s="159" t="s">
        <v>79</v>
      </c>
      <c r="G6" s="159" t="s">
        <v>79</v>
      </c>
      <c r="H6" s="159" t="s">
        <v>79</v>
      </c>
      <c r="I6" s="159" t="s">
        <v>79</v>
      </c>
      <c r="J6" s="159">
        <v>0</v>
      </c>
      <c r="K6" s="197">
        <v>1000000</v>
      </c>
      <c r="L6" s="107" t="s">
        <v>79</v>
      </c>
      <c r="M6" s="159" t="s">
        <v>1207</v>
      </c>
      <c r="N6" s="159" t="s">
        <v>80</v>
      </c>
      <c r="O6" s="159" t="s">
        <v>79</v>
      </c>
      <c r="P6" s="159" t="s">
        <v>79</v>
      </c>
      <c r="Q6" s="159" t="s">
        <v>79</v>
      </c>
      <c r="R6" s="159" t="s">
        <v>79</v>
      </c>
      <c r="S6" s="159" t="s">
        <v>80</v>
      </c>
      <c r="T6" s="159" t="s">
        <v>333</v>
      </c>
      <c r="U6" s="159" t="s">
        <v>77</v>
      </c>
      <c r="V6" s="85" t="s">
        <v>82</v>
      </c>
      <c r="W6" s="86" t="s">
        <v>89</v>
      </c>
      <c r="X6" s="87" t="s">
        <v>82</v>
      </c>
      <c r="Y6" s="87" t="s">
        <v>85</v>
      </c>
    </row>
    <row r="7" spans="1:25" ht="105" customHeight="1" x14ac:dyDescent="0.25">
      <c r="A7" s="107" t="str">
        <f>'M-Multa'!E3</f>
        <v>horaGeneracion</v>
      </c>
      <c r="B7" s="145"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107" t="s">
        <v>80</v>
      </c>
      <c r="D7" s="107" t="s">
        <v>643</v>
      </c>
      <c r="E7" s="107" t="s">
        <v>77</v>
      </c>
      <c r="F7" s="107" t="s">
        <v>79</v>
      </c>
      <c r="G7" s="107" t="s">
        <v>79</v>
      </c>
      <c r="H7" s="107" t="s">
        <v>79</v>
      </c>
      <c r="I7" s="107" t="s">
        <v>79</v>
      </c>
      <c r="J7" s="107" t="s">
        <v>79</v>
      </c>
      <c r="K7" s="107" t="s">
        <v>79</v>
      </c>
      <c r="L7" s="107" t="s">
        <v>79</v>
      </c>
      <c r="M7" s="145" t="s">
        <v>1208</v>
      </c>
      <c r="N7" s="107" t="s">
        <v>80</v>
      </c>
      <c r="O7" s="107" t="s">
        <v>79</v>
      </c>
      <c r="P7" s="107" t="s">
        <v>79</v>
      </c>
      <c r="Q7" s="107" t="s">
        <v>79</v>
      </c>
      <c r="R7" s="107" t="s">
        <v>79</v>
      </c>
      <c r="S7" s="107" t="s">
        <v>80</v>
      </c>
      <c r="T7" s="107" t="s">
        <v>644</v>
      </c>
      <c r="U7" s="107" t="s">
        <v>77</v>
      </c>
      <c r="V7" s="85" t="s">
        <v>82</v>
      </c>
      <c r="W7" s="86" t="s">
        <v>89</v>
      </c>
      <c r="X7" s="87" t="s">
        <v>82</v>
      </c>
      <c r="Y7" s="87" t="s">
        <v>85</v>
      </c>
    </row>
    <row r="8" spans="1:25" ht="60" customHeight="1" x14ac:dyDescent="0.25">
      <c r="A8" s="159" t="str">
        <f>'M-Multa'!F3</f>
        <v>fechaHoraPago</v>
      </c>
      <c r="B8" s="159" t="str">
        <f>'M-Multa'!F2</f>
        <v>Representa la fecha y hora en la que el cliente pagó esta multa. Su valor por defecto es 01/01/1000 00:00 y es permitido: significa que la multa sigue sin pagar</v>
      </c>
      <c r="C8" s="159" t="s">
        <v>80</v>
      </c>
      <c r="D8" s="159" t="s">
        <v>1209</v>
      </c>
      <c r="E8" s="159" t="s">
        <v>80</v>
      </c>
      <c r="F8" s="159" t="s">
        <v>79</v>
      </c>
      <c r="G8" s="159" t="s">
        <v>79</v>
      </c>
      <c r="H8" s="159" t="s">
        <v>79</v>
      </c>
      <c r="I8" s="159" t="s">
        <v>79</v>
      </c>
      <c r="J8" s="159" t="s">
        <v>79</v>
      </c>
      <c r="K8" s="159" t="s">
        <v>79</v>
      </c>
      <c r="L8" s="107" t="s">
        <v>79</v>
      </c>
      <c r="M8" s="159" t="s">
        <v>79</v>
      </c>
      <c r="N8" s="159" t="s">
        <v>80</v>
      </c>
      <c r="O8" s="159" t="s">
        <v>79</v>
      </c>
      <c r="P8" s="159" t="s">
        <v>79</v>
      </c>
      <c r="Q8" s="159" t="s">
        <v>79</v>
      </c>
      <c r="R8" s="159" t="s">
        <v>79</v>
      </c>
      <c r="S8" s="159" t="s">
        <v>80</v>
      </c>
      <c r="T8" s="159" t="s">
        <v>858</v>
      </c>
      <c r="U8" s="159" t="s">
        <v>80</v>
      </c>
      <c r="V8" s="85" t="s">
        <v>82</v>
      </c>
      <c r="W8" s="86" t="s">
        <v>89</v>
      </c>
      <c r="X8" s="87" t="s">
        <v>84</v>
      </c>
      <c r="Y8" s="87" t="s">
        <v>90</v>
      </c>
    </row>
    <row r="9" spans="1:25" ht="60" customHeight="1" x14ac:dyDescent="0.25">
      <c r="A9" s="107" t="str">
        <f>'M-Multa'!G3</f>
        <v>pagada</v>
      </c>
      <c r="B9" s="145" t="str">
        <f>'M-Multa'!G2</f>
        <v>Representa si el cliente ya pagó o no esta multa, es el dato que se revisa para decidir si un cliente queda vetado: mientras tenga una multa sin pagar no puede agendar</v>
      </c>
      <c r="C9" s="107" t="s">
        <v>80</v>
      </c>
      <c r="D9" s="107" t="s">
        <v>334</v>
      </c>
      <c r="E9" s="107" t="s">
        <v>77</v>
      </c>
      <c r="F9" s="107" t="s">
        <v>79</v>
      </c>
      <c r="G9" s="107" t="s">
        <v>79</v>
      </c>
      <c r="H9" s="107" t="s">
        <v>79</v>
      </c>
      <c r="I9" s="107" t="s">
        <v>79</v>
      </c>
      <c r="J9" s="107" t="s">
        <v>79</v>
      </c>
      <c r="K9" s="107" t="s">
        <v>79</v>
      </c>
      <c r="L9" s="107" t="s">
        <v>79</v>
      </c>
      <c r="M9" s="145" t="s">
        <v>79</v>
      </c>
      <c r="N9" s="107" t="s">
        <v>80</v>
      </c>
      <c r="O9" s="107" t="s">
        <v>79</v>
      </c>
      <c r="P9" s="107" t="s">
        <v>79</v>
      </c>
      <c r="Q9" s="107" t="s">
        <v>79</v>
      </c>
      <c r="R9" s="107" t="s">
        <v>79</v>
      </c>
      <c r="S9" s="107" t="s">
        <v>80</v>
      </c>
      <c r="T9" s="107" t="s">
        <v>80</v>
      </c>
      <c r="U9" s="107" t="s">
        <v>80</v>
      </c>
      <c r="V9" s="85" t="s">
        <v>82</v>
      </c>
      <c r="W9" s="86" t="s">
        <v>89</v>
      </c>
      <c r="X9" s="87" t="s">
        <v>82</v>
      </c>
      <c r="Y9" s="87" t="s">
        <v>90</v>
      </c>
    </row>
    <row r="11" spans="1:25" ht="15" customHeight="1" x14ac:dyDescent="0.25">
      <c r="A11" s="19" t="s">
        <v>93</v>
      </c>
      <c r="B11" s="19" t="s">
        <v>94</v>
      </c>
      <c r="C11" s="19" t="s">
        <v>95</v>
      </c>
    </row>
    <row r="12" spans="1:25" ht="30" customHeight="1" x14ac:dyDescent="0.25">
      <c r="A12" s="108" t="str">
        <f>'M-Multa'!H3</f>
        <v>Combinación única</v>
      </c>
      <c r="B12" s="109" t="str">
        <f>'M-Multa'!H2</f>
        <v>Combinación única que indica que una misma cita no puede generar más de una multa</v>
      </c>
      <c r="C12" s="20" t="str">
        <f>A4</f>
        <v>cita</v>
      </c>
    </row>
    <row r="14" spans="1:25" x14ac:dyDescent="0.25">
      <c r="A14" s="320" t="s">
        <v>96</v>
      </c>
      <c r="B14" s="321"/>
      <c r="C14" s="323" t="s">
        <v>94</v>
      </c>
      <c r="D14" s="326"/>
      <c r="E14" s="326"/>
      <c r="F14" s="321"/>
      <c r="G14" s="323" t="s">
        <v>97</v>
      </c>
      <c r="H14" s="290"/>
      <c r="I14" s="291"/>
      <c r="J14" s="323" t="s">
        <v>98</v>
      </c>
      <c r="K14" s="290"/>
      <c r="L14" s="290"/>
      <c r="M14" s="290"/>
      <c r="N14" s="291"/>
      <c r="O14" s="323" t="s">
        <v>99</v>
      </c>
      <c r="P14" s="291"/>
      <c r="Q14" s="323" t="s">
        <v>100</v>
      </c>
      <c r="R14" s="291"/>
    </row>
    <row r="15" spans="1:25" x14ac:dyDescent="0.25">
      <c r="A15" s="322"/>
      <c r="B15" s="312"/>
      <c r="C15" s="310"/>
      <c r="D15" s="311"/>
      <c r="E15" s="311"/>
      <c r="F15" s="312"/>
      <c r="G15" s="3" t="s">
        <v>101</v>
      </c>
      <c r="H15" s="3" t="s">
        <v>59</v>
      </c>
      <c r="I15" s="3" t="s">
        <v>94</v>
      </c>
      <c r="J15" s="3" t="s">
        <v>102</v>
      </c>
      <c r="K15" s="325" t="s">
        <v>94</v>
      </c>
      <c r="L15" s="303"/>
      <c r="M15" s="303"/>
      <c r="N15" s="279"/>
      <c r="O15" s="3" t="s">
        <v>103</v>
      </c>
      <c r="P15" s="3" t="s">
        <v>94</v>
      </c>
      <c r="Q15" s="3" t="s">
        <v>104</v>
      </c>
      <c r="R15" s="23" t="s">
        <v>105</v>
      </c>
    </row>
    <row r="16" spans="1:25" ht="114.75" x14ac:dyDescent="0.25">
      <c r="A16" s="485" t="s">
        <v>1210</v>
      </c>
      <c r="B16" s="309"/>
      <c r="C16" s="488" t="s">
        <v>1211</v>
      </c>
      <c r="D16" s="308"/>
      <c r="E16" s="308"/>
      <c r="F16" s="309"/>
      <c r="G16" s="483" t="s">
        <v>1212</v>
      </c>
      <c r="H16" s="483" t="s">
        <v>50</v>
      </c>
      <c r="I16" s="306" t="s">
        <v>1213</v>
      </c>
      <c r="J16" s="365" t="s">
        <v>50</v>
      </c>
      <c r="K16" s="336" t="s">
        <v>1214</v>
      </c>
      <c r="L16" s="308"/>
      <c r="M16" s="308"/>
      <c r="N16" s="309"/>
      <c r="O16" s="105" t="str">
        <f>'P-Multa'!A6</f>
        <v>P-MUL-0001</v>
      </c>
      <c r="P16" s="25" t="str">
        <f>'P-Multa'!B6</f>
        <v>Congelar el motivo (tipo de multa) y el monto en el momento de generarse: si es por tardanza se copia Cita.multa y si es por inasistencia se copia Cita.precioTotal, sin recalcular después</v>
      </c>
      <c r="Q16" s="25" t="s">
        <v>1215</v>
      </c>
      <c r="R16" s="110" t="s">
        <v>112</v>
      </c>
    </row>
    <row r="17" spans="1:18" ht="63.75" customHeight="1" x14ac:dyDescent="0.25">
      <c r="A17" s="322"/>
      <c r="B17" s="312"/>
      <c r="C17" s="310"/>
      <c r="D17" s="311"/>
      <c r="E17" s="311"/>
      <c r="F17" s="312"/>
      <c r="G17" s="280"/>
      <c r="H17" s="280"/>
      <c r="I17" s="280"/>
      <c r="J17" s="281"/>
      <c r="K17" s="310"/>
      <c r="L17" s="311"/>
      <c r="M17" s="311"/>
      <c r="N17" s="312"/>
      <c r="O17" s="105" t="str">
        <f>'P-Multa'!A8</f>
        <v>P-MUL-0003</v>
      </c>
      <c r="P17" s="25" t="str">
        <f>'P-Multa'!B8</f>
        <v>Al generarse una multa dejar vetado al cliente, y quitarle el veto en el momento en que registre el pago de esa multa</v>
      </c>
      <c r="Q17" s="25" t="s">
        <v>1216</v>
      </c>
      <c r="R17" s="110" t="s">
        <v>1217</v>
      </c>
    </row>
    <row r="18" spans="1:18" ht="63.75" customHeight="1" x14ac:dyDescent="0.25">
      <c r="A18" s="482" t="s">
        <v>1218</v>
      </c>
      <c r="B18" s="279"/>
      <c r="C18" s="480" t="s">
        <v>1219</v>
      </c>
      <c r="D18" s="303"/>
      <c r="E18" s="303"/>
      <c r="F18" s="279"/>
      <c r="G18" s="111" t="s">
        <v>1220</v>
      </c>
      <c r="H18" s="111" t="s">
        <v>50</v>
      </c>
      <c r="I18" s="64" t="s">
        <v>1221</v>
      </c>
      <c r="J18" s="125" t="s">
        <v>1222</v>
      </c>
      <c r="K18" s="376" t="s">
        <v>1223</v>
      </c>
      <c r="L18" s="303"/>
      <c r="M18" s="303"/>
      <c r="N18" s="279"/>
      <c r="O18" s="477"/>
      <c r="P18" s="478"/>
      <c r="Q18" s="478"/>
      <c r="R18" s="479"/>
    </row>
    <row r="19" spans="1:18" ht="89.25" customHeight="1" x14ac:dyDescent="0.25">
      <c r="A19" s="481" t="s">
        <v>1224</v>
      </c>
      <c r="B19" s="309"/>
      <c r="C19" s="484" t="s">
        <v>1225</v>
      </c>
      <c r="D19" s="308"/>
      <c r="E19" s="308"/>
      <c r="F19" s="309"/>
      <c r="G19" s="114" t="s">
        <v>116</v>
      </c>
      <c r="H19" s="114" t="s">
        <v>117</v>
      </c>
      <c r="I19" s="68" t="s">
        <v>1226</v>
      </c>
      <c r="J19" s="469" t="s">
        <v>50</v>
      </c>
      <c r="K19" s="471" t="s">
        <v>1227</v>
      </c>
      <c r="L19" s="472"/>
      <c r="M19" s="472"/>
      <c r="N19" s="473"/>
      <c r="O19" s="114" t="str">
        <f>'P-Multa'!A9</f>
        <v>P-MUL-0004</v>
      </c>
      <c r="P19" s="68" t="str">
        <f>'P-Multa'!B9</f>
        <v>Asegurar que exista la multa con el id enviado</v>
      </c>
      <c r="Q19" s="68" t="s">
        <v>1228</v>
      </c>
      <c r="R19" s="115" t="s">
        <v>112</v>
      </c>
    </row>
    <row r="20" spans="1:18" ht="63.75" customHeight="1" x14ac:dyDescent="0.25">
      <c r="A20" s="322"/>
      <c r="B20" s="312"/>
      <c r="C20" s="310"/>
      <c r="D20" s="311"/>
      <c r="E20" s="311"/>
      <c r="F20" s="312"/>
      <c r="G20" s="114" t="s">
        <v>1229</v>
      </c>
      <c r="H20" s="114" t="s">
        <v>1209</v>
      </c>
      <c r="I20" s="68" t="s">
        <v>1230</v>
      </c>
      <c r="J20" s="470"/>
      <c r="K20" s="474"/>
      <c r="L20" s="475"/>
      <c r="M20" s="475"/>
      <c r="N20" s="476"/>
      <c r="O20" s="114" t="str">
        <f>'P-Multa'!A7</f>
        <v>P-MUL-0002</v>
      </c>
      <c r="P20" s="68" t="str">
        <f>'P-Multa'!B7</f>
        <v>Asegurar que la multa no esté ya pagada antes de registrar un nuevo pago</v>
      </c>
      <c r="Q20" s="68" t="s">
        <v>1231</v>
      </c>
      <c r="R20" s="115" t="s">
        <v>112</v>
      </c>
    </row>
  </sheetData>
  <mergeCells count="23">
    <mergeCell ref="C14:F15"/>
    <mergeCell ref="X2:Y2"/>
    <mergeCell ref="J14:N14"/>
    <mergeCell ref="I16:I17"/>
    <mergeCell ref="C16:F17"/>
    <mergeCell ref="Q14:R14"/>
    <mergeCell ref="O14:P14"/>
    <mergeCell ref="J19:J20"/>
    <mergeCell ref="K19:N20"/>
    <mergeCell ref="O18:R18"/>
    <mergeCell ref="A14:B15"/>
    <mergeCell ref="C18:F18"/>
    <mergeCell ref="G14:I14"/>
    <mergeCell ref="K18:N18"/>
    <mergeCell ref="A19:B20"/>
    <mergeCell ref="K15:N15"/>
    <mergeCell ref="A18:B18"/>
    <mergeCell ref="J16:J17"/>
    <mergeCell ref="H16:H17"/>
    <mergeCell ref="G16:G17"/>
    <mergeCell ref="C19:F20"/>
    <mergeCell ref="A16:B17"/>
    <mergeCell ref="K16:N17"/>
  </mergeCells>
  <hyperlinks>
    <hyperlink ref="A1" location="'Modelo de Dominio'!A1" display="&lt;&lt;&lt;&lt; Ir al modulo de dominio" xr:uid="{00000000-0004-0000-4E00-000000000000}"/>
    <hyperlink ref="B1" location="'Objetos de Dominio'!A1" display="&lt;&lt;&lt;&lt; Ir a objetos de dominio" xr:uid="{00000000-0004-0000-4E00-000001000000}"/>
    <hyperlink ref="V2" location="'C-Multa'!A16" display="#'C-Multa'.A16" xr:uid="{00000000-0004-0000-4E00-000002000000}"/>
    <hyperlink ref="W2" location="'C-Multa'!A18" display="#'C-Multa'.A18" xr:uid="{00000000-0004-0000-4E00-000003000000}"/>
    <hyperlink ref="X2" location="'C-Multa'!A19" display="#'C-Multa'.A19" xr:uid="{00000000-0004-0000-4E00-000004000000}"/>
    <hyperlink ref="A3" location="'M-Multa'!A3" display="#'M-Multa'.A3" xr:uid="{00000000-0004-0000-4E00-000005000000}"/>
    <hyperlink ref="B3" location="'M-Multa'!A2" display="#'M-Multa'.A2" xr:uid="{00000000-0004-0000-4E00-000006000000}"/>
    <hyperlink ref="A4" location="'M-Multa'!A3" display="#'M-Multa'.A3" xr:uid="{00000000-0004-0000-4E00-000007000000}"/>
    <hyperlink ref="B4" location="'M-Multa'!A2" display="#'M-Multa'.A2" xr:uid="{00000000-0004-0000-4E00-000008000000}"/>
    <hyperlink ref="D4" location="'C-Cita'!A1" display="Cita" xr:uid="{00000000-0004-0000-4E00-000009000000}"/>
    <hyperlink ref="A5" location="'M-Multa'!A3" display="#'M-Multa'.A3" xr:uid="{00000000-0004-0000-4E00-00000A000000}"/>
    <hyperlink ref="B5" location="'M-Multa'!A2" display="#'M-Multa'.A2" xr:uid="{00000000-0004-0000-4E00-00000B000000}"/>
    <hyperlink ref="D5" location="'C-TipoMulta'!A1" display="TipoMulta" xr:uid="{00000000-0004-0000-4E00-00000C000000}"/>
    <hyperlink ref="A6" location="'M-Multa'!A3" display="#'M-Multa'.A3" xr:uid="{00000000-0004-0000-4E00-00000D000000}"/>
    <hyperlink ref="B6" location="'M-Multa'!A2" display="#'M-Multa'.A2" xr:uid="{00000000-0004-0000-4E00-00000E000000}"/>
    <hyperlink ref="A7" location="'M-Multa'!A3" display="#'M-Multa'.A3" xr:uid="{00000000-0004-0000-4E00-00000F000000}"/>
    <hyperlink ref="B7" location="'M-Multa'!A2" display="#'M-Multa'.A2" xr:uid="{00000000-0004-0000-4E00-000010000000}"/>
    <hyperlink ref="A8" location="'M-Multa'!A3" display="#'M-Multa'.A3" xr:uid="{00000000-0004-0000-4E00-000011000000}"/>
    <hyperlink ref="B8" location="'M-Multa'!A2" display="#'M-Multa'.A2" xr:uid="{00000000-0004-0000-4E00-000012000000}"/>
    <hyperlink ref="A9" location="'M-Multa'!A3" display="#'M-Multa'.A3" xr:uid="{00000000-0004-0000-4E00-000013000000}"/>
    <hyperlink ref="B9" location="'M-Multa'!A2" display="#'M-Multa'.A2" xr:uid="{00000000-0004-0000-4E00-000014000000}"/>
    <hyperlink ref="A12" location="'M-Multa'!A3" display="#'M-Multa'.A3" xr:uid="{00000000-0004-0000-4E00-000015000000}"/>
    <hyperlink ref="B12" location="'M-Multa'!A2" display="#'M-Multa'.A2" xr:uid="{00000000-0004-0000-4E00-000016000000}"/>
    <hyperlink ref="A16" location="'C-Multa'!V2" display="imponerMultaCliente" xr:uid="{00000000-0004-0000-4E00-000017000000}"/>
    <hyperlink ref="A18" location="'C-Multa'!W2" display="consultarMultasDeCliente" xr:uid="{00000000-0004-0000-4E00-000018000000}"/>
    <hyperlink ref="A19" location="'C-Multa'!X2" display="registrarPagoMulta" xr:uid="{00000000-0004-0000-4E00-000019000000}"/>
  </hyperlinks>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9"/>
  <sheetViews>
    <sheetView showGridLines="0" zoomScaleNormal="100" workbookViewId="0">
      <selection activeCell="C16" sqref="C16"/>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Dominio'!A22</f>
        <v>Multa</v>
      </c>
      <c r="C2" s="290"/>
      <c r="D2" s="290"/>
      <c r="E2" s="291"/>
    </row>
    <row r="3" spans="1:5" ht="30" customHeight="1" x14ac:dyDescent="0.25">
      <c r="A3" s="30" t="s">
        <v>140</v>
      </c>
      <c r="B3" s="336" t="str">
        <f>'Objetos de Dominio'!B22</f>
        <v>Representa la sanción económica que se le impone a un cliente por incumplir una cita, ya sea por llegar tarde fuera de tolerancia o por no presentarse, calculada a partir de la cita específica que la originó.</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42" customHeight="1" x14ac:dyDescent="0.25">
      <c r="A6" s="8" t="s">
        <v>1232</v>
      </c>
      <c r="B6" s="332" t="s">
        <v>1233</v>
      </c>
      <c r="C6" s="279"/>
      <c r="D6" s="31" t="s">
        <v>46</v>
      </c>
      <c r="E6" s="31"/>
    </row>
    <row r="7" spans="1:5" ht="30" customHeight="1" x14ac:dyDescent="0.25">
      <c r="A7" s="8" t="s">
        <v>1234</v>
      </c>
      <c r="B7" s="332" t="s">
        <v>1235</v>
      </c>
      <c r="C7" s="279"/>
      <c r="D7" s="31" t="s">
        <v>50</v>
      </c>
      <c r="E7" s="31"/>
    </row>
    <row r="8" spans="1:5" ht="30" customHeight="1" x14ac:dyDescent="0.25">
      <c r="A8" s="8" t="s">
        <v>1236</v>
      </c>
      <c r="B8" s="332" t="s">
        <v>1237</v>
      </c>
      <c r="C8" s="279"/>
      <c r="D8" s="31" t="s">
        <v>26</v>
      </c>
      <c r="E8" s="31"/>
    </row>
    <row r="9" spans="1:5" ht="30" customHeight="1" x14ac:dyDescent="0.25">
      <c r="A9" s="8" t="s">
        <v>1238</v>
      </c>
      <c r="B9" s="332" t="s">
        <v>1239</v>
      </c>
      <c r="C9" s="279"/>
      <c r="D9" s="31" t="s">
        <v>50</v>
      </c>
      <c r="E9" s="31"/>
    </row>
  </sheetData>
  <mergeCells count="10">
    <mergeCell ref="A4:A5"/>
    <mergeCell ref="D4:D5"/>
    <mergeCell ref="E4:E5"/>
    <mergeCell ref="B3:E3"/>
    <mergeCell ref="B2:E2"/>
    <mergeCell ref="B9:C9"/>
    <mergeCell ref="B8:C8"/>
    <mergeCell ref="B4:C5"/>
    <mergeCell ref="B6:C6"/>
    <mergeCell ref="B7:C7"/>
  </mergeCells>
  <hyperlinks>
    <hyperlink ref="A1" location="'Modelo de Dominio'!A1" display="&lt;&lt; Ir al modelo de dominio" xr:uid="{00000000-0004-0000-4F00-000000000000}"/>
    <hyperlink ref="B1" location="'Objetos de Dominio'!A1" display="&lt;&lt; Ir al listado de objetos de dominio" xr:uid="{00000000-0004-0000-4F00-000001000000}"/>
    <hyperlink ref="C1" location="'C-Multa'!A1" display="&lt;&lt; Ir a la caracterización del objeto de dominio" xr:uid="{00000000-0004-0000-4F00-000002000000}"/>
    <hyperlink ref="D1" location="'M-Multa'!A1" display="Ir al muestreo de datos del objeto de dominio &gt;&gt;" xr:uid="{00000000-0004-0000-4F00-000003000000}"/>
    <hyperlink ref="E1" location="'E-Multa'!A1" display="Ir al event storming del objeto de dominio &gt;&gt;" xr:uid="{00000000-0004-0000-4F00-000004000000}"/>
  </hyperlinks>
  <pageMargins left="0.75" right="0.75" top="1" bottom="1" header="0.511811023622047" footer="0.511811023622047"/>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K10"/>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8.4257812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71" t="s">
        <v>139</v>
      </c>
      <c r="B2" s="289" t="str">
        <f>'Objetos de Dominio'!A22</f>
        <v>Multa</v>
      </c>
      <c r="C2" s="290"/>
      <c r="D2" s="290"/>
      <c r="E2" s="290"/>
      <c r="F2" s="290"/>
      <c r="G2" s="290"/>
      <c r="H2" s="290"/>
      <c r="I2" s="290"/>
      <c r="J2" s="290"/>
      <c r="K2" s="291"/>
    </row>
    <row r="3" spans="1:11" ht="30" customHeight="1" x14ac:dyDescent="0.25">
      <c r="A3" s="72" t="s">
        <v>140</v>
      </c>
      <c r="B3" s="302" t="str">
        <f>'Objetos de Dominio'!B22</f>
        <v>Representa la sanción económica que se le impone a un cliente por incumplir una cita, ya sea por llegar tarde fuera de tolerancia o por no presentarse, calculada a partir de la cita específica que la originó.</v>
      </c>
      <c r="C3" s="303"/>
      <c r="D3" s="303"/>
      <c r="E3" s="303"/>
      <c r="F3" s="303"/>
      <c r="G3" s="303"/>
      <c r="H3" s="303"/>
      <c r="I3" s="303"/>
      <c r="J3" s="303"/>
      <c r="K3" s="279"/>
    </row>
    <row r="4" spans="1:11" ht="34.5" customHeight="1" x14ac:dyDescent="0.25">
      <c r="A4" s="34" t="s">
        <v>151</v>
      </c>
      <c r="B4" s="278" t="s">
        <v>152</v>
      </c>
      <c r="C4" s="279"/>
      <c r="D4" s="35" t="s">
        <v>153</v>
      </c>
      <c r="E4" s="297" t="s">
        <v>154</v>
      </c>
      <c r="F4" s="279"/>
      <c r="G4" s="294" t="s">
        <v>155</v>
      </c>
      <c r="H4" s="279"/>
      <c r="I4" s="73" t="s">
        <v>156</v>
      </c>
      <c r="J4" s="38" t="s">
        <v>157</v>
      </c>
      <c r="K4" s="74" t="s">
        <v>158</v>
      </c>
    </row>
    <row r="5" spans="1:11" ht="15" customHeight="1" x14ac:dyDescent="0.25">
      <c r="A5" s="282" t="s">
        <v>151</v>
      </c>
      <c r="B5" s="278" t="s">
        <v>159</v>
      </c>
      <c r="C5" s="278" t="s">
        <v>94</v>
      </c>
      <c r="D5" s="292" t="s">
        <v>160</v>
      </c>
      <c r="E5" s="297" t="s">
        <v>161</v>
      </c>
      <c r="F5" s="279"/>
      <c r="G5" s="294" t="s">
        <v>162</v>
      </c>
      <c r="H5" s="279"/>
      <c r="I5" s="304" t="s">
        <v>163</v>
      </c>
      <c r="J5" s="296" t="s">
        <v>164</v>
      </c>
      <c r="K5" s="295" t="s">
        <v>165</v>
      </c>
    </row>
    <row r="6" spans="1:11" ht="15" customHeight="1" x14ac:dyDescent="0.25">
      <c r="A6" s="281"/>
      <c r="B6" s="281"/>
      <c r="C6" s="281"/>
      <c r="D6" s="281"/>
      <c r="E6" s="36" t="s">
        <v>166</v>
      </c>
      <c r="F6" s="36" t="s">
        <v>94</v>
      </c>
      <c r="G6" s="40" t="s">
        <v>167</v>
      </c>
      <c r="H6" s="40" t="s">
        <v>94</v>
      </c>
      <c r="I6" s="281"/>
      <c r="J6" s="281"/>
      <c r="K6" s="281"/>
    </row>
    <row r="7" spans="1:11" ht="72" customHeight="1" x14ac:dyDescent="0.25">
      <c r="A7" s="273" t="s">
        <v>320</v>
      </c>
      <c r="B7" s="272" t="s">
        <v>1240</v>
      </c>
      <c r="C7" s="272" t="s">
        <v>1211</v>
      </c>
      <c r="D7" s="273" t="str">
        <f>$B$2</f>
        <v>Multa</v>
      </c>
      <c r="E7" s="42" t="s">
        <v>46</v>
      </c>
      <c r="F7" s="42" t="s">
        <v>1241</v>
      </c>
      <c r="G7" s="75" t="str">
        <f>'P-Multa'!A6</f>
        <v>P-MUL-0001</v>
      </c>
      <c r="H7" s="198" t="str">
        <f>'P-Multa'!B6</f>
        <v>Congelar el motivo (tipo de multa) y el monto en el momento de generarse: si es por tardanza se copia Cita.multa y si es por inasistencia se copia Cita.precioTotal, sin recalcular después</v>
      </c>
      <c r="I7" s="273"/>
      <c r="J7" s="272" t="s">
        <v>1242</v>
      </c>
      <c r="K7" s="272"/>
    </row>
    <row r="8" spans="1:11" ht="42.75" customHeight="1" x14ac:dyDescent="0.25">
      <c r="A8" s="281"/>
      <c r="B8" s="281"/>
      <c r="C8" s="281"/>
      <c r="D8" s="281"/>
      <c r="E8" s="42" t="s">
        <v>26</v>
      </c>
      <c r="F8" s="42" t="s">
        <v>1243</v>
      </c>
      <c r="G8" s="75" t="str">
        <f>'P-Multa'!A8</f>
        <v>P-MUL-0003</v>
      </c>
      <c r="H8" s="104" t="str">
        <f>'P-Multa'!B8</f>
        <v>Al generarse una multa dejar vetado al cliente, y quitarle el veto en el momento en que registre el pago de esa multa</v>
      </c>
      <c r="I8" s="281"/>
      <c r="J8" s="281"/>
      <c r="K8" s="281"/>
    </row>
    <row r="9" spans="1:11" ht="30" customHeight="1" x14ac:dyDescent="0.25">
      <c r="A9" s="41" t="s">
        <v>26</v>
      </c>
      <c r="B9" s="42" t="s">
        <v>1244</v>
      </c>
      <c r="C9" s="42" t="s">
        <v>1219</v>
      </c>
      <c r="D9" s="41" t="str">
        <f>$B$2</f>
        <v>Multa</v>
      </c>
      <c r="E9" s="42" t="s">
        <v>22</v>
      </c>
      <c r="F9" s="42" t="s">
        <v>1245</v>
      </c>
      <c r="G9" s="41"/>
      <c r="H9" s="104"/>
      <c r="I9" s="41"/>
      <c r="J9" s="42" t="s">
        <v>1246</v>
      </c>
      <c r="K9" s="42"/>
    </row>
    <row r="10" spans="1:11" ht="28.5" customHeight="1" x14ac:dyDescent="0.25">
      <c r="A10" s="41" t="s">
        <v>32</v>
      </c>
      <c r="B10" s="42" t="s">
        <v>1247</v>
      </c>
      <c r="C10" s="42" t="s">
        <v>1225</v>
      </c>
      <c r="D10" s="41" t="str">
        <f>$B$2</f>
        <v>Multa</v>
      </c>
      <c r="E10" s="42" t="s">
        <v>26</v>
      </c>
      <c r="F10" s="42" t="s">
        <v>1248</v>
      </c>
      <c r="G10" s="75" t="str">
        <f>'P-Multa'!A7</f>
        <v>P-MUL-0002</v>
      </c>
      <c r="H10" s="104" t="str">
        <f>'P-Multa'!B7</f>
        <v>Asegurar que la multa no esté ya pagada antes de registrar un nuevo pago</v>
      </c>
      <c r="I10" s="41"/>
      <c r="J10" s="42" t="s">
        <v>1249</v>
      </c>
      <c r="K10" s="42"/>
    </row>
  </sheetData>
  <mergeCells count="25">
    <mergeCell ref="C1:E1"/>
    <mergeCell ref="J1:K1"/>
    <mergeCell ref="E5:F5"/>
    <mergeCell ref="A7:A8"/>
    <mergeCell ref="I7:I8"/>
    <mergeCell ref="A1:B1"/>
    <mergeCell ref="E4:F4"/>
    <mergeCell ref="F1:I1"/>
    <mergeCell ref="D7:D8"/>
    <mergeCell ref="J7:J8"/>
    <mergeCell ref="B3:K3"/>
    <mergeCell ref="I5:I6"/>
    <mergeCell ref="A5:A6"/>
    <mergeCell ref="G5:H5"/>
    <mergeCell ref="C7:C8"/>
    <mergeCell ref="K7:K8"/>
    <mergeCell ref="B7:B8"/>
    <mergeCell ref="K5:K6"/>
    <mergeCell ref="C5:C6"/>
    <mergeCell ref="B2:K2"/>
    <mergeCell ref="B5:B6"/>
    <mergeCell ref="D5:D6"/>
    <mergeCell ref="G4:H4"/>
    <mergeCell ref="J5:J6"/>
    <mergeCell ref="B4:C4"/>
  </mergeCells>
  <hyperlinks>
    <hyperlink ref="A1" location="'Modelo de Dominio'!A1" display="&lt;&lt; Ir al modelo de dominio" xr:uid="{00000000-0004-0000-5000-000000000000}"/>
    <hyperlink ref="C1" location="'Objetos de Dominio'!A1" display="&lt;&lt; Ir al listado de objetos de dominio" xr:uid="{00000000-0004-0000-5000-000001000000}"/>
    <hyperlink ref="F1" location="'C-Multa'!A1" display="&lt;&lt; Ir a la caracterización del objeto de dominio" xr:uid="{00000000-0004-0000-5000-000002000000}"/>
    <hyperlink ref="J1" location="'M-Multa'!A1" display="Ir al muestreo de datos del objeto de dominio &gt;&gt;" xr:uid="{00000000-0004-0000-5000-000003000000}"/>
    <hyperlink ref="G7" location="'P-Multa'!A6" display="#'P-Multa'.A6" xr:uid="{00000000-0004-0000-5000-000004000000}"/>
  </hyperlinks>
  <pageMargins left="0.75" right="0.75" top="1" bottom="1" header="0.511811023622047" footer="0.511811023622047"/>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21"/>
  <sheetViews>
    <sheetView topLeftCell="A3" zoomScaleNormal="100" workbookViewId="0">
      <selection activeCell="A3" sqref="A3"/>
    </sheetView>
  </sheetViews>
  <sheetFormatPr baseColWidth="10" defaultColWidth="8.7109375" defaultRowHeight="15" x14ac:dyDescent="0.25"/>
  <cols>
    <col min="1" max="1" width="27" bestFit="1" customWidth="1"/>
    <col min="2" max="2" width="33.7109375" customWidth="1"/>
    <col min="3" max="3" width="24.7109375" customWidth="1"/>
    <col min="4" max="4" width="35.5703125" customWidth="1"/>
    <col min="5" max="5" width="40.85546875" customWidth="1"/>
    <col min="6" max="6" width="35.5703125" customWidth="1"/>
    <col min="7" max="7" width="27.140625" customWidth="1"/>
    <col min="8" max="8" width="30.42578125" customWidth="1"/>
  </cols>
  <sheetData>
    <row r="1" spans="1:8" ht="14.25" customHeight="1" x14ac:dyDescent="0.25">
      <c r="A1" s="4" t="s">
        <v>0</v>
      </c>
      <c r="B1" s="4" t="s">
        <v>55</v>
      </c>
    </row>
    <row r="2" spans="1:8" ht="54" customHeight="1" x14ac:dyDescent="0.25">
      <c r="A2" s="44" t="s">
        <v>183</v>
      </c>
      <c r="B2" s="44" t="s">
        <v>1250</v>
      </c>
      <c r="C2" s="44" t="s">
        <v>1251</v>
      </c>
      <c r="D2" s="44" t="s">
        <v>1252</v>
      </c>
      <c r="E2" s="44" t="s">
        <v>1253</v>
      </c>
      <c r="F2" s="44" t="s">
        <v>1254</v>
      </c>
      <c r="G2" s="44" t="s">
        <v>1255</v>
      </c>
      <c r="H2" s="44" t="s">
        <v>1256</v>
      </c>
    </row>
    <row r="3" spans="1:8" ht="14.25" customHeight="1" x14ac:dyDescent="0.25">
      <c r="A3" s="46" t="s">
        <v>116</v>
      </c>
      <c r="B3" s="118" t="s">
        <v>1202</v>
      </c>
      <c r="C3" s="130" t="s">
        <v>1257</v>
      </c>
      <c r="D3" s="177" t="s">
        <v>1258</v>
      </c>
      <c r="E3" s="177" t="s">
        <v>1259</v>
      </c>
      <c r="F3" s="177" t="s">
        <v>1229</v>
      </c>
      <c r="G3" s="177" t="s">
        <v>1260</v>
      </c>
      <c r="H3" s="48" t="s">
        <v>189</v>
      </c>
    </row>
    <row r="4" spans="1:8" ht="75" customHeight="1" x14ac:dyDescent="0.25">
      <c r="A4" s="49">
        <v>1</v>
      </c>
      <c r="B4" s="188" t="str">
        <f>'M-Cita'!K6</f>
        <v>+57-3214533321-900123456-7-Sede Poblado-Jueves-09:00-19:00-12/11/2023-1/01/1000-13:00-19:00-22/12/2022-1/01/1000-14/05/2026-13:00</v>
      </c>
      <c r="C4" s="119" t="str">
        <f>'M-TipoMulta'!D4</f>
        <v>Tardanza</v>
      </c>
      <c r="D4" s="199">
        <f>'M-Cita'!H6</f>
        <v>10000</v>
      </c>
      <c r="E4" s="200">
        <f>SUMIFS('M-RegistroHoraCita'!$D$4:$D$15,'M-RegistroHoraCita'!$B$4:$B$15,B4,'M-RegistroHoraCita'!$C$4:$C$15,'M-TipoRegistroHora'!$C$4)</f>
        <v>0.55208333333333337</v>
      </c>
      <c r="F4" s="206">
        <v>46233.416666666657</v>
      </c>
      <c r="G4" s="49" t="s">
        <v>442</v>
      </c>
      <c r="H4" s="79" t="str">
        <f>B4</f>
        <v>+57-3214533321-900123456-7-Sede Poblado-Jueves-09:00-19:00-12/11/2023-1/01/1000-13:00-19:00-22/12/2022-1/01/1000-14/05/2026-13:00</v>
      </c>
    </row>
    <row r="5" spans="1:8" ht="75" customHeight="1" x14ac:dyDescent="0.25">
      <c r="A5" s="49">
        <v>2</v>
      </c>
      <c r="B5" s="188" t="str">
        <f>'M-Cita'!K7</f>
        <v>+91-9876543210-900123456-7-Sede Poblado-Sábado-08:00-21:00-12/12/2024-1/01/1000-08:00-14:00-15/09/2025-01/01/2026-22/11/2025-13:00</v>
      </c>
      <c r="C5" s="119" t="str">
        <f>'M-TipoMulta'!D5</f>
        <v>Inasistencia</v>
      </c>
      <c r="D5" s="199">
        <f>'M-Cita'!J7</f>
        <v>35000</v>
      </c>
      <c r="E5" s="200">
        <f>'M-Cita'!F7</f>
        <v>0.57638888888888884</v>
      </c>
      <c r="F5" s="206">
        <v>45986.416666666657</v>
      </c>
      <c r="G5" s="49" t="s">
        <v>442</v>
      </c>
      <c r="H5" s="79" t="str">
        <f>B5</f>
        <v>+91-9876543210-900123456-7-Sede Poblado-Sábado-08:00-21:00-12/12/2024-1/01/1000-08:00-14:00-15/09/2025-01/01/2026-22/11/2025-13:00</v>
      </c>
    </row>
    <row r="6" spans="1:8" ht="75" customHeight="1" x14ac:dyDescent="0.25">
      <c r="A6" s="49">
        <v>3</v>
      </c>
      <c r="B6" s="188" t="str">
        <f>'M-Cita'!K10</f>
        <v>+57-3245627890-900123456-7-Sede Poblado-Lunes-09:00-19:00-12/11/2023-1/01/1000-10:00-16:00-03/05/2025-1/01/1000-01/06/2026-10:00</v>
      </c>
      <c r="C6" s="119" t="str">
        <f>'M-TipoMulta'!D5</f>
        <v>Inasistencia</v>
      </c>
      <c r="D6" s="199">
        <f>'M-Cita'!J10</f>
        <v>22000</v>
      </c>
      <c r="E6" s="200">
        <f>'M-Cita'!F10</f>
        <v>0.45833333333333337</v>
      </c>
      <c r="F6" s="206" t="s">
        <v>1261</v>
      </c>
      <c r="G6" s="49" t="s">
        <v>429</v>
      </c>
      <c r="H6" s="79" t="str">
        <f>B6</f>
        <v>+57-3245627890-900123456-7-Sede Poblado-Lunes-09:00-19:00-12/11/2023-1/01/1000-10:00-16:00-03/05/2025-1/01/1000-01/06/2026-10:00</v>
      </c>
    </row>
    <row r="7" spans="1:8" ht="75" customHeight="1" x14ac:dyDescent="0.25">
      <c r="A7" s="49">
        <v>4</v>
      </c>
      <c r="B7" s="188" t="str">
        <f>'M-Cita'!K11</f>
        <v>+57-3124518923-900123456-7-Sede Poblado-Martes-09:00-19:00-12/11/2023-1/01/1000-09:00-15:00-02/03/2025-1/01/1000-16/06/2026-09:00</v>
      </c>
      <c r="C7" s="119" t="str">
        <f>'M-TipoMulta'!D5</f>
        <v>Inasistencia</v>
      </c>
      <c r="D7" s="199">
        <f>'M-Cita'!J11</f>
        <v>12000</v>
      </c>
      <c r="E7" s="200">
        <f>'M-Cita'!F11</f>
        <v>0.38541666666666669</v>
      </c>
      <c r="F7" s="206" t="s">
        <v>1261</v>
      </c>
      <c r="G7" s="49" t="s">
        <v>429</v>
      </c>
      <c r="H7" s="79" t="str">
        <f>B7</f>
        <v>+57-3124518923-900123456-7-Sede Poblado-Martes-09:00-19:00-12/11/2023-1/01/1000-09:00-15:00-02/03/2025-1/01/1000-16/06/2026-09:00</v>
      </c>
    </row>
    <row r="8" spans="1:8" ht="75" customHeight="1" x14ac:dyDescent="0.25">
      <c r="A8" s="49">
        <v>5</v>
      </c>
      <c r="B8" s="188" t="str">
        <f>'M-Cita'!K12</f>
        <v>+57-3214533321-900123456-7-Sede Poblado-Jueves-09:00-19:00-12/11/2023-1/01/1000-13:00-19:00-22/12/2022-1/01/1000-02/07/2026-15:00</v>
      </c>
      <c r="C8" s="119" t="str">
        <f>'M-TipoMulta'!D5</f>
        <v>Inasistencia</v>
      </c>
      <c r="D8" s="199">
        <f>'M-Cita'!J12</f>
        <v>15000</v>
      </c>
      <c r="E8" s="200">
        <f>'M-Cita'!F12</f>
        <v>0.63888888888888884</v>
      </c>
      <c r="F8" s="206" t="s">
        <v>1261</v>
      </c>
      <c r="G8" s="49" t="s">
        <v>429</v>
      </c>
      <c r="H8" s="79" t="str">
        <f>B8</f>
        <v>+57-3214533321-900123456-7-Sede Poblado-Jueves-09:00-19:00-12/11/2023-1/01/1000-13:00-19:00-22/12/2022-1/01/1000-02/07/2026-15:00</v>
      </c>
    </row>
    <row r="12" spans="1:8" x14ac:dyDescent="0.25">
      <c r="H12" s="209"/>
    </row>
    <row r="14" spans="1:8" ht="28.5" customHeight="1" x14ac:dyDescent="0.25">
      <c r="A14" s="44"/>
      <c r="B14" s="53" t="s">
        <v>194</v>
      </c>
    </row>
    <row r="15" spans="1:8" ht="28.5" customHeight="1" x14ac:dyDescent="0.25">
      <c r="A15" s="46"/>
      <c r="B15" s="53" t="s">
        <v>195</v>
      </c>
    </row>
    <row r="16" spans="1:8" ht="28.5" customHeight="1" x14ac:dyDescent="0.25">
      <c r="A16" s="201"/>
      <c r="B16" s="53" t="s">
        <v>443</v>
      </c>
    </row>
    <row r="17" spans="1:2" ht="27.75" customHeight="1" x14ac:dyDescent="0.25">
      <c r="A17" s="99"/>
      <c r="B17" s="53" t="s">
        <v>642</v>
      </c>
    </row>
    <row r="18" spans="1:2" ht="30" customHeight="1" x14ac:dyDescent="0.25">
      <c r="A18" s="47"/>
      <c r="B18" s="53" t="s">
        <v>196</v>
      </c>
    </row>
    <row r="19" spans="1:2" ht="28.5" customHeight="1" x14ac:dyDescent="0.25">
      <c r="A19" s="48"/>
      <c r="B19" s="53" t="s">
        <v>197</v>
      </c>
    </row>
    <row r="20" spans="1:2" ht="14.25" customHeight="1" x14ac:dyDescent="0.25">
      <c r="A20" s="202"/>
    </row>
    <row r="21" spans="1:2" ht="14.25" customHeight="1" x14ac:dyDescent="0.25">
      <c r="A21" s="202"/>
    </row>
  </sheetData>
  <hyperlinks>
    <hyperlink ref="A1" location="'Modelo de Dominio'!A1" display="&lt;&lt;&lt;&lt; Ir al modulo de dominio" xr:uid="{00000000-0004-0000-5100-000000000000}"/>
    <hyperlink ref="B1" location="'Objetos de Dominio'!A1" display="&lt;&lt;&lt;&lt; Ir a objetos de dominio" xr:uid="{00000000-0004-0000-5100-000001000000}"/>
    <hyperlink ref="B3" location="'M-Cita'!A1" display="cita" xr:uid="{00000000-0004-0000-5100-000002000000}"/>
    <hyperlink ref="C3" location="'M-TipoMulta'!A1" display="tipo" xr:uid="{00000000-0004-0000-5100-000003000000}"/>
    <hyperlink ref="B4" location="'M-Cita'!A6" display="'M-Cita'!A6" xr:uid="{00000000-0004-0000-5100-000004000000}"/>
    <hyperlink ref="C4" location="'M-TipoMulta'!A4" display="#'M-TipoMulta'.A4" xr:uid="{00000000-0004-0000-5100-000005000000}"/>
    <hyperlink ref="D4" location="'M-Cita'!A6" display="'M-Cita'!A6" xr:uid="{00000000-0004-0000-5100-000006000000}"/>
    <hyperlink ref="E4" location="'M-RegistroHoraCita'!A7" display="'M-RegistroHoraCita'!A7" xr:uid="{00000000-0004-0000-5100-000007000000}"/>
    <hyperlink ref="B5" location="'M-Cita'!A7" display="'M-Cita'!A7" xr:uid="{00000000-0004-0000-5100-000008000000}"/>
    <hyperlink ref="C5" location="'M-TipoMulta'!A5" display="#'M-TipoMulta'.A5" xr:uid="{00000000-0004-0000-5100-000009000000}"/>
    <hyperlink ref="D5" location="'M-Cita'!A7" display="'M-Cita'!A7" xr:uid="{00000000-0004-0000-5100-00000A000000}"/>
    <hyperlink ref="E5" location="'M-Cita'!A7" display="#'M-Cita'.A7" xr:uid="{00000000-0004-0000-5100-00000B000000}"/>
    <hyperlink ref="B6" location="'M-Cita'!A10" display="'M-Cita'!A10" xr:uid="{00000000-0004-0000-5100-00000C000000}"/>
    <hyperlink ref="C6" location="'M-TipoMulta'!A5" display="#'M-TipoMulta'.A5" xr:uid="{00000000-0004-0000-5100-00000D000000}"/>
    <hyperlink ref="D6" location="'M-Cita'!A10" display="'M-Cita'!A10" xr:uid="{00000000-0004-0000-5100-00000E000000}"/>
    <hyperlink ref="E6" location="'M-Cita'!A10" display="#'M-Cita'.A10" xr:uid="{00000000-0004-0000-5100-00000F000000}"/>
    <hyperlink ref="B7" location="'M-Cita'!A11" display="'M-Cita'!A11" xr:uid="{00000000-0004-0000-5100-000010000000}"/>
    <hyperlink ref="C7" location="'M-TipoMulta'!A5" display="#'M-TipoMulta'.A5" xr:uid="{00000000-0004-0000-5100-000011000000}"/>
    <hyperlink ref="D7" location="'M-Cita'!A11" display="'M-Cita'!A11" xr:uid="{00000000-0004-0000-5100-000012000000}"/>
    <hyperlink ref="E7" location="'M-Cita'!A11" display="#'M-Cita'.A11" xr:uid="{00000000-0004-0000-5100-000013000000}"/>
    <hyperlink ref="B8" location="'M-Cita'!A12" display="'M-Cita'!A12" xr:uid="{00000000-0004-0000-5100-000014000000}"/>
    <hyperlink ref="C8" location="'M-TipoMulta'!A5" display="#'M-TipoMulta'.A5" xr:uid="{00000000-0004-0000-5100-000015000000}"/>
    <hyperlink ref="D8" location="'M-Cita'!A12" display="'M-Cita'!A12" xr:uid="{00000000-0004-0000-5100-000016000000}"/>
    <hyperlink ref="E8" location="'M-Cita'!A12" display="#'M-Cita'.A12" xr:uid="{00000000-0004-0000-5100-000017000000}"/>
  </hyperlinks>
  <pageMargins left="0.75" right="0.75" top="1" bottom="1" header="0.511811023622047" footer="0.511811023622047"/>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B27"/>
  <sheetViews>
    <sheetView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 min="22" max="24" width="22" customWidth="1"/>
    <col min="25" max="25" width="26.85546875" bestFit="1" customWidth="1"/>
    <col min="26" max="26" width="29.85546875" bestFit="1" customWidth="1"/>
    <col min="27" max="27" width="26.5703125" bestFit="1" customWidth="1"/>
    <col min="28" max="28" width="24.28515625" bestFit="1" customWidth="1"/>
  </cols>
  <sheetData>
    <row r="1" spans="1:28" ht="15" customHeight="1" x14ac:dyDescent="0.25">
      <c r="A1" s="4" t="s">
        <v>0</v>
      </c>
      <c r="B1" s="4" t="s">
        <v>55</v>
      </c>
    </row>
    <row r="2" spans="1:28" ht="15" customHeight="1" x14ac:dyDescent="0.25">
      <c r="A2" s="13" t="s">
        <v>56</v>
      </c>
      <c r="B2" s="14" t="s">
        <v>57</v>
      </c>
      <c r="C2" s="13" t="s">
        <v>58</v>
      </c>
      <c r="D2" s="13" t="s">
        <v>59</v>
      </c>
      <c r="E2" s="13" t="s">
        <v>60</v>
      </c>
      <c r="F2" s="13" t="s">
        <v>61</v>
      </c>
      <c r="G2" s="13" t="s">
        <v>62</v>
      </c>
      <c r="H2" s="13" t="s">
        <v>63</v>
      </c>
      <c r="I2" s="13" t="s">
        <v>64</v>
      </c>
      <c r="J2" s="13" t="s">
        <v>65</v>
      </c>
      <c r="K2" s="13" t="s">
        <v>66</v>
      </c>
      <c r="L2" s="13" t="s">
        <v>67</v>
      </c>
      <c r="M2" s="14" t="s">
        <v>68</v>
      </c>
      <c r="N2" s="13" t="s">
        <v>69</v>
      </c>
      <c r="O2" s="13" t="s">
        <v>70</v>
      </c>
      <c r="P2" s="13" t="s">
        <v>71</v>
      </c>
      <c r="Q2" s="13" t="s">
        <v>72</v>
      </c>
      <c r="R2" s="13" t="s">
        <v>73</v>
      </c>
      <c r="S2" s="13" t="s">
        <v>74</v>
      </c>
      <c r="T2" s="13" t="s">
        <v>75</v>
      </c>
      <c r="U2" s="13" t="s">
        <v>76</v>
      </c>
      <c r="V2" s="82" t="str">
        <f>A14</f>
        <v>definirRegistroHoraCita</v>
      </c>
      <c r="W2" s="498" t="str">
        <f>A20</f>
        <v>cambiarHoraRegistroHoraCita</v>
      </c>
      <c r="X2" s="319"/>
      <c r="Y2" s="243" t="str">
        <f>A24</f>
        <v>consultarHoraLlegadaCliente</v>
      </c>
      <c r="Z2" s="82" t="str">
        <f>A25</f>
        <v>consultarHoraBarberoPreparado</v>
      </c>
      <c r="AA2" s="242" t="str">
        <f>A26</f>
        <v>consultarHoraInicioAtencion</v>
      </c>
      <c r="AB2" s="243" t="str">
        <f>A27</f>
        <v>consultarHoraFinAtencion</v>
      </c>
    </row>
    <row r="3" spans="1:28" ht="45" customHeight="1" x14ac:dyDescent="0.25">
      <c r="A3" s="16" t="str">
        <f>'M-RegistroHoraCita'!A3</f>
        <v>id</v>
      </c>
      <c r="B3" s="17" t="str">
        <f>'M-RegistroHoraCita'!A2</f>
        <v>Representa un identificador que hará unico cada objeto de dominio de este tipo, no se puede repetir</v>
      </c>
      <c r="C3" s="16" t="s">
        <v>77</v>
      </c>
      <c r="D3" s="16" t="s">
        <v>78</v>
      </c>
      <c r="E3" s="16" t="s">
        <v>77</v>
      </c>
      <c r="F3" s="16" t="s">
        <v>79</v>
      </c>
      <c r="G3" s="16" t="s">
        <v>79</v>
      </c>
      <c r="H3" s="16" t="s">
        <v>79</v>
      </c>
      <c r="I3" s="16" t="s">
        <v>79</v>
      </c>
      <c r="J3" s="16" t="s">
        <v>79</v>
      </c>
      <c r="K3" s="16" t="s">
        <v>79</v>
      </c>
      <c r="L3" s="16" t="s">
        <v>79</v>
      </c>
      <c r="M3" s="16" t="s">
        <v>79</v>
      </c>
      <c r="N3" s="16" t="s">
        <v>80</v>
      </c>
      <c r="O3" s="16" t="s">
        <v>79</v>
      </c>
      <c r="P3" s="16" t="s">
        <v>79</v>
      </c>
      <c r="Q3" s="16" t="s">
        <v>79</v>
      </c>
      <c r="R3" s="16" t="s">
        <v>79</v>
      </c>
      <c r="S3" s="16" t="s">
        <v>80</v>
      </c>
      <c r="T3" s="16" t="s">
        <v>81</v>
      </c>
      <c r="U3" s="16" t="s">
        <v>77</v>
      </c>
      <c r="V3" s="85" t="s">
        <v>82</v>
      </c>
      <c r="W3" s="215" t="s">
        <v>84</v>
      </c>
      <c r="X3" s="215" t="s">
        <v>85</v>
      </c>
      <c r="Y3" s="244" t="s">
        <v>83</v>
      </c>
      <c r="Z3" s="85" t="s">
        <v>83</v>
      </c>
      <c r="AA3" s="215" t="s">
        <v>83</v>
      </c>
      <c r="AB3" s="244" t="s">
        <v>83</v>
      </c>
    </row>
    <row r="4" spans="1:28" ht="15" customHeight="1" x14ac:dyDescent="0.25">
      <c r="A4" s="16" t="str">
        <f>'M-RegistroHoraCita'!B3</f>
        <v>cita</v>
      </c>
      <c r="B4" s="17" t="str">
        <f>'M-RegistroHoraCita'!B2</f>
        <v>Referencia a qué cita pertenece este registro de hora real</v>
      </c>
      <c r="C4" s="16" t="s">
        <v>80</v>
      </c>
      <c r="D4" s="16" t="s">
        <v>46</v>
      </c>
      <c r="E4" s="16" t="s">
        <v>77</v>
      </c>
      <c r="F4" s="16" t="s">
        <v>79</v>
      </c>
      <c r="G4" s="16" t="s">
        <v>79</v>
      </c>
      <c r="H4" s="16" t="s">
        <v>79</v>
      </c>
      <c r="I4" s="16" t="s">
        <v>79</v>
      </c>
      <c r="J4" s="16" t="s">
        <v>79</v>
      </c>
      <c r="K4" s="16" t="s">
        <v>79</v>
      </c>
      <c r="L4" s="16" t="s">
        <v>79</v>
      </c>
      <c r="M4" s="16" t="s">
        <v>331</v>
      </c>
      <c r="N4" s="16" t="s">
        <v>80</v>
      </c>
      <c r="O4" s="16" t="s">
        <v>79</v>
      </c>
      <c r="P4" s="16" t="s">
        <v>79</v>
      </c>
      <c r="Q4" s="16" t="s">
        <v>79</v>
      </c>
      <c r="R4" s="16" t="s">
        <v>79</v>
      </c>
      <c r="S4" s="16" t="s">
        <v>80</v>
      </c>
      <c r="T4" s="16" t="s">
        <v>81</v>
      </c>
      <c r="U4" s="16" t="s">
        <v>80</v>
      </c>
      <c r="V4" s="85" t="s">
        <v>84</v>
      </c>
      <c r="W4" s="215" t="s">
        <v>82</v>
      </c>
      <c r="X4" s="215" t="s">
        <v>85</v>
      </c>
      <c r="Y4" s="244" t="s">
        <v>83</v>
      </c>
      <c r="Z4" s="85" t="s">
        <v>83</v>
      </c>
      <c r="AA4" s="215" t="s">
        <v>83</v>
      </c>
      <c r="AB4" s="244" t="s">
        <v>83</v>
      </c>
    </row>
    <row r="5" spans="1:28" ht="15" customHeight="1" x14ac:dyDescent="0.25">
      <c r="A5" s="16" t="str">
        <f>'M-RegistroHoraCita'!C3</f>
        <v>tipoRegistroHora</v>
      </c>
      <c r="B5" s="17" t="str">
        <f>'M-RegistroHoraCita'!C2</f>
        <v>Referencia a qué tipo de hora real corresponde este registro</v>
      </c>
      <c r="C5" s="16" t="s">
        <v>80</v>
      </c>
      <c r="D5" s="16" t="s">
        <v>24</v>
      </c>
      <c r="E5" s="16" t="s">
        <v>77</v>
      </c>
      <c r="F5" s="16" t="s">
        <v>79</v>
      </c>
      <c r="G5" s="16" t="s">
        <v>79</v>
      </c>
      <c r="H5" s="16" t="s">
        <v>79</v>
      </c>
      <c r="I5" s="16" t="s">
        <v>79</v>
      </c>
      <c r="J5" s="16" t="s">
        <v>79</v>
      </c>
      <c r="K5" s="16" t="s">
        <v>79</v>
      </c>
      <c r="L5" s="16" t="s">
        <v>79</v>
      </c>
      <c r="M5" s="16" t="s">
        <v>331</v>
      </c>
      <c r="N5" s="16" t="s">
        <v>80</v>
      </c>
      <c r="O5" s="16" t="s">
        <v>79</v>
      </c>
      <c r="P5" s="16" t="s">
        <v>79</v>
      </c>
      <c r="Q5" s="16" t="s">
        <v>79</v>
      </c>
      <c r="R5" s="16" t="s">
        <v>79</v>
      </c>
      <c r="S5" s="16" t="s">
        <v>80</v>
      </c>
      <c r="T5" s="16" t="s">
        <v>81</v>
      </c>
      <c r="U5" s="16" t="s">
        <v>80</v>
      </c>
      <c r="V5" s="85" t="s">
        <v>84</v>
      </c>
      <c r="W5" s="215" t="s">
        <v>82</v>
      </c>
      <c r="X5" s="215" t="s">
        <v>85</v>
      </c>
      <c r="Y5" s="244" t="s">
        <v>83</v>
      </c>
      <c r="Z5" s="85" t="s">
        <v>83</v>
      </c>
      <c r="AA5" s="215" t="s">
        <v>83</v>
      </c>
      <c r="AB5" s="244" t="s">
        <v>83</v>
      </c>
    </row>
    <row r="6" spans="1:28" ht="15" customHeight="1" x14ac:dyDescent="0.25">
      <c r="A6" s="16" t="str">
        <f>'M-RegistroHoraCita'!D3</f>
        <v>hora</v>
      </c>
      <c r="B6" s="17" t="str">
        <f>'M-RegistroHoraCita'!D2</f>
        <v>Representa la hora real en la que ocurrió el evento registrado</v>
      </c>
      <c r="C6" s="16" t="s">
        <v>80</v>
      </c>
      <c r="D6" s="16" t="s">
        <v>643</v>
      </c>
      <c r="E6" s="16" t="s">
        <v>77</v>
      </c>
      <c r="F6" s="16" t="s">
        <v>79</v>
      </c>
      <c r="G6" s="16" t="s">
        <v>79</v>
      </c>
      <c r="H6" s="16" t="s">
        <v>79</v>
      </c>
      <c r="I6" s="16" t="s">
        <v>79</v>
      </c>
      <c r="J6" s="16" t="s">
        <v>79</v>
      </c>
      <c r="K6" s="16" t="s">
        <v>79</v>
      </c>
      <c r="L6" s="16" t="s">
        <v>79</v>
      </c>
      <c r="M6" s="16" t="s">
        <v>79</v>
      </c>
      <c r="N6" s="16" t="s">
        <v>80</v>
      </c>
      <c r="O6" s="16" t="s">
        <v>79</v>
      </c>
      <c r="P6" s="16" t="s">
        <v>79</v>
      </c>
      <c r="Q6" s="16" t="s">
        <v>79</v>
      </c>
      <c r="R6" s="16" t="s">
        <v>79</v>
      </c>
      <c r="S6" s="16" t="s">
        <v>80</v>
      </c>
      <c r="T6" s="16" t="s">
        <v>644</v>
      </c>
      <c r="U6" s="16" t="s">
        <v>80</v>
      </c>
      <c r="V6" s="85" t="s">
        <v>84</v>
      </c>
      <c r="W6" s="215" t="s">
        <v>84</v>
      </c>
      <c r="X6" s="215" t="s">
        <v>90</v>
      </c>
      <c r="Y6" s="244" t="s">
        <v>89</v>
      </c>
      <c r="Z6" s="85" t="s">
        <v>89</v>
      </c>
      <c r="AA6" s="215" t="s">
        <v>89</v>
      </c>
      <c r="AB6" s="244" t="s">
        <v>89</v>
      </c>
    </row>
    <row r="8" spans="1:28" ht="15" customHeight="1" x14ac:dyDescent="0.25">
      <c r="A8" s="19" t="s">
        <v>93</v>
      </c>
      <c r="B8" s="19" t="s">
        <v>94</v>
      </c>
      <c r="C8" s="19" t="s">
        <v>95</v>
      </c>
    </row>
    <row r="9" spans="1:28" ht="30" customHeight="1" x14ac:dyDescent="0.25">
      <c r="A9" s="378" t="str">
        <f>'M-RegistroHoraCita'!E3</f>
        <v>Combinación única</v>
      </c>
      <c r="B9" s="379" t="str">
        <f>'M-RegistroHoraCita'!E2</f>
        <v>Combinación única que indica que una misma cita no puede tener dos registros del mismo tipo de hora</v>
      </c>
      <c r="C9" s="22" t="str">
        <f>A4</f>
        <v>cita</v>
      </c>
    </row>
    <row r="10" spans="1:28" ht="30" customHeight="1" x14ac:dyDescent="0.25">
      <c r="A10" s="281"/>
      <c r="B10" s="281"/>
      <c r="C10" s="22" t="str">
        <f>A5</f>
        <v>tipoRegistroHora</v>
      </c>
    </row>
    <row r="12" spans="1:28" x14ac:dyDescent="0.25">
      <c r="A12" s="320" t="s">
        <v>96</v>
      </c>
      <c r="B12" s="321"/>
      <c r="C12" s="323" t="s">
        <v>94</v>
      </c>
      <c r="D12" s="326"/>
      <c r="E12" s="326"/>
      <c r="F12" s="321"/>
      <c r="G12" s="323" t="s">
        <v>97</v>
      </c>
      <c r="H12" s="290"/>
      <c r="I12" s="291"/>
      <c r="J12" s="323" t="s">
        <v>98</v>
      </c>
      <c r="K12" s="290"/>
      <c r="L12" s="290"/>
      <c r="M12" s="290"/>
      <c r="N12" s="291"/>
      <c r="O12" s="323" t="s">
        <v>99</v>
      </c>
      <c r="P12" s="291"/>
      <c r="Q12" s="323" t="s">
        <v>100</v>
      </c>
      <c r="R12" s="291"/>
    </row>
    <row r="13" spans="1:28" x14ac:dyDescent="0.25">
      <c r="A13" s="322"/>
      <c r="B13" s="312"/>
      <c r="C13" s="310"/>
      <c r="D13" s="311"/>
      <c r="E13" s="311"/>
      <c r="F13" s="312"/>
      <c r="G13" s="3" t="s">
        <v>101</v>
      </c>
      <c r="H13" s="3" t="s">
        <v>59</v>
      </c>
      <c r="I13" s="3" t="s">
        <v>94</v>
      </c>
      <c r="J13" s="3" t="s">
        <v>102</v>
      </c>
      <c r="K13" s="325" t="s">
        <v>94</v>
      </c>
      <c r="L13" s="303"/>
      <c r="M13" s="303"/>
      <c r="N13" s="279"/>
      <c r="O13" s="3" t="s">
        <v>103</v>
      </c>
      <c r="P13" s="3" t="s">
        <v>94</v>
      </c>
      <c r="Q13" s="3" t="s">
        <v>104</v>
      </c>
      <c r="R13" s="23" t="s">
        <v>105</v>
      </c>
    </row>
    <row r="14" spans="1:28" ht="63.75" x14ac:dyDescent="0.25">
      <c r="A14" s="499" t="s">
        <v>1262</v>
      </c>
      <c r="B14" s="451"/>
      <c r="C14" s="306" t="s">
        <v>1263</v>
      </c>
      <c r="D14" s="450"/>
      <c r="E14" s="450"/>
      <c r="F14" s="451"/>
      <c r="G14" s="306" t="s">
        <v>1264</v>
      </c>
      <c r="H14" s="483" t="s">
        <v>52</v>
      </c>
      <c r="I14" s="306" t="s">
        <v>1265</v>
      </c>
      <c r="J14" s="520" t="s">
        <v>52</v>
      </c>
      <c r="K14" s="306" t="s">
        <v>1266</v>
      </c>
      <c r="L14" s="450"/>
      <c r="M14" s="450"/>
      <c r="N14" s="451"/>
      <c r="O14" s="105" t="str">
        <f>'P-RegistroHoraCita'!A6</f>
        <v>P-RHC-0001</v>
      </c>
      <c r="P14" s="25" t="str">
        <f>'P-RegistroHoraCita'!B6</f>
        <v>Asegurar que los datos requeridos del registro (cita, tipo de registro de hora, hora) sean válidos en tipo de dato, obligatoriedad y formato</v>
      </c>
      <c r="Q14" s="25" t="s">
        <v>1267</v>
      </c>
      <c r="R14" s="110" t="s">
        <v>112</v>
      </c>
    </row>
    <row r="15" spans="1:28" ht="38.25" x14ac:dyDescent="0.25">
      <c r="A15" s="458"/>
      <c r="B15" s="454"/>
      <c r="C15" s="452"/>
      <c r="D15" s="453"/>
      <c r="E15" s="453"/>
      <c r="F15" s="454"/>
      <c r="G15" s="512"/>
      <c r="H15" s="460"/>
      <c r="I15" s="460"/>
      <c r="J15" s="460"/>
      <c r="K15" s="452"/>
      <c r="L15" s="453"/>
      <c r="M15" s="453"/>
      <c r="N15" s="454"/>
      <c r="O15" s="105" t="str">
        <f>'P-RegistroHoraCita'!A7</f>
        <v>P-RHC-0002</v>
      </c>
      <c r="P15" s="25" t="str">
        <f>'P-RegistroHoraCita'!B7</f>
        <v>Asegurar que no exista otro registro del mismo tipo para la misma cita</v>
      </c>
      <c r="Q15" s="25" t="s">
        <v>1268</v>
      </c>
      <c r="R15" s="110" t="s">
        <v>112</v>
      </c>
    </row>
    <row r="16" spans="1:28" ht="63.75" x14ac:dyDescent="0.25">
      <c r="A16" s="458"/>
      <c r="B16" s="454"/>
      <c r="C16" s="452"/>
      <c r="D16" s="453"/>
      <c r="E16" s="453"/>
      <c r="F16" s="454"/>
      <c r="G16" s="512"/>
      <c r="H16" s="460"/>
      <c r="I16" s="460"/>
      <c r="J16" s="460"/>
      <c r="K16" s="452"/>
      <c r="L16" s="453"/>
      <c r="M16" s="453"/>
      <c r="N16" s="454"/>
      <c r="O16" s="105" t="str">
        <f>'P-RegistroHoraCita'!A9</f>
        <v>P-RHC-0004</v>
      </c>
      <c r="P16" s="25" t="str">
        <f>'P-RegistroHoraCita'!B9</f>
        <v>Asegurar que la cita no se encuentre en estado Cancelada por el cliente, Cancelada por el barbero, Cancelación ni Inasistencia del cliente</v>
      </c>
      <c r="Q16" s="25" t="s">
        <v>1269</v>
      </c>
      <c r="R16" s="110" t="s">
        <v>112</v>
      </c>
    </row>
    <row r="17" spans="1:18" ht="76.5" x14ac:dyDescent="0.25">
      <c r="A17" s="458"/>
      <c r="B17" s="454"/>
      <c r="C17" s="452"/>
      <c r="D17" s="453"/>
      <c r="E17" s="453"/>
      <c r="F17" s="454"/>
      <c r="G17" s="512"/>
      <c r="H17" s="460"/>
      <c r="I17" s="460"/>
      <c r="J17" s="460"/>
      <c r="K17" s="452"/>
      <c r="L17" s="453"/>
      <c r="M17" s="453"/>
      <c r="N17" s="454"/>
      <c r="O17" s="105" t="str">
        <f>'P-RegistroHoraCita'!A10</f>
        <v>P-RHC-0005</v>
      </c>
      <c r="P17" s="25" t="str">
        <f>'P-RegistroHoraCita'!B10</f>
        <v>Asegurar que las horas registradas de una misma cita sean coherentes entre sí: el inicio de la atención no puede ser anterior a la llegada del cliente ni el fin anterior al inicio</v>
      </c>
      <c r="Q17" s="25" t="s">
        <v>1270</v>
      </c>
      <c r="R17" s="110" t="s">
        <v>112</v>
      </c>
    </row>
    <row r="18" spans="1:18" ht="89.25" x14ac:dyDescent="0.25">
      <c r="A18" s="458"/>
      <c r="B18" s="454"/>
      <c r="C18" s="452"/>
      <c r="D18" s="453"/>
      <c r="E18" s="453"/>
      <c r="F18" s="454"/>
      <c r="G18" s="512"/>
      <c r="H18" s="460"/>
      <c r="I18" s="460"/>
      <c r="J18" s="460"/>
      <c r="K18" s="452"/>
      <c r="L18" s="453"/>
      <c r="M18" s="453"/>
      <c r="N18" s="454"/>
      <c r="O18" s="105" t="str">
        <f>'P-Cita'!A14</f>
        <v>P-CIT-0010</v>
      </c>
      <c r="P18" s="25" t="str">
        <f>'P-Cita'!B14</f>
        <v>Si la hora del RegistroHoraCita de tipo Llegada del cliente supera la horaInicio de la cita en más del tiempoEspera, generar una Multa de tipo Tardanza por el valor de multa de esa misma cita</v>
      </c>
      <c r="Q18" s="25" t="s">
        <v>1271</v>
      </c>
      <c r="R18" s="110" t="s">
        <v>112</v>
      </c>
    </row>
    <row r="19" spans="1:18" ht="114.75" x14ac:dyDescent="0.25">
      <c r="A19" s="459"/>
      <c r="B19" s="457"/>
      <c r="C19" s="455"/>
      <c r="D19" s="456"/>
      <c r="E19" s="456"/>
      <c r="F19" s="457"/>
      <c r="G19" s="513"/>
      <c r="H19" s="461"/>
      <c r="I19" s="461"/>
      <c r="J19" s="461"/>
      <c r="K19" s="455"/>
      <c r="L19" s="456"/>
      <c r="M19" s="456"/>
      <c r="N19" s="457"/>
      <c r="O19" s="105" t="str">
        <f>'P-Cita'!A13</f>
        <v>P-CIT-0009</v>
      </c>
      <c r="P19" s="25" t="str">
        <f>'P-Cita'!B13</f>
        <v>Si la hora del RegistroHoraCita en que el barbero estuvo preparado o inició la atención supera la horaInicio de la cita (o la llegada del cliente, si fue posterior) en más del tiempoEspera, aplicar el porcentajeDescuento de esa misma cita sobre su precioTotal</v>
      </c>
      <c r="Q19" s="25" t="s">
        <v>1272</v>
      </c>
      <c r="R19" s="110" t="s">
        <v>112</v>
      </c>
    </row>
    <row r="20" spans="1:18" ht="38.25" x14ac:dyDescent="0.25">
      <c r="A20" s="507" t="s">
        <v>1273</v>
      </c>
      <c r="B20" s="515"/>
      <c r="C20" s="504" t="s">
        <v>1274</v>
      </c>
      <c r="D20" s="521"/>
      <c r="E20" s="521"/>
      <c r="F20" s="515"/>
      <c r="G20" s="503" t="s">
        <v>116</v>
      </c>
      <c r="H20" s="503" t="s">
        <v>117</v>
      </c>
      <c r="I20" s="504" t="s">
        <v>1275</v>
      </c>
      <c r="J20" s="500" t="s">
        <v>52</v>
      </c>
      <c r="K20" s="504" t="s">
        <v>1276</v>
      </c>
      <c r="L20" s="521"/>
      <c r="M20" s="521"/>
      <c r="N20" s="515"/>
      <c r="O20" s="219" t="str">
        <f>'P-RegistroHoraCita'!A8</f>
        <v>P-RHC-0003</v>
      </c>
      <c r="P20" s="220" t="str">
        <f>'P-RegistroHoraCita'!B8</f>
        <v>Asegurar que exista el registro de hora con el id enviado</v>
      </c>
      <c r="Q20" s="220" t="s">
        <v>1277</v>
      </c>
      <c r="R20" s="221" t="s">
        <v>112</v>
      </c>
    </row>
    <row r="21" spans="1:18" ht="63.75" x14ac:dyDescent="0.25">
      <c r="A21" s="516"/>
      <c r="B21" s="517"/>
      <c r="C21" s="522"/>
      <c r="D21" s="523"/>
      <c r="E21" s="523"/>
      <c r="F21" s="517"/>
      <c r="G21" s="503"/>
      <c r="H21" s="503"/>
      <c r="I21" s="504"/>
      <c r="J21" s="501"/>
      <c r="K21" s="522"/>
      <c r="L21" s="523"/>
      <c r="M21" s="523"/>
      <c r="N21" s="517"/>
      <c r="O21" s="219" t="str">
        <f>'P-RegistroHoraCita'!A6</f>
        <v>P-RHC-0001</v>
      </c>
      <c r="P21" s="220" t="str">
        <f>'P-RegistroHoraCita'!B6</f>
        <v>Asegurar que los datos requeridos del registro (cita, tipo de registro de hora, hora) sean válidos en tipo de dato, obligatoriedad y formato</v>
      </c>
      <c r="Q21" s="220" t="s">
        <v>1280</v>
      </c>
      <c r="R21" s="221" t="s">
        <v>112</v>
      </c>
    </row>
    <row r="22" spans="1:18" ht="63.75" x14ac:dyDescent="0.25">
      <c r="A22" s="516"/>
      <c r="B22" s="517"/>
      <c r="C22" s="522"/>
      <c r="D22" s="523"/>
      <c r="E22" s="523"/>
      <c r="F22" s="517"/>
      <c r="G22" s="503" t="s">
        <v>1278</v>
      </c>
      <c r="H22" s="503" t="s">
        <v>52</v>
      </c>
      <c r="I22" s="504" t="s">
        <v>1279</v>
      </c>
      <c r="J22" s="501"/>
      <c r="K22" s="522"/>
      <c r="L22" s="523"/>
      <c r="M22" s="523"/>
      <c r="N22" s="517"/>
      <c r="O22" s="219" t="str">
        <f>'P-RegistroHoraCita'!A9</f>
        <v>P-RHC-0004</v>
      </c>
      <c r="P22" s="220" t="str">
        <f>'P-RegistroHoraCita'!B9</f>
        <v>Asegurar que la cita no se encuentre en estado Cancelada por el cliente, Cancelada por el barbero, Cancelación ni Inasistencia del cliente</v>
      </c>
      <c r="Q22" s="220" t="s">
        <v>1281</v>
      </c>
      <c r="R22" s="221" t="s">
        <v>112</v>
      </c>
    </row>
    <row r="23" spans="1:18" ht="76.5" x14ac:dyDescent="0.25">
      <c r="A23" s="518"/>
      <c r="B23" s="519"/>
      <c r="C23" s="524"/>
      <c r="D23" s="525"/>
      <c r="E23" s="525"/>
      <c r="F23" s="519"/>
      <c r="G23" s="503"/>
      <c r="H23" s="503"/>
      <c r="I23" s="504"/>
      <c r="J23" s="502"/>
      <c r="K23" s="524"/>
      <c r="L23" s="525"/>
      <c r="M23" s="525"/>
      <c r="N23" s="519"/>
      <c r="O23" s="219" t="str">
        <f>'P-RegistroHoraCita'!A10</f>
        <v>P-RHC-0005</v>
      </c>
      <c r="P23" s="220" t="str">
        <f>'P-RegistroHoraCita'!B10</f>
        <v>Asegurar que las horas registradas de una misma cita sean coherentes entre sí: el inicio de la atención no puede ser anterior a la llegada del cliente ni el fin anterior al inicio</v>
      </c>
      <c r="Q23" s="220" t="s">
        <v>1270</v>
      </c>
      <c r="R23" s="221" t="s">
        <v>112</v>
      </c>
    </row>
    <row r="24" spans="1:18" ht="38.25" x14ac:dyDescent="0.25">
      <c r="A24" s="505" t="s">
        <v>1282</v>
      </c>
      <c r="B24" s="506"/>
      <c r="C24" s="393" t="s">
        <v>1283</v>
      </c>
      <c r="D24" s="514"/>
      <c r="E24" s="514"/>
      <c r="F24" s="506"/>
      <c r="G24" s="253" t="s">
        <v>1169</v>
      </c>
      <c r="H24" s="253" t="s">
        <v>46</v>
      </c>
      <c r="I24" s="237" t="s">
        <v>1284</v>
      </c>
      <c r="J24" s="265" t="s">
        <v>643</v>
      </c>
      <c r="K24" s="393" t="s">
        <v>1285</v>
      </c>
      <c r="L24" s="514"/>
      <c r="M24" s="514"/>
      <c r="N24" s="506"/>
      <c r="O24" s="489"/>
      <c r="P24" s="490"/>
      <c r="Q24" s="490"/>
      <c r="R24" s="491"/>
    </row>
    <row r="25" spans="1:18" ht="38.25" x14ac:dyDescent="0.25">
      <c r="A25" s="499" t="s">
        <v>1286</v>
      </c>
      <c r="B25" s="511"/>
      <c r="C25" s="306" t="s">
        <v>1287</v>
      </c>
      <c r="D25" s="510"/>
      <c r="E25" s="510"/>
      <c r="F25" s="511"/>
      <c r="G25" s="105" t="s">
        <v>1169</v>
      </c>
      <c r="H25" s="105" t="s">
        <v>46</v>
      </c>
      <c r="I25" s="25" t="s">
        <v>1284</v>
      </c>
      <c r="J25" s="263" t="s">
        <v>643</v>
      </c>
      <c r="K25" s="306" t="s">
        <v>1288</v>
      </c>
      <c r="L25" s="510"/>
      <c r="M25" s="510"/>
      <c r="N25" s="511"/>
      <c r="O25" s="492"/>
      <c r="P25" s="493"/>
      <c r="Q25" s="493"/>
      <c r="R25" s="494"/>
    </row>
    <row r="26" spans="1:18" ht="38.25" x14ac:dyDescent="0.25">
      <c r="A26" s="507" t="s">
        <v>1289</v>
      </c>
      <c r="B26" s="508"/>
      <c r="C26" s="504" t="s">
        <v>1290</v>
      </c>
      <c r="D26" s="509"/>
      <c r="E26" s="509"/>
      <c r="F26" s="508"/>
      <c r="G26" s="219" t="s">
        <v>1169</v>
      </c>
      <c r="H26" s="219" t="s">
        <v>46</v>
      </c>
      <c r="I26" s="220" t="s">
        <v>1284</v>
      </c>
      <c r="J26" s="264" t="s">
        <v>643</v>
      </c>
      <c r="K26" s="504" t="s">
        <v>1291</v>
      </c>
      <c r="L26" s="509"/>
      <c r="M26" s="509"/>
      <c r="N26" s="508"/>
      <c r="O26" s="495"/>
      <c r="P26" s="496"/>
      <c r="Q26" s="496"/>
      <c r="R26" s="497"/>
    </row>
    <row r="27" spans="1:18" ht="38.25" x14ac:dyDescent="0.25">
      <c r="A27" s="505" t="s">
        <v>1292</v>
      </c>
      <c r="B27" s="506"/>
      <c r="C27" s="393" t="s">
        <v>1293</v>
      </c>
      <c r="D27" s="514"/>
      <c r="E27" s="514"/>
      <c r="F27" s="506"/>
      <c r="G27" s="253" t="s">
        <v>1169</v>
      </c>
      <c r="H27" s="253" t="s">
        <v>46</v>
      </c>
      <c r="I27" s="237" t="s">
        <v>1284</v>
      </c>
      <c r="J27" s="265" t="s">
        <v>643</v>
      </c>
      <c r="K27" s="393" t="s">
        <v>1294</v>
      </c>
      <c r="L27" s="514"/>
      <c r="M27" s="514"/>
      <c r="N27" s="506"/>
      <c r="O27" s="489"/>
      <c r="P27" s="490"/>
      <c r="Q27" s="490"/>
      <c r="R27" s="491"/>
    </row>
  </sheetData>
  <mergeCells count="43">
    <mergeCell ref="C24:F24"/>
    <mergeCell ref="J14:J19"/>
    <mergeCell ref="A12:B13"/>
    <mergeCell ref="A24:B24"/>
    <mergeCell ref="C20:F23"/>
    <mergeCell ref="C14:F19"/>
    <mergeCell ref="I22:I23"/>
    <mergeCell ref="A27:B27"/>
    <mergeCell ref="B9:B10"/>
    <mergeCell ref="A26:B26"/>
    <mergeCell ref="K26:N26"/>
    <mergeCell ref="C26:F26"/>
    <mergeCell ref="G12:I12"/>
    <mergeCell ref="C25:F25"/>
    <mergeCell ref="G14:G19"/>
    <mergeCell ref="I14:I19"/>
    <mergeCell ref="K14:N19"/>
    <mergeCell ref="C27:F27"/>
    <mergeCell ref="K27:N27"/>
    <mergeCell ref="A25:B25"/>
    <mergeCell ref="A20:B23"/>
    <mergeCell ref="K25:N25"/>
    <mergeCell ref="K24:N24"/>
    <mergeCell ref="J20:J23"/>
    <mergeCell ref="Q12:R12"/>
    <mergeCell ref="O12:P12"/>
    <mergeCell ref="G20:G21"/>
    <mergeCell ref="H20:H21"/>
    <mergeCell ref="I20:I21"/>
    <mergeCell ref="G22:G23"/>
    <mergeCell ref="H22:H23"/>
    <mergeCell ref="K20:N23"/>
    <mergeCell ref="K13:N13"/>
    <mergeCell ref="A9:A10"/>
    <mergeCell ref="J12:N12"/>
    <mergeCell ref="H14:H19"/>
    <mergeCell ref="C12:F13"/>
    <mergeCell ref="A14:B19"/>
    <mergeCell ref="O24:R24"/>
    <mergeCell ref="O25:R25"/>
    <mergeCell ref="O26:R26"/>
    <mergeCell ref="O27:R27"/>
    <mergeCell ref="W2:X2"/>
  </mergeCells>
  <hyperlinks>
    <hyperlink ref="A1" location="'Modelo de Dominio'!A1" display="&lt;&lt;&lt;&lt; Ir al modulo de dominio" xr:uid="{00000000-0004-0000-5200-000000000000}"/>
    <hyperlink ref="B1" location="'Objetos de Dominio'!A1" display="&lt;&lt;&lt;&lt; Ir a objetos de dominio" xr:uid="{00000000-0004-0000-5200-000001000000}"/>
    <hyperlink ref="V2" location="'C-RegistroHoraCita'!A14" display="'C-RegistroHoraCita'!A14" xr:uid="{00000000-0004-0000-5200-000002000000}"/>
    <hyperlink ref="W2" location="'C-RegistroHoraCita'!A20" display="'C-RegistroHoraCita'!A20" xr:uid="{00000000-0004-0000-5200-000003000000}"/>
    <hyperlink ref="Y2" location="'C-RegistroHoraCita'!A24" display="'C-RegistroHoraCita'!A24" xr:uid="{00000000-0004-0000-5200-000004000000}"/>
    <hyperlink ref="Z2" location="'C-RegistroHoraCita'!A25" display="'C-RegistroHoraCita'!A25" xr:uid="{00000000-0004-0000-5200-000005000000}"/>
    <hyperlink ref="AA2" location="'C-RegistroHoraCita'!A26" display="'C-RegistroHoraCita'!A26" xr:uid="{00000000-0004-0000-5200-000006000000}"/>
    <hyperlink ref="AB2" location="'C-RegistroHoraCita'!A27" display="'C-RegistroHoraCita'!A27" xr:uid="{00000000-0004-0000-5200-000007000000}"/>
    <hyperlink ref="A3" location="'M-RegistroHoraCita'!A3" display="'M-RegistroHoraCita'!A3" xr:uid="{00000000-0004-0000-5200-000008000000}"/>
    <hyperlink ref="B3" location="'M-RegistroHoraCita'!A2" display="'M-RegistroHoraCita'!A2" xr:uid="{00000000-0004-0000-5200-000009000000}"/>
    <hyperlink ref="A4" location="'M-RegistroHoraCita'!A3" display="'M-RegistroHoraCita'!A3" xr:uid="{00000000-0004-0000-5200-00000A000000}"/>
    <hyperlink ref="B4" location="'M-RegistroHoraCita'!A2" display="'M-RegistroHoraCita'!A2" xr:uid="{00000000-0004-0000-5200-00000B000000}"/>
    <hyperlink ref="D4" location="'C-Cita'!A1" display="Cita" xr:uid="{00000000-0004-0000-5200-00000C000000}"/>
    <hyperlink ref="A5" location="'M-RegistroHoraCita'!A3" display="'M-RegistroHoraCita'!A3" xr:uid="{00000000-0004-0000-5200-00000D000000}"/>
    <hyperlink ref="B5" location="'M-RegistroHoraCita'!A2" display="'M-RegistroHoraCita'!A2" xr:uid="{00000000-0004-0000-5200-00000E000000}"/>
    <hyperlink ref="D5" location="'C-TipoRegistroHora'!A1" display="TipoRegistroHora" xr:uid="{00000000-0004-0000-5200-00000F000000}"/>
    <hyperlink ref="A6" location="'M-RegistroHoraCita'!A3" display="'M-RegistroHoraCita'!A3" xr:uid="{00000000-0004-0000-5200-000010000000}"/>
    <hyperlink ref="B6" location="'M-RegistroHoraCita'!A2" display="'M-RegistroHoraCita'!A2" xr:uid="{00000000-0004-0000-5200-000011000000}"/>
    <hyperlink ref="A9" location="'M-RegistroHoraCita'!A3" display="'M-RegistroHoraCita'!A3" xr:uid="{00000000-0004-0000-5200-000012000000}"/>
    <hyperlink ref="B9" location="'M-RegistroHoraCita'!A2" display="'M-RegistroHoraCita'!A2" xr:uid="{00000000-0004-0000-5200-000013000000}"/>
    <hyperlink ref="A14" location="'C-RegistroHoraCita'!V2" display="definirRegistroHoraCita" xr:uid="{00000000-0004-0000-5200-000014000000}"/>
    <hyperlink ref="A20" location="'C-RegistroHoraCita'!W2" display="cambiarHoraRegistroHoraCita" xr:uid="{00000000-0004-0000-5200-000015000000}"/>
    <hyperlink ref="A24" location="'C-RegistroHoraCita'!Y2" display="consultarHoraLlegadaCliente" xr:uid="{00000000-0004-0000-5200-000016000000}"/>
    <hyperlink ref="A25" location="'C-RegistroHoraCita'!Z2" display="consultarHoraBarberoPreparado" xr:uid="{00000000-0004-0000-5200-000017000000}"/>
    <hyperlink ref="A26" location="'C-RegistroHoraCita'!AA2" display="consultarHoraInicioAtencion" xr:uid="{00000000-0004-0000-5200-000018000000}"/>
    <hyperlink ref="A27" location="'C-RegistroHoraCita'!AB2" display="consultarHoraFinAtencion" xr:uid="{00000000-0004-0000-5200-000019000000}"/>
  </hyperlink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10"/>
  <sheetViews>
    <sheetView workbookViewId="0">
      <selection activeCell="B1" sqref="B1"/>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27" t="s">
        <v>134</v>
      </c>
      <c r="B1" s="27" t="s">
        <v>135</v>
      </c>
      <c r="C1" s="27" t="s">
        <v>136</v>
      </c>
      <c r="D1" s="27" t="s">
        <v>137</v>
      </c>
      <c r="E1" s="70" t="s">
        <v>138</v>
      </c>
    </row>
    <row r="2" spans="1:5" ht="15" customHeight="1" x14ac:dyDescent="0.25">
      <c r="A2" s="29" t="s">
        <v>139</v>
      </c>
      <c r="B2" s="337" t="str">
        <f>'Objetos de Dominio'!A23</f>
        <v>RegistroHoraCita</v>
      </c>
      <c r="C2" s="290"/>
      <c r="D2" s="290"/>
      <c r="E2" s="291"/>
    </row>
    <row r="3" spans="1:5" ht="30" customHeight="1" x14ac:dyDescent="0.25">
      <c r="A3" s="30" t="s">
        <v>140</v>
      </c>
      <c r="B3" s="336" t="str">
        <f>'Objetos de Dominio'!B23</f>
        <v>Representa cada hora real registrada durante una cita puntual, según el tipo de momento al que corresponde (llegada del cliente, barbero preparado, inicio o fin de la atención).</v>
      </c>
      <c r="C3" s="303"/>
      <c r="D3" s="303"/>
      <c r="E3" s="279"/>
    </row>
    <row r="4" spans="1:5" ht="15" customHeight="1" x14ac:dyDescent="0.25">
      <c r="A4" s="334" t="s">
        <v>141</v>
      </c>
      <c r="B4" s="333" t="s">
        <v>142</v>
      </c>
      <c r="C4" s="309"/>
      <c r="D4" s="333" t="s">
        <v>143</v>
      </c>
      <c r="E4" s="334" t="s">
        <v>144</v>
      </c>
    </row>
    <row r="5" spans="1:5" ht="15" customHeight="1" x14ac:dyDescent="0.25">
      <c r="A5" s="335"/>
      <c r="B5" s="310"/>
      <c r="C5" s="312"/>
      <c r="D5" s="281"/>
      <c r="E5" s="335"/>
    </row>
    <row r="6" spans="1:5" ht="30" customHeight="1" x14ac:dyDescent="0.25">
      <c r="A6" s="8" t="s">
        <v>1295</v>
      </c>
      <c r="B6" s="332" t="s">
        <v>1296</v>
      </c>
      <c r="C6" s="279"/>
      <c r="D6" s="31" t="s">
        <v>52</v>
      </c>
      <c r="E6" s="31"/>
    </row>
    <row r="7" spans="1:5" ht="30" customHeight="1" x14ac:dyDescent="0.25">
      <c r="A7" s="8" t="s">
        <v>1297</v>
      </c>
      <c r="B7" s="332" t="s">
        <v>1298</v>
      </c>
      <c r="C7" s="279"/>
      <c r="D7" s="31" t="s">
        <v>52</v>
      </c>
      <c r="E7" s="31"/>
    </row>
    <row r="8" spans="1:5" ht="30" customHeight="1" x14ac:dyDescent="0.25">
      <c r="A8" s="8" t="s">
        <v>1299</v>
      </c>
      <c r="B8" s="332" t="s">
        <v>1300</v>
      </c>
      <c r="C8" s="279"/>
      <c r="D8" s="31" t="s">
        <v>52</v>
      </c>
      <c r="E8" s="31"/>
    </row>
    <row r="9" spans="1:5" ht="30" customHeight="1" x14ac:dyDescent="0.25">
      <c r="A9" s="8" t="s">
        <v>1301</v>
      </c>
      <c r="B9" s="332" t="s">
        <v>1302</v>
      </c>
      <c r="C9" s="279"/>
      <c r="D9" s="31" t="s">
        <v>46</v>
      </c>
      <c r="E9" s="31"/>
    </row>
    <row r="10" spans="1:5" ht="30" customHeight="1" x14ac:dyDescent="0.25">
      <c r="A10" s="8" t="s">
        <v>1303</v>
      </c>
      <c r="B10" s="332" t="s">
        <v>1304</v>
      </c>
      <c r="C10" s="279"/>
      <c r="D10" s="31" t="s">
        <v>52</v>
      </c>
      <c r="E10" s="31"/>
    </row>
  </sheetData>
  <mergeCells count="11">
    <mergeCell ref="A4:A5"/>
    <mergeCell ref="D4:D5"/>
    <mergeCell ref="E4:E5"/>
    <mergeCell ref="B10:C10"/>
    <mergeCell ref="B3:E3"/>
    <mergeCell ref="B2:E2"/>
    <mergeCell ref="B9:C9"/>
    <mergeCell ref="B8:C8"/>
    <mergeCell ref="B4:C5"/>
    <mergeCell ref="B6:C6"/>
    <mergeCell ref="B7:C7"/>
  </mergeCells>
  <hyperlinks>
    <hyperlink ref="A1" location="'Modelo de Dominio'!A1" display="&lt;&lt; Ir al modelo de dominio" xr:uid="{00000000-0004-0000-5300-000000000000}"/>
    <hyperlink ref="B1" location="'Objetos de Dominio'!A1" display="&lt;&lt; Ir al listado de objetos de dominio" xr:uid="{00000000-0004-0000-5300-000001000000}"/>
    <hyperlink ref="C1" location="'C-RegistroHoraCita'!A1" display="&lt;&lt; Ir a la caracterización del objeto de dominio" xr:uid="{00000000-0004-0000-5300-000002000000}"/>
    <hyperlink ref="D1" location="'M-RegistroHoraCita'!A1" display="Ir al muestreo de datos del objeto de dominio &gt;&gt;" xr:uid="{00000000-0004-0000-5300-000003000000}"/>
    <hyperlink ref="E1" location="'E-RegistroHoraCita'!A1" display="Ir al event storming del objeto de dominio &gt;&gt;" xr:uid="{00000000-0004-0000-5300-000004000000}"/>
  </hyperlinks>
  <pageMargins left="0.75" right="0.75" top="1" bottom="1" header="0.511811023622047" footer="0.511811023622047"/>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K24"/>
  <sheetViews>
    <sheetView topLeftCell="A8"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24.7109375" customWidth="1"/>
    <col min="9" max="9" width="16" customWidth="1"/>
    <col min="10" max="11" width="34" customWidth="1"/>
  </cols>
  <sheetData>
    <row r="1" spans="1:11" ht="12" customHeight="1" x14ac:dyDescent="0.25">
      <c r="A1" s="298" t="s">
        <v>134</v>
      </c>
      <c r="B1" s="299"/>
      <c r="C1" s="298" t="s">
        <v>135</v>
      </c>
      <c r="D1" s="299"/>
      <c r="E1" s="299"/>
      <c r="F1" s="298" t="s">
        <v>136</v>
      </c>
      <c r="G1" s="299"/>
      <c r="H1" s="299"/>
      <c r="I1" s="299"/>
      <c r="J1" s="298" t="s">
        <v>137</v>
      </c>
      <c r="K1" s="299"/>
    </row>
    <row r="2" spans="1:11" ht="15" customHeight="1" x14ac:dyDescent="0.25">
      <c r="A2" s="29" t="s">
        <v>139</v>
      </c>
      <c r="B2" s="340" t="str">
        <f>'Objetos de Dominio'!A23</f>
        <v>RegistroHoraCita</v>
      </c>
      <c r="C2" s="290"/>
      <c r="D2" s="290"/>
      <c r="E2" s="290"/>
      <c r="F2" s="290"/>
      <c r="G2" s="290"/>
      <c r="H2" s="290"/>
      <c r="I2" s="290"/>
      <c r="J2" s="290"/>
      <c r="K2" s="291"/>
    </row>
    <row r="3" spans="1:11" ht="30" customHeight="1" x14ac:dyDescent="0.25">
      <c r="A3" s="30" t="s">
        <v>140</v>
      </c>
      <c r="B3" s="306" t="str">
        <f>'Objetos de Dominio'!B23</f>
        <v>Representa cada hora real registrada durante una cita puntual, según el tipo de momento al que corresponde (llegada del cliente, barbero preparado, inicio o fin de la atención).</v>
      </c>
      <c r="C3" s="303"/>
      <c r="D3" s="303"/>
      <c r="E3" s="303"/>
      <c r="F3" s="303"/>
      <c r="G3" s="303"/>
      <c r="H3" s="303"/>
      <c r="I3" s="303"/>
      <c r="J3" s="303"/>
      <c r="K3" s="279"/>
    </row>
    <row r="4" spans="1:11" ht="34.5" customHeight="1" x14ac:dyDescent="0.25">
      <c r="A4" s="34" t="s">
        <v>151</v>
      </c>
      <c r="B4" s="338" t="s">
        <v>152</v>
      </c>
      <c r="C4" s="279"/>
      <c r="D4" s="35" t="s">
        <v>153</v>
      </c>
      <c r="E4" s="297" t="s">
        <v>154</v>
      </c>
      <c r="F4" s="279"/>
      <c r="G4" s="294" t="s">
        <v>155</v>
      </c>
      <c r="H4" s="279"/>
      <c r="I4" s="37" t="s">
        <v>156</v>
      </c>
      <c r="J4" s="38" t="s">
        <v>157</v>
      </c>
      <c r="K4" s="39" t="s">
        <v>158</v>
      </c>
    </row>
    <row r="5" spans="1:11" ht="15" customHeight="1" x14ac:dyDescent="0.25">
      <c r="A5" s="282" t="s">
        <v>151</v>
      </c>
      <c r="B5" s="338" t="s">
        <v>159</v>
      </c>
      <c r="C5" s="338" t="s">
        <v>94</v>
      </c>
      <c r="D5" s="292" t="s">
        <v>160</v>
      </c>
      <c r="E5" s="297" t="s">
        <v>161</v>
      </c>
      <c r="F5" s="279"/>
      <c r="G5" s="294" t="s">
        <v>162</v>
      </c>
      <c r="H5" s="279"/>
      <c r="I5" s="339" t="s">
        <v>163</v>
      </c>
      <c r="J5" s="296" t="s">
        <v>164</v>
      </c>
      <c r="K5" s="341" t="s">
        <v>165</v>
      </c>
    </row>
    <row r="6" spans="1:11" ht="15" customHeight="1" x14ac:dyDescent="0.25">
      <c r="A6" s="281"/>
      <c r="B6" s="281"/>
      <c r="C6" s="281"/>
      <c r="D6" s="281"/>
      <c r="E6" s="36" t="s">
        <v>166</v>
      </c>
      <c r="F6" s="36" t="s">
        <v>94</v>
      </c>
      <c r="G6" s="40" t="s">
        <v>167</v>
      </c>
      <c r="H6" s="40" t="s">
        <v>94</v>
      </c>
      <c r="I6" s="281"/>
      <c r="J6" s="281"/>
      <c r="K6" s="281"/>
    </row>
    <row r="7" spans="1:11" ht="67.5" x14ac:dyDescent="0.25">
      <c r="A7" s="272" t="s">
        <v>32</v>
      </c>
      <c r="B7" s="272" t="s">
        <v>1305</v>
      </c>
      <c r="C7" s="272" t="s">
        <v>1306</v>
      </c>
      <c r="D7" s="272" t="str">
        <f>$B$2</f>
        <v>RegistroHoraCita</v>
      </c>
      <c r="E7" s="272" t="s">
        <v>46</v>
      </c>
      <c r="F7" s="272" t="s">
        <v>1307</v>
      </c>
      <c r="G7" s="262" t="str">
        <f>'P-RegistroHoraCita'!A6</f>
        <v>P-RHC-0001</v>
      </c>
      <c r="H7" s="42" t="str">
        <f>'P-RegistroHoraCita'!B6</f>
        <v>Asegurar que los datos requeridos del registro (cita, tipo de registro de hora, hora) sean válidos en tipo de dato, obligatoriedad y formato</v>
      </c>
      <c r="I7" s="272"/>
      <c r="J7" s="272" t="s">
        <v>1308</v>
      </c>
      <c r="K7" s="272" t="s">
        <v>1309</v>
      </c>
    </row>
    <row r="8" spans="1:11" ht="40.5" x14ac:dyDescent="0.25">
      <c r="A8" s="284"/>
      <c r="B8" s="284"/>
      <c r="C8" s="284"/>
      <c r="D8" s="284"/>
      <c r="E8" s="272"/>
      <c r="F8" s="272"/>
      <c r="G8" s="262" t="str">
        <f>'P-RegistroHoraCita'!A7</f>
        <v>P-RHC-0002</v>
      </c>
      <c r="H8" s="42" t="str">
        <f>'P-RegistroHoraCita'!B7</f>
        <v>Asegurar que no exista otro registro del mismo tipo para la misma cita</v>
      </c>
      <c r="I8" s="284"/>
      <c r="J8" s="284"/>
      <c r="K8" s="284"/>
    </row>
    <row r="9" spans="1:11" ht="67.5" x14ac:dyDescent="0.25">
      <c r="A9" s="284"/>
      <c r="B9" s="284"/>
      <c r="C9" s="284"/>
      <c r="D9" s="284"/>
      <c r="E9" s="269" t="s">
        <v>24</v>
      </c>
      <c r="F9" s="269" t="s">
        <v>1310</v>
      </c>
      <c r="G9" s="262" t="str">
        <f>'P-RegistroHoraCita'!A9</f>
        <v>P-RHC-0004</v>
      </c>
      <c r="H9" s="42" t="str">
        <f>'P-RegistroHoraCita'!B9</f>
        <v>Asegurar que la cita no se encuentre en estado Cancelada por el cliente, Cancelada por el barbero, Cancelación ni Inasistencia del cliente</v>
      </c>
      <c r="I9" s="284"/>
      <c r="J9" s="284"/>
      <c r="K9" s="284"/>
    </row>
    <row r="10" spans="1:11" ht="81" x14ac:dyDescent="0.25">
      <c r="A10" s="284"/>
      <c r="B10" s="284"/>
      <c r="C10" s="284"/>
      <c r="D10" s="284"/>
      <c r="E10" s="271"/>
      <c r="F10" s="271"/>
      <c r="G10" s="262" t="str">
        <f>'P-RegistroHoraCita'!A10</f>
        <v>P-RHC-0005</v>
      </c>
      <c r="H10" s="42" t="str">
        <f>'P-RegistroHoraCita'!B10</f>
        <v>Asegurar que las horas registradas de una misma cita sean coherentes entre sí: el inicio de la atención no puede ser anterior a la llegada del cliente ni el fin anterior al inicio</v>
      </c>
      <c r="I10" s="284"/>
      <c r="J10" s="284"/>
      <c r="K10" s="284"/>
    </row>
    <row r="11" spans="1:11" ht="94.5" x14ac:dyDescent="0.25">
      <c r="A11" s="284"/>
      <c r="B11" s="284"/>
      <c r="C11" s="284"/>
      <c r="D11" s="284"/>
      <c r="E11" s="269" t="s">
        <v>18</v>
      </c>
      <c r="F11" s="269" t="s">
        <v>1311</v>
      </c>
      <c r="G11" s="262" t="str">
        <f>'P-Cita'!A14</f>
        <v>P-CIT-0010</v>
      </c>
      <c r="H11" s="42" t="str">
        <f>'P-Cita'!B14</f>
        <v>Si la hora del RegistroHoraCita de tipo Llegada del cliente supera la horaInicio de la cita en más del tiempoEspera, generar una Multa de tipo Tardanza por el valor de multa de esa misma cita</v>
      </c>
      <c r="I11" s="284"/>
      <c r="J11" s="284"/>
      <c r="K11" s="284"/>
    </row>
    <row r="12" spans="1:11" ht="121.5" x14ac:dyDescent="0.25">
      <c r="A12" s="281"/>
      <c r="B12" s="281"/>
      <c r="C12" s="281"/>
      <c r="D12" s="281"/>
      <c r="E12" s="271"/>
      <c r="F12" s="271"/>
      <c r="G12" s="262" t="str">
        <f>'P-Cita'!A13</f>
        <v>P-CIT-0009</v>
      </c>
      <c r="H12" s="42" t="str">
        <f>'P-Cita'!B13</f>
        <v>Si la hora del RegistroHoraCita en que el barbero estuvo preparado o inició la atención supera la horaInicio de la cita (o la llegada del cliente, si fue posterior) en más del tiempoEspera, aplicar el porcentajeDescuento de esa misma cita sobre su precioTotal</v>
      </c>
      <c r="I12" s="281"/>
      <c r="J12" s="281"/>
      <c r="K12" s="281"/>
    </row>
    <row r="13" spans="1:11" ht="27" x14ac:dyDescent="0.25">
      <c r="A13" s="272" t="s">
        <v>32</v>
      </c>
      <c r="B13" s="272" t="s">
        <v>1312</v>
      </c>
      <c r="C13" s="272" t="s">
        <v>1274</v>
      </c>
      <c r="D13" s="272" t="str">
        <f>$B$2</f>
        <v>RegistroHoraCita</v>
      </c>
      <c r="E13" s="42" t="s">
        <v>46</v>
      </c>
      <c r="F13" s="42" t="s">
        <v>1313</v>
      </c>
      <c r="G13" s="262" t="str">
        <f>'P-RegistroHoraCita'!A8</f>
        <v>P-RHC-0003</v>
      </c>
      <c r="H13" s="42" t="str">
        <f>'P-RegistroHoraCita'!B8</f>
        <v>Asegurar que exista el registro de hora con el id enviado</v>
      </c>
      <c r="I13" s="272"/>
      <c r="J13" s="272" t="s">
        <v>1314</v>
      </c>
      <c r="K13" s="272"/>
    </row>
    <row r="14" spans="1:11" ht="67.5" x14ac:dyDescent="0.25">
      <c r="A14" s="284"/>
      <c r="B14" s="284"/>
      <c r="C14" s="284"/>
      <c r="D14" s="284"/>
      <c r="E14" s="42"/>
      <c r="F14" s="42"/>
      <c r="G14" s="262" t="str">
        <f>'P-RegistroHoraCita'!A6</f>
        <v>P-RHC-0001</v>
      </c>
      <c r="H14" s="42" t="str">
        <f>'P-RegistroHoraCita'!B6</f>
        <v>Asegurar que los datos requeridos del registro (cita, tipo de registro de hora, hora) sean válidos en tipo de dato, obligatoriedad y formato</v>
      </c>
      <c r="I14" s="284"/>
      <c r="J14" s="284"/>
      <c r="K14" s="284"/>
    </row>
    <row r="15" spans="1:11" ht="67.5" x14ac:dyDescent="0.25">
      <c r="A15" s="284"/>
      <c r="B15" s="284"/>
      <c r="C15" s="284"/>
      <c r="D15" s="284"/>
      <c r="E15" s="42"/>
      <c r="F15" s="42"/>
      <c r="G15" s="262" t="str">
        <f>'P-RegistroHoraCita'!A9</f>
        <v>P-RHC-0004</v>
      </c>
      <c r="H15" s="42" t="str">
        <f>'P-RegistroHoraCita'!B9</f>
        <v>Asegurar que la cita no se encuentre en estado Cancelada por el cliente, Cancelada por el barbero, Cancelación ni Inasistencia del cliente</v>
      </c>
      <c r="I15" s="284"/>
      <c r="J15" s="284"/>
      <c r="K15" s="284"/>
    </row>
    <row r="16" spans="1:11" ht="81" x14ac:dyDescent="0.25">
      <c r="A16" s="281"/>
      <c r="B16" s="281"/>
      <c r="C16" s="281"/>
      <c r="D16" s="281"/>
      <c r="E16" s="42"/>
      <c r="F16" s="42"/>
      <c r="G16" s="262" t="str">
        <f>'P-RegistroHoraCita'!A10</f>
        <v>P-RHC-0005</v>
      </c>
      <c r="H16" s="42" t="str">
        <f>'P-RegistroHoraCita'!B10</f>
        <v>Asegurar que las horas registradas de una misma cita sean coherentes entre sí: el inicio de la atención no puede ser anterior a la llegada del cliente ni el fin anterior al inicio</v>
      </c>
      <c r="I16" s="281"/>
      <c r="J16" s="281"/>
      <c r="K16" s="281"/>
    </row>
    <row r="17" spans="1:11" ht="30" customHeight="1" x14ac:dyDescent="0.25">
      <c r="A17" s="42" t="s">
        <v>32</v>
      </c>
      <c r="B17" s="42" t="s">
        <v>1315</v>
      </c>
      <c r="C17" s="42" t="s">
        <v>1316</v>
      </c>
      <c r="D17" s="42" t="str">
        <f t="shared" ref="D17:D24" si="0">$B$2</f>
        <v>RegistroHoraCita</v>
      </c>
      <c r="E17" s="42"/>
      <c r="F17" s="42"/>
      <c r="G17" s="262"/>
      <c r="H17" s="42"/>
      <c r="I17" s="42"/>
      <c r="J17" s="42" t="s">
        <v>1317</v>
      </c>
      <c r="K17" s="42"/>
    </row>
    <row r="18" spans="1:11" ht="30" customHeight="1" x14ac:dyDescent="0.25">
      <c r="A18" s="42" t="s">
        <v>26</v>
      </c>
      <c r="B18" s="42" t="s">
        <v>1315</v>
      </c>
      <c r="C18" s="42" t="s">
        <v>1318</v>
      </c>
      <c r="D18" s="42" t="str">
        <f t="shared" si="0"/>
        <v>RegistroHoraCita</v>
      </c>
      <c r="E18" s="42"/>
      <c r="F18" s="42"/>
      <c r="G18" s="262"/>
      <c r="H18" s="42"/>
      <c r="I18" s="42"/>
      <c r="J18" s="42" t="s">
        <v>1317</v>
      </c>
      <c r="K18" s="42"/>
    </row>
    <row r="19" spans="1:11" ht="30" customHeight="1" x14ac:dyDescent="0.25">
      <c r="A19" s="42" t="s">
        <v>32</v>
      </c>
      <c r="B19" s="42" t="s">
        <v>1319</v>
      </c>
      <c r="C19" s="42" t="s">
        <v>1320</v>
      </c>
      <c r="D19" s="42" t="str">
        <f t="shared" si="0"/>
        <v>RegistroHoraCita</v>
      </c>
      <c r="E19" s="42"/>
      <c r="F19" s="42"/>
      <c r="G19" s="262"/>
      <c r="H19" s="42"/>
      <c r="I19" s="42"/>
      <c r="J19" s="42" t="s">
        <v>1321</v>
      </c>
      <c r="K19" s="42"/>
    </row>
    <row r="20" spans="1:11" ht="30" customHeight="1" x14ac:dyDescent="0.25">
      <c r="A20" s="42" t="s">
        <v>26</v>
      </c>
      <c r="B20" s="42" t="s">
        <v>1319</v>
      </c>
      <c r="C20" s="42" t="s">
        <v>1322</v>
      </c>
      <c r="D20" s="42" t="str">
        <f t="shared" si="0"/>
        <v>RegistroHoraCita</v>
      </c>
      <c r="E20" s="42"/>
      <c r="F20" s="42"/>
      <c r="G20" s="262"/>
      <c r="H20" s="42"/>
      <c r="I20" s="42"/>
      <c r="J20" s="42" t="s">
        <v>1321</v>
      </c>
      <c r="K20" s="42"/>
    </row>
    <row r="21" spans="1:11" ht="30" customHeight="1" x14ac:dyDescent="0.25">
      <c r="A21" s="42" t="s">
        <v>32</v>
      </c>
      <c r="B21" s="42" t="s">
        <v>1323</v>
      </c>
      <c r="C21" s="42" t="s">
        <v>1324</v>
      </c>
      <c r="D21" s="42" t="str">
        <f t="shared" si="0"/>
        <v>RegistroHoraCita</v>
      </c>
      <c r="E21" s="42"/>
      <c r="F21" s="42"/>
      <c r="G21" s="262"/>
      <c r="H21" s="42"/>
      <c r="I21" s="42"/>
      <c r="J21" s="42" t="s">
        <v>1325</v>
      </c>
      <c r="K21" s="42"/>
    </row>
    <row r="22" spans="1:11" ht="30" customHeight="1" x14ac:dyDescent="0.25">
      <c r="A22" s="42" t="s">
        <v>26</v>
      </c>
      <c r="B22" s="42" t="s">
        <v>1323</v>
      </c>
      <c r="C22" s="42" t="s">
        <v>1326</v>
      </c>
      <c r="D22" s="42" t="str">
        <f t="shared" si="0"/>
        <v>RegistroHoraCita</v>
      </c>
      <c r="E22" s="42"/>
      <c r="F22" s="42"/>
      <c r="G22" s="262"/>
      <c r="H22" s="42"/>
      <c r="I22" s="42"/>
      <c r="J22" s="42" t="s">
        <v>1325</v>
      </c>
      <c r="K22" s="42"/>
    </row>
    <row r="23" spans="1:11" ht="30" customHeight="1" x14ac:dyDescent="0.25">
      <c r="A23" s="42" t="s">
        <v>32</v>
      </c>
      <c r="B23" s="42" t="s">
        <v>1327</v>
      </c>
      <c r="C23" s="42" t="s">
        <v>1328</v>
      </c>
      <c r="D23" s="42" t="str">
        <f t="shared" si="0"/>
        <v>RegistroHoraCita</v>
      </c>
      <c r="E23" s="42"/>
      <c r="F23" s="42"/>
      <c r="G23" s="262"/>
      <c r="H23" s="42"/>
      <c r="I23" s="42"/>
      <c r="J23" s="42" t="s">
        <v>1329</v>
      </c>
      <c r="K23" s="42"/>
    </row>
    <row r="24" spans="1:11" ht="30" customHeight="1" x14ac:dyDescent="0.25">
      <c r="A24" s="42" t="s">
        <v>26</v>
      </c>
      <c r="B24" s="42" t="s">
        <v>1327</v>
      </c>
      <c r="C24" s="42" t="s">
        <v>1330</v>
      </c>
      <c r="D24" s="42" t="str">
        <f t="shared" si="0"/>
        <v>RegistroHoraCita</v>
      </c>
      <c r="E24" s="42"/>
      <c r="F24" s="42"/>
      <c r="G24" s="262"/>
      <c r="H24" s="42"/>
      <c r="I24" s="42"/>
      <c r="J24" s="42" t="s">
        <v>1329</v>
      </c>
      <c r="K24" s="42"/>
    </row>
  </sheetData>
  <mergeCells count="38">
    <mergeCell ref="C1:E1"/>
    <mergeCell ref="J13:J16"/>
    <mergeCell ref="B7:B12"/>
    <mergeCell ref="J1:K1"/>
    <mergeCell ref="E5:F5"/>
    <mergeCell ref="A1:B1"/>
    <mergeCell ref="E4:F4"/>
    <mergeCell ref="F1:I1"/>
    <mergeCell ref="A7:A12"/>
    <mergeCell ref="I7:I12"/>
    <mergeCell ref="B3:K3"/>
    <mergeCell ref="I5:I6"/>
    <mergeCell ref="A5:A6"/>
    <mergeCell ref="B13:B16"/>
    <mergeCell ref="D13:D16"/>
    <mergeCell ref="D7:D12"/>
    <mergeCell ref="J7:J12"/>
    <mergeCell ref="B2:K2"/>
    <mergeCell ref="B5:B6"/>
    <mergeCell ref="D5:D6"/>
    <mergeCell ref="G4:H4"/>
    <mergeCell ref="B4:C4"/>
    <mergeCell ref="A13:A16"/>
    <mergeCell ref="C13:C16"/>
    <mergeCell ref="I13:I16"/>
    <mergeCell ref="K5:K6"/>
    <mergeCell ref="J5:J6"/>
    <mergeCell ref="K13:K16"/>
    <mergeCell ref="C7:C12"/>
    <mergeCell ref="K7:K12"/>
    <mergeCell ref="C5:C6"/>
    <mergeCell ref="E11:E12"/>
    <mergeCell ref="F11:F12"/>
    <mergeCell ref="E9:E10"/>
    <mergeCell ref="F9:F10"/>
    <mergeCell ref="E7:E8"/>
    <mergeCell ref="F7:F8"/>
    <mergeCell ref="G5:H5"/>
  </mergeCells>
  <hyperlinks>
    <hyperlink ref="A1" location="'Modelo de Dominio'!A1" display="&lt;&lt; Ir al modelo de dominio" xr:uid="{00000000-0004-0000-5400-000000000000}"/>
    <hyperlink ref="C1" location="'Objetos de Dominio'!A1" display="&lt;&lt; Ir al listado de objetos de dominio" xr:uid="{00000000-0004-0000-5400-000001000000}"/>
    <hyperlink ref="F1" location="'C-RegistroHoraCita'!A1" display="&lt;&lt; Ir a la caracterización del objeto de dominio" xr:uid="{00000000-0004-0000-5400-000002000000}"/>
    <hyperlink ref="J1" location="'M-RegistroHoraCita'!A1" display="Ir al muestreo de datos del objeto de dominio &gt;&gt;" xr:uid="{00000000-0004-0000-5400-000003000000}"/>
    <hyperlink ref="E7" location="'C-Cita'!A1" display="Cita" xr:uid="{00000000-0004-0000-5400-000004000000}"/>
    <hyperlink ref="G7" location="'P-RegistroHoraCita'!A6" display="'P-RegistroHoraCita'!A6" xr:uid="{00000000-0004-0000-5400-000005000000}"/>
    <hyperlink ref="E9" location="'C-TipoRegistroHora'!A1" display="TipoRegistroHora" xr:uid="{00000000-0004-0000-5400-000006000000}"/>
    <hyperlink ref="G8" location="'P-RegistroHoraCita'!A7" display="'P-RegistroHoraCita'!A7" xr:uid="{00000000-0004-0000-5400-000007000000}"/>
    <hyperlink ref="E11" location="'C-Estado'!A1" display="Estado" xr:uid="{00000000-0004-0000-5400-000008000000}"/>
    <hyperlink ref="G9" location="'P-RegistroHoraCita'!A9" display="'P-RegistroHoraCita'!A9" xr:uid="{00000000-0004-0000-5400-000009000000}"/>
    <hyperlink ref="G10" location="'P-RegistroHoraCita'!A10" display="'P-RegistroHoraCita'!A10" xr:uid="{00000000-0004-0000-5400-00000A000000}"/>
    <hyperlink ref="G11" location="'P-Cita'!A14" display="'P-Cita'!A14" xr:uid="{00000000-0004-0000-5400-00000B000000}"/>
    <hyperlink ref="G12" location="'P-Cita'!A13" display="'P-Cita'!A13" xr:uid="{00000000-0004-0000-5400-00000C000000}"/>
    <hyperlink ref="E13" location="'C-Cita'!A1" display="Cita" xr:uid="{00000000-0004-0000-5400-00000D000000}"/>
    <hyperlink ref="G13" location="'P-RegistroHoraCita'!A8" display="'P-RegistroHoraCita'!A8" xr:uid="{00000000-0004-0000-5400-00000E000000}"/>
    <hyperlink ref="G14" location="'P-RegistroHoraCita'!A6" display="'P-RegistroHoraCita'!A6" xr:uid="{00000000-0004-0000-5400-00000F000000}"/>
    <hyperlink ref="G15" location="'P-RegistroHoraCita'!A9" display="'P-RegistroHoraCita'!A9" xr:uid="{00000000-0004-0000-5400-000010000000}"/>
    <hyperlink ref="G16" location="'P-RegistroHoraCita'!A10" display="'P-RegistroHoraCita'!A10" xr:uid="{00000000-0004-0000-5400-000011000000}"/>
  </hyperlinks>
  <pageMargins left="0.75" right="0.75" top="1" bottom="1" header="0.511811023622047" footer="0.511811023622047"/>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E20"/>
  <sheetViews>
    <sheetView zoomScaleNormal="100" workbookViewId="0">
      <selection activeCell="B1" sqref="B1"/>
    </sheetView>
  </sheetViews>
  <sheetFormatPr baseColWidth="10" defaultColWidth="8.7109375" defaultRowHeight="15" x14ac:dyDescent="0.25"/>
  <cols>
    <col min="1" max="1" width="27" customWidth="1"/>
    <col min="2" max="2" width="80.140625" bestFit="1" customWidth="1"/>
    <col min="3" max="3" width="30" customWidth="1"/>
    <col min="4" max="4" width="16" customWidth="1"/>
    <col min="5" max="5" width="97.85546875" bestFit="1" customWidth="1"/>
  </cols>
  <sheetData>
    <row r="1" spans="1:5" x14ac:dyDescent="0.25">
      <c r="A1" s="4" t="s">
        <v>0</v>
      </c>
      <c r="B1" s="4" t="s">
        <v>55</v>
      </c>
    </row>
    <row r="2" spans="1:5" ht="44.25" customHeight="1" x14ac:dyDescent="0.25">
      <c r="A2" s="44" t="s">
        <v>183</v>
      </c>
      <c r="B2" s="44" t="s">
        <v>1331</v>
      </c>
      <c r="C2" s="44" t="s">
        <v>1332</v>
      </c>
      <c r="D2" s="44" t="s">
        <v>1333</v>
      </c>
      <c r="E2" s="44" t="s">
        <v>1334</v>
      </c>
    </row>
    <row r="3" spans="1:5" ht="14.25" customHeight="1" x14ac:dyDescent="0.25">
      <c r="A3" s="46" t="s">
        <v>116</v>
      </c>
      <c r="B3" s="118" t="s">
        <v>1202</v>
      </c>
      <c r="C3" s="118" t="s">
        <v>1335</v>
      </c>
      <c r="D3" s="47" t="s">
        <v>1336</v>
      </c>
      <c r="E3" s="48" t="s">
        <v>189</v>
      </c>
    </row>
    <row r="4" spans="1:5" ht="30" customHeight="1" x14ac:dyDescent="0.25">
      <c r="A4" s="49">
        <v>1</v>
      </c>
      <c r="B4" s="188" t="str">
        <f>'M-Cita'!K5</f>
        <v>+57-3124518923-900123456-7-Sede Poblado-Martes-09:00-19:00-12/11/2023-1/01/1000-09:00-15:00-02/03/2025-1/01/1000-10/03/2026-09:30</v>
      </c>
      <c r="C4" s="119" t="str">
        <f>'M-TipoRegistroHora'!C4</f>
        <v>Llegada del cliente</v>
      </c>
      <c r="D4" s="189">
        <v>0.3923611111111111</v>
      </c>
      <c r="E4" s="79" t="str">
        <f t="shared" ref="E4:E10" si="0">_xlfn.CONCAT(B4,"-",C4)</f>
        <v>+57-3124518923-900123456-7-Sede Poblado-Martes-09:00-19:00-12/11/2023-1/01/1000-09:00-15:00-02/03/2025-1/01/1000-10/03/2026-09:30-Llegada del cliente</v>
      </c>
    </row>
    <row r="5" spans="1:5" ht="30" customHeight="1" x14ac:dyDescent="0.25">
      <c r="A5" s="49">
        <v>2</v>
      </c>
      <c r="B5" s="188" t="str">
        <f>'M-Cita'!K5</f>
        <v>+57-3124518923-900123456-7-Sede Poblado-Martes-09:00-19:00-12/11/2023-1/01/1000-09:00-15:00-02/03/2025-1/01/1000-10/03/2026-09:30</v>
      </c>
      <c r="C5" s="119" t="str">
        <f>'M-TipoRegistroHora'!C6</f>
        <v>Inicio de atención</v>
      </c>
      <c r="D5" s="189">
        <v>0.39583333333333331</v>
      </c>
      <c r="E5" s="79" t="str">
        <f t="shared" si="0"/>
        <v>+57-3124518923-900123456-7-Sede Poblado-Martes-09:00-19:00-12/11/2023-1/01/1000-09:00-15:00-02/03/2025-1/01/1000-10/03/2026-09:30-Inicio de atención</v>
      </c>
    </row>
    <row r="6" spans="1:5" ht="30" customHeight="1" x14ac:dyDescent="0.25">
      <c r="A6" s="49">
        <v>3</v>
      </c>
      <c r="B6" s="188" t="str">
        <f>'M-Cita'!K5</f>
        <v>+57-3124518923-900123456-7-Sede Poblado-Martes-09:00-19:00-12/11/2023-1/01/1000-09:00-15:00-02/03/2025-1/01/1000-10/03/2026-09:30</v>
      </c>
      <c r="C6" s="119" t="str">
        <f>'M-TipoRegistroHora'!C7</f>
        <v>Fin de atención</v>
      </c>
      <c r="D6" s="189">
        <v>0.40486111111111112</v>
      </c>
      <c r="E6" s="79" t="str">
        <f t="shared" si="0"/>
        <v>+57-3124518923-900123456-7-Sede Poblado-Martes-09:00-19:00-12/11/2023-1/01/1000-09:00-15:00-02/03/2025-1/01/1000-10/03/2026-09:30-Fin de atención</v>
      </c>
    </row>
    <row r="7" spans="1:5" ht="30" customHeight="1" x14ac:dyDescent="0.25">
      <c r="A7" s="49">
        <v>4</v>
      </c>
      <c r="B7" s="188" t="str">
        <f>'M-Cita'!K6</f>
        <v>+57-3214533321-900123456-7-Sede Poblado-Jueves-09:00-19:00-12/11/2023-1/01/1000-13:00-19:00-22/12/2022-1/01/1000-14/05/2026-13:00</v>
      </c>
      <c r="C7" s="119" t="str">
        <f>'M-TipoRegistroHora'!C4</f>
        <v>Llegada del cliente</v>
      </c>
      <c r="D7" s="189">
        <v>0.55208333333333337</v>
      </c>
      <c r="E7" s="79" t="str">
        <f t="shared" si="0"/>
        <v>+57-3214533321-900123456-7-Sede Poblado-Jueves-09:00-19:00-12/11/2023-1/01/1000-13:00-19:00-22/12/2022-1/01/1000-14/05/2026-13:00-Llegada del cliente</v>
      </c>
    </row>
    <row r="8" spans="1:5" ht="30" customHeight="1" x14ac:dyDescent="0.25">
      <c r="A8" s="49">
        <v>5</v>
      </c>
      <c r="B8" s="188" t="str">
        <f>'M-Cita'!K6</f>
        <v>+57-3214533321-900123456-7-Sede Poblado-Jueves-09:00-19:00-12/11/2023-1/01/1000-13:00-19:00-22/12/2022-1/01/1000-14/05/2026-13:00</v>
      </c>
      <c r="C8" s="119" t="str">
        <f>'M-TipoRegistroHora'!C6</f>
        <v>Inicio de atención</v>
      </c>
      <c r="D8" s="189">
        <v>0.55347222222222225</v>
      </c>
      <c r="E8" s="79" t="str">
        <f t="shared" si="0"/>
        <v>+57-3214533321-900123456-7-Sede Poblado-Jueves-09:00-19:00-12/11/2023-1/01/1000-13:00-19:00-22/12/2022-1/01/1000-14/05/2026-13:00-Inicio de atención</v>
      </c>
    </row>
    <row r="9" spans="1:5" ht="30" customHeight="1" x14ac:dyDescent="0.25">
      <c r="A9" s="49">
        <v>6</v>
      </c>
      <c r="B9" s="188" t="str">
        <f>'M-Cita'!K8</f>
        <v>+57-3214533321-900123456-7-Sede Poblado-Jueves-09:00-19:00-12/11/2023-1/01/1000-13:00-19:00-22/12/2022-1/01/1000-06/08/2026-18:00</v>
      </c>
      <c r="C9" s="119" t="str">
        <f>'M-TipoRegistroHora'!C4</f>
        <v>Llegada del cliente</v>
      </c>
      <c r="D9" s="189">
        <v>0.74652777777777779</v>
      </c>
      <c r="E9" s="79" t="str">
        <f t="shared" si="0"/>
        <v>+57-3214533321-900123456-7-Sede Poblado-Jueves-09:00-19:00-12/11/2023-1/01/1000-13:00-19:00-22/12/2022-1/01/1000-06/08/2026-18:00-Llegada del cliente</v>
      </c>
    </row>
    <row r="10" spans="1:5" ht="30" customHeight="1" x14ac:dyDescent="0.25">
      <c r="A10" s="49">
        <v>7</v>
      </c>
      <c r="B10" s="188" t="str">
        <f>'M-Cita'!K8</f>
        <v>+57-3214533321-900123456-7-Sede Poblado-Jueves-09:00-19:00-12/11/2023-1/01/1000-13:00-19:00-22/12/2022-1/01/1000-06/08/2026-18:00</v>
      </c>
      <c r="C10" s="119" t="str">
        <f>'M-TipoRegistroHora'!C5</f>
        <v>Barbero preparado</v>
      </c>
      <c r="D10" s="189">
        <v>0.76041666666666663</v>
      </c>
      <c r="E10" s="79" t="str">
        <f t="shared" si="0"/>
        <v>+57-3214533321-900123456-7-Sede Poblado-Jueves-09:00-19:00-12/11/2023-1/01/1000-13:00-19:00-22/12/2022-1/01/1000-06/08/2026-18:00-Barbero preparado</v>
      </c>
    </row>
    <row r="16" spans="1:5" x14ac:dyDescent="0.25">
      <c r="A16" s="44"/>
      <c r="B16" s="53" t="s">
        <v>194</v>
      </c>
    </row>
    <row r="17" spans="1:2" x14ac:dyDescent="0.25">
      <c r="A17" s="46"/>
      <c r="B17" s="53" t="s">
        <v>195</v>
      </c>
    </row>
    <row r="18" spans="1:2" x14ac:dyDescent="0.25">
      <c r="A18" s="118"/>
      <c r="B18" s="53" t="s">
        <v>443</v>
      </c>
    </row>
    <row r="19" spans="1:2" x14ac:dyDescent="0.25">
      <c r="A19" s="47"/>
      <c r="B19" s="53" t="s">
        <v>1337</v>
      </c>
    </row>
    <row r="20" spans="1:2" x14ac:dyDescent="0.25">
      <c r="A20" s="48"/>
      <c r="B20" s="53" t="s">
        <v>197</v>
      </c>
    </row>
  </sheetData>
  <hyperlinks>
    <hyperlink ref="A1" location="'Modelo de Dominio'!A1" display="&lt;&lt;&lt;&lt; Ir al modulo de dominio" xr:uid="{00000000-0004-0000-5500-000000000000}"/>
    <hyperlink ref="B1" location="'Objetos de Dominio'!A1" display="&lt;&lt;&lt;&lt; Ir a objetos de dominio" xr:uid="{00000000-0004-0000-5500-000001000000}"/>
    <hyperlink ref="B4" location="'M-Cita'!A5" display="'M-Cita'!A5" xr:uid="{00000000-0004-0000-5500-000002000000}"/>
    <hyperlink ref="C4" location="'M-TipoRegistroHora'!A4" display="'M-TipoRegistroHora'!A4" xr:uid="{00000000-0004-0000-5500-000003000000}"/>
    <hyperlink ref="B5" location="'M-Cita'!A5" display="'M-Cita'!A5" xr:uid="{00000000-0004-0000-5500-000004000000}"/>
    <hyperlink ref="C5" location="'M-TipoRegistroHora'!A6" display="'M-TipoRegistroHora'!A6" xr:uid="{00000000-0004-0000-5500-000005000000}"/>
    <hyperlink ref="B6" location="'M-Cita'!A5" display="'M-Cita'!A5" xr:uid="{00000000-0004-0000-5500-000006000000}"/>
    <hyperlink ref="C6" location="'M-TipoRegistroHora'!A7" display="'M-TipoRegistroHora'!A7" xr:uid="{00000000-0004-0000-5500-000007000000}"/>
    <hyperlink ref="B7" location="'M-Cita'!A6" display="'M-Cita'!A6" xr:uid="{00000000-0004-0000-5500-000008000000}"/>
    <hyperlink ref="C7" location="'M-TipoRegistroHora'!A4" display="'M-TipoRegistroHora'!A4" xr:uid="{00000000-0004-0000-5500-000009000000}"/>
    <hyperlink ref="B8" location="'M-Cita'!A6" display="'M-Cita'!A6" xr:uid="{00000000-0004-0000-5500-00000A000000}"/>
    <hyperlink ref="C8" location="'M-TipoRegistroHora'!A6" display="'M-TipoRegistroHora'!A6" xr:uid="{00000000-0004-0000-5500-00000B000000}"/>
    <hyperlink ref="B9" location="'M-Cita'!A8" display="'M-Cita'!A8" xr:uid="{00000000-0004-0000-5500-00000C000000}"/>
    <hyperlink ref="C9" location="'M-TipoRegistroHora'!A4" display="'M-TipoRegistroHora'!A4" xr:uid="{00000000-0004-0000-5500-00000D000000}"/>
    <hyperlink ref="B10" location="'M-Cita'!A8" display="'M-Cita'!A8" xr:uid="{00000000-0004-0000-5500-00000E000000}"/>
    <hyperlink ref="C10" location="'M-TipoRegistroHora'!A5" display="'M-TipoRegistroHora'!A5" xr:uid="{00000000-0004-0000-5500-00000F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86</vt:i4>
      </vt:variant>
    </vt:vector>
  </HeadingPairs>
  <TitlesOfParts>
    <vt:vector size="86" baseType="lpstr">
      <vt:lpstr>Modelo de Dominio</vt:lpstr>
      <vt:lpstr>Objetos de Dominio</vt:lpstr>
      <vt:lpstr>C-Barberia</vt:lpstr>
      <vt:lpstr>P-Barberia</vt:lpstr>
      <vt:lpstr>E-Barberia</vt:lpstr>
      <vt:lpstr>M-Barberia</vt:lpstr>
      <vt:lpstr>C-DiaSemana</vt:lpstr>
      <vt:lpstr>P-DiaSemana</vt:lpstr>
      <vt:lpstr>E-DiaSemana</vt:lpstr>
      <vt:lpstr>M-DiaSemana</vt:lpstr>
      <vt:lpstr>C-Departamento</vt:lpstr>
      <vt:lpstr>P-Departamento</vt:lpstr>
      <vt:lpstr>E-Departamento</vt:lpstr>
      <vt:lpstr>M-Departamento</vt:lpstr>
      <vt:lpstr>C-Estado</vt:lpstr>
      <vt:lpstr>P-Estado</vt:lpstr>
      <vt:lpstr>E-Estado</vt:lpstr>
      <vt:lpstr>M-Estado</vt:lpstr>
      <vt:lpstr>C-PrefijoCelular</vt:lpstr>
      <vt:lpstr>P-PrefijoCelular</vt:lpstr>
      <vt:lpstr>E-PrefijoCelular</vt:lpstr>
      <vt:lpstr>M-PrefijoCelular</vt:lpstr>
      <vt:lpstr>C-TipoMulta</vt:lpstr>
      <vt:lpstr>P-TipoMulta</vt:lpstr>
      <vt:lpstr>E-TipoMulta</vt:lpstr>
      <vt:lpstr>M-TipoMulta</vt:lpstr>
      <vt:lpstr>C-TipoRegistroHora</vt:lpstr>
      <vt:lpstr>P-TipoRegistroHora</vt:lpstr>
      <vt:lpstr>E-TipoRegistroHora</vt:lpstr>
      <vt:lpstr>M-TipoRegistroHora</vt:lpstr>
      <vt:lpstr>C-Cliente</vt:lpstr>
      <vt:lpstr>P-Cliente</vt:lpstr>
      <vt:lpstr>E-Cliente</vt:lpstr>
      <vt:lpstr>M-Cliente</vt:lpstr>
      <vt:lpstr>C-Ciudad</vt:lpstr>
      <vt:lpstr>P-Ciudad</vt:lpstr>
      <vt:lpstr>E-Ciudad</vt:lpstr>
      <vt:lpstr>M-Ciudad</vt:lpstr>
      <vt:lpstr>C-Sede</vt:lpstr>
      <vt:lpstr>P-Sede</vt:lpstr>
      <vt:lpstr>E-Sede</vt:lpstr>
      <vt:lpstr>M-Sede</vt:lpstr>
      <vt:lpstr>C-Barbero</vt:lpstr>
      <vt:lpstr>P-Barbero</vt:lpstr>
      <vt:lpstr>E-Barbero</vt:lpstr>
      <vt:lpstr>M-Barbero</vt:lpstr>
      <vt:lpstr>C-HorarioBarberia</vt:lpstr>
      <vt:lpstr>P-HorarioBarberia</vt:lpstr>
      <vt:lpstr>E-HorarioBarberia</vt:lpstr>
      <vt:lpstr>M-HorarioBarberia</vt:lpstr>
      <vt:lpstr>C-Servicio</vt:lpstr>
      <vt:lpstr>P-Servicio</vt:lpstr>
      <vt:lpstr>E-Servicio</vt:lpstr>
      <vt:lpstr>M-Servicio</vt:lpstr>
      <vt:lpstr>C-BarberoServicio</vt:lpstr>
      <vt:lpstr>P-BarberoServicio</vt:lpstr>
      <vt:lpstr>E-BarberoServicio</vt:lpstr>
      <vt:lpstr>M-BarberoServicio</vt:lpstr>
      <vt:lpstr>C-Bloqueo</vt:lpstr>
      <vt:lpstr>P-Bloqueo</vt:lpstr>
      <vt:lpstr>E-Bloqueo</vt:lpstr>
      <vt:lpstr>M-Bloqueo</vt:lpstr>
      <vt:lpstr>C-HorarioBarbero</vt:lpstr>
      <vt:lpstr>P-HorarioBarbero</vt:lpstr>
      <vt:lpstr>E-HorarioBarbero</vt:lpstr>
      <vt:lpstr>M-HorarioBarbero</vt:lpstr>
      <vt:lpstr>C-Agenda</vt:lpstr>
      <vt:lpstr>P-Agenda</vt:lpstr>
      <vt:lpstr>E-Agenda</vt:lpstr>
      <vt:lpstr>M-Agenda</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lpstr>C-RegistroHoraCita</vt:lpstr>
      <vt:lpstr>P-RegistroHoraCita</vt:lpstr>
      <vt:lpstr>E-RegistroHoraCita</vt:lpstr>
      <vt:lpstr>M-RegistroHoraCita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Gomez</dc:creator>
  <cp:lastModifiedBy>Edilio Gomez</cp:lastModifiedBy>
  <cp:revision>0</cp:revision>
  <dcterms:created xsi:type="dcterms:W3CDTF">2015-06-05T18:19:34Z</dcterms:created>
  <dcterms:modified xsi:type="dcterms:W3CDTF">2026-09-28T03:15:20Z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0x010100BCA4BE53A4AA0F4CB08FF25AA3B9819F</vt:lpwstr>
  </property>
</Properties>
</file>