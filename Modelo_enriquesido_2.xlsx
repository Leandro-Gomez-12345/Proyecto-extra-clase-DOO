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leand\Desktop\DOO\DOO\Barberia\"/>
    </mc:Choice>
  </mc:AlternateContent>
  <xr:revisionPtr revIDLastSave="0" documentId="13_ncr:1_{6E379B71-BC15-4B41-BAA2-DC7BFB404E95}" xr6:coauthVersionLast="47" xr6:coauthVersionMax="47" xr10:uidLastSave="{00000000-0000-0000-0000-000000000000}"/>
  <bookViews>
    <workbookView xWindow="-108" yWindow="-108" windowWidth="23256" windowHeight="12456" tabRatio="500" activeTab="1" xr2:uid="{00000000-000D-0000-FFFF-FFFF00000000}"/>
  </bookViews>
  <sheets>
    <sheet name="Modelo de Dominio" sheetId="1" r:id="rId1"/>
    <sheet name="Objetos de Dominio" sheetId="2" r:id="rId2"/>
    <sheet name="C-DiaSemana" sheetId="3" r:id="rId3"/>
    <sheet name="M-DiaSemana" sheetId="4" r:id="rId4"/>
    <sheet name="C-Estado" sheetId="5" r:id="rId5"/>
    <sheet name="M-Estado" sheetId="6" r:id="rId6"/>
    <sheet name="C-Servicio" sheetId="7" r:id="rId7"/>
    <sheet name="M-Servicio" sheetId="8" r:id="rId8"/>
    <sheet name="C-Regla" sheetId="9" r:id="rId9"/>
    <sheet name="M-Regla" sheetId="10" r:id="rId10"/>
    <sheet name="C-PrefijoCelular" sheetId="11" r:id="rId11"/>
    <sheet name="M-PrefijoCelular" sheetId="12" r:id="rId12"/>
    <sheet name="C-TipoMulta" sheetId="13" r:id="rId13"/>
    <sheet name="M-TipoMulta" sheetId="14" r:id="rId14"/>
    <sheet name="C-Barbero" sheetId="15" r:id="rId15"/>
    <sheet name="M-Barbero" sheetId="16" r:id="rId16"/>
    <sheet name="C-Cliente" sheetId="17" r:id="rId17"/>
    <sheet name="M-Cliente" sheetId="18" r:id="rId18"/>
    <sheet name="C-HorarioBarberia" sheetId="19" r:id="rId19"/>
    <sheet name="M-HorarioBarberia" sheetId="20" r:id="rId20"/>
    <sheet name="C-BarberoServicio" sheetId="21" r:id="rId21"/>
    <sheet name="M-BarberoServicio" sheetId="22" r:id="rId22"/>
    <sheet name="C-HorarioBarbero" sheetId="23" r:id="rId23"/>
    <sheet name="M-HorarioBarbero" sheetId="24" r:id="rId24"/>
    <sheet name="C-Agenda" sheetId="25" r:id="rId25"/>
    <sheet name="M-Agenda" sheetId="26" r:id="rId26"/>
    <sheet name="C-Bloqueo" sheetId="27" r:id="rId27"/>
    <sheet name="M-Bloqueo" sheetId="28" r:id="rId28"/>
    <sheet name="C-Cita" sheetId="29" r:id="rId29"/>
    <sheet name="M-Cita" sheetId="30" r:id="rId30"/>
    <sheet name="C-CitaServicio" sheetId="31" r:id="rId31"/>
    <sheet name="M-CitaServicio" sheetId="32" r:id="rId32"/>
    <sheet name="C-Multa" sheetId="33" r:id="rId33"/>
    <sheet name="M-Multa" sheetId="34" r:id="rId3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5" i="20" l="1"/>
  <c r="H6" i="20"/>
  <c r="H7" i="20"/>
  <c r="H8" i="20"/>
  <c r="H9" i="20"/>
  <c r="H10" i="20"/>
  <c r="E4" i="34"/>
  <c r="D4" i="34"/>
  <c r="B12" i="33"/>
  <c r="A12" i="33"/>
  <c r="B9" i="33"/>
  <c r="A9" i="33"/>
  <c r="B8" i="33"/>
  <c r="A8" i="33"/>
  <c r="B7" i="33"/>
  <c r="A7" i="33"/>
  <c r="B6" i="33"/>
  <c r="A6" i="33"/>
  <c r="B5" i="33"/>
  <c r="A5" i="33"/>
  <c r="B4" i="33"/>
  <c r="A4" i="33"/>
  <c r="C12" i="33" s="1"/>
  <c r="B3" i="33"/>
  <c r="A3" i="33"/>
  <c r="G14" i="32"/>
  <c r="F14" i="32"/>
  <c r="E14" i="32"/>
  <c r="D14" i="32"/>
  <c r="G13" i="32"/>
  <c r="F13" i="32"/>
  <c r="E13" i="32"/>
  <c r="D13" i="32"/>
  <c r="G12" i="32"/>
  <c r="F12" i="32"/>
  <c r="E12" i="32"/>
  <c r="D12" i="32"/>
  <c r="G11" i="32"/>
  <c r="F11" i="32"/>
  <c r="E11" i="32"/>
  <c r="D11" i="32"/>
  <c r="G10" i="32"/>
  <c r="F10" i="32"/>
  <c r="E10" i="32"/>
  <c r="D10" i="32"/>
  <c r="G9" i="32"/>
  <c r="F9" i="32"/>
  <c r="E9" i="32"/>
  <c r="D9" i="32"/>
  <c r="G8" i="32"/>
  <c r="F8" i="32"/>
  <c r="E8" i="32"/>
  <c r="D8" i="32"/>
  <c r="G7" i="32"/>
  <c r="F7" i="32"/>
  <c r="E7" i="32"/>
  <c r="D7" i="32"/>
  <c r="G6" i="32"/>
  <c r="F6" i="32"/>
  <c r="E6" i="32"/>
  <c r="D6" i="32"/>
  <c r="G5" i="32"/>
  <c r="F5" i="32"/>
  <c r="E5" i="32"/>
  <c r="D5" i="32"/>
  <c r="G4" i="32"/>
  <c r="F4" i="32"/>
  <c r="E4" i="32"/>
  <c r="D4" i="32"/>
  <c r="O13" i="30"/>
  <c r="N13" i="30"/>
  <c r="D13" i="30"/>
  <c r="O12" i="30"/>
  <c r="N12" i="30"/>
  <c r="D12" i="30"/>
  <c r="O11" i="30"/>
  <c r="N11" i="30"/>
  <c r="D11" i="30"/>
  <c r="O10" i="30"/>
  <c r="N10" i="30"/>
  <c r="D10" i="30"/>
  <c r="O9" i="30"/>
  <c r="N9" i="30"/>
  <c r="D9" i="30"/>
  <c r="O8" i="30"/>
  <c r="N8" i="30"/>
  <c r="D8" i="30"/>
  <c r="O7" i="30"/>
  <c r="N7" i="30"/>
  <c r="D7" i="30"/>
  <c r="O6" i="30"/>
  <c r="N6" i="30"/>
  <c r="D6" i="30"/>
  <c r="O5" i="30"/>
  <c r="N5" i="30"/>
  <c r="E5" i="30"/>
  <c r="D5" i="30"/>
  <c r="O4" i="30"/>
  <c r="N4" i="30"/>
  <c r="E4" i="30"/>
  <c r="D4" i="30"/>
  <c r="C23" i="29"/>
  <c r="B22" i="29"/>
  <c r="A22" i="29"/>
  <c r="B19" i="29"/>
  <c r="A19" i="29"/>
  <c r="B18" i="29"/>
  <c r="A18" i="29"/>
  <c r="B17" i="29"/>
  <c r="A17" i="29"/>
  <c r="B16" i="29"/>
  <c r="A16" i="29"/>
  <c r="B15" i="29"/>
  <c r="A15" i="29"/>
  <c r="B14" i="29"/>
  <c r="A14" i="29"/>
  <c r="B13" i="29"/>
  <c r="A13" i="29"/>
  <c r="B12" i="29"/>
  <c r="A12" i="29"/>
  <c r="B11" i="29"/>
  <c r="A11" i="29"/>
  <c r="B10" i="29"/>
  <c r="A10" i="29"/>
  <c r="B9" i="29"/>
  <c r="A9" i="29"/>
  <c r="B8" i="29"/>
  <c r="A8" i="29"/>
  <c r="B7" i="29"/>
  <c r="A7" i="29"/>
  <c r="B6" i="29"/>
  <c r="A6" i="29"/>
  <c r="B5" i="29"/>
  <c r="A5" i="29"/>
  <c r="C22" i="29" s="1"/>
  <c r="B4" i="29"/>
  <c r="A4" i="29"/>
  <c r="B3" i="29"/>
  <c r="A3" i="29"/>
  <c r="C12" i="27"/>
  <c r="B10" i="27"/>
  <c r="A10" i="27"/>
  <c r="B7" i="27"/>
  <c r="A7" i="27"/>
  <c r="B6" i="27"/>
  <c r="A6" i="27"/>
  <c r="B5" i="27"/>
  <c r="A5" i="27"/>
  <c r="C11" i="27" s="1"/>
  <c r="B4" i="27"/>
  <c r="A4" i="27"/>
  <c r="C10" i="27" s="1"/>
  <c r="B3" i="27"/>
  <c r="A3" i="27"/>
  <c r="C10" i="25"/>
  <c r="C9" i="25"/>
  <c r="B9" i="25"/>
  <c r="A9" i="25"/>
  <c r="B6" i="25"/>
  <c r="A6" i="25"/>
  <c r="B5" i="25"/>
  <c r="A5" i="25"/>
  <c r="B4" i="25"/>
  <c r="A4" i="25"/>
  <c r="B3" i="25"/>
  <c r="A3" i="25"/>
  <c r="B8" i="24"/>
  <c r="C17" i="23"/>
  <c r="C16" i="23"/>
  <c r="B13" i="23"/>
  <c r="A13" i="23"/>
  <c r="B10" i="23"/>
  <c r="A10" i="23"/>
  <c r="B9" i="23"/>
  <c r="A9" i="23"/>
  <c r="B8" i="23"/>
  <c r="A8" i="23"/>
  <c r="B7" i="23"/>
  <c r="A7" i="23"/>
  <c r="B6" i="23"/>
  <c r="A6" i="23"/>
  <c r="C15" i="23" s="1"/>
  <c r="B5" i="23"/>
  <c r="A5" i="23"/>
  <c r="C14" i="23" s="1"/>
  <c r="B4" i="23"/>
  <c r="A4" i="23"/>
  <c r="C13" i="23" s="1"/>
  <c r="B3" i="23"/>
  <c r="A3" i="23"/>
  <c r="C12" i="22"/>
  <c r="B12" i="22"/>
  <c r="H12" i="22" s="1"/>
  <c r="C11" i="22"/>
  <c r="B11" i="22"/>
  <c r="H11" i="22" s="1"/>
  <c r="C10" i="22"/>
  <c r="H10" i="22" s="1"/>
  <c r="B10" i="22"/>
  <c r="C9" i="22"/>
  <c r="B9" i="22"/>
  <c r="H9" i="22" s="1"/>
  <c r="C8" i="22"/>
  <c r="B8" i="22"/>
  <c r="H8" i="22" s="1"/>
  <c r="C7" i="22"/>
  <c r="B7" i="22"/>
  <c r="H7" i="22" s="1"/>
  <c r="C6" i="22"/>
  <c r="H6" i="22" s="1"/>
  <c r="B6" i="22"/>
  <c r="C5" i="22"/>
  <c r="B5" i="22"/>
  <c r="H5" i="22" s="1"/>
  <c r="C4" i="22"/>
  <c r="B4" i="22"/>
  <c r="H4" i="22" s="1"/>
  <c r="B12" i="21"/>
  <c r="A12" i="21"/>
  <c r="B9" i="21"/>
  <c r="A9" i="21"/>
  <c r="B8" i="21"/>
  <c r="A8" i="21"/>
  <c r="B7" i="21"/>
  <c r="A7" i="21"/>
  <c r="B6" i="21"/>
  <c r="A6" i="21"/>
  <c r="B5" i="21"/>
  <c r="A5" i="21"/>
  <c r="B4" i="21"/>
  <c r="A4" i="21"/>
  <c r="B3" i="21"/>
  <c r="A3" i="21"/>
  <c r="B9" i="20"/>
  <c r="B8" i="20"/>
  <c r="B7" i="20"/>
  <c r="C17" i="19"/>
  <c r="C16" i="19"/>
  <c r="C15" i="19"/>
  <c r="C12" i="19"/>
  <c r="B12" i="19"/>
  <c r="A12" i="19"/>
  <c r="B9" i="19"/>
  <c r="A9" i="19"/>
  <c r="B8" i="19"/>
  <c r="A8" i="19"/>
  <c r="B7" i="19"/>
  <c r="A7" i="19"/>
  <c r="B6" i="19"/>
  <c r="A6" i="19"/>
  <c r="C14" i="19" s="1"/>
  <c r="B5" i="19"/>
  <c r="A5" i="19"/>
  <c r="C13" i="19" s="1"/>
  <c r="B4" i="19"/>
  <c r="A4" i="19"/>
  <c r="B3" i="19"/>
  <c r="A3" i="19"/>
  <c r="F6" i="18"/>
  <c r="L6" i="18" s="1"/>
  <c r="B6" i="30" s="1"/>
  <c r="F5" i="18"/>
  <c r="L5" i="18" s="1"/>
  <c r="C18" i="17"/>
  <c r="B15" i="17"/>
  <c r="A15" i="17"/>
  <c r="B12" i="17"/>
  <c r="A12" i="17"/>
  <c r="B11" i="17"/>
  <c r="A11" i="17"/>
  <c r="B10" i="17"/>
  <c r="A10" i="17"/>
  <c r="B9" i="17"/>
  <c r="A9" i="17"/>
  <c r="B8" i="17"/>
  <c r="A8" i="17"/>
  <c r="C15" i="17" s="1"/>
  <c r="B7" i="17"/>
  <c r="A7" i="17"/>
  <c r="B6" i="17"/>
  <c r="A6" i="17"/>
  <c r="B5" i="17"/>
  <c r="A5" i="17"/>
  <c r="B4" i="17"/>
  <c r="A4" i="17"/>
  <c r="B3" i="17"/>
  <c r="A3" i="17"/>
  <c r="K7" i="16"/>
  <c r="B7" i="24" s="1"/>
  <c r="F7" i="16"/>
  <c r="F6" i="16"/>
  <c r="K6" i="16" s="1"/>
  <c r="B6" i="24" s="1"/>
  <c r="F5" i="16"/>
  <c r="K5" i="16" s="1"/>
  <c r="B5" i="24" s="1"/>
  <c r="F4" i="16"/>
  <c r="K4" i="16" s="1"/>
  <c r="B4" i="24" s="1"/>
  <c r="B15" i="15"/>
  <c r="A15" i="15"/>
  <c r="B12" i="15"/>
  <c r="A12" i="15"/>
  <c r="B11" i="15"/>
  <c r="A11" i="15"/>
  <c r="B10" i="15"/>
  <c r="A10" i="15"/>
  <c r="B9" i="15"/>
  <c r="A9" i="15"/>
  <c r="C16" i="15" s="1"/>
  <c r="B8" i="15"/>
  <c r="A8" i="15"/>
  <c r="C15" i="15" s="1"/>
  <c r="B7" i="15"/>
  <c r="A7" i="15"/>
  <c r="B6" i="15"/>
  <c r="A6" i="15"/>
  <c r="B5" i="15"/>
  <c r="A5" i="15"/>
  <c r="B4" i="15"/>
  <c r="A4" i="15"/>
  <c r="B3" i="15"/>
  <c r="A3" i="15"/>
  <c r="D5" i="14"/>
  <c r="C6" i="34" s="1"/>
  <c r="D4" i="14"/>
  <c r="C4" i="34" s="1"/>
  <c r="B8" i="13"/>
  <c r="A8" i="13"/>
  <c r="B5" i="13"/>
  <c r="A5" i="13"/>
  <c r="B4" i="13"/>
  <c r="A4" i="13"/>
  <c r="B3" i="13"/>
  <c r="A3" i="13"/>
  <c r="C7" i="12"/>
  <c r="F7" i="18" s="1"/>
  <c r="L7" i="18" s="1"/>
  <c r="C6" i="12"/>
  <c r="F8" i="16" s="1"/>
  <c r="K8" i="16" s="1"/>
  <c r="C5" i="12"/>
  <c r="C4" i="12"/>
  <c r="F4" i="18" s="1"/>
  <c r="L4" i="18" s="1"/>
  <c r="B7" i="11"/>
  <c r="A7" i="11"/>
  <c r="B4" i="11"/>
  <c r="A4" i="11"/>
  <c r="B3" i="11"/>
  <c r="A3" i="11"/>
  <c r="B12" i="9"/>
  <c r="A12" i="9"/>
  <c r="B11" i="9"/>
  <c r="A11" i="9"/>
  <c r="B10" i="9"/>
  <c r="A10" i="9"/>
  <c r="B9" i="9"/>
  <c r="A9" i="9"/>
  <c r="B8" i="9"/>
  <c r="A8" i="9"/>
  <c r="B7" i="9"/>
  <c r="A7" i="9"/>
  <c r="B6" i="9"/>
  <c r="A6" i="9"/>
  <c r="B5" i="9"/>
  <c r="A5" i="9"/>
  <c r="B4" i="9"/>
  <c r="A4" i="9"/>
  <c r="B3" i="9"/>
  <c r="A3" i="9"/>
  <c r="F7" i="8"/>
  <c r="F6" i="8"/>
  <c r="F5" i="8"/>
  <c r="F4" i="8"/>
  <c r="C10" i="7"/>
  <c r="B10" i="7"/>
  <c r="A10" i="7"/>
  <c r="B7" i="7"/>
  <c r="A7" i="7"/>
  <c r="B6" i="7"/>
  <c r="A6" i="7"/>
  <c r="B5" i="7"/>
  <c r="A5" i="7"/>
  <c r="B4" i="7"/>
  <c r="A4" i="7"/>
  <c r="B3" i="7"/>
  <c r="A3" i="7"/>
  <c r="D11" i="6"/>
  <c r="D10" i="6"/>
  <c r="E7" i="30" s="1"/>
  <c r="D9" i="6"/>
  <c r="E8" i="30" s="1"/>
  <c r="D8" i="6"/>
  <c r="E6" i="30" s="1"/>
  <c r="D7" i="6"/>
  <c r="D6" i="6"/>
  <c r="D5" i="6"/>
  <c r="E9" i="30" s="1"/>
  <c r="D4" i="6"/>
  <c r="B8" i="5"/>
  <c r="A8" i="5"/>
  <c r="B5" i="5"/>
  <c r="A5" i="5"/>
  <c r="B4" i="5"/>
  <c r="A4" i="5"/>
  <c r="B3" i="5"/>
  <c r="A3" i="5"/>
  <c r="C11" i="4"/>
  <c r="B10" i="20" s="1"/>
  <c r="C10" i="4"/>
  <c r="C9" i="4"/>
  <c r="C8" i="4"/>
  <c r="C7" i="4"/>
  <c r="C6" i="4"/>
  <c r="B6" i="20" s="1"/>
  <c r="C5" i="4"/>
  <c r="B5" i="20" s="1"/>
  <c r="C4" i="4"/>
  <c r="B4" i="20" s="1"/>
  <c r="H4" i="20" s="1"/>
  <c r="C4" i="24" s="1"/>
  <c r="B7" i="3"/>
  <c r="A7" i="3"/>
  <c r="B4" i="3"/>
  <c r="A4" i="3"/>
  <c r="B3" i="3"/>
  <c r="A3" i="3"/>
  <c r="B12" i="31"/>
  <c r="A12" i="31"/>
  <c r="B9" i="31"/>
  <c r="A9" i="31"/>
  <c r="B8" i="31"/>
  <c r="A8" i="31"/>
  <c r="B7" i="31"/>
  <c r="A7" i="31"/>
  <c r="B6" i="31"/>
  <c r="A6" i="31"/>
  <c r="B5" i="31"/>
  <c r="A5" i="31"/>
  <c r="C13" i="31" s="1"/>
  <c r="B4" i="31"/>
  <c r="A4" i="31"/>
  <c r="C12" i="31" s="1"/>
  <c r="B3" i="31"/>
  <c r="A3" i="31"/>
  <c r="C8" i="24" l="1"/>
  <c r="C7" i="24"/>
  <c r="I7" i="24"/>
  <c r="B8" i="26" s="1"/>
  <c r="E8" i="26" s="1"/>
  <c r="B8" i="28" s="1"/>
  <c r="F8" i="28" s="1"/>
  <c r="I5" i="24"/>
  <c r="B11" i="26" s="1"/>
  <c r="E11" i="26" s="1"/>
  <c r="C6" i="24"/>
  <c r="C5" i="24"/>
  <c r="I6" i="24"/>
  <c r="B7" i="30"/>
  <c r="B8" i="30"/>
  <c r="B13" i="30"/>
  <c r="B5" i="30"/>
  <c r="C8" i="32"/>
  <c r="C14" i="32"/>
  <c r="C13" i="32"/>
  <c r="C6" i="32"/>
  <c r="C12" i="32"/>
  <c r="C10" i="32"/>
  <c r="C4" i="32"/>
  <c r="C7" i="32"/>
  <c r="C9" i="32"/>
  <c r="C5" i="32"/>
  <c r="C11" i="32"/>
  <c r="I8" i="24"/>
  <c r="B7" i="26" s="1"/>
  <c r="E7" i="26" s="1"/>
  <c r="B4" i="30"/>
  <c r="B9" i="30"/>
  <c r="I4" i="24"/>
  <c r="C7" i="34"/>
  <c r="E13" i="30"/>
  <c r="C5" i="34"/>
  <c r="E12" i="30"/>
  <c r="F8" i="18"/>
  <c r="L8" i="18" s="1"/>
  <c r="E11" i="30"/>
  <c r="E10" i="30"/>
  <c r="C8" i="34"/>
  <c r="B5" i="26" l="1"/>
  <c r="E5" i="26" s="1"/>
  <c r="B5" i="28" s="1"/>
  <c r="F5" i="28" s="1"/>
  <c r="C7" i="30"/>
  <c r="R7" i="30" s="1"/>
  <c r="B5" i="34" s="1"/>
  <c r="H5" i="34" s="1"/>
  <c r="C5" i="30"/>
  <c r="R5" i="30" s="1"/>
  <c r="B11" i="28"/>
  <c r="F11" i="28" s="1"/>
  <c r="C11" i="30"/>
  <c r="R11" i="30" s="1"/>
  <c r="B10" i="26"/>
  <c r="E10" i="26" s="1"/>
  <c r="B4" i="26"/>
  <c r="E4" i="26" s="1"/>
  <c r="B10" i="30"/>
  <c r="B11" i="30"/>
  <c r="B12" i="30"/>
  <c r="B7" i="28"/>
  <c r="F7" i="28" s="1"/>
  <c r="C9" i="30"/>
  <c r="R9" i="30" s="1"/>
  <c r="B12" i="26"/>
  <c r="E12" i="26" s="1"/>
  <c r="B6" i="26"/>
  <c r="E6" i="26" s="1"/>
  <c r="B9" i="26"/>
  <c r="E9" i="26" s="1"/>
  <c r="B7" i="32" l="1"/>
  <c r="H7" i="32" s="1"/>
  <c r="B9" i="32"/>
  <c r="H9" i="32" s="1"/>
  <c r="C8" i="30"/>
  <c r="R8" i="30" s="1"/>
  <c r="B9" i="28"/>
  <c r="F9" i="28" s="1"/>
  <c r="B4" i="28"/>
  <c r="F4" i="28" s="1"/>
  <c r="C4" i="30"/>
  <c r="R4" i="30" s="1"/>
  <c r="B10" i="28"/>
  <c r="F10" i="28" s="1"/>
  <c r="C10" i="30"/>
  <c r="R10" i="30" s="1"/>
  <c r="B12" i="28"/>
  <c r="F12" i="28" s="1"/>
  <c r="C12" i="30"/>
  <c r="R12" i="30" s="1"/>
  <c r="B7" i="34"/>
  <c r="H7" i="34" s="1"/>
  <c r="B11" i="32"/>
  <c r="H11" i="32" s="1"/>
  <c r="B6" i="28"/>
  <c r="F6" i="28" s="1"/>
  <c r="C13" i="30"/>
  <c r="R13" i="30" s="1"/>
  <c r="C6" i="30"/>
  <c r="R6" i="30" s="1"/>
  <c r="B5" i="32"/>
  <c r="H5" i="32" s="1"/>
  <c r="B12" i="32" l="1"/>
  <c r="H12" i="32" s="1"/>
  <c r="B8" i="34"/>
  <c r="H8" i="34" s="1"/>
  <c r="B4" i="34"/>
  <c r="H4" i="34" s="1"/>
  <c r="B6" i="32"/>
  <c r="H6" i="32" s="1"/>
  <c r="B8" i="32"/>
  <c r="H8" i="32" s="1"/>
  <c r="B14" i="32"/>
  <c r="H14" i="32" s="1"/>
  <c r="B13" i="32"/>
  <c r="H13" i="32" s="1"/>
  <c r="B4" i="32"/>
  <c r="L12" i="30" s="1"/>
  <c r="M10" i="30"/>
  <c r="G10" i="30" s="1"/>
  <c r="E6" i="34" s="1"/>
  <c r="B6" i="34"/>
  <c r="H6" i="34" s="1"/>
  <c r="B10" i="32"/>
  <c r="H10" i="32" s="1"/>
  <c r="Q8" i="30" l="1"/>
  <c r="M6" i="30"/>
  <c r="G6" i="30" s="1"/>
  <c r="Q6" i="30"/>
  <c r="L13" i="30"/>
  <c r="M4" i="30"/>
  <c r="G4" i="30" s="1"/>
  <c r="M13" i="30"/>
  <c r="G13" i="30" s="1"/>
  <c r="Q12" i="30"/>
  <c r="D8" i="34" s="1"/>
  <c r="L10" i="30"/>
  <c r="Q13" i="30"/>
  <c r="L6" i="30"/>
  <c r="Q10" i="30"/>
  <c r="D6" i="34" s="1"/>
  <c r="H4" i="32"/>
  <c r="M7" i="30"/>
  <c r="G7" i="30" s="1"/>
  <c r="E5" i="34" s="1"/>
  <c r="L7" i="30"/>
  <c r="Q7" i="30"/>
  <c r="D5" i="34" s="1"/>
  <c r="L9" i="30"/>
  <c r="M11" i="30"/>
  <c r="G11" i="30" s="1"/>
  <c r="E7" i="34" s="1"/>
  <c r="L11" i="30"/>
  <c r="Q9" i="30"/>
  <c r="Q11" i="30"/>
  <c r="D7" i="34" s="1"/>
  <c r="L5" i="30"/>
  <c r="M9" i="30"/>
  <c r="G9" i="30" s="1"/>
  <c r="M5" i="30"/>
  <c r="G5" i="30" s="1"/>
  <c r="Q5" i="30"/>
  <c r="Q4" i="30"/>
  <c r="L8" i="30"/>
  <c r="L4" i="30"/>
  <c r="M8" i="30"/>
  <c r="G8" i="30" s="1"/>
  <c r="M12" i="30"/>
  <c r="G12" i="30" s="1"/>
  <c r="E8" i="34" s="1"/>
</calcChain>
</file>

<file path=xl/sharedStrings.xml><?xml version="1.0" encoding="utf-8"?>
<sst xmlns="http://schemas.openxmlformats.org/spreadsheetml/2006/main" count="2924" uniqueCount="404">
  <si>
    <t>Ir a objetos de dominio &gt;&gt;&gt;&gt;</t>
  </si>
  <si>
    <t>&lt;&lt;&lt;&lt; Ir al modulo de dominio</t>
  </si>
  <si>
    <t>Nombre</t>
  </si>
  <si>
    <t>Descripcion</t>
  </si>
  <si>
    <t>Linea de vida</t>
  </si>
  <si>
    <t>Muestreo</t>
  </si>
  <si>
    <t>Caracterización</t>
  </si>
  <si>
    <t>DiaSemana</t>
  </si>
  <si>
    <t>Representa cada uno de los días de la semana, incluyendo festivo, que se usa como catálogo para definir los horarios de la barbería y de cada barbero</t>
  </si>
  <si>
    <t>Ir al muestreo</t>
  </si>
  <si>
    <t>Ir a la caracterización</t>
  </si>
  <si>
    <t>Estado</t>
  </si>
  <si>
    <t>Representa en qué situación puntual se encuentra una cita: agendada, finalizada, cancelada por alguna de las partes, con tardanza del cliente o del barbero, o con inasistencia del cliente</t>
  </si>
  <si>
    <t>Servicio</t>
  </si>
  <si>
    <t>Representa cada tipo de corte o arreglo que ofrece la barbería, definido por el dueño, para que luego cada barbero decida cuáles sabe hacer</t>
  </si>
  <si>
    <t>Regla</t>
  </si>
  <si>
    <t>Representa las políticas de la barbería frente al incumplimiento de clientes y barberos: tolerancias de tardanza, monto de la multa fija, número máximo de multas sin pagar antes del veto, y el descuento que se da cuando el barbero se demora</t>
  </si>
  <si>
    <t>PrefijoCelular</t>
  </si>
  <si>
    <t>Representa el catálogo de prefijos telefónicos de país disponibles para el número de celular de barberos y clientes</t>
  </si>
  <si>
    <t>TipoMulta</t>
  </si>
  <si>
    <t>Representa los tipos de multa que puede recibir un cliente: por tardanza o por inasistencia</t>
  </si>
  <si>
    <t>Barbero</t>
  </si>
  <si>
    <t>Representa a un trabajador de la barbería que atiende clientes según los servicios que sabe realizar, organiza su propio horario y tiene su agenda personal</t>
  </si>
  <si>
    <t>Cliente</t>
  </si>
  <si>
    <t>Representa a la persona que solicita citas en la barbería con un barbero. Guarda su historial de multas sin pagar para saber si está o no vetado</t>
  </si>
  <si>
    <t>HorarioBarberia</t>
  </si>
  <si>
    <t>Representa, día por día, a qué hora abre y cierra el negocio; es el límite dentro del cual debe caber el horario de cualquier barbero</t>
  </si>
  <si>
    <t>BarberoServicio</t>
  </si>
  <si>
    <t>Representa qué servicios sabe hacer cada barbero, cuánto se demora en realizarlos y cuánto tiempo extra usa de colchón, ya que no todos los barberos ofrecen los mismos servicios</t>
  </si>
  <si>
    <t>HorarioBarbero</t>
  </si>
  <si>
    <t>Representa el día de la semana en que trabaja un barbero, junto con la hora en la que empieza y termina su jornada</t>
  </si>
  <si>
    <t>Agenda</t>
  </si>
  <si>
    <t>Representa un día puntual del calendario en el que un barbero, según su horario de trabajo, va a recibir citas. Es donde se agrupan todas las citas de ese barbero para ese día</t>
  </si>
  <si>
    <t>Bloqueo</t>
  </si>
  <si>
    <t>Representa una parte de la agenda, en donde el barbero no puede trabajar en un momento dado, debido algún compromiso o inveniente que se le presento</t>
  </si>
  <si>
    <t>Cita</t>
  </si>
  <si>
    <t>Representa la reserva de un cliente con un barbero para un día y hora puntual, con los servicios pedidos, su estado, y lo que realmente ocurrió (llegada, atención, tardanzas)</t>
  </si>
  <si>
    <t>CitaServicio</t>
  </si>
  <si>
    <t>Representa cada servicio incluido dentro de una cita puntual, guardando el precio y la duración que tenía ese servicio para ese barbero en el momento exacto en que se agendó, para que cambios futuros en el catálogo no alteren citas ya registradas</t>
  </si>
  <si>
    <t>Multa</t>
  </si>
  <si>
    <t>Representa la sanción económica que se le impone a un cliente por incumplir una cita, ya sea por llegar tarde fuera de tolerancia o por no presentarse, calculada a partir de la cita específica que la originó</t>
  </si>
  <si>
    <t>&lt;&lt;&lt;&lt; Ir a objetos de dominio</t>
  </si>
  <si>
    <t>Nombre atributo</t>
  </si>
  <si>
    <t>Descripción atributo</t>
  </si>
  <si>
    <t>Identificador del objeto de dominio</t>
  </si>
  <si>
    <t>Tipo de dato</t>
  </si>
  <si>
    <t>Obligatorio</t>
  </si>
  <si>
    <t>Longitud mínima (si aplica)</t>
  </si>
  <si>
    <t>Longitud máxima (si aplica)</t>
  </si>
  <si>
    <t>Precisión (si aplica)</t>
  </si>
  <si>
    <t>Rendondeo (si aplica)</t>
  </si>
  <si>
    <t>Rango inicial (si aplica)</t>
  </si>
  <si>
    <t>Rango final (si aplica)</t>
  </si>
  <si>
    <t>Formato (si aplica)</t>
  </si>
  <si>
    <t>Reglas especiales (si aplica)</t>
  </si>
  <si>
    <t>Dato calculado</t>
  </si>
  <si>
    <t>Aplica ajuste del dato (si aplica)</t>
  </si>
  <si>
    <t>Carácter de ajuste (si aplica)</t>
  </si>
  <si>
    <t>Quitar espacios en blanco al inicio (si aplica)</t>
  </si>
  <si>
    <t>Quitar espacios en blanco al fin (si aplica)</t>
  </si>
  <si>
    <t>Dato sensible (si aplica)</t>
  </si>
  <si>
    <t>Valor por defecto (si aplica)</t>
  </si>
  <si>
    <t>Auto generado</t>
  </si>
  <si>
    <t>Si</t>
  </si>
  <si>
    <t>Identificador único universal</t>
  </si>
  <si>
    <t>No aplica</t>
  </si>
  <si>
    <t>No</t>
  </si>
  <si>
    <t>UUID vacio</t>
  </si>
  <si>
    <t>Alfanumérico</t>
  </si>
  <si>
    <t>Solo pueden ser los dias de la semana como Lunes, Martes, Miércoles, Jueves, Viernes, Sábado, Domingo y Festivo</t>
  </si>
  <si>
    <t>Vacio</t>
  </si>
  <si>
    <t>Nombre combinación única</t>
  </si>
  <si>
    <t>Descripción</t>
  </si>
  <si>
    <t>Atributos involucrados</t>
  </si>
  <si>
    <t>nombre</t>
  </si>
  <si>
    <t>Representa un identificador que hará unico cada objeto de dominio de este tipo, no se puede repetir</t>
  </si>
  <si>
    <t>Representa como se llama el dia de la semana, para los horarios</t>
  </si>
  <si>
    <t>Combinacion única que indica que no puede existir más un dia de la semana con el mismo nombre</t>
  </si>
  <si>
    <t>id</t>
  </si>
  <si>
    <t xml:space="preserve">Combinación única </t>
  </si>
  <si>
    <t>Lunes</t>
  </si>
  <si>
    <t>Martes</t>
  </si>
  <si>
    <t>Miércoles</t>
  </si>
  <si>
    <t>Jueves</t>
  </si>
  <si>
    <t>Viernes</t>
  </si>
  <si>
    <t>Sábado</t>
  </si>
  <si>
    <t>Domingo</t>
  </si>
  <si>
    <t>Festivo</t>
  </si>
  <si>
    <t>Corresponde a la descripcion de los atributos</t>
  </si>
  <si>
    <t>Corresponde al identificador unico del objeto de dominio</t>
  </si>
  <si>
    <t>Corresponde a los datos de tipo alfanumerico</t>
  </si>
  <si>
    <t>Corresponde a la combinacion única</t>
  </si>
  <si>
    <t>Solo se aceptan caracteres de letras de la 'a' a la 'z' y caracteres con tilde</t>
  </si>
  <si>
    <t>Solo se aceptan caracteres de letras de la 'a' a la 'z', caracteres con tilde y espacios en blanco</t>
  </si>
  <si>
    <t>Representa como se llama el estado en el que se encuentra una cita puntual</t>
  </si>
  <si>
    <t>Representa el significado de que representa cada estado para la cita</t>
  </si>
  <si>
    <t>descripcion</t>
  </si>
  <si>
    <t>Agendada</t>
  </si>
  <si>
    <t>La cita quedó registrada en la agenda del barbero y está a la espera de la fecha y hora acordadas.</t>
  </si>
  <si>
    <t>Finalizada</t>
  </si>
  <si>
    <t>El barbero atendió al cliente y el servicio contratado se prestó por completo.</t>
  </si>
  <si>
    <t>Cancelada por el cliente</t>
  </si>
  <si>
    <t>El cliente decidió no asistir y anuló la cita antes de la fecha y hora programada.</t>
  </si>
  <si>
    <t>Cancelada por el barbero</t>
  </si>
  <si>
    <t>El barbero anuló la cita antes de la fecha y hora programada, por ejemplo por una eventualidad.</t>
  </si>
  <si>
    <t>El cliente se demoro</t>
  </si>
  <si>
    <t>El cliente llegó después de la hora acordada superando la toleranciaTardanzaCliente definida en Regla, lo que genera una multa.</t>
  </si>
  <si>
    <t>El barbero se demoro</t>
  </si>
  <si>
    <t>El barbero se demoró más de lo previsto en una cita anterior y no pudo atender al cliente a la hora acordada, dándole un descuento en compensación según Regla.</t>
  </si>
  <si>
    <t>Inasistencia del cliente</t>
  </si>
  <si>
    <t>El cliente nunca llegó a la cita: se alcanzó la hora estimada de finalización sin registrar su llegada, lo que genera una multa por el valor total de los servicios pedidos.</t>
  </si>
  <si>
    <t>Inasistencia del barbero</t>
  </si>
  <si>
    <t>El barbero nunca inició la atención de la cita: se alcanzó la hora estimada de finalización sin que el barbero hubiera atendido al cliente, lo que da lugar a un descuento en la próxima cita del cliente como compensación.</t>
  </si>
  <si>
    <t>Entero</t>
  </si>
  <si>
    <t>Lógico</t>
  </si>
  <si>
    <t>Representa el nombre del servicio que va estar en la barberia, para que el barbero elija los servicios que el sabe hacer</t>
  </si>
  <si>
    <t>Representa una descripcion de que va a hacer cada servicio en la barberia, para que el barbero sepa que hace el servicio</t>
  </si>
  <si>
    <t>Representa cuanto va a valer el servicio en pesos colombianos</t>
  </si>
  <si>
    <t>Representa si el servicio sigue o no disponible en la barberia</t>
  </si>
  <si>
    <t>Combinacion única que indica que no puede existir más de un servicio con el mismo nombre</t>
  </si>
  <si>
    <t>precio</t>
  </si>
  <si>
    <t>disponible</t>
  </si>
  <si>
    <t xml:space="preserve">Combinacion única </t>
  </si>
  <si>
    <t>Motilada</t>
  </si>
  <si>
    <t>Corte de cabello completo con máquina y tijera, incluye lavado y secado</t>
  </si>
  <si>
    <t>si</t>
  </si>
  <si>
    <t>Corte de barba</t>
  </si>
  <si>
    <t>Recorte de la barba con máquina para dejarla pareja y a la medida que pide el cliente</t>
  </si>
  <si>
    <t>Perfilada de barba</t>
  </si>
  <si>
    <t>Delineado de los bordes de la barba y el bigote con navaja, sin recortar el largo</t>
  </si>
  <si>
    <t>Arreglo completo de barba con toalla caliente</t>
  </si>
  <si>
    <t>Recorte, perfilado con navaja, toalla caliente, exfoliación y aceite para la barba</t>
  </si>
  <si>
    <t>Corresponde a los datos de referencia de otros objetos de dominio</t>
  </si>
  <si>
    <t>Corresponde a los datos de tipo entero</t>
  </si>
  <si>
    <t>Corresponde a los datos de tipo logico</t>
  </si>
  <si>
    <t>Representa la cantidad de minutos maxima que un cliente puede llegar tarde</t>
  </si>
  <si>
    <t>Representa la cantidad de dinero que el cliente debe de pagar en pesos colombianos, por superar la toleranciaTardanza</t>
  </si>
  <si>
    <t>Representa la maxima de multas que pueda tener un cliente sin pagar, a partir de esta cantidad se le hace un veto al cliente</t>
  </si>
  <si>
    <t>Representa la cantidad de minutos que un barbero puede demorarse en atender a un cliente, en caso de que el barbero se demore mas de lo previsto en su cita anterior</t>
  </si>
  <si>
    <t>Representa la cantidad cuanto descuento va a tener un cliente en la cita con el barbero, como recompesa por esperar al barbero mas de la tolerancia permitida</t>
  </si>
  <si>
    <t>Representa la parte en horas del tiempo mínimo de anticipación con el que un barbero pueda cancelar una cita con el cliente. El barbero no podrá cancelar la cita cuando falte menos del tiempo indicado</t>
  </si>
  <si>
    <t>Representa la parte en minutos del tiempo mínimo de anticipación con el que un barbero puede cancelar una cita con el cliente. El barbero no podrá cancelar la cita cuando falte menos del tiempo indicado</t>
  </si>
  <si>
    <t>Representa la parte en horas del tiempo mínimo de anticipación con el que un cliente puede cancelar una cita con el barbero. El cliente no podrá cancelar la cita cuando falte menos del tiempo indicado</t>
  </si>
  <si>
    <t>Representa la parte en minutos del tiempo mínimo de anticipación con el que un cliente puede cancelar una cita con el barbero. El cliente no podrá cancelar la cita cuando falte menos del tiempo indicado</t>
  </si>
  <si>
    <t>toleranciaTardanzaCliente</t>
  </si>
  <si>
    <t>montoMultaTardanzaCliente</t>
  </si>
  <si>
    <t>numeroMultasMaxima</t>
  </si>
  <si>
    <t>toleranciaTardanzaBarbero</t>
  </si>
  <si>
    <t>porcentajeDescuentoCita</t>
  </si>
  <si>
    <t>tiempoEnHorasAnticipacionDelBarberoParaCancelarUnaCita</t>
  </si>
  <si>
    <t>tiempoEnMinutosAnticipacionDelBarberoParaCancelarUnaCita</t>
  </si>
  <si>
    <t>tiempoEnHorasAnticipacionDelClienteParaCancelarUnaCita</t>
  </si>
  <si>
    <t>tiempoEnMinutosAnticipacionDelClienteParaCancelarUnaCita</t>
  </si>
  <si>
    <t>Simbolo + seguido de un número. Por ejemplo +57. Tambien el anterior puede ser seguido de un - y un numero. Por ejemplo +1-809</t>
  </si>
  <si>
    <t>Solo se aceptan caracteres numericos del 0 al 9 y el carácter '+' y '-'</t>
  </si>
  <si>
    <t>+0</t>
  </si>
  <si>
    <t>prefijo</t>
  </si>
  <si>
    <t>Representa el primer nombre del barbero que trabaja en barbería</t>
  </si>
  <si>
    <t>Combinacion única que indica que no puede existir más un mismo prefijo</t>
  </si>
  <si>
    <t>+57</t>
  </si>
  <si>
    <t>+91</t>
  </si>
  <si>
    <t>+593</t>
  </si>
  <si>
    <t>+58</t>
  </si>
  <si>
    <t>Representa el nombre del tipo de multa</t>
  </si>
  <si>
    <t>Representa que hace cada tipo de multa</t>
  </si>
  <si>
    <t xml:space="preserve">Combinación única indica que no puede existir más de un tipo de multa con el mismo nombre </t>
  </si>
  <si>
    <t>Combinación única</t>
  </si>
  <si>
    <t>Tardanza</t>
  </si>
  <si>
    <t>El cliente llegó a la cita después de la hora acordada, superando los minutos de toleranciaTardanzaCliente definidos en Regla.</t>
  </si>
  <si>
    <t>Inasistencia</t>
  </si>
  <si>
    <t>El cliente no se presentó a la cita agendada: se llegó a la hora estimada de finalización sin que hubiera registrado su llegada.</t>
  </si>
  <si>
    <t>Corresponde a los datos de tipo texto</t>
  </si>
  <si>
    <t xml:space="preserve">Solo se aceptan caracteres de letras de la 'a' a la 'z', caracteres con tilde y numeros del 0 al 9 </t>
  </si>
  <si>
    <t>vacío</t>
  </si>
  <si>
    <t>Solo se aceptan caracteres de letras de la 'a' a la 'z', caracteres con tilde y numeros del 0 al 9</t>
  </si>
  <si>
    <t>Número telefónico, sin el prefijo de país</t>
  </si>
  <si>
    <t>0</t>
  </si>
  <si>
    <t>Horas</t>
  </si>
  <si>
    <t>Minutos</t>
  </si>
  <si>
    <t>Representa el segundo nombre del barbero que trabaja en barbería</t>
  </si>
  <si>
    <t>Representa el primer apellido del barbero que trabaja en la barbería</t>
  </si>
  <si>
    <t>Representa el segundo apellido del barbero que trabaja en la barbería</t>
  </si>
  <si>
    <t>Representa cual es el prefijo del numero de celular del barbero</t>
  </si>
  <si>
    <t>Representa el número de celular del barbero, es el dato que el cliente necesita en caso de que tenga que contactarse con el</t>
  </si>
  <si>
    <t>Representa si el barbero sigue o no trabajando en la barberia</t>
  </si>
  <si>
    <t>Representa la parte en horas del tiempo mínimo de anticipación con el que un cliente debe pedirle una cita a este barbero. Junto con anticipacionEnMinutosParaAgendarCita forma el tiempo total de anticipación que exige el barbero</t>
  </si>
  <si>
    <t>Representa la parte en minutos del tiempo mínimo de anticipación con el que un cliente debe pedirle una cita a este barbero. Junto con anticipacionEnHorasParaAgendarCita forma el tiempo total de anticipación que exige el barbero</t>
  </si>
  <si>
    <t>Combinacion única que indica que no puede existir más de un barbero con el mismo prefijo de celular y número de celular</t>
  </si>
  <si>
    <t>primerNombre</t>
  </si>
  <si>
    <t>segundoNombre</t>
  </si>
  <si>
    <t>primerApellido</t>
  </si>
  <si>
    <t>segundoApellido</t>
  </si>
  <si>
    <t>celular</t>
  </si>
  <si>
    <t>vigente</t>
  </si>
  <si>
    <t>anticipacionEnHorasParaAgendarCita</t>
  </si>
  <si>
    <t>anticipacionEnMinutosParaAgendarCita</t>
  </si>
  <si>
    <t>Combinación única  1</t>
  </si>
  <si>
    <t>Juan</t>
  </si>
  <si>
    <t>Fernando</t>
  </si>
  <si>
    <t>García</t>
  </si>
  <si>
    <t>Lopez</t>
  </si>
  <si>
    <t>David</t>
  </si>
  <si>
    <t>Ortiz</t>
  </si>
  <si>
    <t>Sanchez</t>
  </si>
  <si>
    <t>Carlos</t>
  </si>
  <si>
    <t>Arbeladez</t>
  </si>
  <si>
    <t>Andres</t>
  </si>
  <si>
    <t>Ramirez</t>
  </si>
  <si>
    <t>Patiño</t>
  </si>
  <si>
    <t>no</t>
  </si>
  <si>
    <t>Zambrano</t>
  </si>
  <si>
    <t>Perez</t>
  </si>
  <si>
    <t>Corresponde a referencias de objetos de dominio</t>
  </si>
  <si>
    <t>Corresponde a los datos de tipo lógico</t>
  </si>
  <si>
    <t>Corresponde a la combinacion única 1</t>
  </si>
  <si>
    <t>El mismo formato del objeto referenciado</t>
  </si>
  <si>
    <t>Aplican las reglas del objeto referenciado</t>
  </si>
  <si>
    <t xml:space="preserve">Deben de ser solo números que cumplan un número de teléfono válido </t>
  </si>
  <si>
    <t>Se calcula contando las Multa del cliente donde pagada='no'</t>
  </si>
  <si>
    <t>Se calcula comparando multasSinPagar contra Regla.numeroMultasMaxima; si multasSinPagar alcanza ese máximo, el cliente queda vetado</t>
  </si>
  <si>
    <t>Se calcula contando cuántas citas con inasistencia del barbero ha tenido el cliente</t>
  </si>
  <si>
    <t>Representa el primer nombre de la persona, que va a estar llendo a la barberia para las citas</t>
  </si>
  <si>
    <t>Representa el segundo nombre de la persona, que va a estar llendo a la barberia para las citas</t>
  </si>
  <si>
    <t>Representa el primer apellido de la persona, que va a estar llendo a la barberia para las citas</t>
  </si>
  <si>
    <t>Representa el segundo apellido de la persona, que va a estar llendo a la barberia para las citas</t>
  </si>
  <si>
    <t>Representa cual es el prefijo del numero de celular del cliente</t>
  </si>
  <si>
    <t>Representa el numero de celular del cliente, es el dato que el barbero necesita en caso de que tenga que contactarse con el</t>
  </si>
  <si>
    <t>Representa si el numero que ingreso el cliente es correcto o no</t>
  </si>
  <si>
    <t>Representa la cantidad de multas que tiene sin pagar en las citas que ha tenido, ya sea multa por tardanza o por no llegar</t>
  </si>
  <si>
    <t>Representa si el cliente esta en estado de veto o no, cuando el cliente esta vetado el sistema no va a permitir agendar citas con este cliente con ningun barbero</t>
  </si>
  <si>
    <t>Representa la cantidad de citas que un cliente va a tener con descuento, cada inasistencia que un barbero le haga al cliente se le suma un descuento a la proxima cita</t>
  </si>
  <si>
    <t>Combinacion única que indica que no puede existir más de un cliente con el mismo prefijo de celular y número de celular</t>
  </si>
  <si>
    <t>prefijoCelular</t>
  </si>
  <si>
    <t>elNumeroCelularEsCorrecto</t>
  </si>
  <si>
    <t>multasSinPagar</t>
  </si>
  <si>
    <t>estaVetado</t>
  </si>
  <si>
    <t>cantidadDeDescuentoCitas</t>
  </si>
  <si>
    <t>Gómez</t>
  </si>
  <si>
    <t>Jose</t>
  </si>
  <si>
    <t>Miguel</t>
  </si>
  <si>
    <t>Simon</t>
  </si>
  <si>
    <t>Ochoa</t>
  </si>
  <si>
    <t>Alexis</t>
  </si>
  <si>
    <t>Gallego</t>
  </si>
  <si>
    <t>Kevin</t>
  </si>
  <si>
    <t>Andrés</t>
  </si>
  <si>
    <t>Muñoz</t>
  </si>
  <si>
    <t>Salazar</t>
  </si>
  <si>
    <t>Corresponde a los datos calculados por el sistema</t>
  </si>
  <si>
    <t>Hora</t>
  </si>
  <si>
    <t>00:00</t>
  </si>
  <si>
    <t>Debe ser mayor a horaApertura</t>
  </si>
  <si>
    <t>Fecha</t>
  </si>
  <si>
    <t>1/01/1000</t>
  </si>
  <si>
    <t>Representa el día de la semana en el que la barberia abre</t>
  </si>
  <si>
    <t>Representa la hora a la que abre la barbería</t>
  </si>
  <si>
    <t>Representa la hora a la que cierra la barbería</t>
  </si>
  <si>
    <t>Representa la fecha en el que el dueño definio el horario de la barberia. Es un dato calculado que toma la fecha del sistema en ese momento</t>
  </si>
  <si>
    <t>Representa la fecha en la que este horario dejó de estar vigente, dueño. Es un dato calculado que toma la fecha del sistema en ese momento</t>
  </si>
  <si>
    <t>Representa si este horario lo sigue o no vigente en la barberia. Una vez que el dueño desactive el horario de la barberia, no se puede volver a cambiar</t>
  </si>
  <si>
    <t>Combinacion única que indica que no puede existir más de un horario con la misma barberia, dia de la semana, hora de apertura y cierre</t>
  </si>
  <si>
    <t>diaDeLaSemana</t>
  </si>
  <si>
    <t>horaApertura</t>
  </si>
  <si>
    <t>horaCierre</t>
  </si>
  <si>
    <t>fechaCreacion</t>
  </si>
  <si>
    <t>fechaDesactivacion</t>
  </si>
  <si>
    <t>Corresponde a los datos de tipo hora</t>
  </si>
  <si>
    <t>Corresponde a los datos tipo logico</t>
  </si>
  <si>
    <t>barbero</t>
  </si>
  <si>
    <t>servicio</t>
  </si>
  <si>
    <t>Representa el nombre y apellidos del barbero</t>
  </si>
  <si>
    <t xml:space="preserve">Representa el nombre del servicio de la barberia </t>
  </si>
  <si>
    <t>Representa la cantidad de horas que un barbero tarda en realizar un servicio, esta duracion el barbero debe de ser consiente de cuanto se demora en realizarlo</t>
  </si>
  <si>
    <t>Representa la cantidad de minutos que un barbero tarda en realizar un servicio, esta duracion el barbero debe de ser consiente de cuanto se demora en realizarlo</t>
  </si>
  <si>
    <t>Representa la cantidad de minutos que un barbero pone de tiempo extra en las citas de su agenda, cada barbero usa este tiempo porque hay ocaciones que la cita se puede demorar más de lo previsto. Este tiempo les ayuda a evitar que se les retrase la agenda</t>
  </si>
  <si>
    <t>Representa si el barbero sigue o no presentando el servicio en la barbería</t>
  </si>
  <si>
    <t>Combinación única que indica que un mismo barbero no puede aparecer dos veces ofreciendo el mismo servicio</t>
  </si>
  <si>
    <t>duracionEnHoras</t>
  </si>
  <si>
    <t>duracionEnMinutos</t>
  </si>
  <si>
    <t>tiempoExtra</t>
  </si>
  <si>
    <t>hh:mm</t>
  </si>
  <si>
    <t>Debe estar dentro del rango de horarioDeLaBarberia</t>
  </si>
  <si>
    <t>Debe ser mayor a horaInicio y estar dentro del rango de horarioDeLaBarberia</t>
  </si>
  <si>
    <t>dd/mm/aaaa</t>
  </si>
  <si>
    <t>Toma la fecha del sistema en el momento en que el barbero crea este horario</t>
  </si>
  <si>
    <t>01/01/1000</t>
  </si>
  <si>
    <t>Toma la fecha del sistema en el momento en que el barbero desactiva este horario. Su valor por defecto es 01/01/1000 mientras siga vigente</t>
  </si>
  <si>
    <t>Una vez se cambia a No, no puede volver a cambiar a Si</t>
  </si>
  <si>
    <t>Referencia a que barbero va a ser dueño de esta agenda</t>
  </si>
  <si>
    <t>Hace referencia a la agenda del barbero en la que queda guardado este horario de trabajo</t>
  </si>
  <si>
    <t>Representa la hora en la que el barbero empieza a estar disponible ese dia</t>
  </si>
  <si>
    <t>Representa la hora en la que el barbero deja de estar disponible ese día, junto con horaInicio, es lo que la aplicación usa para saber si hay campo para agendar una cita nueva.</t>
  </si>
  <si>
    <t>Representa la fecha en el que el barbero creo su horario. Es un dato calculado que toma la fecha de hoy cuando el barbero la crea</t>
  </si>
  <si>
    <t>Representa la fecha en la que este horario dejó de estar vigente, ya sea porque el barbero lo retiró o porque se desactivó el horario de la barbería del que depende. Es un dato calculado que toma la fecha del sistema en ese momento.</t>
  </si>
  <si>
    <t>Representa si este horario lo sigue o no usando el barbero. Una vez que el barbero cambie este estado a no vigente, no se puede volver a cambiar</t>
  </si>
  <si>
    <t>Combinación única que indica que un mismo barbero no puede tener dos horarios vigentes exactamente con el mismo día, hora de inicio y hora final. Un barbero sí puede tener varios horarios a lo largo del tiempo (por ejemplo cuando cambia de horario y el anterior queda no vigente)</t>
  </si>
  <si>
    <t>horarioDeLaBarberia</t>
  </si>
  <si>
    <t>horaInicio</t>
  </si>
  <si>
    <t>horaFinal</t>
  </si>
  <si>
    <t>Corresponde a los datos calculados</t>
  </si>
  <si>
    <t>Hace referencia al horario de trabajo del barbero (día de la semana, hora de inicio y hora final) al que pertenece esta agenda</t>
  </si>
  <si>
    <t>Representa la fecha específica en el que la agenda va a guardar las citas de ese barbero</t>
  </si>
  <si>
    <t>Representa si en la agenda del barbero, el barbero puede o no trabajar en una fecha en especifico</t>
  </si>
  <si>
    <t>Combinación única que indica que un mismo horario de barbero no puede tener más de una agenda para el mismo día</t>
  </si>
  <si>
    <t>horarioDelBarbero</t>
  </si>
  <si>
    <t>fecha</t>
  </si>
  <si>
    <t>estaDisponible</t>
  </si>
  <si>
    <t>Corresponde a los datos de tipo fecha</t>
  </si>
  <si>
    <t>Debe de estar dentro del horario del barbero</t>
  </si>
  <si>
    <t>Debe de estar dentro del horario del barbero y debe de ser mayor a horaInicio</t>
  </si>
  <si>
    <t>Referencia en cual agenda va a estar esta el bloqueo</t>
  </si>
  <si>
    <t>Representa la hora en el que el barbero empiza el bloqueo en su agenda</t>
  </si>
  <si>
    <t>Representa la hora en el que el barbero termina el bloqueo en su agenda</t>
  </si>
  <si>
    <t>Combinación única que indica que una misma agenda no puede tener dos bloqueos con la misma hora de inicio y hora de fin</t>
  </si>
  <si>
    <t>agenda</t>
  </si>
  <si>
    <t>horaFin</t>
  </si>
  <si>
    <t>motivo</t>
  </si>
  <si>
    <t>Se me presento un incomveniente, mas adelante estare disponible</t>
  </si>
  <si>
    <t>Cita médica</t>
  </si>
  <si>
    <t>Reunión familiar</t>
  </si>
  <si>
    <t>Mantenimiento de herramientas</t>
  </si>
  <si>
    <t>Imprevisto personal</t>
  </si>
  <si>
    <t>Se muestra el nombre completo del cliente, no una combinación única, únicamente para lectura humana en el muestreo</t>
  </si>
  <si>
    <t>Congela la Regla vigente al momento de agendar</t>
  </si>
  <si>
    <t>Debe de estar dentro del horario de trabajo del barbero</t>
  </si>
  <si>
    <t xml:space="preserve">horaInicio + duracion (en minutos) y debe de estar dentro del horario de trabajo del barbero </t>
  </si>
  <si>
    <t>Resulta de dividir entre 60 la suma de duracionServicio + tiempoExtra de todos los CitaServicio de esta cita (parte en horas)</t>
  </si>
  <si>
    <t>Resto en minutos de dividir entre 60 la suma de duracionServicio + tiempoExtra de todos los CitaServicio de esta cita (parte en minutos)</t>
  </si>
  <si>
    <t>Si horaLlegadaCliente es 00:00 (no ha llegado), 0. Si no, MAX(0, horaLlegadaCliente - horaInicio) en minutos</t>
  </si>
  <si>
    <t>Si horaInicioAtencion es 00:00 (no ha empezado), 0. Si no, MAX(0, horaInicioAtencion - MAX(horaLlegadaCliente, horaInicio)) en minutos</t>
  </si>
  <si>
    <t>Copia de Regla.porcentajeDescuentoCita, únicamente cuando minutosDemoraBarbero supera Regla.toleranciaTardanzaBarbero</t>
  </si>
  <si>
    <t>Suma de precioServicio de todos los CitaServicio de esta cita, menos el descuento (precioTotal * porcentajeDescuentoAplicado / 100)</t>
  </si>
  <si>
    <t>Representa a cuál cliente le pertenece esta cita</t>
  </si>
  <si>
    <t>Referencia en cual agenda va a estar esta cita</t>
  </si>
  <si>
    <t>Hace referencia a la Regla vigente de la barbería en el momento de agendar; de ahí salen las tolerancias, el monto de multa fija y el porcentaje de descuento que aplican a esta cita</t>
  </si>
  <si>
    <t>Representa en qué estado se encuentra esta cita puntual: agendada, finalizada, cancelada, con tardanza del cliente o del barbero, o inasistencia</t>
  </si>
  <si>
    <t>Representa la hora en la que se va a realizar la cita al cliente</t>
  </si>
  <si>
    <t>Representa la hora en la que se espera que termine la cita, sumando horaInicio más la duración total de los servicios pedidos. Es un dato calculado</t>
  </si>
  <si>
    <t>Representa la hora real en la que el cliente llegó a la barbería para esta cita. Su valor por defecto es 00:00 y es permitido: significa que el cliente aún no ha llegado</t>
  </si>
  <si>
    <t>Representa la hora real en la que el barbero quedó listo y disponible para empezar a atender esta cita. Su valor por defecto es 00:00 y es permitido: significa que el barbero aún no se ha preparado</t>
  </si>
  <si>
    <t>Representa la hora real en la que el barbero empezó a atender al cliente. Su valor por defecto es 00:00 y es permitido: significa que la atención aún no ha comenzado</t>
  </si>
  <si>
    <t>Representa la hora real en la que el barbero terminó de atender al cliente. Su valor por defecto es 00:00 y es permitido: significa que la atención aún no ha terminado</t>
  </si>
  <si>
    <t>Representa la cantidad total de horas que va a durar la cita, sumando la duración de cada servicio pedido más el tiempo extra de cada uno. Es un dato calculado</t>
  </si>
  <si>
    <t>Representa la cantidad total de minutos que va a durar la cita, sumando la duración de cada servicio pedido más el tiempo extra de cada uno. Es un dato calculado</t>
  </si>
  <si>
    <t>Representa cuántos minutos después de horaInicio llegó el cliente. Si llegó a tiempo o aún no ha llegado su valor es 0. Es un dato calculado</t>
  </si>
  <si>
    <t>Representa cuántos minutos después de la llegada del cliente empezó el barbero a atenderlo. Si no hubo demora su valor es 0. Es un dato calculado</t>
  </si>
  <si>
    <t>Representa el porcentaje de descuento aplicado al cliente en esta cita, cuando minutosDemoraBarbero supera la toleranciaTardanzaBarbero de Regla. Su valor por defecto es 0 y es permitido. Es un dato auto generado: copia de Regla.porcentajeDescuentoCita</t>
  </si>
  <si>
    <t>Representa cuánto debe pagar el cliente por los servicios de esta cita: la suma de los precios de sus CitaServicio, menos el descuento si aplicó. Es un dato calculado</t>
  </si>
  <si>
    <t>Combinación única que indica que una misma agenda no puede tener dos citas que empiecen a la misma hora</t>
  </si>
  <si>
    <t>cliente</t>
  </si>
  <si>
    <t>regla</t>
  </si>
  <si>
    <t>estado</t>
  </si>
  <si>
    <t>horaFinEstimada</t>
  </si>
  <si>
    <t>horaLlegadaCliente</t>
  </si>
  <si>
    <t>horaDelBarberoPreparado</t>
  </si>
  <si>
    <t>horaInicioAtencion</t>
  </si>
  <si>
    <t>horaFinAtencion</t>
  </si>
  <si>
    <t>duracionHoras</t>
  </si>
  <si>
    <t>duracionMinutos</t>
  </si>
  <si>
    <t>minutosTardanzaCliente</t>
  </si>
  <si>
    <t>minutosDemoraBarbero</t>
  </si>
  <si>
    <t>porcentajeDescuentoAplicado</t>
  </si>
  <si>
    <t>precioFinal</t>
  </si>
  <si>
    <t>Copia de Servicio.precio en el momento de agendar la cita</t>
  </si>
  <si>
    <t>Copia de BarberoServicio.duracionEnHoras en el momento de agendar la cita</t>
  </si>
  <si>
    <t>Copia de BarberoServicio.duracionServicio en el momento de agendar la cita</t>
  </si>
  <si>
    <t>Copia de BarberoServicio.tiempoExtra en el momento de agendar la cita</t>
  </si>
  <si>
    <t>Hace referencia a la cita a la que pertenece este servicio pedido</t>
  </si>
  <si>
    <t>Hace referencia a qué servicio, de qué barbero específico, se pidió en esta cita. No se referencia el Servicio directamente porque un barbero podría no ofrecerlo</t>
  </si>
  <si>
    <t>Representa el precio que tenía el servicio en el momento en que se agendó esta cita. Es un dato auto generado: copia de Servicio.precio, para que cambios futuros en el precio del catálogo no alteren una cita ya registrada</t>
  </si>
  <si>
    <t>Representa la duración en horas que tenía el servicio para ese barbero en el momento en que se agendó esta cita. Es un dato auto generado: copia de BarberoServicio.duracionServicio</t>
  </si>
  <si>
    <t>Representa la duración en minutos que tenía el servicio para ese barbero en el momento en que se agendó esta cita. Es un dato auto generado: copia de BarberoServicio.duracionServicio</t>
  </si>
  <si>
    <t>Representa el tiempo extra en minutos que ese barbero tenía configurado para este servicio en el momento en que se agendó la cita. Es un dato auto generado: copia de BarberoServicio.tiempoExtra, para que cambios futuros en el tiempo extra no alteren una cita ya registrada</t>
  </si>
  <si>
    <t>Combinación única que indica que un mismo servicio no se puede pedir dos veces en la misma cita, es decir que CitaServicio no puede tener la misma cita y el barberoServicio</t>
  </si>
  <si>
    <t>cita</t>
  </si>
  <si>
    <t>barberoServicio</t>
  </si>
  <si>
    <t>precioServicio</t>
  </si>
  <si>
    <t>duracionEnHorasElServicio</t>
  </si>
  <si>
    <t>duracionEnMinutosElServicio</t>
  </si>
  <si>
    <t>Si tipo=Tardanza copia Regla.montoMultaTardanzaCliente; si tipo=Inasistencia copia Cita.precioFinal</t>
  </si>
  <si>
    <t>Si tipo=Tardanza copia Cita.horaLlegadaCliente; si tipo=Inasistencia copia Cita.horaFinEstimada</t>
  </si>
  <si>
    <t>Fecha y Hora</t>
  </si>
  <si>
    <t>01/01/1000 00:00</t>
  </si>
  <si>
    <t>Hace referencia a la cita puntual que el cliente incumplió (llegando tarde fuera de la tolerancia o no presentándose), de esa cita es de donde sale el valor de monto si fue el caso de no presentase</t>
  </si>
  <si>
    <t>Hace referencia al tipo de multa -tardanza o inasistencia- según lo que haya ocurrido con la cita</t>
  </si>
  <si>
    <t>Representa cuánto dinero en pesos colombianos debe pagar el cliente por esta multa. Es un dato auto generado: si el tipo es Tardanza copia el monto fijo de Regla.montoMultaTardanzaCliente; si el tipo es Inasistencia copia el precioFinal de la Cita incumplida</t>
  </si>
  <si>
    <t>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t>
  </si>
  <si>
    <t>Representa la fecha y hora en la que el cliente pagó esta multa. Su valor por defecto es 01/01/1000 00:00 y es permitido: significa que la multa sigue sin pagar</t>
  </si>
  <si>
    <t>Representa si el cliente ya pagó o no esta multa, es el dato que se revisa para decidir si un cliente llega al número de multas sin pagar que activa el veto</t>
  </si>
  <si>
    <t>Combinación única que indica que una misma cita no puede generar más de una multa</t>
  </si>
  <si>
    <t>tipo</t>
  </si>
  <si>
    <t>monto</t>
  </si>
  <si>
    <t>horaGeneracion</t>
  </si>
  <si>
    <t>fechaHoraPago</t>
  </si>
  <si>
    <t>pagada</t>
  </si>
  <si>
    <t>1/01/1000 00:00</t>
  </si>
  <si>
    <t>Corresponde a los datos tipo entero</t>
  </si>
  <si>
    <t>Corresponde a los datos tipo hora</t>
  </si>
  <si>
    <t>Corresponde a los datos tipo fecha hora</t>
  </si>
  <si>
    <t>Permite todos los caracteres</t>
  </si>
  <si>
    <t>No puedo</t>
  </si>
  <si>
    <t>Compromiso</t>
  </si>
  <si>
    <t>Descanso</t>
  </si>
  <si>
    <t>Representa el motivo por el cual el barbero no puede atender la agenda en ese momento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</si>
</sst>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 #,##0.00_-;\-&quot;$&quot;\ * #,##0.00_-;_-&quot;$&quot;\ * &quot;-&quot;??_-;_-@_-"/>
    <numFmt numFmtId="164" formatCode="h:mm\ AM/PM"/>
    <numFmt numFmtId="165" formatCode="_-&quot;$ &quot;* #,##0_-;&quot;-$ &quot;* #,##0_-;_-&quot;$ &quot;* \-??_-;_-@_-"/>
    <numFmt numFmtId="166" formatCode="&quot;$ &quot;#,##0"/>
    <numFmt numFmtId="167" formatCode="_(\$* #,##0_);_(\$* \(#,##0\);_(\$* \-??_);_(@_)"/>
    <numFmt numFmtId="168" formatCode="m/d/yyyy"/>
    <numFmt numFmtId="169" formatCode="dd/mm/yyyy"/>
    <numFmt numFmtId="170" formatCode="hh:mm"/>
    <numFmt numFmtId="171" formatCode="m/d/yyyy\ h:mm"/>
    <numFmt numFmtId="172" formatCode="_-&quot;$&quot;\ * #,##0_-;\-&quot;$&quot;\ * #,##0_-;_-&quot;$&quot;\ * &quot;-&quot;??_-;_-@_-"/>
  </numFmts>
  <fonts count="21" x14ac:knownFonts="1">
    <font>
      <sz val="11"/>
      <color theme="1"/>
      <name val="Calibri"/>
      <family val="2"/>
      <charset val="1"/>
    </font>
    <font>
      <sz val="10"/>
      <name val="Arial"/>
      <family val="2"/>
    </font>
    <font>
      <u/>
      <sz val="11"/>
      <color theme="10"/>
      <name val="Calibri"/>
      <family val="2"/>
      <charset val="1"/>
    </font>
    <font>
      <b/>
      <sz val="11"/>
      <color theme="1"/>
      <name val="Calibri"/>
      <family val="2"/>
      <charset val="1"/>
    </font>
    <font>
      <u/>
      <sz val="11"/>
      <color rgb="FF0563C1"/>
      <name val="Calibri"/>
      <family val="2"/>
      <charset val="1"/>
    </font>
    <font>
      <b/>
      <sz val="11"/>
      <color theme="1"/>
      <name val="Aptos Narrow"/>
      <family val="2"/>
      <charset val="1"/>
    </font>
    <font>
      <sz val="11"/>
      <color theme="1"/>
      <name val="Aptos Narrow"/>
      <family val="2"/>
      <charset val="1"/>
    </font>
    <font>
      <b/>
      <sz val="11"/>
      <color rgb="FF000000"/>
      <name val="Aptos Narrow"/>
      <family val="2"/>
      <charset val="1"/>
    </font>
    <font>
      <u/>
      <sz val="11"/>
      <color rgb="FF467886"/>
      <name val="Aptos Narrow"/>
      <family val="2"/>
      <charset val="1"/>
    </font>
    <font>
      <sz val="7"/>
      <name val="Calibri"/>
      <family val="2"/>
      <charset val="1"/>
    </font>
    <font>
      <sz val="7"/>
      <color rgb="FF000000"/>
      <name val="Calibri"/>
      <family val="2"/>
      <charset val="1"/>
    </font>
    <font>
      <b/>
      <sz val="11"/>
      <color rgb="FF000000"/>
      <name val="Calibri"/>
      <family val="2"/>
      <charset val="1"/>
    </font>
    <font>
      <b/>
      <sz val="11"/>
      <name val="Cambria"/>
      <family val="1"/>
      <charset val="1"/>
    </font>
    <font>
      <sz val="7"/>
      <color theme="1"/>
      <name val="Calibri"/>
      <family val="2"/>
      <charset val="1"/>
    </font>
    <font>
      <b/>
      <sz val="11"/>
      <name val="Calibri"/>
      <family val="2"/>
      <charset val="1"/>
    </font>
    <font>
      <sz val="11"/>
      <name val="Aptos Narrow"/>
      <family val="2"/>
      <charset val="1"/>
    </font>
    <font>
      <sz val="11"/>
      <name val="Calibri"/>
      <family val="2"/>
      <charset val="1"/>
    </font>
    <font>
      <u/>
      <sz val="11"/>
      <color rgb="FF0563C1"/>
      <name val="Aptos Narrow"/>
      <family val="2"/>
      <charset val="1"/>
    </font>
    <font>
      <b/>
      <sz val="11"/>
      <name val="Aptos Narrow"/>
      <family val="2"/>
      <charset val="1"/>
    </font>
    <font>
      <b/>
      <u/>
      <sz val="11"/>
      <color theme="10"/>
      <name val="Calibri"/>
      <family val="2"/>
      <charset val="1"/>
    </font>
    <font>
      <b/>
      <u/>
      <sz val="11"/>
      <color rgb="FF467886"/>
      <name val="Calibri"/>
      <family val="2"/>
      <charset val="1"/>
    </font>
  </fonts>
  <fills count="26">
    <fill>
      <patternFill patternType="none"/>
    </fill>
    <fill>
      <patternFill patternType="gray125"/>
    </fill>
    <fill>
      <patternFill patternType="solid">
        <fgColor theme="0"/>
        <bgColor rgb="FFDBDBDB"/>
      </patternFill>
    </fill>
    <fill>
      <patternFill patternType="solid">
        <fgColor rgb="FFD9D9D9"/>
        <bgColor rgb="FFDBDBDB"/>
      </patternFill>
    </fill>
    <fill>
      <patternFill patternType="solid">
        <fgColor rgb="FFC0E6F5"/>
        <bgColor rgb="FFDBDBDB"/>
      </patternFill>
    </fill>
    <fill>
      <patternFill patternType="solid">
        <fgColor rgb="FFF2CEEF"/>
        <bgColor rgb="FFDBDBDB"/>
      </patternFill>
    </fill>
    <fill>
      <patternFill patternType="solid">
        <fgColor rgb="FF70AD47"/>
        <bgColor rgb="FF4EA72E"/>
      </patternFill>
    </fill>
    <fill>
      <patternFill patternType="solid">
        <fgColor rgb="FF2F75B5"/>
        <bgColor rgb="FF2E75B6"/>
      </patternFill>
    </fill>
    <fill>
      <patternFill patternType="solid">
        <fgColor rgb="FFFFD966"/>
        <bgColor rgb="FFFFE699"/>
      </patternFill>
    </fill>
    <fill>
      <patternFill patternType="solid">
        <fgColor rgb="FFD0CECE"/>
        <bgColor rgb="FFD0D0D0"/>
      </patternFill>
    </fill>
    <fill>
      <patternFill patternType="solid">
        <fgColor theme="4" tint="-0.249977111117893"/>
        <bgColor rgb="FF2F75B5"/>
      </patternFill>
    </fill>
    <fill>
      <patternFill patternType="solid">
        <fgColor rgb="FF7030A0"/>
        <bgColor rgb="FF993366"/>
      </patternFill>
    </fill>
    <fill>
      <patternFill patternType="solid">
        <fgColor rgb="FF00B0F0"/>
        <bgColor rgb="FF33CCCC"/>
      </patternFill>
    </fill>
    <fill>
      <patternFill patternType="solid">
        <fgColor theme="7" tint="0.59959715567491678"/>
        <bgColor rgb="FFFFD966"/>
      </patternFill>
    </fill>
    <fill>
      <patternFill patternType="solid">
        <fgColor theme="5" tint="0.59959715567491678"/>
        <bgColor rgb="FFF7C7AC"/>
      </patternFill>
    </fill>
    <fill>
      <patternFill patternType="solid">
        <fgColor theme="4" tint="0.39957884456923126"/>
        <bgColor rgb="FFADB9CA"/>
      </patternFill>
    </fill>
    <fill>
      <patternFill patternType="solid">
        <fgColor rgb="FFF1ABE9"/>
        <bgColor rgb="FFF2CEEF"/>
      </patternFill>
    </fill>
    <fill>
      <patternFill patternType="solid">
        <fgColor theme="6" tint="0.59968871120334488"/>
        <bgColor rgb="FFD9D9D9"/>
      </patternFill>
    </fill>
    <fill>
      <patternFill patternType="solid">
        <fgColor rgb="FFFFFF00"/>
        <bgColor rgb="FFFFFF00"/>
      </patternFill>
    </fill>
    <fill>
      <patternFill patternType="solid">
        <fgColor theme="3" tint="0.59959715567491678"/>
        <bgColor rgb="FF9DC3E6"/>
      </patternFill>
    </fill>
    <fill>
      <patternFill patternType="solid">
        <fgColor theme="3" tint="0.39967040009765925"/>
        <bgColor rgb="FF808080"/>
      </patternFill>
    </fill>
    <fill>
      <patternFill patternType="solid">
        <fgColor rgb="FFD0D0D0"/>
        <bgColor rgb="FFD0CECE"/>
      </patternFill>
    </fill>
    <fill>
      <patternFill patternType="solid">
        <fgColor rgb="FF4EA72E"/>
        <bgColor rgb="FF70AD47"/>
      </patternFill>
    </fill>
    <fill>
      <patternFill patternType="solid">
        <fgColor theme="5" tint="-0.249977111117893"/>
        <bgColor rgb="FF993300"/>
      </patternFill>
    </fill>
    <fill>
      <patternFill patternType="solid">
        <fgColor rgb="FFF7C7AC"/>
        <bgColor rgb="FFF8CBAD"/>
      </patternFill>
    </fill>
    <fill>
      <patternFill patternType="solid">
        <fgColor theme="0" tint="-0.149998474074526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44" fontId="1" fillId="0" borderId="0" applyBorder="0" applyAlignment="0" applyProtection="0"/>
  </cellStyleXfs>
  <cellXfs count="174">
    <xf numFmtId="0" fontId="0" fillId="0" borderId="0" xfId="0"/>
    <xf numFmtId="0" fontId="6" fillId="5" borderId="1" xfId="0" applyFont="1" applyFill="1" applyBorder="1" applyAlignment="1">
      <alignment horizontal="left" vertical="center" wrapText="1"/>
    </xf>
    <xf numFmtId="0" fontId="6" fillId="5" borderId="1" xfId="0" applyFont="1" applyFill="1" applyBorder="1" applyAlignment="1">
      <alignment horizontal="left"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center" vertical="center"/>
    </xf>
    <xf numFmtId="0" fontId="2" fillId="0" borderId="0" xfId="0" applyFont="1"/>
    <xf numFmtId="0" fontId="0" fillId="2" borderId="0" xfId="0" applyFill="1"/>
    <xf numFmtId="0" fontId="3" fillId="0" borderId="1" xfId="0" applyFont="1" applyBorder="1" applyAlignment="1">
      <alignment vertical="center"/>
    </xf>
    <xf numFmtId="0" fontId="0" fillId="0" borderId="1" xfId="0" applyBorder="1"/>
    <xf numFmtId="0" fontId="0" fillId="0" borderId="1" xfId="0" applyBorder="1" applyAlignment="1">
      <alignment vertical="center" wrapText="1"/>
    </xf>
    <xf numFmtId="0" fontId="0" fillId="0" borderId="1" xfId="0" applyBorder="1" applyAlignment="1">
      <alignment vertical="center"/>
    </xf>
    <xf numFmtId="0" fontId="4" fillId="0" borderId="1" xfId="0" applyFont="1" applyBorder="1"/>
    <xf numFmtId="0" fontId="0" fillId="0" borderId="1" xfId="0" applyBorder="1" applyAlignment="1">
      <alignment wrapText="1"/>
    </xf>
    <xf numFmtId="0" fontId="2" fillId="0" borderId="1" xfId="0" applyFont="1" applyBorder="1"/>
    <xf numFmtId="0" fontId="5" fillId="3" borderId="1" xfId="0" applyFont="1" applyFill="1" applyBorder="1" applyAlignment="1">
      <alignment vertical="center"/>
    </xf>
    <xf numFmtId="0" fontId="5" fillId="3" borderId="1" xfId="0" applyFont="1" applyFill="1" applyBorder="1" applyAlignment="1">
      <alignment vertical="center" wrapText="1"/>
    </xf>
    <xf numFmtId="0" fontId="3" fillId="0" borderId="0" xfId="0" applyFont="1"/>
    <xf numFmtId="0" fontId="6" fillId="3" borderId="1" xfId="0" applyFont="1" applyFill="1" applyBorder="1" applyAlignment="1">
      <alignment vertical="center"/>
    </xf>
    <xf numFmtId="0" fontId="6" fillId="3" borderId="1" xfId="0" applyFont="1" applyFill="1" applyBorder="1" applyAlignment="1">
      <alignment vertical="center" wrapText="1"/>
    </xf>
    <xf numFmtId="0" fontId="7" fillId="4" borderId="1" xfId="0" applyFont="1" applyFill="1" applyBorder="1" applyAlignment="1">
      <alignment horizontal="center" vertical="center"/>
    </xf>
    <xf numFmtId="0" fontId="8" fillId="5" borderId="1" xfId="0" applyFont="1" applyFill="1" applyBorder="1" applyAlignment="1">
      <alignment vertical="center"/>
    </xf>
    <xf numFmtId="0" fontId="9" fillId="3" borderId="1" xfId="0" applyFont="1" applyFill="1" applyBorder="1" applyAlignment="1">
      <alignment horizontal="center" wrapText="1"/>
    </xf>
    <xf numFmtId="0" fontId="10" fillId="3" borderId="1" xfId="0" applyFont="1" applyFill="1" applyBorder="1" applyAlignment="1">
      <alignment horizontal="center" wrapText="1"/>
    </xf>
    <xf numFmtId="0" fontId="11" fillId="6" borderId="1" xfId="0" applyFont="1" applyFill="1" applyBorder="1" applyAlignment="1">
      <alignment horizontal="center"/>
    </xf>
    <xf numFmtId="0" fontId="11" fillId="7" borderId="1" xfId="0" applyFont="1" applyFill="1" applyBorder="1" applyAlignment="1">
      <alignment horizontal="center"/>
    </xf>
    <xf numFmtId="0" fontId="11" fillId="8"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0" fontId="0" fillId="0" borderId="0" xfId="0" applyAlignment="1">
      <alignment horizontal="center"/>
    </xf>
    <xf numFmtId="0" fontId="0" fillId="9" borderId="0" xfId="0" applyFill="1"/>
    <xf numFmtId="0" fontId="0" fillId="0" borderId="0" xfId="0" applyAlignment="1">
      <alignment wrapText="1"/>
    </xf>
    <xf numFmtId="0" fontId="0" fillId="6" borderId="0" xfId="0" applyFill="1"/>
    <xf numFmtId="0" fontId="0" fillId="7" borderId="0" xfId="0" applyFill="1"/>
    <xf numFmtId="0" fontId="0" fillId="8" borderId="0" xfId="0" applyFill="1"/>
    <xf numFmtId="0" fontId="4" fillId="0" borderId="0" xfId="0" applyFont="1"/>
    <xf numFmtId="164" fontId="0" fillId="0" borderId="1" xfId="0" applyNumberFormat="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7" fillId="3" borderId="1" xfId="0" applyFont="1" applyFill="1" applyBorder="1" applyAlignment="1">
      <alignment horizontal="center" vertical="center"/>
    </xf>
    <xf numFmtId="165" fontId="6" fillId="3" borderId="1" xfId="0" applyNumberFormat="1" applyFont="1" applyFill="1" applyBorder="1" applyAlignment="1">
      <alignment vertical="center"/>
    </xf>
    <xf numFmtId="0" fontId="7" fillId="2" borderId="0" xfId="0" applyFont="1" applyFill="1" applyAlignment="1">
      <alignment horizontal="center" vertical="center"/>
    </xf>
    <xf numFmtId="0" fontId="12" fillId="0" borderId="0" xfId="0" applyFont="1" applyAlignment="1">
      <alignment vertical="top" wrapText="1"/>
    </xf>
    <xf numFmtId="0" fontId="12" fillId="0" borderId="0" xfId="0" applyFont="1"/>
    <xf numFmtId="0" fontId="2" fillId="0" borderId="0" xfId="0" applyFont="1" applyAlignment="1">
      <alignment horizontal="center" vertical="top"/>
    </xf>
    <xf numFmtId="0" fontId="0" fillId="0" borderId="0" xfId="0" applyAlignment="1">
      <alignment horizontal="center" vertical="top"/>
    </xf>
    <xf numFmtId="0" fontId="9" fillId="9" borderId="1" xfId="0" applyFont="1" applyFill="1" applyBorder="1" applyAlignment="1">
      <alignment horizontal="center" wrapText="1"/>
    </xf>
    <xf numFmtId="0" fontId="13" fillId="9" borderId="1" xfId="0" applyFont="1" applyFill="1" applyBorder="1" applyAlignment="1">
      <alignment horizontal="center" wrapText="1"/>
    </xf>
    <xf numFmtId="0" fontId="14" fillId="6" borderId="1" xfId="0" applyFont="1" applyFill="1" applyBorder="1" applyAlignment="1">
      <alignment horizontal="center" vertical="top"/>
    </xf>
    <xf numFmtId="0" fontId="14" fillId="10" borderId="1" xfId="0" applyFont="1" applyFill="1" applyBorder="1" applyAlignment="1">
      <alignment horizontal="center" vertical="top"/>
    </xf>
    <xf numFmtId="0" fontId="14" fillId="11" borderId="1" xfId="0" applyFont="1" applyFill="1" applyBorder="1" applyAlignment="1">
      <alignment horizontal="center" vertical="top"/>
    </xf>
    <xf numFmtId="0" fontId="14" fillId="12" borderId="1" xfId="0" applyFont="1" applyFill="1" applyBorder="1" applyAlignment="1">
      <alignment horizontal="center" vertical="top"/>
    </xf>
    <xf numFmtId="0" fontId="3" fillId="13" borderId="1" xfId="0" applyFont="1" applyFill="1" applyBorder="1" applyAlignment="1">
      <alignment horizontal="center"/>
    </xf>
    <xf numFmtId="0" fontId="0" fillId="0" borderId="1" xfId="0" applyBorder="1" applyAlignment="1">
      <alignment horizontal="center" vertical="top"/>
    </xf>
    <xf numFmtId="0" fontId="0" fillId="0" borderId="1" xfId="0" applyBorder="1" applyAlignment="1">
      <alignment horizontal="center" vertical="top" wrapText="1"/>
    </xf>
    <xf numFmtId="166" fontId="0" fillId="0" borderId="1" xfId="0" applyNumberFormat="1" applyBorder="1" applyAlignment="1">
      <alignment horizontal="center" vertical="top"/>
    </xf>
    <xf numFmtId="0" fontId="0" fillId="14" borderId="0" xfId="0" applyFill="1"/>
    <xf numFmtId="0" fontId="0" fillId="10" borderId="0" xfId="0" applyFill="1"/>
    <xf numFmtId="0" fontId="0" fillId="11" borderId="0" xfId="0" applyFill="1"/>
    <xf numFmtId="0" fontId="0" fillId="12" borderId="0" xfId="0" applyFill="1"/>
    <xf numFmtId="0" fontId="0" fillId="13" borderId="0" xfId="0" applyFill="1"/>
    <xf numFmtId="167" fontId="0" fillId="3" borderId="0" xfId="0" applyNumberFormat="1" applyFill="1" applyAlignment="1">
      <alignment vertical="center"/>
    </xf>
    <xf numFmtId="0" fontId="15" fillId="3" borderId="1" xfId="0" applyFont="1" applyFill="1" applyBorder="1" applyAlignment="1">
      <alignment horizontal="left" vertical="center"/>
    </xf>
    <xf numFmtId="0" fontId="15" fillId="3" borderId="1" xfId="0" applyFont="1" applyFill="1" applyBorder="1" applyAlignment="1">
      <alignment wrapText="1"/>
    </xf>
    <xf numFmtId="0" fontId="15" fillId="3" borderId="1" xfId="0" applyFont="1" applyFill="1" applyBorder="1" applyAlignment="1">
      <alignment horizontal="right" vertical="center"/>
    </xf>
    <xf numFmtId="0" fontId="15" fillId="0" borderId="0" xfId="0" applyFont="1"/>
    <xf numFmtId="0" fontId="16" fillId="0" borderId="0" xfId="0" applyFont="1"/>
    <xf numFmtId="0" fontId="15" fillId="3" borderId="1" xfId="0" applyFont="1" applyFill="1" applyBorder="1" applyAlignment="1">
      <alignment horizontal="left" vertical="center" wrapText="1"/>
    </xf>
    <xf numFmtId="0" fontId="15" fillId="3" borderId="1" xfId="0" applyFont="1" applyFill="1" applyBorder="1" applyAlignment="1">
      <alignment vertical="top" wrapText="1"/>
    </xf>
    <xf numFmtId="0" fontId="17" fillId="0" borderId="0" xfId="0" applyFont="1"/>
    <xf numFmtId="0" fontId="6" fillId="0" borderId="0" xfId="0" applyFont="1"/>
    <xf numFmtId="0" fontId="18" fillId="0" borderId="0" xfId="0" applyFont="1"/>
    <xf numFmtId="0" fontId="3" fillId="6" borderId="1" xfId="0" applyFont="1" applyFill="1" applyBorder="1" applyAlignment="1">
      <alignment horizontal="center"/>
    </xf>
    <xf numFmtId="0" fontId="3" fillId="11" borderId="1" xfId="0" applyFont="1" applyFill="1" applyBorder="1" applyAlignment="1">
      <alignment horizontal="center"/>
    </xf>
    <xf numFmtId="166" fontId="0" fillId="0" borderId="1" xfId="0" applyNumberFormat="1" applyBorder="1" applyAlignment="1">
      <alignment horizontal="center"/>
    </xf>
    <xf numFmtId="0" fontId="16" fillId="11" borderId="0" xfId="0" applyFont="1" applyFill="1"/>
    <xf numFmtId="0" fontId="11" fillId="15" borderId="1" xfId="0" applyFont="1" applyFill="1" applyBorder="1" applyAlignment="1">
      <alignment horizontal="center"/>
    </xf>
    <xf numFmtId="0" fontId="11" fillId="10" borderId="1" xfId="0" applyFont="1" applyFill="1" applyBorder="1" applyAlignment="1">
      <alignment horizontal="center"/>
    </xf>
    <xf numFmtId="0" fontId="0" fillId="15" borderId="0" xfId="0" applyFill="1"/>
    <xf numFmtId="0" fontId="2" fillId="3" borderId="1" xfId="0" applyFont="1" applyFill="1" applyBorder="1" applyAlignment="1">
      <alignment vertical="center"/>
    </xf>
    <xf numFmtId="0" fontId="6" fillId="3" borderId="1" xfId="0" applyFont="1" applyFill="1" applyBorder="1" applyAlignment="1">
      <alignment horizontal="left" vertical="center"/>
    </xf>
    <xf numFmtId="0" fontId="11" fillId="14" borderId="1" xfId="0" applyFont="1" applyFill="1" applyBorder="1" applyAlignment="1">
      <alignment horizontal="center"/>
    </xf>
    <xf numFmtId="0" fontId="11" fillId="12" borderId="1" xfId="0" applyFont="1" applyFill="1" applyBorder="1" applyAlignment="1">
      <alignment horizontal="center"/>
    </xf>
    <xf numFmtId="0" fontId="11" fillId="11" borderId="1" xfId="0" applyFont="1" applyFill="1" applyBorder="1" applyAlignment="1">
      <alignment horizontal="center"/>
    </xf>
    <xf numFmtId="0" fontId="4" fillId="0" borderId="1" xfId="0" applyFont="1" applyBorder="1" applyAlignment="1">
      <alignment horizontal="center"/>
    </xf>
    <xf numFmtId="0" fontId="10" fillId="9" borderId="1" xfId="0" applyFont="1" applyFill="1" applyBorder="1" applyAlignment="1">
      <alignment horizontal="center" wrapText="1"/>
    </xf>
    <xf numFmtId="0" fontId="10" fillId="9" borderId="1" xfId="0" applyFont="1" applyFill="1" applyBorder="1" applyAlignment="1">
      <alignment wrapText="1"/>
    </xf>
    <xf numFmtId="0" fontId="19" fillId="14" borderId="0" xfId="0" applyFont="1" applyFill="1" applyAlignment="1">
      <alignment horizontal="center"/>
    </xf>
    <xf numFmtId="0" fontId="14" fillId="12" borderId="1" xfId="0" applyFont="1" applyFill="1" applyBorder="1" applyAlignment="1">
      <alignment horizontal="center"/>
    </xf>
    <xf numFmtId="0" fontId="11" fillId="16" borderId="1" xfId="0" applyFont="1" applyFill="1" applyBorder="1" applyAlignment="1">
      <alignment horizontal="center"/>
    </xf>
    <xf numFmtId="0" fontId="0" fillId="16" borderId="0" xfId="0" applyFill="1"/>
    <xf numFmtId="0" fontId="0" fillId="17" borderId="1" xfId="0" applyFill="1" applyBorder="1" applyAlignment="1">
      <alignment vertical="center"/>
    </xf>
    <xf numFmtId="0" fontId="11" fillId="18" borderId="1" xfId="0" applyFont="1" applyFill="1" applyBorder="1" applyAlignment="1">
      <alignment horizontal="center" wrapText="1"/>
    </xf>
    <xf numFmtId="0" fontId="11" fillId="18" borderId="1" xfId="0" applyFont="1" applyFill="1" applyBorder="1" applyAlignment="1">
      <alignment horizontal="center"/>
    </xf>
    <xf numFmtId="0" fontId="14" fillId="16" borderId="1" xfId="0" applyFont="1" applyFill="1" applyBorder="1" applyAlignment="1">
      <alignment horizontal="center"/>
    </xf>
    <xf numFmtId="0" fontId="14" fillId="8" borderId="1" xfId="0" applyFont="1" applyFill="1" applyBorder="1" applyAlignment="1">
      <alignment horizontal="center"/>
    </xf>
    <xf numFmtId="164" fontId="4" fillId="0" borderId="1" xfId="0" applyNumberFormat="1" applyFont="1" applyBorder="1" applyAlignment="1">
      <alignment horizontal="center"/>
    </xf>
    <xf numFmtId="20" fontId="0" fillId="0" borderId="1" xfId="0" applyNumberFormat="1" applyBorder="1" applyAlignment="1">
      <alignment horizontal="center"/>
    </xf>
    <xf numFmtId="168" fontId="0" fillId="0" borderId="1" xfId="0" applyNumberFormat="1" applyBorder="1" applyAlignment="1">
      <alignment horizontal="center"/>
    </xf>
    <xf numFmtId="20" fontId="0" fillId="0" borderId="1" xfId="0" applyNumberFormat="1" applyBorder="1" applyAlignment="1">
      <alignment horizontal="center" vertical="top"/>
    </xf>
    <xf numFmtId="0" fontId="0" fillId="18" borderId="0" xfId="0" applyFill="1"/>
    <xf numFmtId="0" fontId="14" fillId="16" borderId="0" xfId="0" applyFont="1" applyFill="1" applyAlignment="1">
      <alignment horizontal="center"/>
    </xf>
    <xf numFmtId="0" fontId="14" fillId="12" borderId="0" xfId="0" applyFont="1" applyFill="1" applyAlignment="1">
      <alignment horizontal="center"/>
    </xf>
    <xf numFmtId="0" fontId="14" fillId="17" borderId="1" xfId="0" applyFont="1" applyFill="1" applyBorder="1" applyAlignment="1">
      <alignment vertical="top" wrapText="1"/>
    </xf>
    <xf numFmtId="0" fontId="0" fillId="17" borderId="1" xfId="0" applyFill="1" applyBorder="1"/>
    <xf numFmtId="0" fontId="0" fillId="17" borderId="1" xfId="0" applyFill="1" applyBorder="1" applyAlignment="1">
      <alignment wrapText="1"/>
    </xf>
    <xf numFmtId="0" fontId="2" fillId="17" borderId="1" xfId="0" applyFont="1" applyFill="1" applyBorder="1"/>
    <xf numFmtId="0" fontId="16" fillId="17" borderId="1" xfId="0" applyFont="1" applyFill="1" applyBorder="1"/>
    <xf numFmtId="0" fontId="0" fillId="17" borderId="1" xfId="0" applyFill="1" applyBorder="1" applyAlignment="1">
      <alignment horizontal="left"/>
    </xf>
    <xf numFmtId="0" fontId="9" fillId="9" borderId="1" xfId="0" applyFont="1" applyFill="1" applyBorder="1" applyAlignment="1">
      <alignment horizontal="center"/>
    </xf>
    <xf numFmtId="0" fontId="19" fillId="14" borderId="1" xfId="0" applyFont="1" applyFill="1" applyBorder="1" applyAlignment="1">
      <alignment horizontal="center"/>
    </xf>
    <xf numFmtId="0" fontId="14" fillId="11" borderId="1" xfId="0" applyFont="1" applyFill="1" applyBorder="1" applyAlignment="1">
      <alignment horizontal="center"/>
    </xf>
    <xf numFmtId="0" fontId="14" fillId="13" borderId="1" xfId="0" applyFont="1" applyFill="1" applyBorder="1" applyAlignment="1">
      <alignment horizontal="center"/>
    </xf>
    <xf numFmtId="0" fontId="16" fillId="0" borderId="1" xfId="0" applyFont="1" applyBorder="1" applyAlignment="1">
      <alignment horizontal="center"/>
    </xf>
    <xf numFmtId="0" fontId="16" fillId="17" borderId="1" xfId="0" applyFont="1" applyFill="1" applyBorder="1" applyAlignment="1">
      <alignment wrapText="1"/>
    </xf>
    <xf numFmtId="0" fontId="14" fillId="18" borderId="1" xfId="0" applyFont="1" applyFill="1" applyBorder="1" applyAlignment="1">
      <alignment horizontal="center"/>
    </xf>
    <xf numFmtId="0" fontId="4" fillId="0" borderId="1" xfId="0" applyFont="1" applyBorder="1" applyAlignment="1">
      <alignment wrapText="1"/>
    </xf>
    <xf numFmtId="168" fontId="0" fillId="0" borderId="2" xfId="0" applyNumberFormat="1" applyBorder="1" applyAlignment="1">
      <alignment horizontal="center"/>
    </xf>
    <xf numFmtId="168" fontId="0" fillId="0" borderId="3" xfId="0" applyNumberFormat="1" applyBorder="1" applyAlignment="1">
      <alignment horizontal="center"/>
    </xf>
    <xf numFmtId="20" fontId="0" fillId="0" borderId="4" xfId="0" applyNumberFormat="1" applyBorder="1" applyAlignment="1">
      <alignment horizontal="center"/>
    </xf>
    <xf numFmtId="168" fontId="0" fillId="0" borderId="0" xfId="0" applyNumberFormat="1" applyAlignment="1">
      <alignment horizontal="center"/>
    </xf>
    <xf numFmtId="0" fontId="14" fillId="19" borderId="1" xfId="0" applyFont="1" applyFill="1" applyBorder="1" applyAlignment="1">
      <alignment horizontal="center"/>
    </xf>
    <xf numFmtId="169" fontId="16" fillId="0" borderId="1" xfId="0" applyNumberFormat="1" applyFont="1" applyBorder="1" applyAlignment="1">
      <alignment horizontal="center"/>
    </xf>
    <xf numFmtId="0" fontId="0" fillId="20" borderId="0" xfId="0" applyFill="1"/>
    <xf numFmtId="20" fontId="0" fillId="17" borderId="1" xfId="0" applyNumberFormat="1" applyFill="1" applyBorder="1" applyAlignment="1">
      <alignment horizontal="left"/>
    </xf>
    <xf numFmtId="0" fontId="9" fillId="21" borderId="1" xfId="0" applyFont="1" applyFill="1" applyBorder="1" applyAlignment="1">
      <alignment horizontal="center" wrapText="1"/>
    </xf>
    <xf numFmtId="0" fontId="14" fillId="14" borderId="1" xfId="0" applyFont="1" applyFill="1" applyBorder="1" applyAlignment="1">
      <alignment horizontal="center"/>
    </xf>
    <xf numFmtId="0" fontId="14" fillId="10" borderId="1" xfId="0" applyFont="1" applyFill="1" applyBorder="1" applyAlignment="1">
      <alignment horizontal="center"/>
    </xf>
    <xf numFmtId="20" fontId="16" fillId="0" borderId="1" xfId="0" applyNumberFormat="1" applyFont="1" applyBorder="1" applyAlignment="1">
      <alignment horizontal="center"/>
    </xf>
    <xf numFmtId="0" fontId="6" fillId="3" borderId="1" xfId="0" applyFont="1" applyFill="1" applyBorder="1" applyAlignment="1">
      <alignment wrapText="1"/>
    </xf>
    <xf numFmtId="0" fontId="2" fillId="17" borderId="1" xfId="0" applyFont="1" applyFill="1" applyBorder="1" applyAlignment="1">
      <alignment wrapText="1"/>
    </xf>
    <xf numFmtId="0" fontId="7" fillId="4" borderId="1" xfId="0" applyFont="1" applyFill="1" applyBorder="1" applyAlignment="1">
      <alignment vertical="center"/>
    </xf>
    <xf numFmtId="0" fontId="11" fillId="22" borderId="1" xfId="0" applyFont="1" applyFill="1" applyBorder="1" applyAlignment="1">
      <alignment horizontal="center"/>
    </xf>
    <xf numFmtId="0" fontId="14" fillId="16" borderId="2" xfId="0" applyFont="1" applyFill="1" applyBorder="1" applyAlignment="1">
      <alignment horizontal="center"/>
    </xf>
    <xf numFmtId="0" fontId="11" fillId="13" borderId="1" xfId="0" applyFont="1" applyFill="1" applyBorder="1" applyAlignment="1">
      <alignment horizontal="center"/>
    </xf>
    <xf numFmtId="0" fontId="4" fillId="0" borderId="1" xfId="0" applyFont="1" applyBorder="1" applyAlignment="1">
      <alignment horizontal="center" wrapText="1"/>
    </xf>
    <xf numFmtId="170" fontId="0" fillId="0" borderId="1" xfId="0" applyNumberFormat="1" applyBorder="1" applyAlignment="1">
      <alignment horizontal="center"/>
    </xf>
    <xf numFmtId="0" fontId="0" fillId="0" borderId="3" xfId="0" applyBorder="1" applyAlignment="1">
      <alignment horizontal="center"/>
    </xf>
    <xf numFmtId="1" fontId="0" fillId="0" borderId="4" xfId="0" applyNumberFormat="1" applyBorder="1" applyAlignment="1">
      <alignment horizontal="center"/>
    </xf>
    <xf numFmtId="1" fontId="0" fillId="0" borderId="1" xfId="0" applyNumberFormat="1" applyBorder="1" applyAlignment="1">
      <alignment horizontal="center"/>
    </xf>
    <xf numFmtId="3" fontId="4" fillId="0" borderId="1" xfId="0" applyNumberFormat="1" applyFont="1" applyBorder="1" applyAlignment="1">
      <alignment horizontal="center"/>
    </xf>
    <xf numFmtId="0" fontId="16" fillId="17" borderId="1" xfId="0" applyFont="1" applyFill="1" applyBorder="1" applyAlignment="1">
      <alignment horizontal="left" wrapText="1"/>
    </xf>
    <xf numFmtId="0" fontId="13" fillId="17" borderId="1" xfId="0" applyFont="1" applyFill="1" applyBorder="1" applyAlignment="1">
      <alignment horizontal="center" wrapText="1"/>
    </xf>
    <xf numFmtId="164" fontId="4" fillId="0" borderId="1" xfId="0" applyNumberFormat="1" applyFont="1" applyBorder="1" applyAlignment="1">
      <alignment horizontal="center" wrapText="1"/>
    </xf>
    <xf numFmtId="1" fontId="4" fillId="0" borderId="1" xfId="0" applyNumberFormat="1" applyFont="1" applyBorder="1" applyAlignment="1">
      <alignment horizontal="center"/>
    </xf>
    <xf numFmtId="165" fontId="16" fillId="17" borderId="1" xfId="0" applyNumberFormat="1" applyFont="1" applyFill="1" applyBorder="1" applyAlignment="1">
      <alignment wrapText="1"/>
    </xf>
    <xf numFmtId="0" fontId="11" fillId="23" borderId="1" xfId="0" applyFont="1" applyFill="1" applyBorder="1" applyAlignment="1">
      <alignment horizontal="center"/>
    </xf>
    <xf numFmtId="170" fontId="4" fillId="0" borderId="1" xfId="0" applyNumberFormat="1" applyFont="1" applyBorder="1" applyAlignment="1">
      <alignment horizontal="center"/>
    </xf>
    <xf numFmtId="171" fontId="0" fillId="0" borderId="0" xfId="0" applyNumberFormat="1" applyAlignment="1">
      <alignment horizontal="center"/>
    </xf>
    <xf numFmtId="0" fontId="9" fillId="21" borderId="0" xfId="0" applyFont="1" applyFill="1" applyAlignment="1">
      <alignment horizontal="center" wrapText="1"/>
    </xf>
    <xf numFmtId="0" fontId="11" fillId="22" borderId="0" xfId="0" applyFont="1" applyFill="1" applyAlignment="1">
      <alignment horizontal="center"/>
    </xf>
    <xf numFmtId="0" fontId="20" fillId="24" borderId="0" xfId="0" applyFont="1" applyFill="1" applyAlignment="1">
      <alignment horizontal="center"/>
    </xf>
    <xf numFmtId="0" fontId="11" fillId="11" borderId="0" xfId="0" applyFont="1" applyFill="1" applyAlignment="1">
      <alignment horizontal="center"/>
    </xf>
    <xf numFmtId="0" fontId="11" fillId="18" borderId="0" xfId="0" applyFont="1" applyFill="1" applyAlignment="1">
      <alignment horizontal="center"/>
    </xf>
    <xf numFmtId="0" fontId="11" fillId="23" borderId="0" xfId="0" applyFont="1" applyFill="1" applyAlignment="1">
      <alignment horizontal="center"/>
    </xf>
    <xf numFmtId="0" fontId="11" fillId="12" borderId="0" xfId="0" applyFont="1" applyFill="1" applyAlignment="1">
      <alignment horizontal="center"/>
    </xf>
    <xf numFmtId="0" fontId="11" fillId="8" borderId="0" xfId="0" applyFont="1" applyFill="1" applyAlignment="1">
      <alignment horizontal="center"/>
    </xf>
    <xf numFmtId="21" fontId="16" fillId="0" borderId="0" xfId="0" applyNumberFormat="1" applyFont="1" applyAlignment="1">
      <alignment horizontal="center"/>
    </xf>
    <xf numFmtId="172" fontId="1" fillId="25" borderId="1" xfId="1" applyNumberFormat="1" applyFill="1" applyBorder="1"/>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8"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5" xfId="0" applyFont="1" applyFill="1" applyBorder="1" applyAlignment="1">
      <alignment horizontal="center" vertical="center"/>
    </xf>
    <xf numFmtId="0" fontId="6" fillId="5" borderId="6" xfId="0" applyFont="1" applyFill="1" applyBorder="1" applyAlignment="1">
      <alignment horizontal="center" vertical="center"/>
    </xf>
    <xf numFmtId="0" fontId="6" fillId="5" borderId="2"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3" fillId="0" borderId="0" xfId="0" applyFont="1" applyBorder="1" applyAlignment="1">
      <alignment vertical="center"/>
    </xf>
    <xf numFmtId="0" fontId="0" fillId="0" borderId="0" xfId="0" applyBorder="1"/>
    <xf numFmtId="14" fontId="0" fillId="0" borderId="1" xfId="0" applyNumberFormat="1" applyBorder="1" applyAlignment="1">
      <alignment horizontal="center"/>
    </xf>
    <xf numFmtId="169" fontId="16" fillId="0" borderId="1" xfId="0" applyNumberFormat="1" applyFont="1" applyBorder="1" applyAlignment="1">
      <alignment horizontal="center" wrapText="1"/>
    </xf>
    <xf numFmtId="0" fontId="0" fillId="0" borderId="1" xfId="0" applyFill="1" applyBorder="1"/>
  </cellXfs>
  <cellStyles count="2">
    <cellStyle name="Moneda" xfId="1" builtinId="4"/>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F75B5"/>
      <rgbColor rgb="FFADB9CA"/>
      <rgbColor rgb="FF808080"/>
      <rgbColor rgb="FF9999FF"/>
      <rgbColor rgb="FF7030A0"/>
      <rgbColor rgb="FFF2CEEF"/>
      <rgbColor rgb="FFC0E6F5"/>
      <rgbColor rgb="FF660066"/>
      <rgbColor rgb="FFF7C7AC"/>
      <rgbColor rgb="FF0563C1"/>
      <rgbColor rgb="FFD0D0D0"/>
      <rgbColor rgb="FF000080"/>
      <rgbColor rgb="FFFF00FF"/>
      <rgbColor rgb="FFFFFF00"/>
      <rgbColor rgb="FF00FFFF"/>
      <rgbColor rgb="FF800080"/>
      <rgbColor rgb="FF800000"/>
      <rgbColor rgb="FF008080"/>
      <rgbColor rgb="FF0000FF"/>
      <rgbColor rgb="FF00B0F0"/>
      <rgbColor rgb="FFD9D9D9"/>
      <rgbColor rgb="FFDBDBDB"/>
      <rgbColor rgb="FFFFE699"/>
      <rgbColor rgb="FF9DC3E6"/>
      <rgbColor rgb="FFF1ABE9"/>
      <rgbColor rgb="FFD0CECE"/>
      <rgbColor rgb="FFF8CBAD"/>
      <rgbColor rgb="FF2E75B6"/>
      <rgbColor rgb="FF33CCCC"/>
      <rgbColor rgb="FF70AD47"/>
      <rgbColor rgb="FFFFD966"/>
      <rgbColor rgb="FFFF9900"/>
      <rgbColor rgb="FFC55A11"/>
      <rgbColor rgb="FF467886"/>
      <rgbColor rgb="FF8497B0"/>
      <rgbColor rgb="FF003366"/>
      <rgbColor rgb="FF4EA72E"/>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10</xdr:col>
      <xdr:colOff>343292</xdr:colOff>
      <xdr:row>29</xdr:row>
      <xdr:rowOff>15240</xdr:rowOff>
    </xdr:to>
    <xdr:pic>
      <xdr:nvPicPr>
        <xdr:cNvPr id="4" name="Imagen 3">
          <a:extLst>
            <a:ext uri="{FF2B5EF4-FFF2-40B4-BE49-F238E27FC236}">
              <a16:creationId xmlns:a16="http://schemas.microsoft.com/office/drawing/2014/main" id="{06B9327C-237C-E44A-E86F-25900F96E4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75260"/>
          <a:ext cx="7757552" cy="49225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0"/>
  <sheetViews>
    <sheetView zoomScaleNormal="100" workbookViewId="0">
      <selection activeCell="N5" sqref="N5"/>
    </sheetView>
  </sheetViews>
  <sheetFormatPr baseColWidth="10" defaultColWidth="9.109375" defaultRowHeight="14.4" x14ac:dyDescent="0.3"/>
  <cols>
    <col min="1" max="1" width="26.109375" customWidth="1"/>
  </cols>
  <sheetData>
    <row r="1" spans="1:30" ht="14.25" customHeight="1" x14ac:dyDescent="0.3">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row>
    <row r="2" spans="1:30" ht="14.25" customHeight="1" x14ac:dyDescent="0.3">
      <c r="B2" s="6"/>
      <c r="C2" s="6"/>
      <c r="D2" s="6"/>
      <c r="E2" s="6"/>
      <c r="F2" s="6"/>
      <c r="G2" s="6"/>
      <c r="H2" s="6"/>
      <c r="I2" s="6"/>
      <c r="J2" s="6"/>
      <c r="K2" s="6"/>
      <c r="L2" s="6"/>
      <c r="M2" s="6"/>
      <c r="N2" s="6"/>
      <c r="O2" s="6"/>
      <c r="P2" s="6"/>
      <c r="Q2" s="6"/>
      <c r="R2" s="6"/>
      <c r="S2" s="6"/>
      <c r="T2" s="6"/>
      <c r="U2" s="6"/>
      <c r="V2" s="6"/>
      <c r="W2" s="6"/>
      <c r="X2" s="6"/>
      <c r="Y2" s="6"/>
      <c r="Z2" s="6"/>
      <c r="AA2" s="6"/>
      <c r="AB2" s="6"/>
      <c r="AC2" s="6"/>
      <c r="AD2" s="6"/>
    </row>
    <row r="3" spans="1:30" ht="14.25" customHeight="1"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row>
    <row r="4" spans="1:30" ht="14.25" customHeight="1"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row>
    <row r="5" spans="1:30" ht="14.25" customHeight="1" x14ac:dyDescent="0.3">
      <c r="A5" s="6"/>
      <c r="B5" s="6"/>
      <c r="C5" s="6"/>
      <c r="D5" s="6"/>
      <c r="E5" s="6"/>
      <c r="F5" s="6"/>
      <c r="G5" s="6"/>
      <c r="H5" s="6"/>
      <c r="I5" s="6"/>
      <c r="J5" s="6"/>
      <c r="K5" s="6"/>
      <c r="L5" s="6"/>
      <c r="M5" s="6"/>
      <c r="N5" s="6"/>
      <c r="O5" s="6"/>
      <c r="P5" s="6"/>
      <c r="Q5" s="6"/>
      <c r="R5" s="6"/>
      <c r="S5" s="6"/>
      <c r="T5" s="6"/>
      <c r="U5" s="6"/>
      <c r="V5" s="6"/>
      <c r="W5" s="6"/>
      <c r="X5" s="6"/>
      <c r="Y5" s="6"/>
      <c r="Z5" s="6"/>
      <c r="AA5" s="6"/>
      <c r="AB5" s="6"/>
      <c r="AC5" s="6"/>
      <c r="AD5" s="6"/>
    </row>
    <row r="6" spans="1:30" ht="14.25" customHeight="1"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row>
    <row r="7" spans="1:30" ht="14.25" customHeight="1"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row>
    <row r="8" spans="1:30" ht="14.25" customHeight="1"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row>
    <row r="9" spans="1:30" ht="14.25" customHeight="1"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row>
    <row r="10" spans="1:30" ht="14.25" customHeight="1"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row>
    <row r="11" spans="1:30" ht="14.25" customHeight="1"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row>
    <row r="12" spans="1:30" ht="14.25" customHeight="1"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row>
    <row r="13" spans="1:30" ht="14.25" customHeight="1"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row>
    <row r="14" spans="1:30" ht="14.25" customHeight="1"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row>
    <row r="15" spans="1:30" ht="14.25" customHeight="1"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row>
    <row r="16" spans="1:30" ht="14.25" customHeight="1"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row>
    <row r="17" spans="1:30" ht="14.25" customHeight="1"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row>
    <row r="18" spans="1:30" ht="14.25" customHeight="1"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row>
    <row r="19" spans="1:30" ht="14.25" customHeight="1"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row>
    <row r="20" spans="1:30" ht="14.25" customHeight="1"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row>
    <row r="21" spans="1:30" ht="14.25" customHeight="1"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row>
    <row r="22" spans="1:30" ht="14.25" customHeight="1"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row>
    <row r="23" spans="1:30" ht="14.25" customHeight="1"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row>
    <row r="24" spans="1:30" ht="14.25" customHeight="1"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row>
    <row r="25" spans="1:30" ht="14.25" customHeight="1"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row>
    <row r="26" spans="1:30" ht="14.25" customHeight="1"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row>
    <row r="27" spans="1:30" ht="14.25" customHeight="1"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row>
    <row r="28" spans="1:30" ht="14.25" customHeight="1"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row>
    <row r="29" spans="1:30" ht="14.25" customHeight="1"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row>
    <row r="30" spans="1:30" ht="14.25" customHeight="1"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row>
    <row r="31" spans="1:30" ht="14.25" customHeight="1"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row>
    <row r="32" spans="1:30" ht="14.25" customHeight="1"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row>
    <row r="33" spans="1:30" ht="14.25" customHeight="1"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row>
    <row r="34" spans="1:30" ht="14.25" customHeight="1"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row>
    <row r="35" spans="1:30" ht="14.25" customHeight="1"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row>
    <row r="36" spans="1:30" ht="14.25" customHeight="1"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row>
    <row r="37" spans="1:30" ht="14.25" customHeight="1"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row>
    <row r="38" spans="1:30" ht="14.25" customHeight="1"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row>
    <row r="39" spans="1:30" ht="14.25" customHeight="1"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row>
    <row r="40" spans="1:30" ht="14.25" customHeight="1"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row>
    <row r="41" spans="1:30" ht="14.25" customHeight="1"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row>
    <row r="42" spans="1:30" ht="14.25" customHeight="1"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row>
    <row r="43" spans="1:30" ht="14.25" customHeight="1"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row>
    <row r="44" spans="1:30" ht="14.25" customHeight="1"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row>
    <row r="45" spans="1:30" ht="14.25" customHeight="1"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row>
    <row r="46" spans="1:30" ht="14.25" customHeight="1"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row>
    <row r="47" spans="1:30" ht="14.25" customHeight="1"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row>
    <row r="48" spans="1:30" ht="14.25" customHeight="1"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row>
    <row r="49" spans="1:30" ht="14.25" customHeight="1"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row>
    <row r="50" spans="1:30" ht="14.25" customHeight="1"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row>
  </sheetData>
  <hyperlinks>
    <hyperlink ref="A1" location="'Objetos de Dominio'!A1" display="Ir a objetos de dominio &gt;&gt;&gt;&gt;" xr:uid="{00000000-0004-0000-0000-000000000000}"/>
  </hyperlinks>
  <pageMargins left="0.7" right="0.7" top="0.75" bottom="0.75"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
  <sheetViews>
    <sheetView tabSelected="1" topLeftCell="A11" zoomScaleNormal="100" workbookViewId="0">
      <selection activeCell="I14" sqref="I14"/>
    </sheetView>
  </sheetViews>
  <sheetFormatPr baseColWidth="10" defaultColWidth="10.6640625" defaultRowHeight="14.4" x14ac:dyDescent="0.3"/>
  <cols>
    <col min="1" max="1" width="27" customWidth="1"/>
    <col min="2" max="2" width="48.33203125" customWidth="1"/>
    <col min="3" max="3" width="12.5546875" customWidth="1"/>
    <col min="4" max="4" width="13.33203125" customWidth="1"/>
    <col min="5" max="5" width="19.44140625" customWidth="1"/>
  </cols>
  <sheetData>
    <row r="1" spans="1:6" ht="14.25" customHeight="1" x14ac:dyDescent="0.3">
      <c r="A1" s="5" t="s">
        <v>1</v>
      </c>
    </row>
    <row r="2" spans="1:6" ht="14.25" customHeight="1" x14ac:dyDescent="0.3">
      <c r="A2" s="7" t="s">
        <v>2</v>
      </c>
      <c r="B2" s="7" t="s">
        <v>3</v>
      </c>
      <c r="C2" s="7" t="s">
        <v>4</v>
      </c>
      <c r="D2" s="7" t="s">
        <v>5</v>
      </c>
      <c r="E2" s="7" t="s">
        <v>6</v>
      </c>
      <c r="F2" s="169"/>
    </row>
    <row r="3" spans="1:6" ht="45" customHeight="1" x14ac:dyDescent="0.3">
      <c r="A3" s="8" t="s">
        <v>7</v>
      </c>
      <c r="B3" s="9" t="s">
        <v>8</v>
      </c>
      <c r="C3" s="10">
        <v>1</v>
      </c>
      <c r="D3" s="11" t="s">
        <v>9</v>
      </c>
      <c r="E3" s="11" t="s">
        <v>10</v>
      </c>
      <c r="F3" s="170"/>
    </row>
    <row r="4" spans="1:6" ht="60" customHeight="1" x14ac:dyDescent="0.3">
      <c r="A4" s="8" t="s">
        <v>11</v>
      </c>
      <c r="B4" s="12" t="s">
        <v>12</v>
      </c>
      <c r="C4" s="8">
        <v>1</v>
      </c>
      <c r="D4" s="11" t="s">
        <v>9</v>
      </c>
      <c r="E4" s="11" t="s">
        <v>10</v>
      </c>
      <c r="F4" s="170"/>
    </row>
    <row r="5" spans="1:6" ht="45" customHeight="1" x14ac:dyDescent="0.3">
      <c r="A5" s="8" t="s">
        <v>13</v>
      </c>
      <c r="B5" s="12" t="s">
        <v>14</v>
      </c>
      <c r="C5" s="8">
        <v>1</v>
      </c>
      <c r="D5" s="11" t="s">
        <v>9</v>
      </c>
      <c r="E5" s="11" t="s">
        <v>10</v>
      </c>
      <c r="F5" s="170"/>
    </row>
    <row r="6" spans="1:6" ht="75" customHeight="1" x14ac:dyDescent="0.3">
      <c r="A6" s="8" t="s">
        <v>15</v>
      </c>
      <c r="B6" s="12" t="s">
        <v>16</v>
      </c>
      <c r="C6" s="8">
        <v>1</v>
      </c>
      <c r="D6" s="11" t="s">
        <v>9</v>
      </c>
      <c r="E6" s="11" t="s">
        <v>10</v>
      </c>
      <c r="F6" s="170"/>
    </row>
    <row r="7" spans="1:6" ht="45" customHeight="1" x14ac:dyDescent="0.3">
      <c r="A7" s="8" t="s">
        <v>17</v>
      </c>
      <c r="B7" s="12" t="s">
        <v>18</v>
      </c>
      <c r="C7" s="8">
        <v>1</v>
      </c>
      <c r="D7" s="11" t="s">
        <v>9</v>
      </c>
      <c r="E7" s="11" t="s">
        <v>10</v>
      </c>
      <c r="F7" s="170"/>
    </row>
    <row r="8" spans="1:6" ht="30" customHeight="1" x14ac:dyDescent="0.3">
      <c r="A8" s="8" t="s">
        <v>19</v>
      </c>
      <c r="B8" s="12" t="s">
        <v>20</v>
      </c>
      <c r="C8" s="8">
        <v>1</v>
      </c>
      <c r="D8" s="11" t="s">
        <v>9</v>
      </c>
      <c r="E8" s="11" t="s">
        <v>10</v>
      </c>
      <c r="F8" s="170"/>
    </row>
    <row r="9" spans="1:6" ht="49.5" customHeight="1" x14ac:dyDescent="0.3">
      <c r="A9" s="8" t="s">
        <v>21</v>
      </c>
      <c r="B9" s="12" t="s">
        <v>22</v>
      </c>
      <c r="C9" s="8">
        <v>2</v>
      </c>
      <c r="D9" s="11" t="s">
        <v>9</v>
      </c>
      <c r="E9" s="11" t="s">
        <v>10</v>
      </c>
      <c r="F9" s="170"/>
    </row>
    <row r="10" spans="1:6" ht="45" customHeight="1" x14ac:dyDescent="0.3">
      <c r="A10" s="8" t="s">
        <v>23</v>
      </c>
      <c r="B10" s="12" t="s">
        <v>24</v>
      </c>
      <c r="C10" s="8">
        <v>2</v>
      </c>
      <c r="D10" s="11" t="s">
        <v>9</v>
      </c>
      <c r="E10" s="11" t="s">
        <v>10</v>
      </c>
      <c r="F10" s="170"/>
    </row>
    <row r="11" spans="1:6" ht="45" customHeight="1" x14ac:dyDescent="0.3">
      <c r="A11" s="8" t="s">
        <v>25</v>
      </c>
      <c r="B11" s="12" t="s">
        <v>26</v>
      </c>
      <c r="C11" s="8">
        <v>2</v>
      </c>
      <c r="D11" s="11" t="s">
        <v>9</v>
      </c>
      <c r="E11" s="11" t="s">
        <v>10</v>
      </c>
      <c r="F11" s="170"/>
    </row>
    <row r="12" spans="1:6" ht="60" customHeight="1" x14ac:dyDescent="0.3">
      <c r="A12" s="8" t="s">
        <v>27</v>
      </c>
      <c r="B12" s="12" t="s">
        <v>28</v>
      </c>
      <c r="C12" s="8">
        <v>3</v>
      </c>
      <c r="D12" s="11" t="s">
        <v>9</v>
      </c>
      <c r="E12" s="11" t="s">
        <v>10</v>
      </c>
      <c r="F12" s="170"/>
    </row>
    <row r="13" spans="1:6" ht="45" customHeight="1" x14ac:dyDescent="0.3">
      <c r="A13" s="8" t="s">
        <v>29</v>
      </c>
      <c r="B13" s="12" t="s">
        <v>30</v>
      </c>
      <c r="C13" s="8">
        <v>3</v>
      </c>
      <c r="D13" s="11" t="s">
        <v>9</v>
      </c>
      <c r="E13" s="11" t="s">
        <v>10</v>
      </c>
      <c r="F13" s="170"/>
    </row>
    <row r="14" spans="1:6" ht="60" customHeight="1" x14ac:dyDescent="0.3">
      <c r="A14" s="8" t="s">
        <v>31</v>
      </c>
      <c r="B14" s="12" t="s">
        <v>32</v>
      </c>
      <c r="C14" s="8">
        <v>4</v>
      </c>
      <c r="D14" s="11" t="s">
        <v>9</v>
      </c>
      <c r="E14" s="11" t="s">
        <v>10</v>
      </c>
      <c r="F14" s="170"/>
    </row>
    <row r="15" spans="1:6" ht="60" customHeight="1" x14ac:dyDescent="0.3">
      <c r="A15" s="8" t="s">
        <v>402</v>
      </c>
      <c r="B15" s="12"/>
      <c r="C15" s="8">
        <v>4</v>
      </c>
      <c r="D15" s="173" t="s">
        <v>9</v>
      </c>
      <c r="E15" s="173" t="s">
        <v>10</v>
      </c>
      <c r="F15" s="170"/>
    </row>
    <row r="16" spans="1:6" ht="60" customHeight="1" x14ac:dyDescent="0.3">
      <c r="A16" s="8" t="s">
        <v>33</v>
      </c>
      <c r="B16" s="12" t="s">
        <v>34</v>
      </c>
      <c r="C16" s="8">
        <v>5</v>
      </c>
      <c r="D16" s="13" t="s">
        <v>9</v>
      </c>
      <c r="E16" s="13" t="s">
        <v>10</v>
      </c>
      <c r="F16" s="170"/>
    </row>
    <row r="17" spans="1:6" ht="60" customHeight="1" x14ac:dyDescent="0.3">
      <c r="A17" s="8" t="s">
        <v>35</v>
      </c>
      <c r="B17" s="12" t="s">
        <v>36</v>
      </c>
      <c r="C17" s="8">
        <v>5</v>
      </c>
      <c r="D17" s="11" t="s">
        <v>9</v>
      </c>
      <c r="E17" s="11" t="s">
        <v>10</v>
      </c>
      <c r="F17" s="170"/>
    </row>
    <row r="18" spans="1:6" ht="75" customHeight="1" x14ac:dyDescent="0.3">
      <c r="A18" s="8" t="s">
        <v>37</v>
      </c>
      <c r="B18" s="12" t="s">
        <v>38</v>
      </c>
      <c r="C18" s="8">
        <v>6</v>
      </c>
      <c r="D18" s="11" t="s">
        <v>9</v>
      </c>
      <c r="E18" s="11" t="s">
        <v>10</v>
      </c>
      <c r="F18" s="170"/>
    </row>
    <row r="19" spans="1:6" ht="60" customHeight="1" x14ac:dyDescent="0.3">
      <c r="A19" s="8" t="s">
        <v>39</v>
      </c>
      <c r="B19" s="12" t="s">
        <v>40</v>
      </c>
      <c r="C19" s="8">
        <v>6</v>
      </c>
      <c r="D19" s="11" t="s">
        <v>9</v>
      </c>
      <c r="E19" s="11" t="s">
        <v>10</v>
      </c>
      <c r="F19" s="170"/>
    </row>
  </sheetData>
  <hyperlinks>
    <hyperlink ref="A1" location="'Modelo de Dominio'!A1" display="&lt;&lt;&lt;&lt; Ir al modulo de dominio" xr:uid="{00000000-0004-0000-0100-000000000000}"/>
    <hyperlink ref="D3" location="'M-DiaSemana'!A3" display="Ir al muestreo" xr:uid="{00000000-0004-0000-0100-000001000000}"/>
    <hyperlink ref="E3" location="'C-DiaSemana'!A3" display="Ir a la caracterización" xr:uid="{00000000-0004-0000-0100-000002000000}"/>
    <hyperlink ref="D4" location="'M-Estado'!A3" display="Ir al muestreo" xr:uid="{00000000-0004-0000-0100-000003000000}"/>
    <hyperlink ref="E4" location="'C-Estado'!A3" display="Ir a la caracterización" xr:uid="{00000000-0004-0000-0100-000004000000}"/>
    <hyperlink ref="D5" location="'M-Servicio'!A3" display="Ir al muestreo" xr:uid="{00000000-0004-0000-0100-000005000000}"/>
    <hyperlink ref="E5" location="'C-Servicio'!A3" display="Ir a la caracterización" xr:uid="{00000000-0004-0000-0100-000006000000}"/>
    <hyperlink ref="D6" location="'M-Regla'!A3" display="Ir al muestreo" xr:uid="{00000000-0004-0000-0100-000007000000}"/>
    <hyperlink ref="E6" location="'C-Regla'!A3" display="Ir a la caracterización" xr:uid="{00000000-0004-0000-0100-000008000000}"/>
    <hyperlink ref="D7" location="'M-PrefijoCelular'!A3" display="Ir al muestreo" xr:uid="{00000000-0004-0000-0100-000009000000}"/>
    <hyperlink ref="E7" location="'C-PrefijoCelular'!A3" display="Ir a la caracterización" xr:uid="{00000000-0004-0000-0100-00000A000000}"/>
    <hyperlink ref="D8" location="'M-TipoMulta'!A3" display="Ir al muestreo" xr:uid="{00000000-0004-0000-0100-00000B000000}"/>
    <hyperlink ref="E8" location="'C-TipoMulta'!A3" display="Ir a la caracterización" xr:uid="{00000000-0004-0000-0100-00000C000000}"/>
    <hyperlink ref="D9" location="'M-Barbero'!A3" display="Ir al muestreo" xr:uid="{00000000-0004-0000-0100-00000D000000}"/>
    <hyperlink ref="E9" location="'C-Barbero'!A3" display="Ir a la caracterización" xr:uid="{00000000-0004-0000-0100-00000E000000}"/>
    <hyperlink ref="D10" location="'M-Cliente'!A3" display="Ir al muestreo" xr:uid="{00000000-0004-0000-0100-00000F000000}"/>
    <hyperlink ref="E10" location="'C-Cliente'!A3" display="Ir a la caracterización" xr:uid="{00000000-0004-0000-0100-000010000000}"/>
    <hyperlink ref="D11" location="'M-HorarioBarberia'!A3" display="Ir al muestreo" xr:uid="{00000000-0004-0000-0100-000011000000}"/>
    <hyperlink ref="E11" location="'C-HorarioBarberia'!A3" display="Ir a la caracterización" xr:uid="{00000000-0004-0000-0100-000012000000}"/>
    <hyperlink ref="D12" location="'M-BarberoServicio'!A3" display="Ir al muestreo" xr:uid="{00000000-0004-0000-0100-000013000000}"/>
    <hyperlink ref="E12" location="'C-BarberoServicio'!A3" display="Ir a la caracterización" xr:uid="{00000000-0004-0000-0100-000014000000}"/>
    <hyperlink ref="D13" location="'M-HorarioBarbero'!A3" display="Ir al muestreo" xr:uid="{00000000-0004-0000-0100-000015000000}"/>
    <hyperlink ref="E13" location="'C-HorarioBarbero'!A3" display="Ir a la caracterización" xr:uid="{00000000-0004-0000-0100-000016000000}"/>
    <hyperlink ref="D14" location="'M-Agenda'!A3" display="Ir al muestreo" xr:uid="{00000000-0004-0000-0100-000017000000}"/>
    <hyperlink ref="E14" location="'C-Agenda'!A3" display="Ir a la caracterización" xr:uid="{00000000-0004-0000-0100-000018000000}"/>
    <hyperlink ref="D16" location="'M-Bloqueo'!A3" display="Ir al muestreo" xr:uid="{00000000-0004-0000-0100-000019000000}"/>
    <hyperlink ref="E16" location="'C-Bloqueo'!A3" display="Ir a la caracterización" xr:uid="{00000000-0004-0000-0100-00001A000000}"/>
    <hyperlink ref="D17" location="'M-Cita'!A3" display="Ir al muestreo" xr:uid="{00000000-0004-0000-0100-00001B000000}"/>
    <hyperlink ref="E17" location="'C-Cita'!A3" display="Ir a la caracterización" xr:uid="{00000000-0004-0000-0100-00001C000000}"/>
    <hyperlink ref="D18" location="'M-CitaServicio'!A3" display="Ir al muestreo" xr:uid="{00000000-0004-0000-0100-00001D000000}"/>
    <hyperlink ref="E18" location="'C-CitaServicio'!A3" display="Ir a la caracterización" xr:uid="{00000000-0004-0000-0100-00001E000000}"/>
    <hyperlink ref="D19" location="'M-Multa'!A3" display="Ir al muestreo" xr:uid="{00000000-0004-0000-0100-00001F000000}"/>
    <hyperlink ref="E19" location="'C-Multa'!A3" display="Ir a la caracterización" xr:uid="{00000000-0004-0000-0100-000020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
  <sheetViews>
    <sheetView zoomScaleNormal="100" workbookViewId="0">
      <selection activeCell="C9" sqref="C9"/>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7.664062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5" t="s">
        <v>1</v>
      </c>
      <c r="B1" s="5" t="s">
        <v>41</v>
      </c>
    </row>
    <row r="2" spans="1:21" s="16" customFormat="1" ht="15" customHeight="1" x14ac:dyDescent="0.3">
      <c r="A2" s="14" t="s">
        <v>42</v>
      </c>
      <c r="B2" s="15" t="s">
        <v>43</v>
      </c>
      <c r="C2" s="14" t="s">
        <v>44</v>
      </c>
      <c r="D2" s="14" t="s">
        <v>45</v>
      </c>
      <c r="E2" s="14" t="s">
        <v>46</v>
      </c>
      <c r="F2" s="14" t="s">
        <v>47</v>
      </c>
      <c r="G2" s="14" t="s">
        <v>48</v>
      </c>
      <c r="H2" s="14" t="s">
        <v>49</v>
      </c>
      <c r="I2" s="14" t="s">
        <v>50</v>
      </c>
      <c r="J2" s="14" t="s">
        <v>51</v>
      </c>
      <c r="K2" s="14" t="s">
        <v>52</v>
      </c>
      <c r="L2" s="14" t="s">
        <v>53</v>
      </c>
      <c r="M2" s="15" t="s">
        <v>54</v>
      </c>
      <c r="N2" s="14" t="s">
        <v>55</v>
      </c>
      <c r="O2" s="14" t="s">
        <v>56</v>
      </c>
      <c r="P2" s="14" t="s">
        <v>57</v>
      </c>
      <c r="Q2" s="14" t="s">
        <v>58</v>
      </c>
      <c r="R2" s="14" t="s">
        <v>59</v>
      </c>
      <c r="S2" s="14" t="s">
        <v>60</v>
      </c>
      <c r="T2" s="14" t="s">
        <v>61</v>
      </c>
      <c r="U2" s="14" t="s">
        <v>62</v>
      </c>
    </row>
    <row r="3" spans="1:21" ht="45" customHeight="1" x14ac:dyDescent="0.3">
      <c r="A3" s="17" t="str">
        <f>'M-DiaSemana'!A3</f>
        <v>id</v>
      </c>
      <c r="B3" s="18" t="str">
        <f>'M-DiaSemana'!A2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7" t="s">
        <v>65</v>
      </c>
      <c r="N3" s="17" t="s">
        <v>66</v>
      </c>
      <c r="O3" s="17" t="s">
        <v>65</v>
      </c>
      <c r="P3" s="17" t="s">
        <v>65</v>
      </c>
      <c r="Q3" s="17" t="s">
        <v>65</v>
      </c>
      <c r="R3" s="17" t="s">
        <v>65</v>
      </c>
      <c r="S3" s="17" t="s">
        <v>66</v>
      </c>
      <c r="T3" s="17" t="s">
        <v>67</v>
      </c>
      <c r="U3" s="17" t="s">
        <v>63</v>
      </c>
    </row>
    <row r="4" spans="1:21" ht="45" customHeight="1" x14ac:dyDescent="0.3">
      <c r="A4" s="17" t="str">
        <f>'M-DiaSemana'!B3</f>
        <v>nombre</v>
      </c>
      <c r="B4" s="18" t="str">
        <f>'M-DiaSemana'!B2</f>
        <v>Representa como se llama el dia de la semana, para los horarios</v>
      </c>
      <c r="C4" s="17" t="s">
        <v>66</v>
      </c>
      <c r="D4" s="17" t="s">
        <v>68</v>
      </c>
      <c r="E4" s="17" t="s">
        <v>63</v>
      </c>
      <c r="F4" s="17">
        <v>5</v>
      </c>
      <c r="G4" s="17">
        <v>9</v>
      </c>
      <c r="H4" s="17" t="s">
        <v>65</v>
      </c>
      <c r="I4" s="17" t="s">
        <v>65</v>
      </c>
      <c r="J4" s="17" t="s">
        <v>65</v>
      </c>
      <c r="K4" s="17" t="s">
        <v>65</v>
      </c>
      <c r="L4" s="17" t="s">
        <v>65</v>
      </c>
      <c r="M4" s="18" t="s">
        <v>69</v>
      </c>
      <c r="N4" s="17" t="s">
        <v>66</v>
      </c>
      <c r="O4" s="17" t="s">
        <v>65</v>
      </c>
      <c r="P4" s="17" t="s">
        <v>65</v>
      </c>
      <c r="Q4" s="17" t="s">
        <v>63</v>
      </c>
      <c r="R4" s="17" t="s">
        <v>63</v>
      </c>
      <c r="S4" s="17" t="s">
        <v>66</v>
      </c>
      <c r="T4" s="17" t="s">
        <v>70</v>
      </c>
      <c r="U4" s="17" t="s">
        <v>66</v>
      </c>
    </row>
    <row r="6" spans="1:21" ht="15" customHeight="1" x14ac:dyDescent="0.3">
      <c r="A6" s="19" t="s">
        <v>71</v>
      </c>
      <c r="B6" s="19" t="s">
        <v>72</v>
      </c>
      <c r="C6" s="19" t="s">
        <v>73</v>
      </c>
    </row>
    <row r="7" spans="1:21" ht="45" customHeight="1" x14ac:dyDescent="0.3">
      <c r="A7" s="2" t="str">
        <f>'M-DiaSemana'!C3</f>
        <v xml:space="preserve">Combinación única </v>
      </c>
      <c r="B7" s="1" t="str">
        <f>'M-DiaSemana'!C2</f>
        <v>Combinacion única que indica que no puede existir más un dia de la semana con el mismo nombre</v>
      </c>
      <c r="C7" s="20" t="s">
        <v>74</v>
      </c>
    </row>
  </sheetData>
  <hyperlinks>
    <hyperlink ref="A1" location="'Modelo de Dominio'!A1" display="&lt;&lt;&lt;&lt; Ir al modulo de dominio" xr:uid="{00000000-0004-0000-0200-000000000000}"/>
    <hyperlink ref="B1" location="'Objetos de Dominio'!A1" display="&lt;&lt;&lt;&lt; Ir a objetos de dominio" xr:uid="{00000000-0004-0000-0200-000001000000}"/>
    <hyperlink ref="A3" location="'M-DiaSemana'!A3" display="#'M-DiaSemana'.A3" xr:uid="{00000000-0004-0000-0200-000002000000}"/>
    <hyperlink ref="B3" location="'M-DiaSemana'!A2" display="#'M-DiaSemana'.A2" xr:uid="{00000000-0004-0000-0200-000003000000}"/>
    <hyperlink ref="A4" location="'M-DiaSemana'!A3" display="#'M-DiaSemana'.A3" xr:uid="{00000000-0004-0000-0200-000004000000}"/>
    <hyperlink ref="B4" location="'M-DiaSemana'!A2" display="#'M-DiaSemana'.A2" xr:uid="{00000000-0004-0000-0200-000005000000}"/>
    <hyperlink ref="A7" location="'M-DiaSemana'!A3" display="#'M-DiaSemana'.A3" xr:uid="{00000000-0004-0000-0200-000006000000}"/>
    <hyperlink ref="B7" location="'M-DiaSemana'!A2" display="#'M-DiaSemana'.A2" xr:uid="{00000000-0004-0000-0200-000007000000}"/>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0"/>
  <sheetViews>
    <sheetView zoomScale="130" zoomScaleNormal="130" workbookViewId="0">
      <selection activeCell="B1" sqref="B1"/>
    </sheetView>
  </sheetViews>
  <sheetFormatPr baseColWidth="10" defaultColWidth="10.6640625" defaultRowHeight="14.4" x14ac:dyDescent="0.3"/>
  <cols>
    <col min="1" max="1" width="27" customWidth="1"/>
    <col min="2" max="2" width="26.109375" customWidth="1"/>
    <col min="3" max="3" width="21.6640625" customWidth="1"/>
  </cols>
  <sheetData>
    <row r="1" spans="1:3" ht="14.25" customHeight="1" x14ac:dyDescent="0.3">
      <c r="A1" s="5" t="s">
        <v>1</v>
      </c>
      <c r="B1" s="5" t="s">
        <v>41</v>
      </c>
    </row>
    <row r="2" spans="1:3" ht="32.25" customHeight="1" x14ac:dyDescent="0.3">
      <c r="A2" s="21" t="s">
        <v>75</v>
      </c>
      <c r="B2" s="21" t="s">
        <v>76</v>
      </c>
      <c r="C2" s="22" t="s">
        <v>77</v>
      </c>
    </row>
    <row r="3" spans="1:3" ht="14.25" customHeight="1" x14ac:dyDescent="0.3">
      <c r="A3" s="23" t="s">
        <v>78</v>
      </c>
      <c r="B3" s="24" t="s">
        <v>74</v>
      </c>
      <c r="C3" s="25" t="s">
        <v>79</v>
      </c>
    </row>
    <row r="4" spans="1:3" ht="14.25" customHeight="1" x14ac:dyDescent="0.3">
      <c r="A4" s="26">
        <v>1</v>
      </c>
      <c r="B4" s="27" t="s">
        <v>80</v>
      </c>
      <c r="C4" s="27" t="str">
        <f t="shared" ref="C4:C11" si="0">B4</f>
        <v>Lunes</v>
      </c>
    </row>
    <row r="5" spans="1:3" ht="14.25" customHeight="1" x14ac:dyDescent="0.3">
      <c r="A5" s="26">
        <v>2</v>
      </c>
      <c r="B5" s="26" t="s">
        <v>81</v>
      </c>
      <c r="C5" s="27" t="str">
        <f t="shared" si="0"/>
        <v>Martes</v>
      </c>
    </row>
    <row r="6" spans="1:3" ht="14.25" customHeight="1" x14ac:dyDescent="0.3">
      <c r="A6" s="26">
        <v>3</v>
      </c>
      <c r="B6" s="27" t="s">
        <v>82</v>
      </c>
      <c r="C6" s="27" t="str">
        <f t="shared" si="0"/>
        <v>Miércoles</v>
      </c>
    </row>
    <row r="7" spans="1:3" ht="14.25" customHeight="1" x14ac:dyDescent="0.3">
      <c r="A7" s="26">
        <v>4</v>
      </c>
      <c r="B7" s="26" t="s">
        <v>83</v>
      </c>
      <c r="C7" s="27" t="str">
        <f t="shared" si="0"/>
        <v>Jueves</v>
      </c>
    </row>
    <row r="8" spans="1:3" ht="14.25" customHeight="1" x14ac:dyDescent="0.3">
      <c r="A8" s="26">
        <v>5</v>
      </c>
      <c r="B8" s="27" t="s">
        <v>84</v>
      </c>
      <c r="C8" s="27" t="str">
        <f t="shared" si="0"/>
        <v>Viernes</v>
      </c>
    </row>
    <row r="9" spans="1:3" ht="14.25" customHeight="1" x14ac:dyDescent="0.3">
      <c r="A9" s="26">
        <v>6</v>
      </c>
      <c r="B9" s="26" t="s">
        <v>85</v>
      </c>
      <c r="C9" s="27" t="str">
        <f t="shared" si="0"/>
        <v>Sábado</v>
      </c>
    </row>
    <row r="10" spans="1:3" ht="14.25" customHeight="1" x14ac:dyDescent="0.3">
      <c r="A10" s="26">
        <v>7</v>
      </c>
      <c r="B10" s="27" t="s">
        <v>86</v>
      </c>
      <c r="C10" s="27" t="str">
        <f t="shared" si="0"/>
        <v>Domingo</v>
      </c>
    </row>
    <row r="11" spans="1:3" ht="14.25" customHeight="1" x14ac:dyDescent="0.3">
      <c r="A11" s="26">
        <v>8</v>
      </c>
      <c r="B11" s="26" t="s">
        <v>87</v>
      </c>
      <c r="C11" s="27" t="str">
        <f t="shared" si="0"/>
        <v>Festivo</v>
      </c>
    </row>
    <row r="12" spans="1:3" ht="14.25" customHeight="1" x14ac:dyDescent="0.3">
      <c r="A12" s="28"/>
      <c r="B12" s="28"/>
    </row>
    <row r="13" spans="1:3" ht="14.25" customHeight="1" x14ac:dyDescent="0.3">
      <c r="A13" s="28"/>
      <c r="B13" s="28"/>
    </row>
    <row r="14" spans="1:3" ht="14.25" customHeight="1" x14ac:dyDescent="0.3">
      <c r="A14" s="28"/>
      <c r="B14" s="28"/>
    </row>
    <row r="15" spans="1:3" ht="14.25" customHeight="1" x14ac:dyDescent="0.3">
      <c r="A15" s="28"/>
      <c r="B15" s="28"/>
    </row>
    <row r="17" spans="1:2" ht="28.5" customHeight="1" x14ac:dyDescent="0.3">
      <c r="A17" s="29"/>
      <c r="B17" s="30" t="s">
        <v>88</v>
      </c>
    </row>
    <row r="18" spans="1:2" ht="28.5" customHeight="1" x14ac:dyDescent="0.3">
      <c r="A18" s="31"/>
      <c r="B18" s="30" t="s">
        <v>89</v>
      </c>
    </row>
    <row r="19" spans="1:2" ht="28.5" customHeight="1" x14ac:dyDescent="0.3">
      <c r="A19" s="32"/>
      <c r="B19" s="30" t="s">
        <v>90</v>
      </c>
    </row>
    <row r="20" spans="1:2" ht="28.5" customHeight="1" x14ac:dyDescent="0.3">
      <c r="A20" s="33"/>
      <c r="B20" s="30" t="s">
        <v>91</v>
      </c>
    </row>
  </sheetData>
  <hyperlinks>
    <hyperlink ref="A1" location="'Modelo de Dominio'!A1" display="&lt;&lt;&lt;&lt; Ir al modulo de dominio" xr:uid="{00000000-0004-0000-0300-000000000000}"/>
    <hyperlink ref="B1" location="'Objetos de Dominio'!A1" display="&lt;&lt;&lt;&lt; Ir a objetos de dominio" xr:uid="{00000000-0004-0000-0300-000001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
  <sheetViews>
    <sheetView topLeftCell="D1" zoomScaleNormal="100" workbookViewId="0">
      <selection activeCell="G25" sqref="G25"/>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26.6640625" customWidth="1"/>
    <col min="14" max="14" width="14.33203125"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5" t="s">
        <v>1</v>
      </c>
      <c r="B1" s="5" t="s">
        <v>41</v>
      </c>
    </row>
    <row r="2" spans="1:21" s="16" customFormat="1" ht="15" customHeight="1" x14ac:dyDescent="0.3">
      <c r="A2" s="14" t="s">
        <v>42</v>
      </c>
      <c r="B2" s="15" t="s">
        <v>43</v>
      </c>
      <c r="C2" s="14" t="s">
        <v>44</v>
      </c>
      <c r="D2" s="14" t="s">
        <v>45</v>
      </c>
      <c r="E2" s="14" t="s">
        <v>46</v>
      </c>
      <c r="F2" s="14" t="s">
        <v>47</v>
      </c>
      <c r="G2" s="14" t="s">
        <v>48</v>
      </c>
      <c r="H2" s="14" t="s">
        <v>49</v>
      </c>
      <c r="I2" s="14" t="s">
        <v>50</v>
      </c>
      <c r="J2" s="14" t="s">
        <v>51</v>
      </c>
      <c r="K2" s="14" t="s">
        <v>52</v>
      </c>
      <c r="L2" s="14" t="s">
        <v>53</v>
      </c>
      <c r="M2" s="15" t="s">
        <v>54</v>
      </c>
      <c r="N2" s="14" t="s">
        <v>55</v>
      </c>
      <c r="O2" s="14" t="s">
        <v>56</v>
      </c>
      <c r="P2" s="14" t="s">
        <v>57</v>
      </c>
      <c r="Q2" s="14" t="s">
        <v>58</v>
      </c>
      <c r="R2" s="14" t="s">
        <v>59</v>
      </c>
      <c r="S2" s="14" t="s">
        <v>60</v>
      </c>
      <c r="T2" s="14" t="s">
        <v>61</v>
      </c>
      <c r="U2" s="14" t="s">
        <v>62</v>
      </c>
    </row>
    <row r="3" spans="1:21" ht="45" customHeight="1" x14ac:dyDescent="0.3">
      <c r="A3" s="17" t="str">
        <f>'M-Estado'!A3</f>
        <v>id</v>
      </c>
      <c r="B3" s="18" t="str">
        <f>'M-Estado'!A2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7" t="s">
        <v>65</v>
      </c>
      <c r="N3" s="17" t="s">
        <v>66</v>
      </c>
      <c r="O3" s="17" t="s">
        <v>65</v>
      </c>
      <c r="P3" s="17" t="s">
        <v>65</v>
      </c>
      <c r="Q3" s="17" t="s">
        <v>65</v>
      </c>
      <c r="R3" s="17" t="s">
        <v>65</v>
      </c>
      <c r="S3" s="17" t="s">
        <v>65</v>
      </c>
      <c r="T3" s="17" t="s">
        <v>67</v>
      </c>
      <c r="U3" s="17" t="s">
        <v>63</v>
      </c>
    </row>
    <row r="4" spans="1:21" ht="45" customHeight="1" x14ac:dyDescent="0.3">
      <c r="A4" s="17" t="str">
        <f>'M-Estado'!B3</f>
        <v>nombre</v>
      </c>
      <c r="B4" s="18" t="str">
        <f>'M-Estado'!B2</f>
        <v>Representa como se llama el estado en el que se encuentra una cita puntual</v>
      </c>
      <c r="C4" s="17" t="s">
        <v>66</v>
      </c>
      <c r="D4" s="17" t="s">
        <v>68</v>
      </c>
      <c r="E4" s="17" t="s">
        <v>63</v>
      </c>
      <c r="F4" s="17">
        <v>4</v>
      </c>
      <c r="G4" s="17">
        <v>50</v>
      </c>
      <c r="H4" s="17" t="s">
        <v>65</v>
      </c>
      <c r="I4" s="17" t="s">
        <v>65</v>
      </c>
      <c r="J4" s="17" t="s">
        <v>65</v>
      </c>
      <c r="K4" s="17" t="s">
        <v>65</v>
      </c>
      <c r="L4" s="17" t="s">
        <v>65</v>
      </c>
      <c r="M4" s="18" t="s">
        <v>92</v>
      </c>
      <c r="N4" s="17" t="s">
        <v>66</v>
      </c>
      <c r="O4" s="17" t="s">
        <v>65</v>
      </c>
      <c r="P4" s="17" t="s">
        <v>65</v>
      </c>
      <c r="Q4" s="17" t="s">
        <v>63</v>
      </c>
      <c r="R4" s="17" t="s">
        <v>63</v>
      </c>
      <c r="S4" s="17" t="s">
        <v>66</v>
      </c>
      <c r="T4" s="17" t="s">
        <v>70</v>
      </c>
      <c r="U4" s="17" t="s">
        <v>66</v>
      </c>
    </row>
    <row r="5" spans="1:21" ht="60" customHeight="1" x14ac:dyDescent="0.3">
      <c r="A5" s="17" t="str">
        <f>'M-Estado'!C3</f>
        <v>descripcion</v>
      </c>
      <c r="B5" s="18" t="str">
        <f>'M-Estado'!C2</f>
        <v>Representa el significado de que representa cada estado para la cita</v>
      </c>
      <c r="C5" s="17" t="s">
        <v>66</v>
      </c>
      <c r="D5" s="17" t="s">
        <v>68</v>
      </c>
      <c r="E5" s="17" t="s">
        <v>63</v>
      </c>
      <c r="F5" s="17">
        <v>10</v>
      </c>
      <c r="G5" s="17">
        <v>300</v>
      </c>
      <c r="H5" s="17" t="s">
        <v>65</v>
      </c>
      <c r="I5" s="17" t="s">
        <v>65</v>
      </c>
      <c r="J5" s="17" t="s">
        <v>65</v>
      </c>
      <c r="K5" s="17" t="s">
        <v>65</v>
      </c>
      <c r="L5" s="17" t="s">
        <v>65</v>
      </c>
      <c r="M5" s="18" t="s">
        <v>93</v>
      </c>
      <c r="N5" s="17" t="s">
        <v>66</v>
      </c>
      <c r="O5" s="17" t="s">
        <v>65</v>
      </c>
      <c r="P5" s="17" t="s">
        <v>65</v>
      </c>
      <c r="Q5" s="17" t="s">
        <v>63</v>
      </c>
      <c r="R5" s="17" t="s">
        <v>63</v>
      </c>
      <c r="S5" s="17" t="s">
        <v>66</v>
      </c>
      <c r="T5" s="17" t="s">
        <v>70</v>
      </c>
      <c r="U5" s="17" t="s">
        <v>66</v>
      </c>
    </row>
    <row r="7" spans="1:21" ht="15" customHeight="1" x14ac:dyDescent="0.3">
      <c r="A7" s="19" t="s">
        <v>71</v>
      </c>
      <c r="B7" s="19" t="s">
        <v>72</v>
      </c>
      <c r="C7" s="19" t="s">
        <v>73</v>
      </c>
    </row>
    <row r="8" spans="1:21" ht="45" customHeight="1" x14ac:dyDescent="0.3">
      <c r="A8" s="2" t="str">
        <f>'M-Estado'!D3</f>
        <v xml:space="preserve">Combinación única </v>
      </c>
      <c r="B8" s="1" t="str">
        <f>'M-Estado'!D2</f>
        <v>Combinacion única que indica que no puede existir más un dia de la semana con el mismo nombre</v>
      </c>
      <c r="C8" s="20" t="s">
        <v>74</v>
      </c>
    </row>
  </sheetData>
  <hyperlinks>
    <hyperlink ref="A1" location="'Modelo de Dominio'!A1" display="&lt;&lt;&lt;&lt; Ir al modulo de dominio" xr:uid="{00000000-0004-0000-0400-000000000000}"/>
    <hyperlink ref="B1" location="'Objetos de Dominio'!A1" display="&lt;&lt;&lt;&lt; Ir a objetos de dominio" xr:uid="{00000000-0004-0000-0400-000001000000}"/>
    <hyperlink ref="A3" location="'M-Estado'!A3" display="#'M-Estado'.A3" xr:uid="{00000000-0004-0000-0400-000002000000}"/>
    <hyperlink ref="B3" location="'M-Estado'!A2" display="#'M-Estado'.A2" xr:uid="{00000000-0004-0000-0400-000003000000}"/>
    <hyperlink ref="A4" location="'M-Estado'!A3" display="#'M-Estado'.A3" xr:uid="{00000000-0004-0000-0400-000004000000}"/>
    <hyperlink ref="B4" location="'M-Estado'!A2" display="#'M-Estado'.A2" xr:uid="{00000000-0004-0000-0400-000005000000}"/>
    <hyperlink ref="A5" location="'M-Estado'!A3" display="#'M-Estado'.A3" xr:uid="{00000000-0004-0000-0400-000006000000}"/>
    <hyperlink ref="B5" location="'M-Estado'!A2" display="#'M-Estado'.A2" xr:uid="{00000000-0004-0000-0400-000007000000}"/>
    <hyperlink ref="A8" location="'M-Estado'!A3" display="#'M-Estado'.A3" xr:uid="{00000000-0004-0000-0400-000008000000}"/>
    <hyperlink ref="B8" location="'M-Estado'!A2" display="#'M-Estado'.A2" xr:uid="{00000000-0004-0000-0400-000009000000}"/>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0"/>
  <sheetViews>
    <sheetView zoomScale="130" zoomScaleNormal="130" workbookViewId="0">
      <selection activeCell="B1" sqref="B1"/>
    </sheetView>
  </sheetViews>
  <sheetFormatPr baseColWidth="10" defaultColWidth="10.6640625" defaultRowHeight="14.4" x14ac:dyDescent="0.3"/>
  <cols>
    <col min="1" max="1" width="27" customWidth="1"/>
    <col min="2" max="2" width="26.109375" customWidth="1"/>
    <col min="3" max="3" width="49.109375" customWidth="1"/>
    <col min="4" max="4" width="23.33203125" customWidth="1"/>
  </cols>
  <sheetData>
    <row r="1" spans="1:4" ht="14.25" customHeight="1" x14ac:dyDescent="0.3">
      <c r="A1" s="5" t="s">
        <v>1</v>
      </c>
      <c r="B1" s="5" t="s">
        <v>41</v>
      </c>
      <c r="C1" s="34"/>
    </row>
    <row r="2" spans="1:4" ht="39" customHeight="1" x14ac:dyDescent="0.3">
      <c r="A2" s="21" t="s">
        <v>75</v>
      </c>
      <c r="B2" s="21" t="s">
        <v>94</v>
      </c>
      <c r="C2" s="21" t="s">
        <v>95</v>
      </c>
      <c r="D2" s="22" t="s">
        <v>77</v>
      </c>
    </row>
    <row r="3" spans="1:4" ht="14.25" customHeight="1" x14ac:dyDescent="0.3">
      <c r="A3" s="23" t="s">
        <v>78</v>
      </c>
      <c r="B3" s="24" t="s">
        <v>74</v>
      </c>
      <c r="C3" s="24" t="s">
        <v>96</v>
      </c>
      <c r="D3" s="25" t="s">
        <v>79</v>
      </c>
    </row>
    <row r="4" spans="1:4" ht="28.5" customHeight="1" x14ac:dyDescent="0.3">
      <c r="A4" s="26">
        <v>1</v>
      </c>
      <c r="B4" s="27" t="s">
        <v>97</v>
      </c>
      <c r="C4" s="35" t="s">
        <v>98</v>
      </c>
      <c r="D4" s="27" t="str">
        <f t="shared" ref="D4:D11" si="0">B4</f>
        <v>Agendada</v>
      </c>
    </row>
    <row r="5" spans="1:4" ht="28.5" customHeight="1" x14ac:dyDescent="0.3">
      <c r="A5" s="26">
        <v>2</v>
      </c>
      <c r="B5" s="26" t="s">
        <v>99</v>
      </c>
      <c r="C5" s="36" t="s">
        <v>100</v>
      </c>
      <c r="D5" s="27" t="str">
        <f t="shared" si="0"/>
        <v>Finalizada</v>
      </c>
    </row>
    <row r="6" spans="1:4" ht="28.5" customHeight="1" x14ac:dyDescent="0.3">
      <c r="A6" s="26">
        <v>3</v>
      </c>
      <c r="B6" s="26" t="s">
        <v>101</v>
      </c>
      <c r="C6" s="36" t="s">
        <v>102</v>
      </c>
      <c r="D6" s="27" t="str">
        <f t="shared" si="0"/>
        <v>Cancelada por el cliente</v>
      </c>
    </row>
    <row r="7" spans="1:4" ht="28.5" customHeight="1" x14ac:dyDescent="0.3">
      <c r="A7" s="26">
        <v>4</v>
      </c>
      <c r="B7" s="26" t="s">
        <v>103</v>
      </c>
      <c r="C7" s="36" t="s">
        <v>104</v>
      </c>
      <c r="D7" s="27" t="str">
        <f t="shared" si="0"/>
        <v>Cancelada por el barbero</v>
      </c>
    </row>
    <row r="8" spans="1:4" ht="42.75" customHeight="1" x14ac:dyDescent="0.3">
      <c r="A8" s="26">
        <v>5</v>
      </c>
      <c r="B8" s="26" t="s">
        <v>105</v>
      </c>
      <c r="C8" s="36" t="s">
        <v>106</v>
      </c>
      <c r="D8" s="27" t="str">
        <f t="shared" si="0"/>
        <v>El cliente se demoro</v>
      </c>
    </row>
    <row r="9" spans="1:4" ht="42.75" customHeight="1" x14ac:dyDescent="0.3">
      <c r="A9" s="26">
        <v>6</v>
      </c>
      <c r="B9" s="26" t="s">
        <v>107</v>
      </c>
      <c r="C9" s="36" t="s">
        <v>108</v>
      </c>
      <c r="D9" s="27" t="str">
        <f t="shared" si="0"/>
        <v>El barbero se demoro</v>
      </c>
    </row>
    <row r="10" spans="1:4" ht="48" customHeight="1" x14ac:dyDescent="0.3">
      <c r="A10" s="26">
        <v>7</v>
      </c>
      <c r="B10" s="26" t="s">
        <v>109</v>
      </c>
      <c r="C10" s="36" t="s">
        <v>110</v>
      </c>
      <c r="D10" s="27" t="str">
        <f t="shared" si="0"/>
        <v>Inasistencia del cliente</v>
      </c>
    </row>
    <row r="11" spans="1:4" ht="63.75" customHeight="1" x14ac:dyDescent="0.3">
      <c r="A11" s="26">
        <v>8</v>
      </c>
      <c r="B11" s="26" t="s">
        <v>111</v>
      </c>
      <c r="C11" s="12" t="s">
        <v>112</v>
      </c>
      <c r="D11" s="27" t="str">
        <f t="shared" si="0"/>
        <v>Inasistencia del barbero</v>
      </c>
    </row>
    <row r="13" spans="1:4" ht="15" customHeight="1" x14ac:dyDescent="0.3">
      <c r="C13" s="37"/>
    </row>
    <row r="17" spans="1:2" ht="28.5" customHeight="1" x14ac:dyDescent="0.3">
      <c r="A17" s="29"/>
      <c r="B17" s="30" t="s">
        <v>88</v>
      </c>
    </row>
    <row r="18" spans="1:2" ht="28.5" customHeight="1" x14ac:dyDescent="0.3">
      <c r="A18" s="31"/>
      <c r="B18" s="30" t="s">
        <v>89</v>
      </c>
    </row>
    <row r="19" spans="1:2" ht="28.5" customHeight="1" x14ac:dyDescent="0.3">
      <c r="A19" s="32"/>
      <c r="B19" s="30" t="s">
        <v>90</v>
      </c>
    </row>
    <row r="20" spans="1:2" ht="28.5" customHeight="1" x14ac:dyDescent="0.3">
      <c r="A20" s="33"/>
      <c r="B20" s="30" t="s">
        <v>91</v>
      </c>
    </row>
  </sheetData>
  <hyperlinks>
    <hyperlink ref="A1" location="'Modelo de Dominio'!A1" display="&lt;&lt;&lt;&lt; Ir al modulo de dominio" xr:uid="{00000000-0004-0000-0500-000000000000}"/>
    <hyperlink ref="B1" location="'Objetos de Dominio'!A1" display="&lt;&lt;&lt;&lt; Ir a objetos de dominio" xr:uid="{00000000-0004-0000-0500-000001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19"/>
  <sheetViews>
    <sheetView topLeftCell="B1" zoomScaleNormal="100" workbookViewId="0">
      <selection activeCell="M4" sqref="M4"/>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5" t="s">
        <v>1</v>
      </c>
      <c r="B1" s="5" t="s">
        <v>41</v>
      </c>
    </row>
    <row r="2" spans="1:21" ht="15" customHeight="1" x14ac:dyDescent="0.3">
      <c r="A2" s="38" t="s">
        <v>42</v>
      </c>
      <c r="B2" s="38" t="s">
        <v>43</v>
      </c>
      <c r="C2" s="38" t="s">
        <v>44</v>
      </c>
      <c r="D2" s="38" t="s">
        <v>45</v>
      </c>
      <c r="E2" s="38" t="s">
        <v>46</v>
      </c>
      <c r="F2" s="38" t="s">
        <v>47</v>
      </c>
      <c r="G2" s="38" t="s">
        <v>48</v>
      </c>
      <c r="H2" s="38" t="s">
        <v>49</v>
      </c>
      <c r="I2" s="38" t="s">
        <v>50</v>
      </c>
      <c r="J2" s="38" t="s">
        <v>51</v>
      </c>
      <c r="K2" s="38" t="s">
        <v>52</v>
      </c>
      <c r="L2" s="38" t="s">
        <v>53</v>
      </c>
      <c r="M2" s="38" t="s">
        <v>54</v>
      </c>
      <c r="N2" s="38" t="s">
        <v>55</v>
      </c>
      <c r="O2" s="38" t="s">
        <v>56</v>
      </c>
      <c r="P2" s="38" t="s">
        <v>57</v>
      </c>
      <c r="Q2" s="38" t="s">
        <v>58</v>
      </c>
      <c r="R2" s="38" t="s">
        <v>59</v>
      </c>
      <c r="S2" s="38" t="s">
        <v>60</v>
      </c>
      <c r="T2" s="38" t="s">
        <v>61</v>
      </c>
      <c r="U2" s="38" t="s">
        <v>62</v>
      </c>
    </row>
    <row r="3" spans="1:21" ht="45" customHeight="1" x14ac:dyDescent="0.3">
      <c r="A3" s="17" t="str">
        <f>'M-Servicio'!A3</f>
        <v>id</v>
      </c>
      <c r="B3" s="18" t="str">
        <f>'M-Servicio'!A2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7" t="s">
        <v>65</v>
      </c>
      <c r="N3" s="17" t="s">
        <v>66</v>
      </c>
      <c r="O3" s="17" t="s">
        <v>65</v>
      </c>
      <c r="P3" s="17" t="s">
        <v>65</v>
      </c>
      <c r="Q3" s="17" t="s">
        <v>65</v>
      </c>
      <c r="R3" s="17" t="s">
        <v>65</v>
      </c>
      <c r="S3" s="17" t="s">
        <v>66</v>
      </c>
      <c r="T3" s="17" t="s">
        <v>67</v>
      </c>
      <c r="U3" s="17" t="s">
        <v>63</v>
      </c>
    </row>
    <row r="4" spans="1:21" ht="45" customHeight="1" x14ac:dyDescent="0.3">
      <c r="A4" s="17" t="str">
        <f>'M-Servicio'!B3</f>
        <v>nombre</v>
      </c>
      <c r="B4" s="18" t="str">
        <f>'M-Servicio'!B2</f>
        <v>Representa el nombre del servicio que va estar en la barberia, para que el barbero elija los servicios que el sabe hacer</v>
      </c>
      <c r="C4" s="17" t="s">
        <v>66</v>
      </c>
      <c r="D4" s="17" t="s">
        <v>68</v>
      </c>
      <c r="E4" s="17" t="s">
        <v>63</v>
      </c>
      <c r="F4" s="17">
        <v>3</v>
      </c>
      <c r="G4" s="17">
        <v>50</v>
      </c>
      <c r="H4" s="17" t="s">
        <v>65</v>
      </c>
      <c r="I4" s="17" t="s">
        <v>65</v>
      </c>
      <c r="J4" s="17" t="s">
        <v>65</v>
      </c>
      <c r="K4" s="17" t="s">
        <v>65</v>
      </c>
      <c r="L4" s="17" t="s">
        <v>65</v>
      </c>
      <c r="M4" s="18" t="s">
        <v>92</v>
      </c>
      <c r="N4" s="17" t="s">
        <v>66</v>
      </c>
      <c r="O4" s="17" t="s">
        <v>65</v>
      </c>
      <c r="P4" s="17" t="s">
        <v>65</v>
      </c>
      <c r="Q4" s="17" t="s">
        <v>63</v>
      </c>
      <c r="R4" s="17" t="s">
        <v>63</v>
      </c>
      <c r="S4" s="17" t="s">
        <v>66</v>
      </c>
      <c r="T4" s="17" t="s">
        <v>70</v>
      </c>
      <c r="U4" s="17" t="s">
        <v>66</v>
      </c>
    </row>
    <row r="5" spans="1:21" ht="45" customHeight="1" x14ac:dyDescent="0.3">
      <c r="A5" s="17" t="str">
        <f>'M-Servicio'!C3</f>
        <v>descripcion</v>
      </c>
      <c r="B5" s="18" t="str">
        <f>'M-Servicio'!C2</f>
        <v>Representa una descripcion de que va a hacer cada servicio en la barberia, para que el barbero sepa que hace el servicio</v>
      </c>
      <c r="C5" s="17" t="s">
        <v>66</v>
      </c>
      <c r="D5" s="17" t="s">
        <v>68</v>
      </c>
      <c r="E5" s="17" t="s">
        <v>63</v>
      </c>
      <c r="F5" s="17">
        <v>10</v>
      </c>
      <c r="G5" s="17">
        <v>200</v>
      </c>
      <c r="H5" s="17" t="s">
        <v>65</v>
      </c>
      <c r="I5" s="17" t="s">
        <v>65</v>
      </c>
      <c r="J5" s="17" t="s">
        <v>65</v>
      </c>
      <c r="K5" s="17" t="s">
        <v>65</v>
      </c>
      <c r="L5" s="17" t="s">
        <v>65</v>
      </c>
      <c r="M5" s="18" t="s">
        <v>93</v>
      </c>
      <c r="N5" s="17" t="s">
        <v>66</v>
      </c>
      <c r="O5" s="17" t="s">
        <v>65</v>
      </c>
      <c r="P5" s="17" t="s">
        <v>65</v>
      </c>
      <c r="Q5" s="17" t="s">
        <v>63</v>
      </c>
      <c r="R5" s="17" t="s">
        <v>63</v>
      </c>
      <c r="S5" s="17" t="s">
        <v>66</v>
      </c>
      <c r="T5" s="17" t="s">
        <v>70</v>
      </c>
      <c r="U5" s="17" t="s">
        <v>66</v>
      </c>
    </row>
    <row r="6" spans="1:21" ht="30" customHeight="1" x14ac:dyDescent="0.3">
      <c r="A6" s="17" t="str">
        <f>'M-Servicio'!D3</f>
        <v>precio</v>
      </c>
      <c r="B6" s="18" t="str">
        <f>'M-Servicio'!D2</f>
        <v>Representa cuanto va a valer el servicio en pesos colombianos</v>
      </c>
      <c r="C6" s="17" t="s">
        <v>66</v>
      </c>
      <c r="D6" s="17" t="s">
        <v>113</v>
      </c>
      <c r="E6" s="17" t="s">
        <v>63</v>
      </c>
      <c r="F6" s="17" t="s">
        <v>65</v>
      </c>
      <c r="G6" s="17" t="s">
        <v>65</v>
      </c>
      <c r="H6" s="17" t="s">
        <v>65</v>
      </c>
      <c r="I6" s="17" t="s">
        <v>65</v>
      </c>
      <c r="J6" s="17">
        <v>0</v>
      </c>
      <c r="K6" s="39">
        <v>2000000</v>
      </c>
      <c r="L6" s="17" t="s">
        <v>65</v>
      </c>
      <c r="M6" s="17" t="s">
        <v>65</v>
      </c>
      <c r="N6" s="17" t="s">
        <v>66</v>
      </c>
      <c r="O6" s="17" t="s">
        <v>65</v>
      </c>
      <c r="P6" s="17" t="s">
        <v>65</v>
      </c>
      <c r="Q6" s="17" t="s">
        <v>65</v>
      </c>
      <c r="R6" s="17" t="s">
        <v>65</v>
      </c>
      <c r="S6" s="17" t="s">
        <v>66</v>
      </c>
      <c r="T6" s="17">
        <v>0</v>
      </c>
      <c r="U6" s="17" t="s">
        <v>66</v>
      </c>
    </row>
    <row r="7" spans="1:21" ht="30" customHeight="1" x14ac:dyDescent="0.3">
      <c r="A7" s="17" t="str">
        <f>'M-Servicio'!E3</f>
        <v>disponible</v>
      </c>
      <c r="B7" s="18" t="str">
        <f>'M-Servicio'!E2</f>
        <v>Representa si el servicio sigue o no disponible en la barberia</v>
      </c>
      <c r="C7" s="17" t="s">
        <v>66</v>
      </c>
      <c r="D7" s="17" t="s">
        <v>114</v>
      </c>
      <c r="E7" s="17" t="s">
        <v>66</v>
      </c>
      <c r="F7" s="17" t="s">
        <v>65</v>
      </c>
      <c r="G7" s="17" t="s">
        <v>65</v>
      </c>
      <c r="H7" s="17" t="s">
        <v>65</v>
      </c>
      <c r="I7" s="17" t="s">
        <v>65</v>
      </c>
      <c r="J7" s="17" t="s">
        <v>65</v>
      </c>
      <c r="K7" s="17" t="s">
        <v>65</v>
      </c>
      <c r="L7" s="17" t="s">
        <v>65</v>
      </c>
      <c r="M7" s="17" t="s">
        <v>65</v>
      </c>
      <c r="N7" s="17" t="s">
        <v>66</v>
      </c>
      <c r="O7" s="17" t="s">
        <v>65</v>
      </c>
      <c r="P7" s="17" t="s">
        <v>65</v>
      </c>
      <c r="Q7" s="17" t="s">
        <v>65</v>
      </c>
      <c r="R7" s="17" t="s">
        <v>65</v>
      </c>
      <c r="S7" s="17" t="s">
        <v>66</v>
      </c>
      <c r="T7" s="17" t="s">
        <v>63</v>
      </c>
      <c r="U7" s="17" t="s">
        <v>66</v>
      </c>
    </row>
    <row r="8" spans="1:21" ht="15" customHeight="1" x14ac:dyDescent="0.3">
      <c r="A8" s="6"/>
      <c r="B8" s="6"/>
      <c r="C8" s="6"/>
      <c r="D8" s="6"/>
      <c r="E8" s="6"/>
      <c r="F8" s="6"/>
      <c r="G8" s="6"/>
      <c r="H8" s="6"/>
      <c r="I8" s="6"/>
      <c r="J8" s="6"/>
      <c r="K8" s="6"/>
      <c r="L8" s="6"/>
      <c r="M8" s="6"/>
      <c r="N8" s="6"/>
      <c r="O8" s="6"/>
      <c r="P8" s="6"/>
      <c r="Q8" s="6"/>
      <c r="R8" s="6"/>
      <c r="S8" s="6"/>
      <c r="T8" s="6"/>
      <c r="U8" s="6"/>
    </row>
    <row r="9" spans="1:21" ht="15" customHeight="1" x14ac:dyDescent="0.3">
      <c r="A9" s="19" t="s">
        <v>71</v>
      </c>
      <c r="B9" s="19" t="s">
        <v>72</v>
      </c>
      <c r="C9" s="19" t="s">
        <v>73</v>
      </c>
      <c r="D9" s="40"/>
      <c r="E9" s="40"/>
      <c r="F9" s="40"/>
      <c r="G9" s="40"/>
      <c r="H9" s="40"/>
      <c r="I9" s="40"/>
      <c r="J9" s="40"/>
      <c r="K9" s="40"/>
      <c r="L9" s="40"/>
      <c r="M9" s="40"/>
      <c r="N9" s="40"/>
      <c r="O9" s="40"/>
      <c r="P9" s="40"/>
      <c r="Q9" s="40"/>
      <c r="R9" s="40"/>
      <c r="S9" s="40"/>
      <c r="T9" s="40"/>
      <c r="U9" s="40"/>
    </row>
    <row r="10" spans="1:21" ht="30" customHeight="1" x14ac:dyDescent="0.3">
      <c r="A10" s="2" t="str">
        <f>'M-Servicio'!F3</f>
        <v xml:space="preserve">Combinacion única </v>
      </c>
      <c r="B10" s="1" t="str">
        <f>'M-Servicio'!F2</f>
        <v>Combinacion única que indica que no puede existir más de un servicio con el mismo nombre</v>
      </c>
      <c r="C10" s="20" t="str">
        <f>A4</f>
        <v>nombre</v>
      </c>
      <c r="D10" s="6"/>
      <c r="E10" s="6"/>
      <c r="F10" s="6"/>
      <c r="G10" s="6"/>
      <c r="H10" s="6"/>
      <c r="I10" s="6"/>
      <c r="J10" s="6"/>
      <c r="K10" s="6"/>
      <c r="L10" s="6"/>
      <c r="M10" s="6"/>
      <c r="N10" s="6"/>
      <c r="O10" s="6"/>
      <c r="P10" s="6"/>
      <c r="Q10" s="6"/>
      <c r="R10" s="6"/>
      <c r="S10" s="6"/>
      <c r="T10" s="6"/>
      <c r="U10" s="6"/>
    </row>
    <row r="11" spans="1:21" ht="15" customHeight="1" x14ac:dyDescent="0.3">
      <c r="A11" s="41"/>
      <c r="B11" s="41"/>
      <c r="C11" s="41"/>
      <c r="D11" s="41"/>
      <c r="E11" s="41"/>
      <c r="F11" s="41"/>
      <c r="G11" s="41"/>
      <c r="H11" s="41"/>
      <c r="I11" s="41"/>
      <c r="J11" s="41"/>
      <c r="K11" s="41"/>
      <c r="L11" s="41"/>
      <c r="M11" s="41"/>
      <c r="N11" s="41"/>
      <c r="O11" s="41"/>
      <c r="P11" s="41"/>
      <c r="Q11" s="41"/>
      <c r="R11" s="41"/>
      <c r="S11" s="41"/>
      <c r="T11" s="41"/>
      <c r="U11" s="41"/>
    </row>
    <row r="12" spans="1:21" ht="15" customHeight="1" x14ac:dyDescent="0.3">
      <c r="A12" s="34"/>
      <c r="B12" s="34"/>
    </row>
    <row r="13" spans="1:21" ht="15" customHeight="1" x14ac:dyDescent="0.3">
      <c r="A13" s="34"/>
      <c r="B13" s="34"/>
    </row>
    <row r="14" spans="1:21" ht="15" customHeight="1" x14ac:dyDescent="0.3">
      <c r="A14" s="34"/>
      <c r="B14" s="34"/>
    </row>
    <row r="15" spans="1:21" ht="15" customHeight="1" x14ac:dyDescent="0.3">
      <c r="A15" s="34"/>
      <c r="B15" s="34"/>
    </row>
    <row r="16" spans="1:21" ht="15" customHeight="1" x14ac:dyDescent="0.3">
      <c r="A16" s="34"/>
      <c r="B16" s="34"/>
    </row>
    <row r="18" spans="1:3" ht="15" customHeight="1" x14ac:dyDescent="0.3">
      <c r="A18" s="42"/>
      <c r="B18" s="42"/>
      <c r="C18" s="42"/>
    </row>
    <row r="19" spans="1:3" ht="15" customHeight="1" x14ac:dyDescent="0.3">
      <c r="A19" s="34"/>
      <c r="B19" s="34"/>
    </row>
  </sheetData>
  <hyperlinks>
    <hyperlink ref="A1" location="'Modelo de Dominio'!A1" display="&lt;&lt;&lt;&lt; Ir al modulo de dominio" xr:uid="{00000000-0004-0000-0600-000000000000}"/>
    <hyperlink ref="B1" location="'Objetos de Dominio'!A1" display="&lt;&lt;&lt;&lt; Ir a objetos de dominio" xr:uid="{00000000-0004-0000-0600-000001000000}"/>
  </hyperlink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9"/>
  <sheetViews>
    <sheetView zoomScale="130" zoomScaleNormal="130" workbookViewId="0">
      <selection activeCell="B1" sqref="B1"/>
    </sheetView>
  </sheetViews>
  <sheetFormatPr baseColWidth="10" defaultColWidth="10.6640625" defaultRowHeight="14.4" x14ac:dyDescent="0.3"/>
  <cols>
    <col min="1" max="1" width="27" customWidth="1"/>
    <col min="2" max="2" width="26.109375" customWidth="1"/>
    <col min="3" max="3" width="20.88671875" customWidth="1"/>
    <col min="4" max="4" width="22.88671875" customWidth="1"/>
    <col min="6" max="6" width="18.33203125" customWidth="1"/>
  </cols>
  <sheetData>
    <row r="1" spans="1:6" ht="14.25" customHeight="1" x14ac:dyDescent="0.3">
      <c r="A1" s="5" t="s">
        <v>1</v>
      </c>
      <c r="B1" s="5" t="s">
        <v>41</v>
      </c>
      <c r="C1" s="43"/>
      <c r="D1" s="44"/>
      <c r="E1" s="44"/>
      <c r="F1" s="28"/>
    </row>
    <row r="2" spans="1:6" ht="42.75" customHeight="1" x14ac:dyDescent="0.3">
      <c r="A2" s="45" t="s">
        <v>75</v>
      </c>
      <c r="B2" s="45" t="s">
        <v>115</v>
      </c>
      <c r="C2" s="45" t="s">
        <v>116</v>
      </c>
      <c r="D2" s="45" t="s">
        <v>117</v>
      </c>
      <c r="E2" s="45" t="s">
        <v>118</v>
      </c>
      <c r="F2" s="46" t="s">
        <v>119</v>
      </c>
    </row>
    <row r="3" spans="1:6" ht="14.25" customHeight="1" x14ac:dyDescent="0.3">
      <c r="A3" s="47" t="s">
        <v>78</v>
      </c>
      <c r="B3" s="48" t="s">
        <v>74</v>
      </c>
      <c r="C3" s="48" t="s">
        <v>96</v>
      </c>
      <c r="D3" s="49" t="s">
        <v>120</v>
      </c>
      <c r="E3" s="50" t="s">
        <v>121</v>
      </c>
      <c r="F3" s="51" t="s">
        <v>122</v>
      </c>
    </row>
    <row r="4" spans="1:6" ht="57" customHeight="1" x14ac:dyDescent="0.3">
      <c r="A4" s="52">
        <v>1</v>
      </c>
      <c r="B4" s="52" t="s">
        <v>123</v>
      </c>
      <c r="C4" s="53" t="s">
        <v>124</v>
      </c>
      <c r="D4" s="54">
        <v>22000</v>
      </c>
      <c r="E4" s="54" t="s">
        <v>125</v>
      </c>
      <c r="F4" s="26" t="str">
        <f>B4</f>
        <v>Motilada</v>
      </c>
    </row>
    <row r="5" spans="1:6" ht="57" customHeight="1" x14ac:dyDescent="0.3">
      <c r="A5" s="52">
        <v>2</v>
      </c>
      <c r="B5" s="52" t="s">
        <v>126</v>
      </c>
      <c r="C5" s="53" t="s">
        <v>127</v>
      </c>
      <c r="D5" s="54">
        <v>12000</v>
      </c>
      <c r="E5" s="54" t="s">
        <v>125</v>
      </c>
      <c r="F5" s="26" t="str">
        <f>B5</f>
        <v>Corte de barba</v>
      </c>
    </row>
    <row r="6" spans="1:6" ht="57" customHeight="1" x14ac:dyDescent="0.3">
      <c r="A6" s="52">
        <v>3</v>
      </c>
      <c r="B6" s="52" t="s">
        <v>128</v>
      </c>
      <c r="C6" s="53" t="s">
        <v>129</v>
      </c>
      <c r="D6" s="54">
        <v>15000</v>
      </c>
      <c r="E6" s="54" t="s">
        <v>125</v>
      </c>
      <c r="F6" s="26" t="str">
        <f>B6</f>
        <v>Perfilada de barba</v>
      </c>
    </row>
    <row r="7" spans="1:6" ht="57" customHeight="1" x14ac:dyDescent="0.3">
      <c r="A7" s="52">
        <v>4</v>
      </c>
      <c r="B7" s="53" t="s">
        <v>130</v>
      </c>
      <c r="C7" s="53" t="s">
        <v>131</v>
      </c>
      <c r="D7" s="54">
        <v>35000</v>
      </c>
      <c r="E7" s="54" t="s">
        <v>125</v>
      </c>
      <c r="F7" s="36" t="str">
        <f>B7</f>
        <v>Arreglo completo de barba con toalla caliente</v>
      </c>
    </row>
    <row r="13" spans="1:6" ht="28.5" customHeight="1" x14ac:dyDescent="0.3">
      <c r="A13" s="29"/>
      <c r="B13" s="30" t="s">
        <v>88</v>
      </c>
    </row>
    <row r="14" spans="1:6" ht="28.5" customHeight="1" x14ac:dyDescent="0.3">
      <c r="A14" s="31"/>
      <c r="B14" s="30" t="s">
        <v>89</v>
      </c>
    </row>
    <row r="15" spans="1:6" ht="42.75" customHeight="1" x14ac:dyDescent="0.3">
      <c r="A15" s="55"/>
      <c r="B15" s="30" t="s">
        <v>132</v>
      </c>
    </row>
    <row r="16" spans="1:6" ht="28.5" customHeight="1" x14ac:dyDescent="0.3">
      <c r="A16" s="56"/>
      <c r="B16" s="30" t="s">
        <v>90</v>
      </c>
    </row>
    <row r="17" spans="1:2" ht="28.5" customHeight="1" x14ac:dyDescent="0.3">
      <c r="A17" s="57"/>
      <c r="B17" s="30" t="s">
        <v>133</v>
      </c>
    </row>
    <row r="18" spans="1:2" ht="28.5" customHeight="1" x14ac:dyDescent="0.3">
      <c r="A18" s="58"/>
      <c r="B18" s="30" t="s">
        <v>134</v>
      </c>
    </row>
    <row r="19" spans="1:2" ht="28.5" customHeight="1" x14ac:dyDescent="0.3">
      <c r="A19" s="59"/>
      <c r="B19" s="30" t="s">
        <v>91</v>
      </c>
    </row>
  </sheetData>
  <hyperlinks>
    <hyperlink ref="A1" location="'Modelo de Dominio'!A1" display="&lt;&lt;&lt;&lt; Ir al modulo de dominio" xr:uid="{00000000-0004-0000-0700-000000000000}"/>
    <hyperlink ref="B1" location="'Objetos de Dominio'!A1" display="&lt;&lt;&lt;&lt; Ir a objetos de dominio" xr:uid="{00000000-0004-0000-0700-00000100000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9"/>
  <sheetViews>
    <sheetView zoomScaleNormal="100" workbookViewId="0">
      <selection activeCell="B1" sqref="B1"/>
    </sheetView>
  </sheetViews>
  <sheetFormatPr baseColWidth="10" defaultColWidth="8.6640625" defaultRowHeight="14.4" x14ac:dyDescent="0.3"/>
  <cols>
    <col min="1" max="1" width="57.6640625" customWidth="1"/>
    <col min="2" max="2" width="60.3320312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5" ht="15" customHeight="1" x14ac:dyDescent="0.3">
      <c r="A1" s="5" t="s">
        <v>1</v>
      </c>
      <c r="B1" s="5" t="s">
        <v>41</v>
      </c>
    </row>
    <row r="2" spans="1:25" ht="15" customHeight="1" x14ac:dyDescent="0.3">
      <c r="A2" s="38" t="s">
        <v>42</v>
      </c>
      <c r="B2" s="38" t="s">
        <v>43</v>
      </c>
      <c r="C2" s="38" t="s">
        <v>44</v>
      </c>
      <c r="D2" s="38" t="s">
        <v>45</v>
      </c>
      <c r="E2" s="38" t="s">
        <v>46</v>
      </c>
      <c r="F2" s="38" t="s">
        <v>47</v>
      </c>
      <c r="G2" s="38" t="s">
        <v>48</v>
      </c>
      <c r="H2" s="38" t="s">
        <v>49</v>
      </c>
      <c r="I2" s="38" t="s">
        <v>50</v>
      </c>
      <c r="J2" s="38" t="s">
        <v>51</v>
      </c>
      <c r="K2" s="38" t="s">
        <v>52</v>
      </c>
      <c r="L2" s="38" t="s">
        <v>53</v>
      </c>
      <c r="M2" s="38" t="s">
        <v>54</v>
      </c>
      <c r="N2" s="38" t="s">
        <v>55</v>
      </c>
      <c r="O2" s="38" t="s">
        <v>56</v>
      </c>
      <c r="P2" s="38" t="s">
        <v>57</v>
      </c>
      <c r="Q2" s="38" t="s">
        <v>58</v>
      </c>
      <c r="R2" s="38" t="s">
        <v>59</v>
      </c>
      <c r="S2" s="38" t="s">
        <v>60</v>
      </c>
      <c r="T2" s="38" t="s">
        <v>61</v>
      </c>
      <c r="U2" s="38" t="s">
        <v>62</v>
      </c>
    </row>
    <row r="3" spans="1:25" ht="45" customHeight="1" x14ac:dyDescent="0.3">
      <c r="A3" s="17" t="str">
        <f>'M-Regla'!A3</f>
        <v>id</v>
      </c>
      <c r="B3" s="18" t="str">
        <f>'M-Regla'!A2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8" t="s">
        <v>65</v>
      </c>
      <c r="N3" s="17" t="s">
        <v>66</v>
      </c>
      <c r="O3" s="17" t="s">
        <v>65</v>
      </c>
      <c r="P3" s="17" t="s">
        <v>65</v>
      </c>
      <c r="Q3" s="17" t="s">
        <v>66</v>
      </c>
      <c r="R3" s="17" t="s">
        <v>66</v>
      </c>
      <c r="S3" s="17" t="s">
        <v>66</v>
      </c>
      <c r="T3" s="17" t="s">
        <v>67</v>
      </c>
      <c r="U3" s="17" t="s">
        <v>63</v>
      </c>
    </row>
    <row r="4" spans="1:25" ht="30" customHeight="1" x14ac:dyDescent="0.3">
      <c r="A4" s="17" t="str">
        <f>'M-Regla'!B3</f>
        <v>toleranciaTardanzaCliente</v>
      </c>
      <c r="B4" s="18" t="str">
        <f>'M-Regla'!B2</f>
        <v>Representa la cantidad de minutos maxima que un cliente puede llegar tarde</v>
      </c>
      <c r="C4" s="17" t="s">
        <v>66</v>
      </c>
      <c r="D4" s="17" t="s">
        <v>113</v>
      </c>
      <c r="E4" s="17" t="s">
        <v>66</v>
      </c>
      <c r="F4" s="17" t="s">
        <v>65</v>
      </c>
      <c r="G4" s="17" t="s">
        <v>65</v>
      </c>
      <c r="H4" s="17" t="s">
        <v>65</v>
      </c>
      <c r="I4" s="17" t="s">
        <v>65</v>
      </c>
      <c r="J4" s="17">
        <v>0</v>
      </c>
      <c r="K4" s="17">
        <v>59</v>
      </c>
      <c r="L4" s="17" t="s">
        <v>65</v>
      </c>
      <c r="M4" s="18" t="s">
        <v>65</v>
      </c>
      <c r="N4" s="17" t="s">
        <v>66</v>
      </c>
      <c r="O4" s="17" t="s">
        <v>65</v>
      </c>
      <c r="P4" s="17" t="s">
        <v>65</v>
      </c>
      <c r="Q4" s="17" t="s">
        <v>65</v>
      </c>
      <c r="R4" s="17" t="s">
        <v>65</v>
      </c>
      <c r="S4" s="17" t="s">
        <v>66</v>
      </c>
      <c r="T4" s="17">
        <v>0</v>
      </c>
      <c r="U4" s="17" t="s">
        <v>66</v>
      </c>
    </row>
    <row r="5" spans="1:25" ht="45" customHeight="1" x14ac:dyDescent="0.3">
      <c r="A5" s="17" t="str">
        <f>'M-Regla'!C3</f>
        <v>montoMultaTardanzaCliente</v>
      </c>
      <c r="B5" s="18" t="str">
        <f>'M-Regla'!C2</f>
        <v>Representa la cantidad de dinero que el cliente debe de pagar en pesos colombianos, por superar la toleranciaTardanza</v>
      </c>
      <c r="C5" s="17" t="s">
        <v>66</v>
      </c>
      <c r="D5" s="17" t="s">
        <v>113</v>
      </c>
      <c r="E5" s="17" t="s">
        <v>66</v>
      </c>
      <c r="F5" s="17" t="s">
        <v>65</v>
      </c>
      <c r="G5" s="17" t="s">
        <v>65</v>
      </c>
      <c r="H5" s="17" t="s">
        <v>65</v>
      </c>
      <c r="I5" s="17" t="s">
        <v>65</v>
      </c>
      <c r="J5" s="17">
        <v>0</v>
      </c>
      <c r="K5" s="60">
        <v>1000000</v>
      </c>
      <c r="L5" s="17" t="s">
        <v>65</v>
      </c>
      <c r="M5" s="18" t="s">
        <v>65</v>
      </c>
      <c r="N5" s="17" t="s">
        <v>66</v>
      </c>
      <c r="O5" s="17" t="s">
        <v>65</v>
      </c>
      <c r="P5" s="17" t="s">
        <v>65</v>
      </c>
      <c r="Q5" s="17" t="s">
        <v>65</v>
      </c>
      <c r="R5" s="17" t="s">
        <v>65</v>
      </c>
      <c r="S5" s="17" t="s">
        <v>66</v>
      </c>
      <c r="T5" s="17">
        <v>0</v>
      </c>
      <c r="U5" s="17" t="s">
        <v>66</v>
      </c>
    </row>
    <row r="6" spans="1:25" ht="45" customHeight="1" x14ac:dyDescent="0.3">
      <c r="A6" s="17" t="str">
        <f>'M-Regla'!D3</f>
        <v>numeroMultasMaxima</v>
      </c>
      <c r="B6" s="18" t="str">
        <f>'M-Regla'!D2</f>
        <v>Representa la maxima de multas que pueda tener un cliente sin pagar, a partir de esta cantidad se le hace un veto al cliente</v>
      </c>
      <c r="C6" s="17" t="s">
        <v>66</v>
      </c>
      <c r="D6" s="17" t="s">
        <v>113</v>
      </c>
      <c r="E6" s="17" t="s">
        <v>66</v>
      </c>
      <c r="F6" s="17" t="s">
        <v>65</v>
      </c>
      <c r="G6" s="17" t="s">
        <v>65</v>
      </c>
      <c r="H6" s="17" t="s">
        <v>65</v>
      </c>
      <c r="I6" s="17" t="s">
        <v>65</v>
      </c>
      <c r="J6" s="17">
        <v>0</v>
      </c>
      <c r="K6" s="17">
        <v>100</v>
      </c>
      <c r="L6" s="17" t="s">
        <v>65</v>
      </c>
      <c r="M6" s="18" t="s">
        <v>65</v>
      </c>
      <c r="N6" s="17" t="s">
        <v>66</v>
      </c>
      <c r="O6" s="17" t="s">
        <v>65</v>
      </c>
      <c r="P6" s="17" t="s">
        <v>65</v>
      </c>
      <c r="Q6" s="17" t="s">
        <v>65</v>
      </c>
      <c r="R6" s="17" t="s">
        <v>65</v>
      </c>
      <c r="S6" s="17" t="s">
        <v>66</v>
      </c>
      <c r="T6" s="17">
        <v>0</v>
      </c>
      <c r="U6" s="17" t="s">
        <v>66</v>
      </c>
    </row>
    <row r="7" spans="1:25" ht="60" customHeight="1" x14ac:dyDescent="0.3">
      <c r="A7" s="17" t="str">
        <f>'M-Regla'!E3</f>
        <v>toleranciaTardanzaBarbero</v>
      </c>
      <c r="B7" s="18" t="str">
        <f>'M-Regla'!E2</f>
        <v>Representa la cantidad de minutos que un barbero puede demorarse en atender a un cliente, en caso de que el barbero se demore mas de lo previsto en su cita anterior</v>
      </c>
      <c r="C7" s="17" t="s">
        <v>66</v>
      </c>
      <c r="D7" s="17" t="s">
        <v>113</v>
      </c>
      <c r="E7" s="17" t="s">
        <v>66</v>
      </c>
      <c r="F7" s="17" t="s">
        <v>65</v>
      </c>
      <c r="G7" s="17" t="s">
        <v>65</v>
      </c>
      <c r="H7" s="17" t="s">
        <v>65</v>
      </c>
      <c r="I7" s="17" t="s">
        <v>65</v>
      </c>
      <c r="J7" s="17">
        <v>0</v>
      </c>
      <c r="K7" s="17">
        <v>59</v>
      </c>
      <c r="L7" s="17" t="s">
        <v>65</v>
      </c>
      <c r="M7" s="18" t="s">
        <v>65</v>
      </c>
      <c r="N7" s="17" t="s">
        <v>66</v>
      </c>
      <c r="O7" s="17" t="s">
        <v>65</v>
      </c>
      <c r="P7" s="17" t="s">
        <v>65</v>
      </c>
      <c r="Q7" s="17" t="s">
        <v>65</v>
      </c>
      <c r="R7" s="17" t="s">
        <v>65</v>
      </c>
      <c r="S7" s="17" t="s">
        <v>66</v>
      </c>
      <c r="T7" s="17">
        <v>0</v>
      </c>
      <c r="U7" s="17" t="s">
        <v>66</v>
      </c>
    </row>
    <row r="8" spans="1:25" ht="60" customHeight="1" x14ac:dyDescent="0.3">
      <c r="A8" s="17" t="str">
        <f>'M-Regla'!F3</f>
        <v>porcentajeDescuentoCita</v>
      </c>
      <c r="B8" s="18" t="str">
        <f>'M-Regla'!F2</f>
        <v>Representa la cantidad cuanto descuento va a tener un cliente en la cita con el barbero, como recompesa por esperar al barbero mas de la tolerancia permitida</v>
      </c>
      <c r="C8" s="17" t="s">
        <v>66</v>
      </c>
      <c r="D8" s="17" t="s">
        <v>113</v>
      </c>
      <c r="E8" s="17" t="s">
        <v>66</v>
      </c>
      <c r="F8" s="17" t="s">
        <v>65</v>
      </c>
      <c r="G8" s="17" t="s">
        <v>65</v>
      </c>
      <c r="H8" s="17" t="s">
        <v>65</v>
      </c>
      <c r="I8" s="17" t="s">
        <v>65</v>
      </c>
      <c r="J8" s="17">
        <v>0</v>
      </c>
      <c r="K8" s="17">
        <v>100</v>
      </c>
      <c r="L8" s="17" t="s">
        <v>65</v>
      </c>
      <c r="M8" s="18" t="s">
        <v>65</v>
      </c>
      <c r="N8" s="17" t="s">
        <v>66</v>
      </c>
      <c r="O8" s="17" t="s">
        <v>65</v>
      </c>
      <c r="P8" s="17" t="s">
        <v>65</v>
      </c>
      <c r="Q8" s="17" t="s">
        <v>65</v>
      </c>
      <c r="R8" s="17" t="s">
        <v>65</v>
      </c>
      <c r="S8" s="17" t="s">
        <v>66</v>
      </c>
      <c r="T8" s="17">
        <v>0</v>
      </c>
      <c r="U8" s="17" t="s">
        <v>66</v>
      </c>
    </row>
    <row r="9" spans="1:25" s="65" customFormat="1" ht="60" customHeight="1" x14ac:dyDescent="0.3">
      <c r="A9" s="61" t="str">
        <f>'M-Regla'!G3</f>
        <v>tiempoEnHorasAnticipacionDelBarberoParaCancelarUnaCita</v>
      </c>
      <c r="B9" s="62" t="str">
        <f>'M-Regla'!G2</f>
        <v>Representa la parte en horas del tiempo mínimo de anticipación con el que un barbero pueda cancelar una cita con el cliente. El barbero no podrá cancelar la cita cuando falte menos del tiempo indicado</v>
      </c>
      <c r="C9" s="17" t="s">
        <v>66</v>
      </c>
      <c r="D9" s="17" t="s">
        <v>113</v>
      </c>
      <c r="E9" s="17" t="s">
        <v>66</v>
      </c>
      <c r="F9" s="17" t="s">
        <v>65</v>
      </c>
      <c r="G9" s="17" t="s">
        <v>65</v>
      </c>
      <c r="H9" s="17" t="s">
        <v>65</v>
      </c>
      <c r="I9" s="17" t="s">
        <v>65</v>
      </c>
      <c r="J9" s="17">
        <v>0</v>
      </c>
      <c r="K9" s="63">
        <v>720</v>
      </c>
      <c r="L9" s="17" t="s">
        <v>65</v>
      </c>
      <c r="M9" s="18" t="s">
        <v>65</v>
      </c>
      <c r="N9" s="17" t="s">
        <v>66</v>
      </c>
      <c r="O9" s="17" t="s">
        <v>65</v>
      </c>
      <c r="P9" s="17" t="s">
        <v>65</v>
      </c>
      <c r="Q9" s="17" t="s">
        <v>65</v>
      </c>
      <c r="R9" s="17" t="s">
        <v>65</v>
      </c>
      <c r="S9" s="17" t="s">
        <v>66</v>
      </c>
      <c r="T9" s="17">
        <v>0</v>
      </c>
      <c r="U9" s="17" t="s">
        <v>66</v>
      </c>
      <c r="V9" s="64"/>
      <c r="W9" s="64"/>
      <c r="X9" s="64"/>
      <c r="Y9" s="64"/>
    </row>
    <row r="10" spans="1:25" s="65" customFormat="1" ht="60" customHeight="1" x14ac:dyDescent="0.3">
      <c r="A10" s="61" t="str">
        <f>'M-Regla'!H3</f>
        <v>tiempoEnMinutosAnticipacionDelBarberoParaCancelarUnaCita</v>
      </c>
      <c r="B10" s="62" t="str">
        <f>'M-Regla'!H2</f>
        <v>Representa la parte en minutos del tiempo mínimo de anticipación con el que un barbero puede cancelar una cita con el cliente. El barbero no podrá cancelar la cita cuando falte menos del tiempo indicado</v>
      </c>
      <c r="C10" s="17" t="s">
        <v>66</v>
      </c>
      <c r="D10" s="17" t="s">
        <v>113</v>
      </c>
      <c r="E10" s="17" t="s">
        <v>66</v>
      </c>
      <c r="F10" s="17" t="s">
        <v>65</v>
      </c>
      <c r="G10" s="17" t="s">
        <v>65</v>
      </c>
      <c r="H10" s="17" t="s">
        <v>65</v>
      </c>
      <c r="I10" s="17" t="s">
        <v>65</v>
      </c>
      <c r="J10" s="17">
        <v>0</v>
      </c>
      <c r="K10" s="63">
        <v>59</v>
      </c>
      <c r="L10" s="17" t="s">
        <v>65</v>
      </c>
      <c r="M10" s="18" t="s">
        <v>65</v>
      </c>
      <c r="N10" s="17" t="s">
        <v>66</v>
      </c>
      <c r="O10" s="17" t="s">
        <v>65</v>
      </c>
      <c r="P10" s="17" t="s">
        <v>65</v>
      </c>
      <c r="Q10" s="17" t="s">
        <v>65</v>
      </c>
      <c r="R10" s="17" t="s">
        <v>65</v>
      </c>
      <c r="S10" s="17" t="s">
        <v>66</v>
      </c>
      <c r="T10" s="17">
        <v>0</v>
      </c>
      <c r="U10" s="17" t="s">
        <v>66</v>
      </c>
      <c r="V10" s="64"/>
      <c r="W10" s="64"/>
      <c r="X10" s="64"/>
      <c r="Y10" s="64"/>
    </row>
    <row r="11" spans="1:25" s="65" customFormat="1" ht="60" customHeight="1" x14ac:dyDescent="0.3">
      <c r="A11" s="66" t="str">
        <f>'M-Regla'!I3</f>
        <v>tiempoEnHorasAnticipacionDelClienteParaCancelarUnaCita</v>
      </c>
      <c r="B11" s="67" t="str">
        <f>'M-Regla'!I2</f>
        <v>Representa la parte en horas del tiempo mínimo de anticipación con el que un cliente puede cancelar una cita con el barbero. El cliente no podrá cancelar la cita cuando falte menos del tiempo indicado</v>
      </c>
      <c r="C11" s="17" t="s">
        <v>66</v>
      </c>
      <c r="D11" s="17" t="s">
        <v>113</v>
      </c>
      <c r="E11" s="17" t="s">
        <v>66</v>
      </c>
      <c r="F11" s="17" t="s">
        <v>65</v>
      </c>
      <c r="G11" s="17" t="s">
        <v>65</v>
      </c>
      <c r="H11" s="17" t="s">
        <v>65</v>
      </c>
      <c r="I11" s="17" t="s">
        <v>65</v>
      </c>
      <c r="J11" s="17">
        <v>0</v>
      </c>
      <c r="K11" s="63">
        <v>720</v>
      </c>
      <c r="L11" s="17" t="s">
        <v>65</v>
      </c>
      <c r="M11" s="18" t="s">
        <v>65</v>
      </c>
      <c r="N11" s="17" t="s">
        <v>66</v>
      </c>
      <c r="O11" s="17" t="s">
        <v>65</v>
      </c>
      <c r="P11" s="17" t="s">
        <v>65</v>
      </c>
      <c r="Q11" s="17" t="s">
        <v>65</v>
      </c>
      <c r="R11" s="17" t="s">
        <v>65</v>
      </c>
      <c r="S11" s="17" t="s">
        <v>66</v>
      </c>
      <c r="T11" s="17">
        <v>0</v>
      </c>
      <c r="U11" s="17" t="s">
        <v>66</v>
      </c>
      <c r="V11" s="64"/>
      <c r="W11" s="64"/>
      <c r="X11" s="64"/>
      <c r="Y11" s="64"/>
    </row>
    <row r="12" spans="1:25" s="65" customFormat="1" ht="60" customHeight="1" x14ac:dyDescent="0.3">
      <c r="A12" s="61" t="str">
        <f>'M-Regla'!J3</f>
        <v>tiempoEnMinutosAnticipacionDelClienteParaCancelarUnaCita</v>
      </c>
      <c r="B12" s="62" t="str">
        <f>'M-Regla'!J2</f>
        <v>Representa la parte en minutos del tiempo mínimo de anticipación con el que un cliente puede cancelar una cita con el barbero. El cliente no podrá cancelar la cita cuando falte menos del tiempo indicado</v>
      </c>
      <c r="C12" s="17" t="s">
        <v>66</v>
      </c>
      <c r="D12" s="17" t="s">
        <v>113</v>
      </c>
      <c r="E12" s="17" t="s">
        <v>66</v>
      </c>
      <c r="F12" s="17" t="s">
        <v>65</v>
      </c>
      <c r="G12" s="17" t="s">
        <v>65</v>
      </c>
      <c r="H12" s="17" t="s">
        <v>65</v>
      </c>
      <c r="I12" s="17" t="s">
        <v>65</v>
      </c>
      <c r="J12" s="17">
        <v>0</v>
      </c>
      <c r="K12" s="63">
        <v>59</v>
      </c>
      <c r="L12" s="17" t="s">
        <v>65</v>
      </c>
      <c r="M12" s="18" t="s">
        <v>65</v>
      </c>
      <c r="N12" s="17" t="s">
        <v>66</v>
      </c>
      <c r="O12" s="17" t="s">
        <v>65</v>
      </c>
      <c r="P12" s="17" t="s">
        <v>65</v>
      </c>
      <c r="Q12" s="17" t="s">
        <v>65</v>
      </c>
      <c r="R12" s="17" t="s">
        <v>65</v>
      </c>
      <c r="S12" s="17" t="s">
        <v>66</v>
      </c>
      <c r="T12" s="17">
        <v>0</v>
      </c>
      <c r="U12" s="17" t="s">
        <v>66</v>
      </c>
      <c r="V12" s="64"/>
      <c r="W12" s="64"/>
      <c r="X12" s="64"/>
      <c r="Y12" s="64"/>
    </row>
    <row r="13" spans="1:25" ht="15" customHeight="1" x14ac:dyDescent="0.3">
      <c r="A13" s="68"/>
      <c r="B13" s="68"/>
      <c r="C13" s="69"/>
      <c r="D13" s="69"/>
      <c r="E13" s="69"/>
      <c r="F13" s="69"/>
      <c r="G13" s="69"/>
      <c r="H13" s="69"/>
      <c r="I13" s="69"/>
      <c r="J13" s="69"/>
      <c r="K13" s="69"/>
      <c r="L13" s="69"/>
      <c r="M13" s="69"/>
      <c r="N13" s="69"/>
      <c r="O13" s="69"/>
      <c r="P13" s="69"/>
      <c r="Q13" s="69"/>
      <c r="R13" s="69"/>
      <c r="S13" s="69"/>
      <c r="T13" s="69"/>
      <c r="U13" s="69"/>
      <c r="V13" s="69"/>
      <c r="W13" s="69"/>
      <c r="X13" s="69"/>
      <c r="Y13" s="69"/>
    </row>
    <row r="14" spans="1:25" ht="15" customHeight="1" x14ac:dyDescent="0.3">
      <c r="A14" s="68"/>
      <c r="B14" s="68"/>
      <c r="C14" s="69"/>
      <c r="D14" s="69"/>
      <c r="E14" s="69"/>
      <c r="F14" s="69"/>
      <c r="G14" s="69"/>
      <c r="H14" s="69"/>
      <c r="I14" s="69"/>
      <c r="J14" s="69"/>
      <c r="K14" s="69"/>
      <c r="L14" s="69"/>
      <c r="M14" s="69"/>
      <c r="N14" s="69"/>
      <c r="O14" s="69"/>
      <c r="P14" s="69"/>
      <c r="Q14" s="69"/>
      <c r="R14" s="69"/>
      <c r="S14" s="69"/>
      <c r="T14" s="69"/>
      <c r="U14" s="69"/>
      <c r="V14" s="69"/>
      <c r="W14" s="69"/>
      <c r="X14" s="69"/>
      <c r="Y14" s="69"/>
    </row>
    <row r="15" spans="1:25" ht="15" customHeight="1" x14ac:dyDescent="0.3">
      <c r="A15" s="68"/>
      <c r="B15" s="68"/>
      <c r="C15" s="69"/>
      <c r="D15" s="69"/>
      <c r="E15" s="69"/>
      <c r="F15" s="69"/>
      <c r="G15" s="69"/>
      <c r="H15" s="69"/>
      <c r="I15" s="69"/>
      <c r="J15" s="69"/>
      <c r="K15" s="69"/>
      <c r="L15" s="69"/>
      <c r="M15" s="69"/>
      <c r="N15" s="69"/>
      <c r="O15" s="69"/>
      <c r="P15" s="69"/>
      <c r="Q15" s="69"/>
      <c r="R15" s="69"/>
      <c r="S15" s="69"/>
      <c r="T15" s="69"/>
      <c r="U15" s="69"/>
      <c r="V15" s="69"/>
      <c r="W15" s="69"/>
      <c r="X15" s="69"/>
      <c r="Y15" s="69"/>
    </row>
    <row r="16" spans="1:25" ht="15" customHeight="1" x14ac:dyDescent="0.3">
      <c r="A16" s="68"/>
      <c r="B16" s="68"/>
      <c r="C16" s="69"/>
      <c r="D16" s="69"/>
      <c r="E16" s="69"/>
      <c r="F16" s="69"/>
      <c r="G16" s="69"/>
      <c r="H16" s="69"/>
      <c r="I16" s="69"/>
      <c r="J16" s="69"/>
      <c r="K16" s="69"/>
      <c r="L16" s="69"/>
      <c r="M16" s="69"/>
      <c r="N16" s="69"/>
      <c r="O16" s="69"/>
      <c r="P16" s="69"/>
      <c r="Q16" s="69"/>
      <c r="R16" s="69"/>
      <c r="S16" s="69"/>
      <c r="T16" s="69"/>
      <c r="U16" s="69"/>
      <c r="V16" s="69"/>
      <c r="W16" s="69"/>
      <c r="X16" s="69"/>
      <c r="Y16" s="69"/>
    </row>
    <row r="17" spans="1:25" ht="15" customHeight="1" x14ac:dyDescent="0.3">
      <c r="A17" s="69"/>
      <c r="B17" s="69"/>
      <c r="C17" s="69"/>
      <c r="D17" s="69"/>
      <c r="E17" s="69"/>
      <c r="F17" s="69"/>
      <c r="G17" s="69"/>
      <c r="H17" s="69"/>
      <c r="I17" s="69"/>
      <c r="J17" s="69"/>
      <c r="K17" s="69"/>
      <c r="L17" s="69"/>
      <c r="M17" s="69"/>
      <c r="N17" s="69"/>
      <c r="O17" s="69"/>
      <c r="P17" s="69"/>
      <c r="Q17" s="69"/>
      <c r="R17" s="69"/>
      <c r="S17" s="69"/>
      <c r="T17" s="69"/>
      <c r="U17" s="69"/>
      <c r="V17" s="69"/>
      <c r="W17" s="69"/>
      <c r="X17" s="69"/>
      <c r="Y17" s="69"/>
    </row>
    <row r="18" spans="1:25" ht="15" customHeight="1" x14ac:dyDescent="0.3">
      <c r="A18" s="70"/>
      <c r="B18" s="70"/>
      <c r="C18" s="70"/>
      <c r="D18" s="69"/>
      <c r="E18" s="69"/>
      <c r="F18" s="69"/>
      <c r="G18" s="69"/>
      <c r="H18" s="69"/>
      <c r="I18" s="69"/>
      <c r="J18" s="69"/>
      <c r="K18" s="69"/>
      <c r="L18" s="69"/>
      <c r="M18" s="69"/>
      <c r="N18" s="69"/>
      <c r="O18" s="69"/>
      <c r="P18" s="69"/>
      <c r="Q18" s="69"/>
      <c r="R18" s="69"/>
      <c r="S18" s="69"/>
      <c r="T18" s="69"/>
      <c r="U18" s="69"/>
      <c r="V18" s="69"/>
      <c r="W18" s="69"/>
      <c r="X18" s="69"/>
      <c r="Y18" s="69"/>
    </row>
    <row r="19" spans="1:25" ht="15" customHeight="1" x14ac:dyDescent="0.3">
      <c r="A19" s="69"/>
      <c r="B19" s="69"/>
      <c r="C19" s="69"/>
      <c r="D19" s="69"/>
      <c r="E19" s="69"/>
      <c r="F19" s="69"/>
      <c r="G19" s="69"/>
      <c r="H19" s="69"/>
      <c r="I19" s="69"/>
      <c r="J19" s="69"/>
      <c r="K19" s="69"/>
      <c r="L19" s="69"/>
      <c r="M19" s="69"/>
      <c r="N19" s="69"/>
      <c r="O19" s="69"/>
      <c r="P19" s="69"/>
      <c r="Q19" s="69"/>
      <c r="R19" s="69"/>
      <c r="S19" s="69"/>
      <c r="T19" s="69"/>
      <c r="U19" s="69"/>
      <c r="V19" s="69"/>
      <c r="W19" s="69"/>
      <c r="X19" s="69"/>
      <c r="Y19" s="69"/>
    </row>
  </sheetData>
  <hyperlinks>
    <hyperlink ref="A1" location="'Modelo de Dominio'!A1" display="&lt;&lt;&lt;&lt; Ir al modulo de dominio" xr:uid="{00000000-0004-0000-0800-000000000000}"/>
    <hyperlink ref="B1" location="'Objetos de Dominio'!A1" display="&lt;&lt;&lt;&lt; Ir a objetos de dominio" xr:uid="{00000000-0004-0000-0800-000001000000}"/>
  </hyperlink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2"/>
  <sheetViews>
    <sheetView zoomScale="130" zoomScaleNormal="130" workbookViewId="0">
      <selection activeCell="A4" sqref="A4"/>
    </sheetView>
  </sheetViews>
  <sheetFormatPr baseColWidth="10" defaultColWidth="10.6640625" defaultRowHeight="14.4" x14ac:dyDescent="0.3"/>
  <cols>
    <col min="1" max="1" width="25" customWidth="1"/>
    <col min="2" max="2" width="26.88671875" customWidth="1"/>
    <col min="3" max="3" width="31.44140625" customWidth="1"/>
    <col min="4" max="4" width="34.44140625" customWidth="1"/>
    <col min="5" max="5" width="28.44140625" customWidth="1"/>
    <col min="6" max="6" width="29.88671875" customWidth="1"/>
    <col min="7" max="7" width="55.109375" customWidth="1"/>
    <col min="8" max="8" width="57.6640625" customWidth="1"/>
    <col min="9" max="9" width="55.109375" customWidth="1"/>
    <col min="10" max="10" width="57.6640625" customWidth="1"/>
  </cols>
  <sheetData>
    <row r="1" spans="1:10" ht="14.25" customHeight="1" x14ac:dyDescent="0.3">
      <c r="A1" s="5" t="s">
        <v>1</v>
      </c>
      <c r="B1" s="5" t="s">
        <v>41</v>
      </c>
    </row>
    <row r="2" spans="1:10" ht="48.75" customHeight="1" x14ac:dyDescent="0.3">
      <c r="A2" s="45" t="s">
        <v>75</v>
      </c>
      <c r="B2" s="46" t="s">
        <v>135</v>
      </c>
      <c r="C2" s="46" t="s">
        <v>136</v>
      </c>
      <c r="D2" s="46" t="s">
        <v>137</v>
      </c>
      <c r="E2" s="46" t="s">
        <v>138</v>
      </c>
      <c r="F2" s="46" t="s">
        <v>139</v>
      </c>
      <c r="G2" s="46" t="s">
        <v>140</v>
      </c>
      <c r="H2" s="46" t="s">
        <v>141</v>
      </c>
      <c r="I2" s="46" t="s">
        <v>142</v>
      </c>
      <c r="J2" s="46" t="s">
        <v>143</v>
      </c>
    </row>
    <row r="3" spans="1:10" ht="14.25" customHeight="1" x14ac:dyDescent="0.3">
      <c r="A3" s="71" t="s">
        <v>78</v>
      </c>
      <c r="B3" s="72" t="s">
        <v>144</v>
      </c>
      <c r="C3" s="72" t="s">
        <v>145</v>
      </c>
      <c r="D3" s="72" t="s">
        <v>146</v>
      </c>
      <c r="E3" s="72" t="s">
        <v>147</v>
      </c>
      <c r="F3" s="72" t="s">
        <v>148</v>
      </c>
      <c r="G3" s="72" t="s">
        <v>149</v>
      </c>
      <c r="H3" s="72" t="s">
        <v>150</v>
      </c>
      <c r="I3" s="72" t="s">
        <v>151</v>
      </c>
      <c r="J3" s="72" t="s">
        <v>152</v>
      </c>
    </row>
    <row r="4" spans="1:10" ht="14.25" customHeight="1" x14ac:dyDescent="0.3">
      <c r="A4" s="26">
        <v>1</v>
      </c>
      <c r="B4" s="26">
        <v>10</v>
      </c>
      <c r="C4" s="73">
        <v>10000</v>
      </c>
      <c r="D4" s="26">
        <v>3</v>
      </c>
      <c r="E4" s="26">
        <v>15</v>
      </c>
      <c r="F4" s="26">
        <v>10</v>
      </c>
      <c r="G4" s="26">
        <v>1</v>
      </c>
      <c r="H4" s="26">
        <v>0</v>
      </c>
      <c r="I4" s="26">
        <v>1</v>
      </c>
      <c r="J4" s="26">
        <v>0</v>
      </c>
    </row>
    <row r="10" spans="1:10" ht="28.5" customHeight="1" x14ac:dyDescent="0.3">
      <c r="A10" s="29"/>
      <c r="B10" s="30" t="s">
        <v>88</v>
      </c>
    </row>
    <row r="11" spans="1:10" ht="28.5" customHeight="1" x14ac:dyDescent="0.3">
      <c r="A11" s="31"/>
      <c r="B11" s="30" t="s">
        <v>89</v>
      </c>
    </row>
    <row r="12" spans="1:10" ht="28.5" customHeight="1" x14ac:dyDescent="0.3">
      <c r="A12" s="74"/>
      <c r="B12" s="30" t="s">
        <v>133</v>
      </c>
    </row>
  </sheetData>
  <hyperlinks>
    <hyperlink ref="A1" location="'Modelo de Dominio'!A1" display="&lt;&lt;&lt;&lt; Ir al modulo de dominio" xr:uid="{00000000-0004-0000-0900-000000000000}"/>
    <hyperlink ref="B1" location="'Objetos de Dominio'!A1" display="&lt;&lt;&lt;&lt; Ir a objetos de dominio" xr:uid="{00000000-0004-0000-0900-000001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7"/>
  <sheetViews>
    <sheetView topLeftCell="L1" zoomScaleNormal="100" workbookViewId="0">
      <selection activeCell="T5" sqref="T5"/>
    </sheetView>
  </sheetViews>
  <sheetFormatPr baseColWidth="10" defaultColWidth="8.6640625" defaultRowHeight="14.4" x14ac:dyDescent="0.3"/>
  <cols>
    <col min="1" max="1" width="26.6640625" customWidth="1"/>
    <col min="2" max="2" width="45" customWidth="1"/>
    <col min="3" max="3" width="33.332031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30.109375"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4" customWidth="1"/>
  </cols>
  <sheetData>
    <row r="1" spans="1:21" ht="15" customHeight="1" x14ac:dyDescent="0.3">
      <c r="A1" s="5" t="s">
        <v>1</v>
      </c>
      <c r="B1" s="5" t="s">
        <v>41</v>
      </c>
    </row>
    <row r="2" spans="1:21" s="16" customFormat="1" ht="15" customHeight="1" x14ac:dyDescent="0.3">
      <c r="A2" s="14" t="s">
        <v>42</v>
      </c>
      <c r="B2" s="15" t="s">
        <v>43</v>
      </c>
      <c r="C2" s="14" t="s">
        <v>44</v>
      </c>
      <c r="D2" s="14" t="s">
        <v>45</v>
      </c>
      <c r="E2" s="14" t="s">
        <v>46</v>
      </c>
      <c r="F2" s="14" t="s">
        <v>47</v>
      </c>
      <c r="G2" s="14" t="s">
        <v>48</v>
      </c>
      <c r="H2" s="14" t="s">
        <v>49</v>
      </c>
      <c r="I2" s="14" t="s">
        <v>50</v>
      </c>
      <c r="J2" s="14" t="s">
        <v>51</v>
      </c>
      <c r="K2" s="14" t="s">
        <v>52</v>
      </c>
      <c r="L2" s="14" t="s">
        <v>53</v>
      </c>
      <c r="M2" s="15" t="s">
        <v>54</v>
      </c>
      <c r="N2" s="14" t="s">
        <v>55</v>
      </c>
      <c r="O2" s="14" t="s">
        <v>56</v>
      </c>
      <c r="P2" s="14" t="s">
        <v>57</v>
      </c>
      <c r="Q2" s="14" t="s">
        <v>58</v>
      </c>
      <c r="R2" s="14" t="s">
        <v>59</v>
      </c>
      <c r="S2" s="14" t="s">
        <v>60</v>
      </c>
      <c r="T2" s="14" t="s">
        <v>61</v>
      </c>
      <c r="U2" s="14" t="s">
        <v>62</v>
      </c>
    </row>
    <row r="3" spans="1:21" ht="45" customHeight="1" x14ac:dyDescent="0.3">
      <c r="A3" s="17" t="str">
        <f>'M-PrefijoCelular'!A3</f>
        <v>id</v>
      </c>
      <c r="B3" s="18" t="str">
        <f>'M-PrefijoCelular'!A2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8" t="s">
        <v>65</v>
      </c>
      <c r="N3" s="17" t="s">
        <v>66</v>
      </c>
      <c r="O3" s="17" t="s">
        <v>66</v>
      </c>
      <c r="P3" s="17" t="s">
        <v>65</v>
      </c>
      <c r="Q3" s="17" t="s">
        <v>66</v>
      </c>
      <c r="R3" s="17" t="s">
        <v>66</v>
      </c>
      <c r="S3" s="17" t="s">
        <v>66</v>
      </c>
      <c r="T3" s="17" t="s">
        <v>65</v>
      </c>
      <c r="U3" s="17" t="s">
        <v>63</v>
      </c>
    </row>
    <row r="4" spans="1:21" ht="75" customHeight="1" x14ac:dyDescent="0.3">
      <c r="A4" s="17" t="str">
        <f>'M-PrefijoCelular'!B3</f>
        <v>prefijo</v>
      </c>
      <c r="B4" s="18" t="str">
        <f>'M-PrefijoCelular'!B2</f>
        <v>Representa el primer nombre del barbero que trabaja en barbería</v>
      </c>
      <c r="C4" s="17" t="s">
        <v>66</v>
      </c>
      <c r="D4" s="17" t="s">
        <v>68</v>
      </c>
      <c r="E4" s="17" t="s">
        <v>63</v>
      </c>
      <c r="F4" s="17">
        <v>2</v>
      </c>
      <c r="G4" s="17">
        <v>6</v>
      </c>
      <c r="H4" s="17" t="s">
        <v>65</v>
      </c>
      <c r="I4" s="17" t="s">
        <v>65</v>
      </c>
      <c r="J4" s="17" t="s">
        <v>65</v>
      </c>
      <c r="K4" s="17" t="s">
        <v>65</v>
      </c>
      <c r="L4" s="18" t="s">
        <v>153</v>
      </c>
      <c r="M4" s="18" t="s">
        <v>154</v>
      </c>
      <c r="N4" s="17" t="s">
        <v>66</v>
      </c>
      <c r="O4" s="17" t="s">
        <v>66</v>
      </c>
      <c r="P4" s="17" t="s">
        <v>65</v>
      </c>
      <c r="Q4" s="17" t="s">
        <v>63</v>
      </c>
      <c r="R4" s="17" t="s">
        <v>63</v>
      </c>
      <c r="S4" s="17" t="s">
        <v>66</v>
      </c>
      <c r="T4" s="17" t="s">
        <v>155</v>
      </c>
      <c r="U4" s="17" t="s">
        <v>66</v>
      </c>
    </row>
    <row r="6" spans="1:21" ht="15" customHeight="1" x14ac:dyDescent="0.3">
      <c r="A6" s="19" t="s">
        <v>71</v>
      </c>
      <c r="B6" s="19" t="s">
        <v>72</v>
      </c>
      <c r="C6" s="19" t="s">
        <v>73</v>
      </c>
    </row>
    <row r="7" spans="1:21" ht="30" customHeight="1" x14ac:dyDescent="0.3">
      <c r="A7" s="2" t="str">
        <f>'M-PrefijoCelular'!C3</f>
        <v xml:space="preserve">Combinación única </v>
      </c>
      <c r="B7" s="1" t="str">
        <f>'M-PrefijoCelular'!C2</f>
        <v>Combinacion única que indica que no puede existir más un mismo prefijo</v>
      </c>
      <c r="C7" s="20" t="s">
        <v>156</v>
      </c>
    </row>
  </sheetData>
  <hyperlinks>
    <hyperlink ref="A1" location="'Modelo de Dominio'!A1" display="&lt;&lt;&lt;&lt; Ir al modulo de dominio" xr:uid="{00000000-0004-0000-0A00-000000000000}"/>
    <hyperlink ref="B1" location="'Objetos de Dominio'!A1" display="&lt;&lt;&lt;&lt; Ir a objetos de dominio" xr:uid="{00000000-0004-0000-0A00-000001000000}"/>
    <hyperlink ref="A3" location="'M-PrefijoCelular'!A3" display="#'M-PrefijoCelular'.A3" xr:uid="{00000000-0004-0000-0A00-000002000000}"/>
    <hyperlink ref="B3" location="'M-PrefijoCelular'!A2" display="#'M-PrefijoCelular'.A2" xr:uid="{00000000-0004-0000-0A00-000003000000}"/>
    <hyperlink ref="A4" location="'M-PrefijoCelular'!A3" display="#'M-PrefijoCelular'.A3" xr:uid="{00000000-0004-0000-0A00-000004000000}"/>
    <hyperlink ref="B4" location="'M-PrefijoCelular'!A2" display="#'M-PrefijoCelular'.A2" xr:uid="{00000000-0004-0000-0A00-000005000000}"/>
    <hyperlink ref="A7" location="'M-PrefijoCelular'!A3" display="#'M-PrefijoCelular'.A3" xr:uid="{00000000-0004-0000-0A00-000006000000}"/>
    <hyperlink ref="B7" location="'M-PrefijoCelular'!A2" display="#'M-PrefijoCelular'.A2" xr:uid="{00000000-0004-0000-0A00-000007000000}"/>
  </hyperlink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6"/>
  <sheetViews>
    <sheetView zoomScale="115" zoomScaleNormal="115" workbookViewId="0">
      <selection activeCell="B1" sqref="B1"/>
    </sheetView>
  </sheetViews>
  <sheetFormatPr baseColWidth="10" defaultColWidth="10.6640625" defaultRowHeight="14.4" x14ac:dyDescent="0.3"/>
  <cols>
    <col min="1" max="1" width="27" customWidth="1"/>
    <col min="2" max="2" width="26.109375" customWidth="1"/>
    <col min="3" max="3" width="19.6640625" customWidth="1"/>
  </cols>
  <sheetData>
    <row r="1" spans="1:3" ht="14.25" customHeight="1" x14ac:dyDescent="0.3">
      <c r="A1" s="5" t="s">
        <v>1</v>
      </c>
      <c r="B1" s="5" t="s">
        <v>41</v>
      </c>
    </row>
    <row r="2" spans="1:3" ht="31.5" customHeight="1" x14ac:dyDescent="0.3">
      <c r="A2" s="21" t="s">
        <v>75</v>
      </c>
      <c r="B2" s="21" t="s">
        <v>157</v>
      </c>
      <c r="C2" s="22" t="s">
        <v>158</v>
      </c>
    </row>
    <row r="3" spans="1:3" ht="14.25" customHeight="1" x14ac:dyDescent="0.3">
      <c r="A3" s="23" t="s">
        <v>78</v>
      </c>
      <c r="B3" s="24" t="s">
        <v>156</v>
      </c>
      <c r="C3" s="25" t="s">
        <v>79</v>
      </c>
    </row>
    <row r="4" spans="1:3" ht="14.25" customHeight="1" x14ac:dyDescent="0.3">
      <c r="A4" s="26">
        <v>1</v>
      </c>
      <c r="B4" s="26" t="s">
        <v>159</v>
      </c>
      <c r="C4" s="26" t="str">
        <f>B4</f>
        <v>+57</v>
      </c>
    </row>
    <row r="5" spans="1:3" ht="14.25" customHeight="1" x14ac:dyDescent="0.3">
      <c r="A5" s="26">
        <v>2</v>
      </c>
      <c r="B5" s="26" t="s">
        <v>160</v>
      </c>
      <c r="C5" s="26" t="str">
        <f>B5</f>
        <v>+91</v>
      </c>
    </row>
    <row r="6" spans="1:3" ht="14.25" customHeight="1" x14ac:dyDescent="0.3">
      <c r="A6" s="26">
        <v>3</v>
      </c>
      <c r="B6" s="26" t="s">
        <v>161</v>
      </c>
      <c r="C6" s="26" t="str">
        <f>B6</f>
        <v>+593</v>
      </c>
    </row>
    <row r="7" spans="1:3" ht="14.25" customHeight="1" x14ac:dyDescent="0.3">
      <c r="A7" s="26">
        <v>4</v>
      </c>
      <c r="B7" s="26" t="s">
        <v>162</v>
      </c>
      <c r="C7" s="26" t="str">
        <f>B7</f>
        <v>+58</v>
      </c>
    </row>
    <row r="8" spans="1:3" ht="14.25" customHeight="1" x14ac:dyDescent="0.3">
      <c r="A8" s="28"/>
      <c r="B8" s="28"/>
    </row>
    <row r="9" spans="1:3" ht="14.25" customHeight="1" x14ac:dyDescent="0.3">
      <c r="A9" s="28"/>
      <c r="B9" s="28"/>
    </row>
    <row r="13" spans="1:3" ht="28.5" customHeight="1" x14ac:dyDescent="0.3">
      <c r="A13" s="29"/>
      <c r="B13" s="30" t="s">
        <v>88</v>
      </c>
    </row>
    <row r="14" spans="1:3" ht="28.5" customHeight="1" x14ac:dyDescent="0.3">
      <c r="A14" s="31"/>
      <c r="B14" s="30" t="s">
        <v>89</v>
      </c>
    </row>
    <row r="15" spans="1:3" ht="28.5" customHeight="1" x14ac:dyDescent="0.3">
      <c r="A15" s="32"/>
      <c r="B15" s="30" t="s">
        <v>90</v>
      </c>
    </row>
    <row r="16" spans="1:3" ht="28.5" customHeight="1" x14ac:dyDescent="0.3">
      <c r="A16" s="33"/>
      <c r="B16" s="30" t="s">
        <v>91</v>
      </c>
    </row>
  </sheetData>
  <hyperlinks>
    <hyperlink ref="A1" location="'Modelo de Dominio'!A1" display="&lt;&lt;&lt;&lt; Ir al modulo de dominio" xr:uid="{00000000-0004-0000-0B00-000000000000}"/>
    <hyperlink ref="B1" location="'Objetos de Dominio'!A1" display="&lt;&lt;&lt;&lt; Ir a objetos de dominio" xr:uid="{00000000-0004-0000-0B00-000001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8"/>
  <sheetViews>
    <sheetView zoomScaleNormal="100" workbookViewId="0">
      <selection activeCell="T5" sqref="T5"/>
    </sheetView>
  </sheetViews>
  <sheetFormatPr baseColWidth="10" defaultColWidth="8.6640625" defaultRowHeight="14.4" x14ac:dyDescent="0.3"/>
  <cols>
    <col min="1" max="1" width="26.6640625" customWidth="1"/>
    <col min="2" max="2" width="45" customWidth="1"/>
    <col min="3" max="3" width="30.44140625" customWidth="1"/>
    <col min="4" max="4" width="26.66406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s>
  <sheetData>
    <row r="1" spans="1:21" ht="15" customHeight="1" x14ac:dyDescent="0.3">
      <c r="A1" s="5" t="s">
        <v>1</v>
      </c>
      <c r="B1" s="5" t="s">
        <v>41</v>
      </c>
    </row>
    <row r="2" spans="1:21" s="16" customFormat="1" ht="15" customHeight="1" x14ac:dyDescent="0.3">
      <c r="A2" s="14" t="s">
        <v>42</v>
      </c>
      <c r="B2" s="15" t="s">
        <v>43</v>
      </c>
      <c r="C2" s="14" t="s">
        <v>44</v>
      </c>
      <c r="D2" s="14" t="s">
        <v>45</v>
      </c>
      <c r="E2" s="14" t="s">
        <v>46</v>
      </c>
      <c r="F2" s="14" t="s">
        <v>47</v>
      </c>
      <c r="G2" s="14" t="s">
        <v>48</v>
      </c>
      <c r="H2" s="14" t="s">
        <v>49</v>
      </c>
      <c r="I2" s="14" t="s">
        <v>50</v>
      </c>
      <c r="J2" s="14" t="s">
        <v>51</v>
      </c>
      <c r="K2" s="14" t="s">
        <v>52</v>
      </c>
      <c r="L2" s="14" t="s">
        <v>53</v>
      </c>
      <c r="M2" s="15" t="s">
        <v>54</v>
      </c>
      <c r="N2" s="14" t="s">
        <v>55</v>
      </c>
      <c r="O2" s="14" t="s">
        <v>56</v>
      </c>
      <c r="P2" s="14" t="s">
        <v>57</v>
      </c>
      <c r="Q2" s="14" t="s">
        <v>58</v>
      </c>
      <c r="R2" s="14" t="s">
        <v>59</v>
      </c>
      <c r="S2" s="14" t="s">
        <v>60</v>
      </c>
      <c r="T2" s="14" t="s">
        <v>61</v>
      </c>
      <c r="U2" s="14" t="s">
        <v>62</v>
      </c>
    </row>
    <row r="3" spans="1:21" ht="45" customHeight="1" x14ac:dyDescent="0.3">
      <c r="A3" s="17" t="str">
        <f>'M-TipoMulta'!A3</f>
        <v>id</v>
      </c>
      <c r="B3" s="18" t="str">
        <f>'M-TipoMulta'!A2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7" t="s">
        <v>65</v>
      </c>
      <c r="N3" s="17" t="s">
        <v>66</v>
      </c>
      <c r="O3" s="17" t="s">
        <v>66</v>
      </c>
      <c r="P3" s="17" t="s">
        <v>65</v>
      </c>
      <c r="Q3" s="17" t="s">
        <v>66</v>
      </c>
      <c r="R3" s="17" t="s">
        <v>66</v>
      </c>
      <c r="S3" s="17" t="s">
        <v>66</v>
      </c>
      <c r="T3" s="17" t="s">
        <v>67</v>
      </c>
      <c r="U3" s="17" t="s">
        <v>63</v>
      </c>
    </row>
    <row r="4" spans="1:21" ht="15" customHeight="1" x14ac:dyDescent="0.3">
      <c r="A4" s="17" t="str">
        <f>'M-TipoMulta'!B3</f>
        <v>nombre</v>
      </c>
      <c r="B4" s="18" t="str">
        <f>'M-TipoMulta'!B2</f>
        <v>Representa el nombre del tipo de multa</v>
      </c>
      <c r="C4" s="17" t="s">
        <v>66</v>
      </c>
      <c r="D4" s="17" t="s">
        <v>68</v>
      </c>
      <c r="E4" s="17" t="s">
        <v>63</v>
      </c>
      <c r="F4" s="17">
        <v>4</v>
      </c>
      <c r="G4" s="17">
        <v>50</v>
      </c>
      <c r="H4" s="17" t="s">
        <v>65</v>
      </c>
      <c r="I4" s="17" t="s">
        <v>65</v>
      </c>
      <c r="J4" s="17" t="s">
        <v>65</v>
      </c>
      <c r="K4" s="17" t="s">
        <v>65</v>
      </c>
      <c r="L4" s="17" t="s">
        <v>65</v>
      </c>
      <c r="M4" s="17" t="s">
        <v>65</v>
      </c>
      <c r="N4" s="17" t="s">
        <v>66</v>
      </c>
      <c r="O4" s="17" t="s">
        <v>66</v>
      </c>
      <c r="P4" s="17" t="s">
        <v>65</v>
      </c>
      <c r="Q4" s="17" t="s">
        <v>63</v>
      </c>
      <c r="R4" s="17" t="s">
        <v>63</v>
      </c>
      <c r="S4" s="17" t="s">
        <v>66</v>
      </c>
      <c r="T4" s="17" t="s">
        <v>70</v>
      </c>
      <c r="U4" s="17" t="s">
        <v>66</v>
      </c>
    </row>
    <row r="5" spans="1:21" ht="15" customHeight="1" x14ac:dyDescent="0.3">
      <c r="A5" s="17" t="str">
        <f>'M-TipoMulta'!C3</f>
        <v>descripcion</v>
      </c>
      <c r="B5" s="18" t="str">
        <f>'M-TipoMulta'!C2</f>
        <v>Representa que hace cada tipo de multa</v>
      </c>
      <c r="C5" s="17" t="s">
        <v>66</v>
      </c>
      <c r="D5" s="17" t="s">
        <v>68</v>
      </c>
      <c r="E5" s="17" t="s">
        <v>63</v>
      </c>
      <c r="F5" s="17">
        <v>10</v>
      </c>
      <c r="G5" s="17">
        <v>300</v>
      </c>
      <c r="H5" s="17" t="s">
        <v>65</v>
      </c>
      <c r="I5" s="17" t="s">
        <v>65</v>
      </c>
      <c r="J5" s="17" t="s">
        <v>65</v>
      </c>
      <c r="K5" s="17" t="s">
        <v>65</v>
      </c>
      <c r="L5" s="17" t="s">
        <v>65</v>
      </c>
      <c r="M5" s="17" t="s">
        <v>65</v>
      </c>
      <c r="N5" s="17" t="s">
        <v>66</v>
      </c>
      <c r="O5" s="17" t="s">
        <v>66</v>
      </c>
      <c r="P5" s="17" t="s">
        <v>65</v>
      </c>
      <c r="Q5" s="17" t="s">
        <v>63</v>
      </c>
      <c r="R5" s="17" t="s">
        <v>63</v>
      </c>
      <c r="S5" s="17" t="s">
        <v>66</v>
      </c>
      <c r="T5" s="17" t="s">
        <v>70</v>
      </c>
      <c r="U5" s="17" t="s">
        <v>66</v>
      </c>
    </row>
    <row r="7" spans="1:21" ht="15" customHeight="1" x14ac:dyDescent="0.3">
      <c r="A7" s="19" t="s">
        <v>71</v>
      </c>
      <c r="B7" s="19" t="s">
        <v>72</v>
      </c>
      <c r="C7" s="19" t="s">
        <v>73</v>
      </c>
    </row>
    <row r="8" spans="1:21" ht="30" customHeight="1" x14ac:dyDescent="0.3">
      <c r="A8" s="2" t="str">
        <f>'M-TipoMulta'!D3</f>
        <v>Combinación única</v>
      </c>
      <c r="B8" s="1" t="str">
        <f>'M-TipoMulta'!D2</f>
        <v xml:space="preserve">Combinación única indica que no puede existir más de un tipo de multa con el mismo nombre </v>
      </c>
      <c r="C8" s="20" t="s">
        <v>74</v>
      </c>
    </row>
  </sheetData>
  <hyperlinks>
    <hyperlink ref="A1" location="'Modelo de Dominio'!A1" display="&lt;&lt;&lt;&lt; Ir al modulo de dominio" xr:uid="{00000000-0004-0000-0C00-000000000000}"/>
    <hyperlink ref="B1" location="'Objetos de Dominio'!A1" display="&lt;&lt;&lt;&lt; Ir a objetos de dominio" xr:uid="{00000000-0004-0000-0C00-000001000000}"/>
    <hyperlink ref="A3" location="'M-TipoMulta'!A3" display="#'M-TipoMulta'.A3" xr:uid="{00000000-0004-0000-0C00-000002000000}"/>
    <hyperlink ref="B3" location="'M-TipoMulta'!A2" display="#'M-TipoMulta'.A2" xr:uid="{00000000-0004-0000-0C00-000003000000}"/>
    <hyperlink ref="A4" location="'M-TipoMulta'!A3" display="#'M-TipoMulta'.A3" xr:uid="{00000000-0004-0000-0C00-000004000000}"/>
    <hyperlink ref="B4" location="'M-TipoMulta'!A2" display="#'M-TipoMulta'.A2" xr:uid="{00000000-0004-0000-0C00-000005000000}"/>
    <hyperlink ref="A5" location="'M-TipoMulta'!A3" display="#'M-TipoMulta'.A3" xr:uid="{00000000-0004-0000-0C00-000006000000}"/>
    <hyperlink ref="B5" location="'M-TipoMulta'!A2" display="#'M-TipoMulta'.A2" xr:uid="{00000000-0004-0000-0C00-000007000000}"/>
    <hyperlink ref="A8" location="'M-TipoMulta'!A3" display="#'M-TipoMulta'.A3" xr:uid="{00000000-0004-0000-0C00-000008000000}"/>
    <hyperlink ref="B8" location="'M-TipoMulta'!A2" display="#'M-TipoMulta'.A2" xr:uid="{00000000-0004-0000-0C00-000009000000}"/>
  </hyperlinks>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7"/>
  <sheetViews>
    <sheetView zoomScale="115" zoomScaleNormal="115" workbookViewId="0">
      <selection activeCell="C9" sqref="C9"/>
    </sheetView>
  </sheetViews>
  <sheetFormatPr baseColWidth="10" defaultColWidth="10.6640625" defaultRowHeight="14.4" x14ac:dyDescent="0.3"/>
  <cols>
    <col min="1" max="1" width="25" customWidth="1"/>
    <col min="2" max="2" width="24.44140625" customWidth="1"/>
    <col min="3" max="3" width="40.109375" customWidth="1"/>
    <col min="4" max="4" width="17.6640625" customWidth="1"/>
  </cols>
  <sheetData>
    <row r="1" spans="1:4" ht="14.25" customHeight="1" x14ac:dyDescent="0.3">
      <c r="A1" s="5" t="s">
        <v>1</v>
      </c>
      <c r="B1" s="5" t="s">
        <v>41</v>
      </c>
      <c r="C1" s="5"/>
    </row>
    <row r="2" spans="1:4" ht="39" customHeight="1" x14ac:dyDescent="0.3">
      <c r="A2" s="21" t="s">
        <v>75</v>
      </c>
      <c r="B2" s="21" t="s">
        <v>163</v>
      </c>
      <c r="C2" s="21" t="s">
        <v>164</v>
      </c>
      <c r="D2" s="22" t="s">
        <v>165</v>
      </c>
    </row>
    <row r="3" spans="1:4" ht="14.25" customHeight="1" x14ac:dyDescent="0.3">
      <c r="A3" s="23" t="s">
        <v>78</v>
      </c>
      <c r="B3" s="75" t="s">
        <v>74</v>
      </c>
      <c r="C3" s="76" t="s">
        <v>96</v>
      </c>
      <c r="D3" s="25" t="s">
        <v>166</v>
      </c>
    </row>
    <row r="4" spans="1:4" ht="60" customHeight="1" x14ac:dyDescent="0.3">
      <c r="A4" s="26">
        <v>1</v>
      </c>
      <c r="B4" s="26" t="s">
        <v>167</v>
      </c>
      <c r="C4" s="36" t="s">
        <v>168</v>
      </c>
      <c r="D4" s="26" t="str">
        <f>B4</f>
        <v>Tardanza</v>
      </c>
    </row>
    <row r="5" spans="1:4" ht="45" customHeight="1" x14ac:dyDescent="0.3">
      <c r="A5" s="26">
        <v>2</v>
      </c>
      <c r="B5" s="26" t="s">
        <v>169</v>
      </c>
      <c r="C5" s="36" t="s">
        <v>170</v>
      </c>
      <c r="D5" s="26" t="str">
        <f>B5</f>
        <v>Inasistencia</v>
      </c>
    </row>
    <row r="6" spans="1:4" ht="14.25" customHeight="1" x14ac:dyDescent="0.3">
      <c r="A6" s="28"/>
      <c r="B6" s="28"/>
      <c r="C6" s="28"/>
      <c r="D6" s="28"/>
    </row>
    <row r="7" spans="1:4" ht="14.25" customHeight="1" x14ac:dyDescent="0.3">
      <c r="A7" s="28"/>
      <c r="B7" s="28"/>
      <c r="C7" s="28"/>
      <c r="D7" s="28"/>
    </row>
    <row r="8" spans="1:4" ht="14.25" customHeight="1" x14ac:dyDescent="0.3">
      <c r="A8" s="28"/>
      <c r="B8" s="28"/>
      <c r="C8" s="28"/>
    </row>
    <row r="9" spans="1:4" ht="14.25" customHeight="1" x14ac:dyDescent="0.3">
      <c r="A9" s="28"/>
      <c r="B9" s="28"/>
      <c r="C9" s="28"/>
    </row>
    <row r="11" spans="1:4" ht="28.5" customHeight="1" x14ac:dyDescent="0.3">
      <c r="A11" s="29"/>
      <c r="B11" s="30" t="s">
        <v>88</v>
      </c>
    </row>
    <row r="12" spans="1:4" ht="28.5" customHeight="1" x14ac:dyDescent="0.3">
      <c r="A12" s="31"/>
      <c r="B12" s="30" t="s">
        <v>89</v>
      </c>
    </row>
    <row r="13" spans="1:4" ht="28.5" customHeight="1" x14ac:dyDescent="0.3">
      <c r="A13" s="77"/>
      <c r="B13" s="30" t="s">
        <v>171</v>
      </c>
      <c r="C13" s="30"/>
    </row>
    <row r="14" spans="1:4" ht="28.5" customHeight="1" x14ac:dyDescent="0.3">
      <c r="A14" s="32"/>
      <c r="B14" s="30" t="s">
        <v>90</v>
      </c>
      <c r="C14" s="30"/>
    </row>
    <row r="15" spans="1:4" ht="28.5" customHeight="1" x14ac:dyDescent="0.3">
      <c r="A15" s="33"/>
      <c r="B15" s="30" t="s">
        <v>91</v>
      </c>
      <c r="C15" s="30"/>
    </row>
    <row r="16" spans="1:4" ht="14.25" customHeight="1" x14ac:dyDescent="0.3">
      <c r="C16" s="30"/>
    </row>
    <row r="17" spans="3:3" ht="14.25" customHeight="1" x14ac:dyDescent="0.3">
      <c r="C17" s="30"/>
    </row>
  </sheetData>
  <hyperlinks>
    <hyperlink ref="A1" location="'Modelo de Dominio'!A1" display="&lt;&lt;&lt;&lt; Ir al modulo de dominio" xr:uid="{00000000-0004-0000-0D00-000000000000}"/>
    <hyperlink ref="B1" location="'Objetos de Dominio'!A1" display="&lt;&lt;&lt;&lt; Ir a objetos de dominio" xr:uid="{00000000-0004-0000-0D00-000001000000}"/>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16"/>
  <sheetViews>
    <sheetView zoomScaleNormal="100" workbookViewId="0">
      <selection activeCell="B1" sqref="B1"/>
    </sheetView>
  </sheetViews>
  <sheetFormatPr baseColWidth="10" defaultColWidth="8.6640625" defaultRowHeight="14.4" x14ac:dyDescent="0.3"/>
  <cols>
    <col min="1" max="1" width="37" customWidth="1"/>
    <col min="2" max="2" width="45" customWidth="1"/>
    <col min="3" max="3" width="30.44140625" customWidth="1"/>
    <col min="4" max="4" width="26.6640625" customWidth="1"/>
    <col min="5" max="5" width="18" customWidth="1"/>
    <col min="6" max="6" width="23.6640625" customWidth="1"/>
    <col min="7" max="7" width="24.109375" customWidth="1"/>
    <col min="8" max="8" width="18"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7" customWidth="1"/>
    <col min="17" max="17" width="41.44140625" customWidth="1"/>
    <col min="18" max="18" width="38.88671875" customWidth="1"/>
    <col min="19" max="19" width="22.88671875" customWidth="1"/>
    <col min="20" max="20" width="25.88671875" customWidth="1"/>
    <col min="21" max="21" width="18" customWidth="1"/>
  </cols>
  <sheetData>
    <row r="1" spans="1:21" ht="15" customHeight="1" x14ac:dyDescent="0.3">
      <c r="A1" s="5" t="s">
        <v>1</v>
      </c>
      <c r="B1" s="5" t="s">
        <v>41</v>
      </c>
    </row>
    <row r="2" spans="1:21" s="16" customFormat="1" ht="15" customHeight="1" x14ac:dyDescent="0.3">
      <c r="A2" s="14" t="s">
        <v>42</v>
      </c>
      <c r="B2" s="15" t="s">
        <v>43</v>
      </c>
      <c r="C2" s="14" t="s">
        <v>44</v>
      </c>
      <c r="D2" s="14" t="s">
        <v>45</v>
      </c>
      <c r="E2" s="14" t="s">
        <v>46</v>
      </c>
      <c r="F2" s="14" t="s">
        <v>47</v>
      </c>
      <c r="G2" s="14" t="s">
        <v>48</v>
      </c>
      <c r="H2" s="14" t="s">
        <v>49</v>
      </c>
      <c r="I2" s="14" t="s">
        <v>50</v>
      </c>
      <c r="J2" s="14" t="s">
        <v>51</v>
      </c>
      <c r="K2" s="14" t="s">
        <v>52</v>
      </c>
      <c r="L2" s="14" t="s">
        <v>53</v>
      </c>
      <c r="M2" s="15" t="s">
        <v>54</v>
      </c>
      <c r="N2" s="14" t="s">
        <v>55</v>
      </c>
      <c r="O2" s="14" t="s">
        <v>56</v>
      </c>
      <c r="P2" s="14" t="s">
        <v>57</v>
      </c>
      <c r="Q2" s="14" t="s">
        <v>58</v>
      </c>
      <c r="R2" s="14" t="s">
        <v>59</v>
      </c>
      <c r="S2" s="14" t="s">
        <v>60</v>
      </c>
      <c r="T2" s="14" t="s">
        <v>61</v>
      </c>
      <c r="U2" s="14" t="s">
        <v>62</v>
      </c>
    </row>
    <row r="3" spans="1:21" ht="45" customHeight="1" x14ac:dyDescent="0.3">
      <c r="A3" s="17" t="str">
        <f>'M-Barbero'!A3</f>
        <v>id</v>
      </c>
      <c r="B3" s="18" t="str">
        <f>'M-Barbero'!A2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7" t="s">
        <v>65</v>
      </c>
      <c r="N3" s="17" t="s">
        <v>66</v>
      </c>
      <c r="O3" s="17" t="s">
        <v>65</v>
      </c>
      <c r="P3" s="17" t="s">
        <v>65</v>
      </c>
      <c r="Q3" s="17" t="s">
        <v>66</v>
      </c>
      <c r="R3" s="17" t="s">
        <v>66</v>
      </c>
      <c r="S3" s="17" t="s">
        <v>66</v>
      </c>
      <c r="T3" s="17" t="s">
        <v>67</v>
      </c>
      <c r="U3" s="17" t="s">
        <v>63</v>
      </c>
    </row>
    <row r="4" spans="1:21" ht="45" customHeight="1" x14ac:dyDescent="0.3">
      <c r="A4" s="17" t="str">
        <f>'M-Barbero'!B3</f>
        <v>primerNombre</v>
      </c>
      <c r="B4" s="18" t="str">
        <f>'M-Barbero'!B2</f>
        <v>Representa el primer nombre del barbero que trabaja en barbería</v>
      </c>
      <c r="C4" s="17" t="s">
        <v>66</v>
      </c>
      <c r="D4" s="17" t="s">
        <v>68</v>
      </c>
      <c r="E4" s="17" t="s">
        <v>63</v>
      </c>
      <c r="F4" s="17">
        <v>3</v>
      </c>
      <c r="G4" s="17">
        <v>100</v>
      </c>
      <c r="H4" s="17" t="s">
        <v>65</v>
      </c>
      <c r="I4" s="17" t="s">
        <v>65</v>
      </c>
      <c r="J4" s="17" t="s">
        <v>65</v>
      </c>
      <c r="K4" s="17" t="s">
        <v>65</v>
      </c>
      <c r="L4" s="17" t="s">
        <v>65</v>
      </c>
      <c r="M4" s="18" t="s">
        <v>172</v>
      </c>
      <c r="N4" s="17" t="s">
        <v>66</v>
      </c>
      <c r="O4" s="17" t="s">
        <v>66</v>
      </c>
      <c r="P4" s="17" t="s">
        <v>66</v>
      </c>
      <c r="Q4" s="17" t="s">
        <v>63</v>
      </c>
      <c r="R4" s="17" t="s">
        <v>63</v>
      </c>
      <c r="S4" s="17" t="s">
        <v>66</v>
      </c>
      <c r="T4" s="17" t="s">
        <v>173</v>
      </c>
      <c r="U4" s="17" t="s">
        <v>66</v>
      </c>
    </row>
    <row r="5" spans="1:21" ht="45" customHeight="1" x14ac:dyDescent="0.3">
      <c r="A5" s="17" t="str">
        <f>'M-Barbero'!C3</f>
        <v>segundoNombre</v>
      </c>
      <c r="B5" s="18" t="str">
        <f>'M-Barbero'!C2</f>
        <v>Representa el segundo nombre del barbero que trabaja en barbería</v>
      </c>
      <c r="C5" s="17" t="s">
        <v>66</v>
      </c>
      <c r="D5" s="17" t="s">
        <v>68</v>
      </c>
      <c r="E5" s="17" t="s">
        <v>66</v>
      </c>
      <c r="F5" s="17">
        <v>3</v>
      </c>
      <c r="G5" s="17">
        <v>100</v>
      </c>
      <c r="H5" s="17" t="s">
        <v>65</v>
      </c>
      <c r="I5" s="17" t="s">
        <v>65</v>
      </c>
      <c r="J5" s="17" t="s">
        <v>65</v>
      </c>
      <c r="K5" s="17" t="s">
        <v>65</v>
      </c>
      <c r="L5" s="17" t="s">
        <v>65</v>
      </c>
      <c r="M5" s="18" t="s">
        <v>172</v>
      </c>
      <c r="N5" s="17" t="s">
        <v>66</v>
      </c>
      <c r="O5" s="17" t="s">
        <v>66</v>
      </c>
      <c r="P5" s="17" t="s">
        <v>66</v>
      </c>
      <c r="Q5" s="17" t="s">
        <v>63</v>
      </c>
      <c r="R5" s="17" t="s">
        <v>63</v>
      </c>
      <c r="S5" s="17" t="s">
        <v>66</v>
      </c>
      <c r="T5" s="17" t="s">
        <v>173</v>
      </c>
      <c r="U5" s="17" t="s">
        <v>66</v>
      </c>
    </row>
    <row r="6" spans="1:21" ht="45" customHeight="1" x14ac:dyDescent="0.3">
      <c r="A6" s="17" t="str">
        <f>'M-Barbero'!D3</f>
        <v>primerApellido</v>
      </c>
      <c r="B6" s="18" t="str">
        <f>'M-Barbero'!D2</f>
        <v>Representa el primer apellido del barbero que trabaja en la barbería</v>
      </c>
      <c r="C6" s="17" t="s">
        <v>66</v>
      </c>
      <c r="D6" s="17" t="s">
        <v>68</v>
      </c>
      <c r="E6" s="17" t="s">
        <v>63</v>
      </c>
      <c r="F6" s="17">
        <v>3</v>
      </c>
      <c r="G6" s="17">
        <v>100</v>
      </c>
      <c r="H6" s="17" t="s">
        <v>65</v>
      </c>
      <c r="I6" s="17" t="s">
        <v>65</v>
      </c>
      <c r="J6" s="17" t="s">
        <v>65</v>
      </c>
      <c r="K6" s="17" t="s">
        <v>65</v>
      </c>
      <c r="L6" s="17" t="s">
        <v>65</v>
      </c>
      <c r="M6" s="18" t="s">
        <v>174</v>
      </c>
      <c r="N6" s="17" t="s">
        <v>66</v>
      </c>
      <c r="O6" s="17" t="s">
        <v>66</v>
      </c>
      <c r="P6" s="17" t="s">
        <v>66</v>
      </c>
      <c r="Q6" s="17" t="s">
        <v>63</v>
      </c>
      <c r="R6" s="17" t="s">
        <v>63</v>
      </c>
      <c r="S6" s="17" t="s">
        <v>66</v>
      </c>
      <c r="T6" s="17" t="s">
        <v>173</v>
      </c>
      <c r="U6" s="17" t="s">
        <v>66</v>
      </c>
    </row>
    <row r="7" spans="1:21" ht="45" customHeight="1" x14ac:dyDescent="0.3">
      <c r="A7" s="17" t="str">
        <f>'M-Barbero'!E3</f>
        <v>segundoApellido</v>
      </c>
      <c r="B7" s="18" t="str">
        <f>'M-Barbero'!E2</f>
        <v>Representa el segundo apellido del barbero que trabaja en la barbería</v>
      </c>
      <c r="C7" s="17" t="s">
        <v>66</v>
      </c>
      <c r="D7" s="17" t="s">
        <v>68</v>
      </c>
      <c r="E7" s="17" t="s">
        <v>66</v>
      </c>
      <c r="F7" s="17">
        <v>3</v>
      </c>
      <c r="G7" s="17">
        <v>100</v>
      </c>
      <c r="H7" s="17" t="s">
        <v>65</v>
      </c>
      <c r="I7" s="17" t="s">
        <v>65</v>
      </c>
      <c r="J7" s="17" t="s">
        <v>65</v>
      </c>
      <c r="K7" s="17" t="s">
        <v>65</v>
      </c>
      <c r="L7" s="17" t="s">
        <v>65</v>
      </c>
      <c r="M7" s="18" t="s">
        <v>174</v>
      </c>
      <c r="N7" s="17" t="s">
        <v>66</v>
      </c>
      <c r="O7" s="17" t="s">
        <v>66</v>
      </c>
      <c r="P7" s="17" t="s">
        <v>66</v>
      </c>
      <c r="Q7" s="17" t="s">
        <v>63</v>
      </c>
      <c r="R7" s="17" t="s">
        <v>63</v>
      </c>
      <c r="S7" s="17" t="s">
        <v>66</v>
      </c>
      <c r="T7" s="17" t="s">
        <v>173</v>
      </c>
      <c r="U7" s="17" t="s">
        <v>66</v>
      </c>
    </row>
    <row r="8" spans="1:21" ht="30" customHeight="1" x14ac:dyDescent="0.3">
      <c r="A8" s="17" t="str">
        <f>'M-Barbero'!F3</f>
        <v>prefijo</v>
      </c>
      <c r="B8" s="18" t="str">
        <f>'M-Barbero'!F2</f>
        <v>Representa cual es el prefijo del numero de celular del barbero</v>
      </c>
      <c r="C8" s="17" t="s">
        <v>66</v>
      </c>
      <c r="D8" s="78" t="s">
        <v>17</v>
      </c>
      <c r="E8" s="17" t="s">
        <v>63</v>
      </c>
      <c r="F8" s="17" t="s">
        <v>65</v>
      </c>
      <c r="G8" s="17" t="s">
        <v>65</v>
      </c>
      <c r="H8" s="17" t="s">
        <v>65</v>
      </c>
      <c r="I8" s="17" t="s">
        <v>65</v>
      </c>
      <c r="J8" s="17" t="s">
        <v>65</v>
      </c>
      <c r="K8" s="17" t="s">
        <v>65</v>
      </c>
      <c r="L8" s="17" t="s">
        <v>65</v>
      </c>
      <c r="M8" s="17" t="s">
        <v>65</v>
      </c>
      <c r="N8" s="17" t="s">
        <v>66</v>
      </c>
      <c r="O8" s="17" t="s">
        <v>65</v>
      </c>
      <c r="P8" s="17" t="s">
        <v>65</v>
      </c>
      <c r="Q8" s="17" t="s">
        <v>65</v>
      </c>
      <c r="R8" s="17" t="s">
        <v>65</v>
      </c>
      <c r="S8" s="17" t="s">
        <v>66</v>
      </c>
      <c r="T8" s="17" t="s">
        <v>67</v>
      </c>
      <c r="U8" s="17" t="s">
        <v>66</v>
      </c>
    </row>
    <row r="9" spans="1:21" ht="45" customHeight="1" x14ac:dyDescent="0.3">
      <c r="A9" s="17" t="str">
        <f>'M-Barbero'!G3</f>
        <v>celular</v>
      </c>
      <c r="B9" s="18" t="str">
        <f>'M-Barbero'!G2</f>
        <v>Representa el número de celular del barbero, es el dato que el cliente necesita en caso de que tenga que contactarse con el</v>
      </c>
      <c r="C9" s="17" t="s">
        <v>66</v>
      </c>
      <c r="D9" s="17" t="s">
        <v>113</v>
      </c>
      <c r="E9" s="17" t="s">
        <v>63</v>
      </c>
      <c r="F9" s="17" t="s">
        <v>65</v>
      </c>
      <c r="G9" s="17" t="s">
        <v>65</v>
      </c>
      <c r="H9" s="17" t="s">
        <v>65</v>
      </c>
      <c r="I9" s="17" t="s">
        <v>65</v>
      </c>
      <c r="J9" s="17">
        <v>1000000</v>
      </c>
      <c r="K9" s="17">
        <v>9999999999</v>
      </c>
      <c r="L9" s="18" t="s">
        <v>175</v>
      </c>
      <c r="M9" s="17" t="s">
        <v>65</v>
      </c>
      <c r="N9" s="17" t="s">
        <v>66</v>
      </c>
      <c r="O9" s="17" t="s">
        <v>65</v>
      </c>
      <c r="P9" s="17" t="s">
        <v>65</v>
      </c>
      <c r="Q9" s="17" t="s">
        <v>65</v>
      </c>
      <c r="R9" s="17" t="s">
        <v>65</v>
      </c>
      <c r="S9" s="17" t="s">
        <v>63</v>
      </c>
      <c r="T9" s="17" t="s">
        <v>176</v>
      </c>
      <c r="U9" s="17" t="s">
        <v>66</v>
      </c>
    </row>
    <row r="10" spans="1:21" ht="60" customHeight="1" x14ac:dyDescent="0.3">
      <c r="A10" s="17" t="str">
        <f>'M-Barbero'!H3</f>
        <v>vigente</v>
      </c>
      <c r="B10" s="18" t="str">
        <f>'M-Barbero'!H2</f>
        <v>Representa si el barbero sigue o no trabajando en la barberia</v>
      </c>
      <c r="C10" s="17" t="s">
        <v>66</v>
      </c>
      <c r="D10" s="17" t="s">
        <v>114</v>
      </c>
      <c r="E10" s="17" t="s">
        <v>66</v>
      </c>
      <c r="F10" s="17" t="s">
        <v>65</v>
      </c>
      <c r="G10" s="17" t="s">
        <v>65</v>
      </c>
      <c r="H10" s="17" t="s">
        <v>65</v>
      </c>
      <c r="I10" s="17" t="s">
        <v>65</v>
      </c>
      <c r="J10" s="17" t="s">
        <v>65</v>
      </c>
      <c r="K10" s="17" t="s">
        <v>65</v>
      </c>
      <c r="L10" s="17" t="s">
        <v>65</v>
      </c>
      <c r="M10" s="18" t="s">
        <v>65</v>
      </c>
      <c r="N10" s="17" t="s">
        <v>63</v>
      </c>
      <c r="O10" s="17" t="s">
        <v>65</v>
      </c>
      <c r="P10" s="17" t="s">
        <v>65</v>
      </c>
      <c r="Q10" s="17" t="s">
        <v>65</v>
      </c>
      <c r="R10" s="17" t="s">
        <v>65</v>
      </c>
      <c r="S10" s="17" t="s">
        <v>66</v>
      </c>
      <c r="T10" s="17" t="s">
        <v>63</v>
      </c>
      <c r="U10" s="17" t="s">
        <v>66</v>
      </c>
    </row>
    <row r="11" spans="1:21" ht="75" customHeight="1" x14ac:dyDescent="0.3">
      <c r="A11" s="17" t="str">
        <f>'M-Barbero'!I3</f>
        <v>anticipacionEnHorasParaAgendarCita</v>
      </c>
      <c r="B11" s="18" t="str">
        <f>'M-Barbero'!I2</f>
        <v>Representa la parte en horas del tiempo mínimo de anticipación con el que un cliente debe pedirle una cita a este barbero. Junto con anticipacionEnMinutosParaAgendarCita forma el tiempo total de anticipación que exige el barbero</v>
      </c>
      <c r="C11" s="17" t="s">
        <v>66</v>
      </c>
      <c r="D11" s="17" t="s">
        <v>113</v>
      </c>
      <c r="E11" s="17" t="s">
        <v>66</v>
      </c>
      <c r="F11" s="17" t="s">
        <v>65</v>
      </c>
      <c r="G11" s="17" t="s">
        <v>65</v>
      </c>
      <c r="H11" s="17" t="s">
        <v>65</v>
      </c>
      <c r="I11" s="17" t="s">
        <v>65</v>
      </c>
      <c r="J11" s="17">
        <v>0</v>
      </c>
      <c r="K11" s="17">
        <v>720</v>
      </c>
      <c r="L11" s="17" t="s">
        <v>177</v>
      </c>
      <c r="M11" s="17" t="s">
        <v>65</v>
      </c>
      <c r="N11" s="17" t="s">
        <v>66</v>
      </c>
      <c r="O11" s="17" t="s">
        <v>65</v>
      </c>
      <c r="P11" s="17" t="s">
        <v>65</v>
      </c>
      <c r="Q11" s="17" t="s">
        <v>65</v>
      </c>
      <c r="R11" s="17" t="s">
        <v>65</v>
      </c>
      <c r="S11" s="17" t="s">
        <v>66</v>
      </c>
      <c r="T11" s="79">
        <v>0</v>
      </c>
      <c r="U11" s="17" t="s">
        <v>66</v>
      </c>
    </row>
    <row r="12" spans="1:21" ht="75" customHeight="1" x14ac:dyDescent="0.3">
      <c r="A12" s="17" t="str">
        <f>'M-Barbero'!J3</f>
        <v>anticipacionEnMinutosParaAgendarCita</v>
      </c>
      <c r="B12" s="18" t="str">
        <f>'M-Barbero'!J2</f>
        <v>Representa la parte en minutos del tiempo mínimo de anticipación con el que un cliente debe pedirle una cita a este barbero. Junto con anticipacionEnHorasParaAgendarCita forma el tiempo total de anticipación que exige el barbero</v>
      </c>
      <c r="C12" s="17" t="s">
        <v>66</v>
      </c>
      <c r="D12" s="17" t="s">
        <v>113</v>
      </c>
      <c r="E12" s="17" t="s">
        <v>66</v>
      </c>
      <c r="F12" s="17" t="s">
        <v>65</v>
      </c>
      <c r="G12" s="17" t="s">
        <v>65</v>
      </c>
      <c r="H12" s="17" t="s">
        <v>65</v>
      </c>
      <c r="I12" s="17" t="s">
        <v>65</v>
      </c>
      <c r="J12" s="17">
        <v>0</v>
      </c>
      <c r="K12" s="17">
        <v>59</v>
      </c>
      <c r="L12" s="17" t="s">
        <v>178</v>
      </c>
      <c r="M12" s="17" t="s">
        <v>65</v>
      </c>
      <c r="N12" s="17" t="s">
        <v>66</v>
      </c>
      <c r="O12" s="17" t="s">
        <v>65</v>
      </c>
      <c r="P12" s="17" t="s">
        <v>65</v>
      </c>
      <c r="Q12" s="17" t="s">
        <v>65</v>
      </c>
      <c r="R12" s="17" t="s">
        <v>65</v>
      </c>
      <c r="S12" s="17" t="s">
        <v>66</v>
      </c>
      <c r="T12" s="79">
        <v>0</v>
      </c>
      <c r="U12" s="17" t="s">
        <v>66</v>
      </c>
    </row>
    <row r="14" spans="1:21" ht="15" customHeight="1" x14ac:dyDescent="0.3">
      <c r="A14" s="19" t="s">
        <v>71</v>
      </c>
      <c r="B14" s="19" t="s">
        <v>72</v>
      </c>
      <c r="C14" s="19" t="s">
        <v>73</v>
      </c>
    </row>
    <row r="15" spans="1:21" ht="23.25" customHeight="1" x14ac:dyDescent="0.3">
      <c r="A15" s="158" t="str">
        <f>'M-Barbero'!K3</f>
        <v>Combinación única  1</v>
      </c>
      <c r="B15" s="159" t="str">
        <f>'M-Barbero'!K2</f>
        <v>Combinacion única que indica que no puede existir más de un barbero con el mismo prefijo de celular y número de celular</v>
      </c>
      <c r="C15" s="20" t="str">
        <f>A8</f>
        <v>prefijo</v>
      </c>
    </row>
    <row r="16" spans="1:21" ht="21" customHeight="1" x14ac:dyDescent="0.3">
      <c r="A16" s="158"/>
      <c r="B16" s="158"/>
      <c r="C16" s="20" t="str">
        <f>A9</f>
        <v>celular</v>
      </c>
    </row>
  </sheetData>
  <mergeCells count="2">
    <mergeCell ref="A15:A16"/>
    <mergeCell ref="B15:B16"/>
  </mergeCells>
  <hyperlinks>
    <hyperlink ref="A1" location="'Modelo de Dominio'!A1" display="&lt;&lt;&lt;&lt; Ir al modulo de dominio" xr:uid="{00000000-0004-0000-0E00-000000000000}"/>
    <hyperlink ref="B1" location="'Objetos de Dominio'!A1" display="&lt;&lt;&lt;&lt; Ir a objetos de dominio" xr:uid="{00000000-0004-0000-0E00-000001000000}"/>
    <hyperlink ref="A3" location="'M-Barbero'!A3" display="#'M-Barbero'.A3" xr:uid="{00000000-0004-0000-0E00-000002000000}"/>
    <hyperlink ref="B3" location="'M-Barbero'!A2" display="#'M-Barbero'.A2" xr:uid="{00000000-0004-0000-0E00-000003000000}"/>
    <hyperlink ref="A4" location="'M-Barbero'!A3" display="#'M-Barbero'.A3" xr:uid="{00000000-0004-0000-0E00-000004000000}"/>
    <hyperlink ref="B4" location="'M-Barbero'!A2" display="#'M-Barbero'.A2" xr:uid="{00000000-0004-0000-0E00-000005000000}"/>
    <hyperlink ref="A5" location="'M-Barbero'!A3" display="#'M-Barbero'.A3" xr:uid="{00000000-0004-0000-0E00-000006000000}"/>
    <hyperlink ref="B5" location="'M-Barbero'!A2" display="#'M-Barbero'.A2" xr:uid="{00000000-0004-0000-0E00-000007000000}"/>
    <hyperlink ref="A6" location="'M-Barbero'!A3" display="#'M-Barbero'.A3" xr:uid="{00000000-0004-0000-0E00-000008000000}"/>
    <hyperlink ref="B6" location="'M-Barbero'!A2" display="#'M-Barbero'.A2" xr:uid="{00000000-0004-0000-0E00-000009000000}"/>
    <hyperlink ref="A7" location="'M-Barbero'!A3" display="#'M-Barbero'.A3" xr:uid="{00000000-0004-0000-0E00-00000A000000}"/>
    <hyperlink ref="B7" location="'M-Barbero'!A2" display="#'M-Barbero'.A2" xr:uid="{00000000-0004-0000-0E00-00000B000000}"/>
    <hyperlink ref="A8" location="'M-Barbero'!A3" display="#'M-Barbero'.A3" xr:uid="{00000000-0004-0000-0E00-00000C000000}"/>
    <hyperlink ref="B8" location="'M-Barbero'!A2" display="#'M-Barbero'.A2" xr:uid="{00000000-0004-0000-0E00-00000D000000}"/>
    <hyperlink ref="D8" location="'C-PrefijoCelular'!A1" display="PrefijoCelular" xr:uid="{00000000-0004-0000-0E00-00000E000000}"/>
    <hyperlink ref="A9" location="'M-Barbero'!A3" display="#'M-Barbero'.A3" xr:uid="{00000000-0004-0000-0E00-00000F000000}"/>
    <hyperlink ref="B9" location="'M-Barbero'!A2" display="#'M-Barbero'.A2" xr:uid="{00000000-0004-0000-0E00-000010000000}"/>
    <hyperlink ref="A10" location="'M-Barbero'!A3" display="#'M-Barbero'.A3" xr:uid="{00000000-0004-0000-0E00-000011000000}"/>
    <hyperlink ref="B10" location="'M-Barbero'!A2" display="#'M-Barbero'.A2" xr:uid="{00000000-0004-0000-0E00-000012000000}"/>
    <hyperlink ref="A15" location="'M-Barbero'!A3" display="#'M-Barbero'.A3" xr:uid="{00000000-0004-0000-0E00-000013000000}"/>
    <hyperlink ref="B15" location="'M-Barbero'!A2" display="#'M-Barbero'.A2" xr:uid="{00000000-0004-0000-0E00-000014000000}"/>
  </hyperlink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20"/>
  <sheetViews>
    <sheetView zoomScale="115" zoomScaleNormal="115" workbookViewId="0">
      <selection activeCell="B1" sqref="B1"/>
    </sheetView>
  </sheetViews>
  <sheetFormatPr baseColWidth="10" defaultColWidth="10.6640625" defaultRowHeight="14.4" x14ac:dyDescent="0.3"/>
  <cols>
    <col min="1" max="1" width="27" customWidth="1"/>
    <col min="2" max="2" width="26.109375" customWidth="1"/>
    <col min="3" max="3" width="21.44140625" customWidth="1"/>
    <col min="4" max="4" width="19.44140625" customWidth="1"/>
    <col min="5" max="5" width="20.44140625" customWidth="1"/>
    <col min="6" max="6" width="20.5546875" customWidth="1"/>
    <col min="7" max="7" width="21" customWidth="1"/>
    <col min="8" max="8" width="33" customWidth="1"/>
    <col min="9" max="9" width="37.5546875" customWidth="1"/>
    <col min="10" max="10" width="36.6640625" customWidth="1"/>
    <col min="11" max="11" width="42" customWidth="1"/>
  </cols>
  <sheetData>
    <row r="1" spans="1:11" ht="14.25" customHeight="1" x14ac:dyDescent="0.3">
      <c r="A1" s="5" t="s">
        <v>1</v>
      </c>
      <c r="B1" s="5" t="s">
        <v>41</v>
      </c>
      <c r="C1" s="34"/>
      <c r="D1" s="34"/>
      <c r="E1" s="34"/>
      <c r="F1" s="34"/>
    </row>
    <row r="2" spans="1:11" ht="39" customHeight="1" x14ac:dyDescent="0.3">
      <c r="A2" s="21" t="s">
        <v>75</v>
      </c>
      <c r="B2" s="21" t="s">
        <v>157</v>
      </c>
      <c r="C2" s="21" t="s">
        <v>179</v>
      </c>
      <c r="D2" s="21" t="s">
        <v>180</v>
      </c>
      <c r="E2" s="21" t="s">
        <v>181</v>
      </c>
      <c r="F2" s="21" t="s">
        <v>182</v>
      </c>
      <c r="G2" s="21" t="s">
        <v>183</v>
      </c>
      <c r="H2" s="21" t="s">
        <v>184</v>
      </c>
      <c r="I2" s="21" t="s">
        <v>185</v>
      </c>
      <c r="J2" s="21" t="s">
        <v>186</v>
      </c>
      <c r="K2" s="22" t="s">
        <v>187</v>
      </c>
    </row>
    <row r="3" spans="1:11" ht="14.25" customHeight="1" x14ac:dyDescent="0.3">
      <c r="A3" s="23" t="s">
        <v>78</v>
      </c>
      <c r="B3" s="24" t="s">
        <v>188</v>
      </c>
      <c r="C3" s="24" t="s">
        <v>189</v>
      </c>
      <c r="D3" s="24" t="s">
        <v>190</v>
      </c>
      <c r="E3" s="24" t="s">
        <v>191</v>
      </c>
      <c r="F3" s="80" t="s">
        <v>156</v>
      </c>
      <c r="G3" s="24" t="s">
        <v>192</v>
      </c>
      <c r="H3" s="81" t="s">
        <v>193</v>
      </c>
      <c r="I3" s="82" t="s">
        <v>194</v>
      </c>
      <c r="J3" s="82" t="s">
        <v>195</v>
      </c>
      <c r="K3" s="25" t="s">
        <v>196</v>
      </c>
    </row>
    <row r="4" spans="1:11" ht="14.25" customHeight="1" x14ac:dyDescent="0.3">
      <c r="A4" s="26">
        <v>1</v>
      </c>
      <c r="B4" s="26" t="s">
        <v>197</v>
      </c>
      <c r="C4" s="26" t="s">
        <v>198</v>
      </c>
      <c r="D4" s="26" t="s">
        <v>199</v>
      </c>
      <c r="E4" s="26" t="s">
        <v>200</v>
      </c>
      <c r="F4" s="83" t="str">
        <f>'M-PrefijoCelular'!C4</f>
        <v>+57</v>
      </c>
      <c r="G4" s="26">
        <v>3245627890</v>
      </c>
      <c r="H4" s="26" t="s">
        <v>125</v>
      </c>
      <c r="I4" s="26">
        <v>24</v>
      </c>
      <c r="J4" s="26">
        <v>0</v>
      </c>
      <c r="K4" s="26" t="str">
        <f>_xlfn.CONCAT(F4,"-",G4)</f>
        <v>+57-3245627890</v>
      </c>
    </row>
    <row r="5" spans="1:11" ht="14.25" customHeight="1" x14ac:dyDescent="0.3">
      <c r="A5" s="26">
        <v>2</v>
      </c>
      <c r="B5" s="26" t="s">
        <v>197</v>
      </c>
      <c r="C5" s="26" t="s">
        <v>201</v>
      </c>
      <c r="D5" s="26" t="s">
        <v>202</v>
      </c>
      <c r="E5" s="26" t="s">
        <v>203</v>
      </c>
      <c r="F5" s="83" t="str">
        <f>'M-PrefijoCelular'!C4</f>
        <v>+57</v>
      </c>
      <c r="G5" s="26">
        <v>3124518923</v>
      </c>
      <c r="H5" s="26" t="s">
        <v>125</v>
      </c>
      <c r="I5" s="26">
        <v>0</v>
      </c>
      <c r="J5" s="26">
        <v>30</v>
      </c>
      <c r="K5" s="26" t="str">
        <f>_xlfn.CONCAT(F5,"-",G5)</f>
        <v>+57-3124518923</v>
      </c>
    </row>
    <row r="6" spans="1:11" ht="14.25" customHeight="1" x14ac:dyDescent="0.3">
      <c r="A6" s="26">
        <v>3</v>
      </c>
      <c r="B6" s="26" t="s">
        <v>204</v>
      </c>
      <c r="C6" s="26"/>
      <c r="D6" s="26" t="s">
        <v>205</v>
      </c>
      <c r="E6" s="26"/>
      <c r="F6" s="83" t="str">
        <f>'M-PrefijoCelular'!C4</f>
        <v>+57</v>
      </c>
      <c r="G6" s="26">
        <v>3214533321</v>
      </c>
      <c r="H6" s="26" t="s">
        <v>125</v>
      </c>
      <c r="I6" s="26">
        <v>1</v>
      </c>
      <c r="J6" s="26">
        <v>0</v>
      </c>
      <c r="K6" s="26" t="str">
        <f>_xlfn.CONCAT(F6,"-",G6)</f>
        <v>+57-3214533321</v>
      </c>
    </row>
    <row r="7" spans="1:11" ht="14.25" customHeight="1" x14ac:dyDescent="0.3">
      <c r="A7" s="26">
        <v>4</v>
      </c>
      <c r="B7" s="26" t="s">
        <v>206</v>
      </c>
      <c r="C7" s="26"/>
      <c r="D7" s="26" t="s">
        <v>207</v>
      </c>
      <c r="E7" s="26" t="s">
        <v>208</v>
      </c>
      <c r="F7" s="83" t="str">
        <f>'M-PrefijoCelular'!C5</f>
        <v>+91</v>
      </c>
      <c r="G7" s="26">
        <v>9876543210</v>
      </c>
      <c r="H7" s="26" t="s">
        <v>209</v>
      </c>
      <c r="I7" s="26">
        <v>0</v>
      </c>
      <c r="J7" s="26">
        <v>0</v>
      </c>
      <c r="K7" s="26" t="str">
        <f>_xlfn.CONCAT(F7,"-",G7)</f>
        <v>+91-9876543210</v>
      </c>
    </row>
    <row r="8" spans="1:11" ht="14.25" customHeight="1" x14ac:dyDescent="0.3">
      <c r="A8" s="26">
        <v>5</v>
      </c>
      <c r="B8" s="26" t="s">
        <v>197</v>
      </c>
      <c r="C8" s="26" t="s">
        <v>204</v>
      </c>
      <c r="D8" s="26" t="s">
        <v>210</v>
      </c>
      <c r="E8" s="26" t="s">
        <v>211</v>
      </c>
      <c r="F8" s="83" t="str">
        <f>'M-PrefijoCelular'!C6</f>
        <v>+593</v>
      </c>
      <c r="G8" s="26">
        <v>998765432</v>
      </c>
      <c r="H8" s="26" t="s">
        <v>209</v>
      </c>
      <c r="I8" s="26">
        <v>2</v>
      </c>
      <c r="J8" s="26">
        <v>0</v>
      </c>
      <c r="K8" s="26" t="str">
        <f>_xlfn.CONCAT(F8,"-",G8)</f>
        <v>+593-998765432</v>
      </c>
    </row>
    <row r="14" spans="1:11" ht="28.5" customHeight="1" x14ac:dyDescent="0.3">
      <c r="A14" s="29"/>
      <c r="B14" s="30" t="s">
        <v>88</v>
      </c>
    </row>
    <row r="15" spans="1:11" ht="28.5" customHeight="1" x14ac:dyDescent="0.3">
      <c r="A15" s="31"/>
      <c r="B15" s="30" t="s">
        <v>89</v>
      </c>
    </row>
    <row r="16" spans="1:11" ht="28.5" customHeight="1" x14ac:dyDescent="0.3">
      <c r="A16" s="32"/>
      <c r="B16" s="30" t="s">
        <v>90</v>
      </c>
    </row>
    <row r="17" spans="1:2" ht="28.5" customHeight="1" x14ac:dyDescent="0.3">
      <c r="A17" s="55"/>
      <c r="B17" s="30" t="s">
        <v>212</v>
      </c>
    </row>
    <row r="18" spans="1:2" ht="28.5" customHeight="1" x14ac:dyDescent="0.3">
      <c r="A18" s="57"/>
      <c r="B18" s="30" t="s">
        <v>133</v>
      </c>
    </row>
    <row r="19" spans="1:2" ht="28.5" customHeight="1" x14ac:dyDescent="0.3">
      <c r="A19" s="58"/>
      <c r="B19" s="30" t="s">
        <v>213</v>
      </c>
    </row>
    <row r="20" spans="1:2" ht="28.5" customHeight="1" x14ac:dyDescent="0.3">
      <c r="A20" s="33"/>
      <c r="B20" s="30" t="s">
        <v>214</v>
      </c>
    </row>
  </sheetData>
  <hyperlinks>
    <hyperlink ref="A1" location="'Modelo de Dominio'!A1" display="&lt;&lt;&lt;&lt; Ir al modulo de dominio" xr:uid="{00000000-0004-0000-0F00-000000000000}"/>
    <hyperlink ref="B1" location="'Objetos de Dominio'!A1" display="&lt;&lt;&lt;&lt; Ir a objetos de dominio" xr:uid="{00000000-0004-0000-0F00-000001000000}"/>
    <hyperlink ref="F4" location="'M-PrefijoCelular'!A4" display="#'M-PrefijoCelular'.A4" xr:uid="{00000000-0004-0000-0F00-000002000000}"/>
    <hyperlink ref="F5" location="'M-PrefijoCelular'!A4" display="#'M-PrefijoCelular'.A4" xr:uid="{00000000-0004-0000-0F00-000003000000}"/>
    <hyperlink ref="F6" location="'M-PrefijoCelular'!A4" display="#'M-PrefijoCelular'.A4" xr:uid="{00000000-0004-0000-0F00-000004000000}"/>
    <hyperlink ref="F7" location="'M-PrefijoCelular'!A5" display="#'M-PrefijoCelular'.A5" xr:uid="{00000000-0004-0000-0F00-000005000000}"/>
    <hyperlink ref="F8" location="'M-PrefijoCelular'!A6" display="#'M-PrefijoCelular'.A6" xr:uid="{00000000-0004-0000-0F00-000006000000}"/>
  </hyperlink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41"/>
  <sheetViews>
    <sheetView zoomScaleNormal="100" workbookViewId="0">
      <selection activeCell="B1" sqref="B1"/>
    </sheetView>
  </sheetViews>
  <sheetFormatPr baseColWidth="10" defaultColWidth="8.6640625" defaultRowHeight="14.4" x14ac:dyDescent="0.3"/>
  <cols>
    <col min="1" max="1" width="27" customWidth="1"/>
    <col min="2" max="2" width="45" customWidth="1"/>
    <col min="3" max="3" width="30.44140625" customWidth="1"/>
    <col min="4" max="4" width="24.33203125" customWidth="1"/>
    <col min="5" max="5" width="18" customWidth="1"/>
    <col min="6" max="6" width="25.44140625" customWidth="1"/>
    <col min="7" max="7" width="25.6640625" customWidth="1"/>
    <col min="8" max="8" width="18.6640625" customWidth="1"/>
    <col min="9" max="9" width="20.6640625" customWidth="1"/>
    <col min="10" max="10" width="21.88671875" customWidth="1"/>
    <col min="11" max="11" width="20.33203125" customWidth="1"/>
    <col min="12" max="12" width="18" customWidth="1"/>
    <col min="13" max="13" width="40" customWidth="1"/>
    <col min="14" max="14" width="18" customWidth="1"/>
    <col min="15" max="15" width="29.6640625" customWidth="1"/>
    <col min="16" max="16" width="25" customWidth="1"/>
    <col min="17" max="17" width="38.44140625" customWidth="1"/>
    <col min="18" max="18" width="35.6640625" customWidth="1"/>
    <col min="19" max="19" width="21" customWidth="1"/>
    <col min="20" max="20" width="24" customWidth="1"/>
    <col min="21" max="21" width="18" customWidth="1"/>
  </cols>
  <sheetData>
    <row r="1" spans="1:21" ht="15" customHeight="1" x14ac:dyDescent="0.3">
      <c r="A1" s="5" t="s">
        <v>1</v>
      </c>
      <c r="B1" s="5" t="s">
        <v>41</v>
      </c>
    </row>
    <row r="2" spans="1:21" ht="15" customHeight="1" x14ac:dyDescent="0.3">
      <c r="A2" s="38" t="s">
        <v>42</v>
      </c>
      <c r="B2" s="38" t="s">
        <v>43</v>
      </c>
      <c r="C2" s="38" t="s">
        <v>44</v>
      </c>
      <c r="D2" s="38" t="s">
        <v>45</v>
      </c>
      <c r="E2" s="38" t="s">
        <v>46</v>
      </c>
      <c r="F2" s="38" t="s">
        <v>47</v>
      </c>
      <c r="G2" s="38" t="s">
        <v>48</v>
      </c>
      <c r="H2" s="38" t="s">
        <v>49</v>
      </c>
      <c r="I2" s="38" t="s">
        <v>50</v>
      </c>
      <c r="J2" s="38" t="s">
        <v>51</v>
      </c>
      <c r="K2" s="38" t="s">
        <v>52</v>
      </c>
      <c r="L2" s="38" t="s">
        <v>53</v>
      </c>
      <c r="M2" s="38" t="s">
        <v>54</v>
      </c>
      <c r="N2" s="38" t="s">
        <v>55</v>
      </c>
      <c r="O2" s="38" t="s">
        <v>56</v>
      </c>
      <c r="P2" s="38" t="s">
        <v>57</v>
      </c>
      <c r="Q2" s="38" t="s">
        <v>58</v>
      </c>
      <c r="R2" s="38" t="s">
        <v>59</v>
      </c>
      <c r="S2" s="38" t="s">
        <v>60</v>
      </c>
      <c r="T2" s="38" t="s">
        <v>61</v>
      </c>
      <c r="U2" s="38" t="s">
        <v>62</v>
      </c>
    </row>
    <row r="3" spans="1:21" ht="45" customHeight="1" x14ac:dyDescent="0.3">
      <c r="A3" s="17" t="str">
        <f>'M-Cliente'!A3</f>
        <v>id</v>
      </c>
      <c r="B3" s="18" t="str">
        <f>'M-Cliente'!A2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8" t="s">
        <v>65</v>
      </c>
      <c r="N3" s="17" t="s">
        <v>63</v>
      </c>
      <c r="O3" s="17" t="s">
        <v>66</v>
      </c>
      <c r="P3" s="17" t="s">
        <v>65</v>
      </c>
      <c r="Q3" s="17" t="s">
        <v>65</v>
      </c>
      <c r="R3" s="17" t="s">
        <v>65</v>
      </c>
      <c r="S3" s="17" t="s">
        <v>66</v>
      </c>
      <c r="T3" s="17" t="s">
        <v>67</v>
      </c>
      <c r="U3" s="17" t="s">
        <v>63</v>
      </c>
    </row>
    <row r="4" spans="1:21" ht="45" customHeight="1" x14ac:dyDescent="0.3">
      <c r="A4" s="17" t="str">
        <f>'M-Cliente'!B3</f>
        <v>primerNombre</v>
      </c>
      <c r="B4" s="18" t="str">
        <f>'M-Cliente'!B2</f>
        <v>Representa el primer nombre de la persona, que va a estar llendo a la barberia para las citas</v>
      </c>
      <c r="C4" s="17" t="s">
        <v>66</v>
      </c>
      <c r="D4" s="17" t="s">
        <v>68</v>
      </c>
      <c r="E4" s="17" t="s">
        <v>63</v>
      </c>
      <c r="F4" s="17">
        <v>2</v>
      </c>
      <c r="G4" s="17">
        <v>50</v>
      </c>
      <c r="H4" s="17" t="s">
        <v>65</v>
      </c>
      <c r="I4" s="17" t="s">
        <v>65</v>
      </c>
      <c r="J4" s="17" t="s">
        <v>65</v>
      </c>
      <c r="K4" s="17" t="s">
        <v>65</v>
      </c>
      <c r="L4" s="17" t="s">
        <v>65</v>
      </c>
      <c r="M4" s="18" t="s">
        <v>172</v>
      </c>
      <c r="N4" s="17" t="s">
        <v>66</v>
      </c>
      <c r="O4" s="17" t="s">
        <v>66</v>
      </c>
      <c r="P4" s="17" t="s">
        <v>66</v>
      </c>
      <c r="Q4" s="17" t="s">
        <v>63</v>
      </c>
      <c r="R4" s="17" t="s">
        <v>63</v>
      </c>
      <c r="S4" s="17" t="s">
        <v>66</v>
      </c>
      <c r="T4" s="17" t="s">
        <v>70</v>
      </c>
      <c r="U4" s="17" t="s">
        <v>66</v>
      </c>
    </row>
    <row r="5" spans="1:21" ht="45" customHeight="1" x14ac:dyDescent="0.3">
      <c r="A5" s="17" t="str">
        <f>'M-Cliente'!C3</f>
        <v>segundoNombre</v>
      </c>
      <c r="B5" s="18" t="str">
        <f>'M-Cliente'!C2</f>
        <v>Representa el segundo nombre de la persona, que va a estar llendo a la barberia para las citas</v>
      </c>
      <c r="C5" s="17" t="s">
        <v>66</v>
      </c>
      <c r="D5" s="17" t="s">
        <v>68</v>
      </c>
      <c r="E5" s="17" t="s">
        <v>66</v>
      </c>
      <c r="F5" s="17">
        <v>2</v>
      </c>
      <c r="G5" s="17">
        <v>50</v>
      </c>
      <c r="H5" s="17" t="s">
        <v>65</v>
      </c>
      <c r="I5" s="17" t="s">
        <v>65</v>
      </c>
      <c r="J5" s="17" t="s">
        <v>65</v>
      </c>
      <c r="K5" s="17" t="s">
        <v>65</v>
      </c>
      <c r="L5" s="17" t="s">
        <v>65</v>
      </c>
      <c r="M5" s="18" t="s">
        <v>172</v>
      </c>
      <c r="N5" s="17" t="s">
        <v>66</v>
      </c>
      <c r="O5" s="17" t="s">
        <v>66</v>
      </c>
      <c r="P5" s="17" t="s">
        <v>66</v>
      </c>
      <c r="Q5" s="17" t="s">
        <v>63</v>
      </c>
      <c r="R5" s="17" t="s">
        <v>63</v>
      </c>
      <c r="S5" s="17" t="s">
        <v>66</v>
      </c>
      <c r="T5" s="17" t="s">
        <v>70</v>
      </c>
      <c r="U5" s="17" t="s">
        <v>66</v>
      </c>
    </row>
    <row r="6" spans="1:21" ht="45" customHeight="1" x14ac:dyDescent="0.3">
      <c r="A6" s="17" t="str">
        <f>'M-Cliente'!D3</f>
        <v>primerApellido</v>
      </c>
      <c r="B6" s="18" t="str">
        <f>'M-Cliente'!D2</f>
        <v>Representa el primer apellido de la persona, que va a estar llendo a la barberia para las citas</v>
      </c>
      <c r="C6" s="17" t="s">
        <v>66</v>
      </c>
      <c r="D6" s="17" t="s">
        <v>68</v>
      </c>
      <c r="E6" s="17" t="s">
        <v>63</v>
      </c>
      <c r="F6" s="17">
        <v>2</v>
      </c>
      <c r="G6" s="17">
        <v>50</v>
      </c>
      <c r="H6" s="17" t="s">
        <v>65</v>
      </c>
      <c r="I6" s="17" t="s">
        <v>65</v>
      </c>
      <c r="J6" s="17" t="s">
        <v>65</v>
      </c>
      <c r="K6" s="17" t="s">
        <v>65</v>
      </c>
      <c r="L6" s="17" t="s">
        <v>65</v>
      </c>
      <c r="M6" s="18" t="s">
        <v>172</v>
      </c>
      <c r="N6" s="17" t="s">
        <v>66</v>
      </c>
      <c r="O6" s="17" t="s">
        <v>66</v>
      </c>
      <c r="P6" s="17" t="s">
        <v>66</v>
      </c>
      <c r="Q6" s="17" t="s">
        <v>63</v>
      </c>
      <c r="R6" s="17" t="s">
        <v>63</v>
      </c>
      <c r="S6" s="17" t="s">
        <v>66</v>
      </c>
      <c r="T6" s="17" t="s">
        <v>70</v>
      </c>
      <c r="U6" s="17" t="s">
        <v>66</v>
      </c>
    </row>
    <row r="7" spans="1:21" ht="45" customHeight="1" x14ac:dyDescent="0.3">
      <c r="A7" s="17" t="str">
        <f>'M-Cliente'!E3</f>
        <v>segundoApellido</v>
      </c>
      <c r="B7" s="18" t="str">
        <f>'M-Cliente'!E2</f>
        <v>Representa el segundo apellido de la persona, que va a estar llendo a la barberia para las citas</v>
      </c>
      <c r="C7" s="17" t="s">
        <v>66</v>
      </c>
      <c r="D7" s="17" t="s">
        <v>68</v>
      </c>
      <c r="E7" s="17" t="s">
        <v>66</v>
      </c>
      <c r="F7" s="17">
        <v>2</v>
      </c>
      <c r="G7" s="17">
        <v>50</v>
      </c>
      <c r="H7" s="17" t="s">
        <v>65</v>
      </c>
      <c r="I7" s="17" t="s">
        <v>65</v>
      </c>
      <c r="J7" s="17" t="s">
        <v>65</v>
      </c>
      <c r="K7" s="17" t="s">
        <v>65</v>
      </c>
      <c r="L7" s="17" t="s">
        <v>65</v>
      </c>
      <c r="M7" s="18" t="s">
        <v>172</v>
      </c>
      <c r="N7" s="17" t="s">
        <v>66</v>
      </c>
      <c r="O7" s="17" t="s">
        <v>66</v>
      </c>
      <c r="P7" s="17" t="s">
        <v>66</v>
      </c>
      <c r="Q7" s="17" t="s">
        <v>63</v>
      </c>
      <c r="R7" s="17" t="s">
        <v>63</v>
      </c>
      <c r="S7" s="17" t="s">
        <v>66</v>
      </c>
      <c r="T7" s="17" t="s">
        <v>70</v>
      </c>
      <c r="U7" s="17" t="s">
        <v>66</v>
      </c>
    </row>
    <row r="8" spans="1:21" ht="45" customHeight="1" x14ac:dyDescent="0.3">
      <c r="A8" s="17" t="str">
        <f>'M-Cliente'!F3</f>
        <v>prefijoCelular</v>
      </c>
      <c r="B8" s="18" t="str">
        <f>'M-Cliente'!F2</f>
        <v>Representa cual es el prefijo del numero de celular del cliente</v>
      </c>
      <c r="C8" s="17" t="s">
        <v>66</v>
      </c>
      <c r="D8" s="78" t="s">
        <v>17</v>
      </c>
      <c r="E8" s="17" t="s">
        <v>63</v>
      </c>
      <c r="F8" s="17">
        <v>2</v>
      </c>
      <c r="G8" s="17">
        <v>4</v>
      </c>
      <c r="H8" s="17" t="s">
        <v>65</v>
      </c>
      <c r="I8" s="17" t="s">
        <v>65</v>
      </c>
      <c r="J8" s="17" t="s">
        <v>65</v>
      </c>
      <c r="K8" s="17" t="s">
        <v>65</v>
      </c>
      <c r="L8" s="18" t="s">
        <v>215</v>
      </c>
      <c r="M8" s="18" t="s">
        <v>216</v>
      </c>
      <c r="N8" s="17" t="s">
        <v>66</v>
      </c>
      <c r="O8" s="17" t="s">
        <v>66</v>
      </c>
      <c r="P8" s="17" t="s">
        <v>65</v>
      </c>
      <c r="Q8" s="17" t="s">
        <v>66</v>
      </c>
      <c r="R8" s="17" t="s">
        <v>66</v>
      </c>
      <c r="S8" s="17" t="s">
        <v>63</v>
      </c>
      <c r="T8" s="17" t="s">
        <v>67</v>
      </c>
      <c r="U8" s="17" t="s">
        <v>66</v>
      </c>
    </row>
    <row r="9" spans="1:21" ht="57.6" x14ac:dyDescent="0.3">
      <c r="A9" s="17" t="str">
        <f>'M-Cliente'!G3</f>
        <v>celular</v>
      </c>
      <c r="B9" s="18" t="str">
        <f>'M-Cliente'!G2</f>
        <v>Representa el numero de celular del cliente, es el dato que el barbero necesita en caso de que tenga que contactarse con el</v>
      </c>
      <c r="C9" s="17" t="s">
        <v>66</v>
      </c>
      <c r="D9" s="17" t="s">
        <v>68</v>
      </c>
      <c r="E9" s="17" t="s">
        <v>63</v>
      </c>
      <c r="F9" s="17">
        <v>4</v>
      </c>
      <c r="G9" s="17">
        <v>15</v>
      </c>
      <c r="H9" s="17" t="s">
        <v>65</v>
      </c>
      <c r="I9" s="17" t="s">
        <v>65</v>
      </c>
      <c r="J9" s="17" t="s">
        <v>65</v>
      </c>
      <c r="K9" s="17" t="s">
        <v>65</v>
      </c>
      <c r="L9" s="18" t="s">
        <v>217</v>
      </c>
      <c r="M9" s="18" t="s">
        <v>65</v>
      </c>
      <c r="N9" s="17" t="s">
        <v>66</v>
      </c>
      <c r="O9" s="17" t="s">
        <v>66</v>
      </c>
      <c r="P9" s="17" t="s">
        <v>66</v>
      </c>
      <c r="Q9" s="17" t="s">
        <v>63</v>
      </c>
      <c r="R9" s="17" t="s">
        <v>63</v>
      </c>
      <c r="S9" s="17" t="s">
        <v>63</v>
      </c>
      <c r="T9" s="17">
        <v>0</v>
      </c>
      <c r="U9" s="17" t="s">
        <v>66</v>
      </c>
    </row>
    <row r="10" spans="1:21" ht="45" customHeight="1" x14ac:dyDescent="0.3">
      <c r="A10" s="17" t="str">
        <f>'M-Cliente'!I3</f>
        <v>multasSinPagar</v>
      </c>
      <c r="B10" s="18" t="str">
        <f>'M-Cliente'!I2</f>
        <v>Representa la cantidad de multas que tiene sin pagar en las citas que ha tenido, ya sea multa por tardanza o por no llegar</v>
      </c>
      <c r="C10" s="17" t="s">
        <v>66</v>
      </c>
      <c r="D10" s="17" t="s">
        <v>113</v>
      </c>
      <c r="E10" s="17" t="s">
        <v>63</v>
      </c>
      <c r="F10" s="17" t="s">
        <v>65</v>
      </c>
      <c r="G10" s="17" t="s">
        <v>65</v>
      </c>
      <c r="H10" s="17" t="s">
        <v>65</v>
      </c>
      <c r="I10" s="17" t="s">
        <v>65</v>
      </c>
      <c r="J10" s="17">
        <v>0</v>
      </c>
      <c r="K10" s="17">
        <v>3</v>
      </c>
      <c r="L10" s="17" t="s">
        <v>65</v>
      </c>
      <c r="M10" s="18" t="s">
        <v>218</v>
      </c>
      <c r="N10" s="17" t="s">
        <v>63</v>
      </c>
      <c r="O10" s="17" t="s">
        <v>66</v>
      </c>
      <c r="P10" s="17" t="s">
        <v>65</v>
      </c>
      <c r="Q10" s="17" t="s">
        <v>65</v>
      </c>
      <c r="R10" s="17" t="s">
        <v>65</v>
      </c>
      <c r="S10" s="17" t="s">
        <v>66</v>
      </c>
      <c r="T10" s="17">
        <v>0</v>
      </c>
      <c r="U10" s="17" t="s">
        <v>66</v>
      </c>
    </row>
    <row r="11" spans="1:21" ht="60" customHeight="1" x14ac:dyDescent="0.3">
      <c r="A11" s="17" t="str">
        <f>'M-Cliente'!J3</f>
        <v>estaVetado</v>
      </c>
      <c r="B11" s="18" t="str">
        <f>'M-Cliente'!J2</f>
        <v>Representa si el cliente esta en estado de veto o no, cuando el cliente esta vetado el sistema no va a permitir agendar citas con este cliente con ningun barbero</v>
      </c>
      <c r="C11" s="17" t="s">
        <v>66</v>
      </c>
      <c r="D11" s="17" t="s">
        <v>114</v>
      </c>
      <c r="E11" s="17" t="s">
        <v>63</v>
      </c>
      <c r="F11" s="17" t="s">
        <v>65</v>
      </c>
      <c r="G11" s="17" t="s">
        <v>65</v>
      </c>
      <c r="H11" s="17" t="s">
        <v>65</v>
      </c>
      <c r="I11" s="17" t="s">
        <v>65</v>
      </c>
      <c r="J11" s="17" t="s">
        <v>65</v>
      </c>
      <c r="K11" s="17" t="s">
        <v>65</v>
      </c>
      <c r="L11" s="17" t="s">
        <v>65</v>
      </c>
      <c r="M11" s="18" t="s">
        <v>219</v>
      </c>
      <c r="N11" s="17" t="s">
        <v>63</v>
      </c>
      <c r="O11" s="17" t="s">
        <v>66</v>
      </c>
      <c r="P11" s="17" t="s">
        <v>65</v>
      </c>
      <c r="Q11" s="17" t="s">
        <v>65</v>
      </c>
      <c r="R11" s="17" t="s">
        <v>65</v>
      </c>
      <c r="S11" s="17" t="s">
        <v>66</v>
      </c>
      <c r="T11" s="17" t="s">
        <v>66</v>
      </c>
      <c r="U11" s="17" t="s">
        <v>66</v>
      </c>
    </row>
    <row r="12" spans="1:21" ht="60" customHeight="1" x14ac:dyDescent="0.3">
      <c r="A12" s="17" t="str">
        <f>'M-Cliente'!K3</f>
        <v>cantidadDeDescuentoCitas</v>
      </c>
      <c r="B12" s="18" t="str">
        <f>'M-Cliente'!K2</f>
        <v>Representa la cantidad de citas que un cliente va a tener con descuento, cada inasistencia que un barbero le haga al cliente se le suma un descuento a la proxima cita</v>
      </c>
      <c r="C12" s="17" t="s">
        <v>66</v>
      </c>
      <c r="D12" s="17" t="s">
        <v>113</v>
      </c>
      <c r="E12" s="17" t="s">
        <v>63</v>
      </c>
      <c r="F12" s="17" t="s">
        <v>65</v>
      </c>
      <c r="G12" s="17" t="s">
        <v>65</v>
      </c>
      <c r="H12" s="17" t="s">
        <v>65</v>
      </c>
      <c r="I12" s="17" t="s">
        <v>65</v>
      </c>
      <c r="J12" s="17">
        <v>0</v>
      </c>
      <c r="K12" s="17">
        <v>1000</v>
      </c>
      <c r="L12" s="17" t="s">
        <v>65</v>
      </c>
      <c r="M12" s="18" t="s">
        <v>220</v>
      </c>
      <c r="N12" s="17" t="s">
        <v>63</v>
      </c>
      <c r="O12" s="17" t="s">
        <v>66</v>
      </c>
      <c r="P12" s="17" t="s">
        <v>65</v>
      </c>
      <c r="Q12" s="17" t="s">
        <v>65</v>
      </c>
      <c r="R12" s="17" t="s">
        <v>65</v>
      </c>
      <c r="S12" s="17" t="s">
        <v>66</v>
      </c>
      <c r="T12" s="17">
        <v>0</v>
      </c>
      <c r="U12" s="17" t="s">
        <v>66</v>
      </c>
    </row>
    <row r="13" spans="1:21" ht="15" customHeight="1" x14ac:dyDescent="0.3">
      <c r="A13" s="6"/>
      <c r="B13" s="6"/>
      <c r="C13" s="6"/>
      <c r="D13" s="6"/>
      <c r="E13" s="6"/>
      <c r="F13" s="6"/>
      <c r="G13" s="6"/>
      <c r="H13" s="6"/>
      <c r="I13" s="6"/>
      <c r="J13" s="6"/>
      <c r="K13" s="6"/>
      <c r="L13" s="6"/>
      <c r="M13" s="6"/>
      <c r="N13" s="6"/>
      <c r="O13" s="6"/>
      <c r="P13" s="6"/>
      <c r="Q13" s="6"/>
      <c r="R13" s="6"/>
      <c r="S13" s="6"/>
      <c r="T13" s="6"/>
      <c r="U13" s="6"/>
    </row>
    <row r="14" spans="1:21" ht="15" customHeight="1" x14ac:dyDescent="0.3">
      <c r="A14" s="19" t="s">
        <v>71</v>
      </c>
      <c r="B14" s="19" t="s">
        <v>72</v>
      </c>
      <c r="C14" s="19" t="s">
        <v>73</v>
      </c>
      <c r="D14" s="40"/>
      <c r="E14" s="40"/>
      <c r="F14" s="40"/>
      <c r="G14" s="40"/>
      <c r="H14" s="40"/>
      <c r="I14" s="40"/>
      <c r="J14" s="40"/>
      <c r="K14" s="40"/>
      <c r="L14" s="40"/>
      <c r="M14" s="40"/>
      <c r="N14" s="40"/>
      <c r="O14" s="40"/>
      <c r="P14" s="40"/>
      <c r="Q14" s="40"/>
      <c r="R14" s="40"/>
      <c r="S14" s="40"/>
      <c r="T14" s="40"/>
      <c r="U14" s="40"/>
    </row>
    <row r="15" spans="1:21" ht="15" customHeight="1" x14ac:dyDescent="0.3">
      <c r="A15" s="160" t="str">
        <f>'M-Cliente'!L3</f>
        <v>Combinación única  1</v>
      </c>
      <c r="B15" s="161" t="str">
        <f>'M-Cliente'!L2</f>
        <v>Combinacion única que indica que no puede existir más de un cliente con el mismo prefijo de celular y número de celular</v>
      </c>
      <c r="C15" s="162" t="str">
        <f>A8</f>
        <v>prefijoCelular</v>
      </c>
      <c r="D15" s="6"/>
      <c r="E15" s="6"/>
      <c r="F15" s="6"/>
      <c r="G15" s="6"/>
      <c r="H15" s="6"/>
      <c r="I15" s="6"/>
      <c r="J15" s="6"/>
      <c r="K15" s="6"/>
      <c r="L15" s="6"/>
      <c r="M15" s="6"/>
      <c r="N15" s="6"/>
      <c r="O15" s="6"/>
      <c r="P15" s="6"/>
      <c r="Q15" s="6"/>
      <c r="R15" s="6"/>
      <c r="S15" s="6"/>
      <c r="T15" s="6"/>
      <c r="U15" s="6"/>
    </row>
    <row r="16" spans="1:21" ht="15" customHeight="1" x14ac:dyDescent="0.3">
      <c r="A16" s="160"/>
      <c r="B16" s="160"/>
      <c r="C16" s="160"/>
      <c r="D16" s="6"/>
      <c r="E16" s="6"/>
      <c r="F16" s="6"/>
      <c r="G16" s="6"/>
      <c r="H16" s="6"/>
      <c r="I16" s="6"/>
      <c r="J16" s="6"/>
      <c r="K16" s="6"/>
      <c r="L16" s="6"/>
      <c r="M16" s="6"/>
      <c r="N16" s="6"/>
      <c r="O16" s="6"/>
      <c r="P16" s="6"/>
      <c r="Q16" s="6"/>
      <c r="R16" s="6"/>
      <c r="S16" s="6"/>
      <c r="T16" s="6"/>
      <c r="U16" s="6"/>
    </row>
    <row r="17" spans="1:21" ht="15" customHeight="1" x14ac:dyDescent="0.3">
      <c r="A17" s="160"/>
      <c r="B17" s="160"/>
      <c r="C17" s="162"/>
      <c r="D17" s="6"/>
      <c r="E17" s="6"/>
      <c r="F17" s="6"/>
      <c r="G17" s="6"/>
      <c r="H17" s="6"/>
      <c r="I17" s="6"/>
      <c r="J17" s="6"/>
      <c r="K17" s="6"/>
      <c r="L17" s="6"/>
      <c r="M17" s="6"/>
      <c r="N17" s="6"/>
      <c r="O17" s="6"/>
      <c r="P17" s="6"/>
      <c r="Q17" s="6"/>
      <c r="R17" s="6"/>
      <c r="S17" s="6"/>
      <c r="T17" s="6"/>
      <c r="U17" s="6"/>
    </row>
    <row r="18" spans="1:21" ht="15" customHeight="1" x14ac:dyDescent="0.3">
      <c r="A18" s="160"/>
      <c r="B18" s="160"/>
      <c r="C18" s="162" t="str">
        <f>A9</f>
        <v>celular</v>
      </c>
      <c r="D18" s="6"/>
      <c r="E18" s="6"/>
      <c r="F18" s="6"/>
      <c r="G18" s="6"/>
      <c r="H18" s="6"/>
      <c r="I18" s="6"/>
      <c r="J18" s="6"/>
      <c r="K18" s="6"/>
      <c r="L18" s="6"/>
      <c r="M18" s="6"/>
      <c r="N18" s="6"/>
      <c r="O18" s="6"/>
      <c r="P18" s="6"/>
      <c r="Q18" s="6"/>
      <c r="R18" s="6"/>
      <c r="S18" s="6"/>
      <c r="T18" s="6"/>
      <c r="U18" s="6"/>
    </row>
    <row r="19" spans="1:21" ht="15" customHeight="1" x14ac:dyDescent="0.3">
      <c r="A19" s="160"/>
      <c r="B19" s="160"/>
      <c r="C19" s="160"/>
      <c r="D19" s="6"/>
      <c r="E19" s="6"/>
      <c r="F19" s="6"/>
      <c r="G19" s="6"/>
      <c r="H19" s="6"/>
      <c r="I19" s="6"/>
      <c r="J19" s="6"/>
      <c r="K19" s="6"/>
      <c r="L19" s="6"/>
      <c r="M19" s="6"/>
      <c r="N19" s="6"/>
      <c r="O19" s="6"/>
      <c r="P19" s="6"/>
      <c r="Q19" s="6"/>
      <c r="R19" s="6"/>
      <c r="S19" s="6"/>
      <c r="T19" s="6"/>
      <c r="U19" s="6"/>
    </row>
    <row r="20" spans="1:21" ht="15" customHeight="1" x14ac:dyDescent="0.3">
      <c r="A20" s="160"/>
      <c r="B20" s="160"/>
      <c r="C20" s="160"/>
      <c r="D20" s="6"/>
      <c r="E20" s="6"/>
      <c r="F20" s="6"/>
      <c r="G20" s="6"/>
      <c r="H20" s="6"/>
      <c r="I20" s="6"/>
      <c r="J20" s="6"/>
      <c r="K20" s="6"/>
      <c r="L20" s="6"/>
      <c r="M20" s="6"/>
      <c r="N20" s="6"/>
      <c r="O20" s="6"/>
      <c r="P20" s="6"/>
      <c r="Q20" s="6"/>
      <c r="R20" s="6"/>
      <c r="S20" s="6"/>
      <c r="T20" s="6"/>
      <c r="U20" s="6"/>
    </row>
    <row r="21" spans="1:21" ht="15" customHeight="1" x14ac:dyDescent="0.3">
      <c r="A21" s="34"/>
      <c r="B21" s="34"/>
    </row>
    <row r="22" spans="1:21" ht="15" customHeight="1" x14ac:dyDescent="0.3">
      <c r="A22" s="34"/>
      <c r="B22" s="34"/>
    </row>
    <row r="23" spans="1:21" ht="15" customHeight="1" x14ac:dyDescent="0.3">
      <c r="A23" s="34"/>
      <c r="B23" s="34"/>
    </row>
    <row r="24" spans="1:21" ht="15" customHeight="1" x14ac:dyDescent="0.3">
      <c r="A24" s="34"/>
      <c r="B24" s="34"/>
    </row>
    <row r="25" spans="1:21" ht="15" customHeight="1" x14ac:dyDescent="0.3">
      <c r="A25" s="34"/>
      <c r="B25" s="34"/>
    </row>
    <row r="26" spans="1:21" ht="15" customHeight="1" x14ac:dyDescent="0.3">
      <c r="A26" s="41"/>
      <c r="B26" s="41"/>
      <c r="C26" s="41"/>
      <c r="D26" s="41"/>
      <c r="E26" s="41"/>
      <c r="F26" s="41"/>
      <c r="G26" s="41"/>
      <c r="H26" s="41"/>
      <c r="I26" s="41"/>
      <c r="J26" s="41"/>
      <c r="K26" s="41"/>
      <c r="L26" s="41"/>
      <c r="M26" s="41"/>
      <c r="N26" s="41"/>
      <c r="O26" s="41"/>
      <c r="P26" s="41"/>
      <c r="Q26" s="41"/>
      <c r="R26" s="41"/>
      <c r="S26" s="41"/>
      <c r="T26" s="41"/>
      <c r="U26" s="41"/>
    </row>
    <row r="27" spans="1:21" ht="15" customHeight="1" x14ac:dyDescent="0.3">
      <c r="A27" s="34"/>
      <c r="B27" s="34"/>
    </row>
    <row r="28" spans="1:21" ht="15" customHeight="1" x14ac:dyDescent="0.3">
      <c r="A28" s="34"/>
      <c r="B28" s="34"/>
    </row>
    <row r="29" spans="1:21" ht="15" customHeight="1" x14ac:dyDescent="0.3">
      <c r="A29" s="34"/>
      <c r="B29" s="34"/>
    </row>
    <row r="30" spans="1:21" ht="15" customHeight="1" x14ac:dyDescent="0.3">
      <c r="A30" s="34"/>
      <c r="B30" s="34"/>
    </row>
    <row r="31" spans="1:21" ht="15" customHeight="1" x14ac:dyDescent="0.3">
      <c r="A31" s="34"/>
      <c r="B31" s="34"/>
    </row>
    <row r="32" spans="1:21" ht="15" customHeight="1" x14ac:dyDescent="0.3">
      <c r="A32" s="34"/>
      <c r="B32" s="34"/>
    </row>
    <row r="33" spans="1:3" ht="15" customHeight="1" x14ac:dyDescent="0.3">
      <c r="A33" s="34"/>
      <c r="B33" s="34"/>
    </row>
    <row r="34" spans="1:3" ht="15" customHeight="1" x14ac:dyDescent="0.3">
      <c r="A34" s="34"/>
      <c r="B34" s="34"/>
    </row>
    <row r="35" spans="1:3" ht="15" customHeight="1" x14ac:dyDescent="0.3">
      <c r="A35" s="34"/>
      <c r="B35" s="34"/>
    </row>
    <row r="36" spans="1:3" ht="15" customHeight="1" x14ac:dyDescent="0.3">
      <c r="A36" s="34"/>
      <c r="B36" s="34"/>
    </row>
    <row r="37" spans="1:3" ht="15" customHeight="1" x14ac:dyDescent="0.3">
      <c r="A37" s="34"/>
      <c r="B37" s="34"/>
    </row>
    <row r="39" spans="1:3" ht="15" customHeight="1" x14ac:dyDescent="0.3">
      <c r="A39" s="42"/>
      <c r="B39" s="42"/>
      <c r="C39" s="42"/>
    </row>
    <row r="40" spans="1:3" ht="15" customHeight="1" x14ac:dyDescent="0.3">
      <c r="A40" s="34"/>
      <c r="B40" s="34"/>
    </row>
    <row r="41" spans="1:3" ht="15" customHeight="1" x14ac:dyDescent="0.3">
      <c r="A41" s="34"/>
      <c r="B41" s="34"/>
    </row>
  </sheetData>
  <mergeCells count="4">
    <mergeCell ref="A15:A20"/>
    <mergeCell ref="B15:B20"/>
    <mergeCell ref="C15:C17"/>
    <mergeCell ref="C18:C20"/>
  </mergeCells>
  <hyperlinks>
    <hyperlink ref="A1" location="'Modelo de Dominio'!A1" display="&lt;&lt;&lt;&lt; Ir al modulo de dominio" xr:uid="{00000000-0004-0000-1000-000000000000}"/>
    <hyperlink ref="B1" location="'Objetos de Dominio'!A1" display="&lt;&lt;&lt;&lt; Ir a objetos de dominio" xr:uid="{00000000-0004-0000-1000-000001000000}"/>
    <hyperlink ref="D8" location="'C-PrefijoCelular'!A1" display="PrefijoCelular" xr:uid="{00000000-0004-0000-1000-000002000000}"/>
  </hyperlink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9"/>
  <sheetViews>
    <sheetView zoomScale="130" zoomScaleNormal="130" workbookViewId="0">
      <selection activeCell="B1" sqref="B1"/>
    </sheetView>
  </sheetViews>
  <sheetFormatPr baseColWidth="10" defaultColWidth="10.6640625" defaultRowHeight="14.4" x14ac:dyDescent="0.3"/>
  <cols>
    <col min="1" max="1" width="27" customWidth="1"/>
    <col min="2" max="2" width="26.109375" customWidth="1"/>
    <col min="3" max="3" width="21.88671875" customWidth="1"/>
    <col min="4" max="4" width="22.109375" customWidth="1"/>
    <col min="5" max="5" width="22.44140625" customWidth="1"/>
    <col min="6" max="6" width="19.5546875" customWidth="1"/>
    <col min="7" max="7" width="28.33203125" customWidth="1"/>
    <col min="8" max="8" width="27.6640625" customWidth="1"/>
    <col min="9" max="9" width="41.88671875" customWidth="1"/>
    <col min="10" max="10" width="35.88671875" customWidth="1"/>
    <col min="11" max="11" width="40.6640625" customWidth="1"/>
    <col min="12" max="12" width="28.33203125" customWidth="1"/>
  </cols>
  <sheetData>
    <row r="1" spans="1:12" ht="14.25" customHeight="1" x14ac:dyDescent="0.3">
      <c r="A1" s="5" t="s">
        <v>1</v>
      </c>
      <c r="B1" s="5" t="s">
        <v>41</v>
      </c>
      <c r="C1" s="83"/>
      <c r="D1" s="83"/>
      <c r="E1" s="83"/>
      <c r="F1" s="83"/>
      <c r="G1" s="26"/>
      <c r="H1" s="26"/>
      <c r="I1" s="26"/>
      <c r="J1" s="26"/>
      <c r="K1" s="26"/>
      <c r="L1" s="26"/>
    </row>
    <row r="2" spans="1:12" ht="37.5" customHeight="1" x14ac:dyDescent="0.3">
      <c r="A2" s="45" t="s">
        <v>75</v>
      </c>
      <c r="B2" s="45" t="s">
        <v>221</v>
      </c>
      <c r="C2" s="45" t="s">
        <v>222</v>
      </c>
      <c r="D2" s="45" t="s">
        <v>223</v>
      </c>
      <c r="E2" s="45" t="s">
        <v>224</v>
      </c>
      <c r="F2" s="45" t="s">
        <v>225</v>
      </c>
      <c r="G2" s="84" t="s">
        <v>226</v>
      </c>
      <c r="H2" s="84" t="s">
        <v>227</v>
      </c>
      <c r="I2" s="84" t="s">
        <v>228</v>
      </c>
      <c r="J2" s="84" t="s">
        <v>229</v>
      </c>
      <c r="K2" s="84" t="s">
        <v>230</v>
      </c>
      <c r="L2" s="85" t="s">
        <v>231</v>
      </c>
    </row>
    <row r="3" spans="1:12" ht="14.25" customHeight="1" x14ac:dyDescent="0.3">
      <c r="A3" s="23" t="s">
        <v>78</v>
      </c>
      <c r="B3" s="24" t="s">
        <v>188</v>
      </c>
      <c r="C3" s="24" t="s">
        <v>189</v>
      </c>
      <c r="D3" s="24" t="s">
        <v>190</v>
      </c>
      <c r="E3" s="24" t="s">
        <v>191</v>
      </c>
      <c r="F3" s="86" t="s">
        <v>232</v>
      </c>
      <c r="G3" s="24" t="s">
        <v>192</v>
      </c>
      <c r="H3" s="87" t="s">
        <v>233</v>
      </c>
      <c r="I3" s="88" t="s">
        <v>234</v>
      </c>
      <c r="J3" s="88" t="s">
        <v>235</v>
      </c>
      <c r="K3" s="88" t="s">
        <v>236</v>
      </c>
      <c r="L3" s="25" t="s">
        <v>196</v>
      </c>
    </row>
    <row r="4" spans="1:12" ht="14.25" customHeight="1" x14ac:dyDescent="0.3">
      <c r="A4" s="26">
        <v>1</v>
      </c>
      <c r="B4" s="26" t="s">
        <v>197</v>
      </c>
      <c r="C4" s="26"/>
      <c r="D4" s="26" t="s">
        <v>237</v>
      </c>
      <c r="E4" s="26"/>
      <c r="F4" s="83" t="str">
        <f>'M-PrefijoCelular'!C4</f>
        <v>+57</v>
      </c>
      <c r="G4" s="26">
        <v>3234528921</v>
      </c>
      <c r="H4" s="26" t="s">
        <v>63</v>
      </c>
      <c r="I4" s="26">
        <v>0</v>
      </c>
      <c r="J4" s="26" t="s">
        <v>209</v>
      </c>
      <c r="K4" s="26">
        <v>0</v>
      </c>
      <c r="L4" s="26" t="str">
        <f>_xlfn.CONCAT(F4,"-",G4)</f>
        <v>+57-3234528921</v>
      </c>
    </row>
    <row r="5" spans="1:12" ht="14.25" customHeight="1" x14ac:dyDescent="0.3">
      <c r="A5" s="26">
        <v>2</v>
      </c>
      <c r="B5" s="26" t="s">
        <v>238</v>
      </c>
      <c r="C5" s="26" t="s">
        <v>239</v>
      </c>
      <c r="D5" s="26" t="s">
        <v>207</v>
      </c>
      <c r="E5" s="26" t="s">
        <v>211</v>
      </c>
      <c r="F5" s="83" t="str">
        <f>'M-PrefijoCelular'!C4</f>
        <v>+57</v>
      </c>
      <c r="G5" s="26">
        <v>3161657782</v>
      </c>
      <c r="H5" s="26" t="s">
        <v>63</v>
      </c>
      <c r="I5" s="26">
        <v>0</v>
      </c>
      <c r="J5" s="26" t="s">
        <v>209</v>
      </c>
      <c r="K5" s="26">
        <v>0</v>
      </c>
      <c r="L5" s="26" t="str">
        <f>_xlfn.CONCAT(F5,"-",G5)</f>
        <v>+57-3161657782</v>
      </c>
    </row>
    <row r="6" spans="1:12" ht="14.25" customHeight="1" x14ac:dyDescent="0.3">
      <c r="A6" s="26">
        <v>3</v>
      </c>
      <c r="B6" s="26" t="s">
        <v>240</v>
      </c>
      <c r="C6" s="26"/>
      <c r="D6" s="26" t="s">
        <v>241</v>
      </c>
      <c r="E6" s="26" t="s">
        <v>207</v>
      </c>
      <c r="F6" s="83" t="str">
        <f>'M-PrefijoCelular'!C4</f>
        <v>+57</v>
      </c>
      <c r="G6" s="26">
        <v>3119884321</v>
      </c>
      <c r="H6" s="26" t="s">
        <v>63</v>
      </c>
      <c r="I6" s="26">
        <v>0</v>
      </c>
      <c r="J6" s="26" t="s">
        <v>209</v>
      </c>
      <c r="K6" s="26">
        <v>0</v>
      </c>
      <c r="L6" s="26" t="str">
        <f>_xlfn.CONCAT(F6,"-",G6)</f>
        <v>+57-3119884321</v>
      </c>
    </row>
    <row r="7" spans="1:12" ht="14.25" customHeight="1" x14ac:dyDescent="0.3">
      <c r="A7" s="26">
        <v>4</v>
      </c>
      <c r="B7" s="26" t="s">
        <v>242</v>
      </c>
      <c r="C7" s="26"/>
      <c r="D7" s="26" t="s">
        <v>243</v>
      </c>
      <c r="E7" s="26"/>
      <c r="F7" s="83" t="str">
        <f>'M-PrefijoCelular'!C7</f>
        <v>+58</v>
      </c>
      <c r="G7" s="26">
        <v>4127359182</v>
      </c>
      <c r="H7" s="26" t="s">
        <v>63</v>
      </c>
      <c r="I7" s="26">
        <v>1</v>
      </c>
      <c r="J7" s="26" t="s">
        <v>209</v>
      </c>
      <c r="K7" s="26">
        <v>1</v>
      </c>
      <c r="L7" s="26" t="str">
        <f>_xlfn.CONCAT(F7,"-",G7)</f>
        <v>+58-4127359182</v>
      </c>
    </row>
    <row r="8" spans="1:12" ht="14.25" customHeight="1" x14ac:dyDescent="0.3">
      <c r="A8" s="26">
        <v>5</v>
      </c>
      <c r="B8" s="26" t="s">
        <v>244</v>
      </c>
      <c r="C8" s="26" t="s">
        <v>245</v>
      </c>
      <c r="D8" s="26" t="s">
        <v>246</v>
      </c>
      <c r="E8" s="26" t="s">
        <v>247</v>
      </c>
      <c r="F8" s="83" t="str">
        <f>'M-PrefijoCelular'!C4</f>
        <v>+57</v>
      </c>
      <c r="G8" s="26">
        <v>3005544332</v>
      </c>
      <c r="H8" s="26" t="s">
        <v>63</v>
      </c>
      <c r="I8" s="26">
        <v>3</v>
      </c>
      <c r="J8" s="26" t="s">
        <v>125</v>
      </c>
      <c r="K8" s="26">
        <v>0</v>
      </c>
      <c r="L8" s="26" t="str">
        <f>_xlfn.CONCAT(F8,"-",G8)</f>
        <v>+57-3005544332</v>
      </c>
    </row>
    <row r="13" spans="1:12" ht="14.25" customHeight="1" x14ac:dyDescent="0.3">
      <c r="B13" s="30"/>
    </row>
    <row r="14" spans="1:12" ht="28.5" customHeight="1" x14ac:dyDescent="0.3">
      <c r="A14" s="29"/>
      <c r="B14" s="30" t="s">
        <v>88</v>
      </c>
    </row>
    <row r="15" spans="1:12" ht="28.5" customHeight="1" x14ac:dyDescent="0.3">
      <c r="A15" s="31"/>
      <c r="B15" s="30" t="s">
        <v>89</v>
      </c>
    </row>
    <row r="16" spans="1:12" ht="28.5" customHeight="1" x14ac:dyDescent="0.3">
      <c r="A16" s="32"/>
      <c r="B16" s="30" t="s">
        <v>90</v>
      </c>
    </row>
    <row r="17" spans="1:2" ht="28.5" customHeight="1" x14ac:dyDescent="0.3">
      <c r="A17" s="55"/>
      <c r="B17" s="30" t="s">
        <v>212</v>
      </c>
    </row>
    <row r="18" spans="1:2" ht="28.5" customHeight="1" x14ac:dyDescent="0.3">
      <c r="A18" s="89"/>
      <c r="B18" s="30" t="s">
        <v>248</v>
      </c>
    </row>
    <row r="19" spans="1:2" ht="28.5" customHeight="1" x14ac:dyDescent="0.3">
      <c r="A19" s="33"/>
      <c r="B19" s="30" t="s">
        <v>91</v>
      </c>
    </row>
  </sheetData>
  <hyperlinks>
    <hyperlink ref="A1" location="'Modelo de Dominio'!A1" display="&lt;&lt;&lt;&lt; Ir al modulo de dominio" xr:uid="{00000000-0004-0000-1100-000000000000}"/>
    <hyperlink ref="B1" location="'Objetos de Dominio'!A1" display="&lt;&lt;&lt;&lt; Ir a objetos de dominio" xr:uid="{00000000-0004-0000-1100-000001000000}"/>
    <hyperlink ref="F3" location="'M-PrefijoCelular'!A1" display="prefijoCelular" xr:uid="{00000000-0004-0000-1100-000002000000}"/>
    <hyperlink ref="F4" location="'M-PrefijoCelular'!A4" display="#'M-PrefijoCelular'.A4" xr:uid="{00000000-0004-0000-1100-000003000000}"/>
    <hyperlink ref="F5" location="'M-PrefijoCelular'!A4" display="#'M-PrefijoCelular'.A4" xr:uid="{00000000-0004-0000-1100-000004000000}"/>
    <hyperlink ref="F6" location="'M-PrefijoCelular'!A4" display="#'M-PrefijoCelular'.A4" xr:uid="{00000000-0004-0000-1100-000005000000}"/>
    <hyperlink ref="F7" location="'M-PrefijoCelular'!A7" display="#'M-PrefijoCelular'.A7" xr:uid="{00000000-0004-0000-1100-000006000000}"/>
    <hyperlink ref="F8" location="'M-PrefijoCelular'!A4" display="#'M-PrefijoCelular'.A4" xr:uid="{00000000-0004-0000-1100-000007000000}"/>
  </hyperlinks>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4"/>
  <sheetViews>
    <sheetView zoomScaleNormal="100" workbookViewId="0">
      <selection activeCell="B1" sqref="B1"/>
    </sheetView>
  </sheetViews>
  <sheetFormatPr baseColWidth="10" defaultColWidth="8.6640625" defaultRowHeight="14.4" x14ac:dyDescent="0.3"/>
  <cols>
    <col min="1" max="1" width="26.6640625" customWidth="1"/>
    <col min="2" max="2" width="45" customWidth="1"/>
    <col min="3" max="3" width="35.6640625" customWidth="1"/>
    <col min="4" max="5" width="18" customWidth="1"/>
    <col min="6" max="6" width="25.44140625" customWidth="1"/>
    <col min="7" max="7" width="25.6640625" customWidth="1"/>
    <col min="8" max="12" width="18" customWidth="1"/>
    <col min="13" max="13" width="40" customWidth="1"/>
    <col min="14" max="14" width="18" customWidth="1"/>
    <col min="15" max="15" width="29.6640625" customWidth="1"/>
    <col min="16" max="16" width="27" customWidth="1"/>
    <col min="17" max="17" width="38.44140625" customWidth="1"/>
    <col min="18" max="18" width="38.88671875" customWidth="1"/>
    <col min="19" max="19" width="22.88671875" customWidth="1"/>
    <col min="20" max="20" width="25.88671875" customWidth="1"/>
    <col min="21" max="21" width="18" customWidth="1"/>
  </cols>
  <sheetData>
    <row r="1" spans="1:21" ht="15" customHeight="1" x14ac:dyDescent="0.3">
      <c r="A1" s="5" t="s">
        <v>1</v>
      </c>
      <c r="B1" s="5" t="s">
        <v>41</v>
      </c>
    </row>
    <row r="2" spans="1:21" ht="15" customHeight="1" x14ac:dyDescent="0.3">
      <c r="A2" s="38" t="s">
        <v>42</v>
      </c>
      <c r="B2" s="38" t="s">
        <v>43</v>
      </c>
      <c r="C2" s="38" t="s">
        <v>44</v>
      </c>
      <c r="D2" s="38" t="s">
        <v>45</v>
      </c>
      <c r="E2" s="38" t="s">
        <v>46</v>
      </c>
      <c r="F2" s="38" t="s">
        <v>47</v>
      </c>
      <c r="G2" s="38" t="s">
        <v>48</v>
      </c>
      <c r="H2" s="38" t="s">
        <v>49</v>
      </c>
      <c r="I2" s="38" t="s">
        <v>50</v>
      </c>
      <c r="J2" s="38" t="s">
        <v>51</v>
      </c>
      <c r="K2" s="38" t="s">
        <v>52</v>
      </c>
      <c r="L2" s="38" t="s">
        <v>53</v>
      </c>
      <c r="M2" s="38" t="s">
        <v>54</v>
      </c>
      <c r="N2" s="38" t="s">
        <v>55</v>
      </c>
      <c r="O2" s="38" t="s">
        <v>56</v>
      </c>
      <c r="P2" s="38" t="s">
        <v>57</v>
      </c>
      <c r="Q2" s="38" t="s">
        <v>58</v>
      </c>
      <c r="R2" s="38" t="s">
        <v>59</v>
      </c>
      <c r="S2" s="38" t="s">
        <v>60</v>
      </c>
      <c r="T2" s="38" t="s">
        <v>61</v>
      </c>
      <c r="U2" s="38" t="s">
        <v>62</v>
      </c>
    </row>
    <row r="3" spans="1:21" ht="45" customHeight="1" x14ac:dyDescent="0.3">
      <c r="A3" s="17" t="str">
        <f>'M-HorarioBarberia'!A3</f>
        <v>id</v>
      </c>
      <c r="B3" s="18" t="str">
        <f>'M-HorarioBarberia'!A2</f>
        <v>Representa un identificador que hará unico cada objeto de dominio de este tipo, no se puede repetir</v>
      </c>
      <c r="C3" s="17" t="s">
        <v>63</v>
      </c>
      <c r="D3" s="17" t="s">
        <v>64</v>
      </c>
      <c r="E3" s="17" t="s">
        <v>63</v>
      </c>
      <c r="F3" s="17" t="s">
        <v>65</v>
      </c>
      <c r="G3" s="17" t="s">
        <v>65</v>
      </c>
      <c r="H3" s="17" t="s">
        <v>65</v>
      </c>
      <c r="I3" s="17" t="s">
        <v>65</v>
      </c>
      <c r="J3" s="17" t="s">
        <v>65</v>
      </c>
      <c r="K3" s="17" t="s">
        <v>65</v>
      </c>
      <c r="L3" s="17" t="s">
        <v>65</v>
      </c>
      <c r="M3" s="18" t="s">
        <v>65</v>
      </c>
      <c r="N3" s="17" t="s">
        <v>66</v>
      </c>
      <c r="O3" s="17" t="s">
        <v>66</v>
      </c>
      <c r="P3" s="17" t="s">
        <v>65</v>
      </c>
      <c r="Q3" s="17" t="s">
        <v>65</v>
      </c>
      <c r="R3" s="17" t="s">
        <v>65</v>
      </c>
      <c r="S3" s="17" t="s">
        <v>66</v>
      </c>
      <c r="T3" s="17" t="s">
        <v>67</v>
      </c>
      <c r="U3" s="17" t="s">
        <v>63</v>
      </c>
    </row>
    <row r="4" spans="1:21" ht="30" customHeight="1" x14ac:dyDescent="0.3">
      <c r="A4" s="17" t="str">
        <f>'M-HorarioBarberia'!B3</f>
        <v>diaDeLaSemana</v>
      </c>
      <c r="B4" s="18" t="str">
        <f>'M-HorarioBarberia'!B2</f>
        <v>Representa el día de la semana en el que la barberia abre</v>
      </c>
      <c r="C4" s="17" t="s">
        <v>66</v>
      </c>
      <c r="D4" s="78" t="s">
        <v>7</v>
      </c>
      <c r="E4" s="17" t="s">
        <v>63</v>
      </c>
      <c r="F4" s="17" t="s">
        <v>65</v>
      </c>
      <c r="G4" s="17" t="s">
        <v>65</v>
      </c>
      <c r="H4" s="17" t="s">
        <v>65</v>
      </c>
      <c r="I4" s="17" t="s">
        <v>65</v>
      </c>
      <c r="J4" s="17" t="s">
        <v>65</v>
      </c>
      <c r="K4" s="17" t="s">
        <v>65</v>
      </c>
      <c r="L4" s="17" t="s">
        <v>65</v>
      </c>
      <c r="M4" s="18" t="s">
        <v>216</v>
      </c>
      <c r="N4" s="17" t="s">
        <v>66</v>
      </c>
      <c r="O4" s="17" t="s">
        <v>66</v>
      </c>
      <c r="P4" s="17" t="s">
        <v>65</v>
      </c>
      <c r="Q4" s="17" t="s">
        <v>65</v>
      </c>
      <c r="R4" s="17" t="s">
        <v>65</v>
      </c>
      <c r="S4" s="17" t="s">
        <v>66</v>
      </c>
      <c r="T4" s="17" t="s">
        <v>67</v>
      </c>
      <c r="U4" s="17" t="s">
        <v>66</v>
      </c>
    </row>
    <row r="5" spans="1:21" ht="27.75" customHeight="1" x14ac:dyDescent="0.3">
      <c r="A5" s="17" t="str">
        <f>'M-HorarioBarberia'!C3</f>
        <v>horaApertura</v>
      </c>
      <c r="B5" s="18" t="str">
        <f>'M-HorarioBarberia'!C2</f>
        <v>Representa la hora a la que abre la barbería</v>
      </c>
      <c r="C5" s="17" t="s">
        <v>66</v>
      </c>
      <c r="D5" s="17" t="s">
        <v>249</v>
      </c>
      <c r="E5" s="17" t="s">
        <v>66</v>
      </c>
      <c r="F5" s="17" t="s">
        <v>65</v>
      </c>
      <c r="G5" s="17" t="s">
        <v>65</v>
      </c>
      <c r="H5" s="17" t="s">
        <v>65</v>
      </c>
      <c r="I5" s="17" t="s">
        <v>65</v>
      </c>
      <c r="J5" s="17" t="s">
        <v>65</v>
      </c>
      <c r="K5" s="17" t="s">
        <v>65</v>
      </c>
      <c r="L5" s="17" t="s">
        <v>65</v>
      </c>
      <c r="M5" s="18" t="s">
        <v>65</v>
      </c>
      <c r="N5" s="17" t="s">
        <v>66</v>
      </c>
      <c r="O5" s="17" t="s">
        <v>66</v>
      </c>
      <c r="P5" s="17" t="s">
        <v>65</v>
      </c>
      <c r="Q5" s="17" t="s">
        <v>65</v>
      </c>
      <c r="R5" s="17" t="s">
        <v>65</v>
      </c>
      <c r="S5" s="17" t="s">
        <v>66</v>
      </c>
      <c r="T5" s="17" t="s">
        <v>250</v>
      </c>
      <c r="U5" s="17" t="s">
        <v>66</v>
      </c>
    </row>
    <row r="6" spans="1:21" ht="27.75" customHeight="1" x14ac:dyDescent="0.3">
      <c r="A6" s="17" t="str">
        <f>'M-HorarioBarberia'!D3</f>
        <v>horaCierre</v>
      </c>
      <c r="B6" s="18" t="str">
        <f>'M-HorarioBarberia'!D2</f>
        <v>Representa la hora a la que cierra la barbería</v>
      </c>
      <c r="C6" s="17" t="s">
        <v>66</v>
      </c>
      <c r="D6" s="17" t="s">
        <v>249</v>
      </c>
      <c r="E6" s="17" t="s">
        <v>63</v>
      </c>
      <c r="F6" s="17" t="s">
        <v>65</v>
      </c>
      <c r="G6" s="17" t="s">
        <v>65</v>
      </c>
      <c r="H6" s="17" t="s">
        <v>65</v>
      </c>
      <c r="I6" s="17" t="s">
        <v>65</v>
      </c>
      <c r="J6" s="17" t="s">
        <v>65</v>
      </c>
      <c r="K6" s="17" t="s">
        <v>65</v>
      </c>
      <c r="L6" s="17" t="s">
        <v>65</v>
      </c>
      <c r="M6" s="18" t="s">
        <v>251</v>
      </c>
      <c r="N6" s="17" t="s">
        <v>66</v>
      </c>
      <c r="O6" s="17" t="s">
        <v>66</v>
      </c>
      <c r="P6" s="17" t="s">
        <v>65</v>
      </c>
      <c r="Q6" s="17" t="s">
        <v>65</v>
      </c>
      <c r="R6" s="17" t="s">
        <v>65</v>
      </c>
      <c r="S6" s="17" t="s">
        <v>66</v>
      </c>
      <c r="T6" s="17" t="s">
        <v>250</v>
      </c>
      <c r="U6" s="17" t="s">
        <v>66</v>
      </c>
    </row>
    <row r="7" spans="1:21" ht="45" customHeight="1" x14ac:dyDescent="0.3">
      <c r="A7" s="17" t="str">
        <f>'M-HorarioBarberia'!E3</f>
        <v>fechaCreacion</v>
      </c>
      <c r="B7" s="18" t="str">
        <f>'M-HorarioBarberia'!E2</f>
        <v>Representa la fecha en el que el dueño definio el horario de la barberia. Es un dato calculado que toma la fecha del sistema en ese momento</v>
      </c>
      <c r="C7" s="17" t="s">
        <v>66</v>
      </c>
      <c r="D7" s="17" t="s">
        <v>252</v>
      </c>
      <c r="E7" s="17" t="s">
        <v>63</v>
      </c>
      <c r="F7" s="17" t="s">
        <v>65</v>
      </c>
      <c r="G7" s="17" t="s">
        <v>65</v>
      </c>
      <c r="H7" s="17" t="s">
        <v>65</v>
      </c>
      <c r="I7" s="17" t="s">
        <v>65</v>
      </c>
      <c r="J7" s="17" t="s">
        <v>65</v>
      </c>
      <c r="K7" s="17" t="s">
        <v>65</v>
      </c>
      <c r="L7" s="17" t="s">
        <v>65</v>
      </c>
      <c r="M7" s="18" t="s">
        <v>65</v>
      </c>
      <c r="N7" s="17" t="s">
        <v>63</v>
      </c>
      <c r="O7" s="17" t="s">
        <v>66</v>
      </c>
      <c r="P7" s="17" t="s">
        <v>65</v>
      </c>
      <c r="Q7" s="17" t="s">
        <v>65</v>
      </c>
      <c r="R7" s="17" t="s">
        <v>65</v>
      </c>
      <c r="S7" s="17" t="s">
        <v>66</v>
      </c>
      <c r="T7" s="17" t="s">
        <v>253</v>
      </c>
      <c r="U7" s="17" t="s">
        <v>66</v>
      </c>
    </row>
    <row r="8" spans="1:21" ht="45" customHeight="1" x14ac:dyDescent="0.3">
      <c r="A8" s="17" t="str">
        <f>'M-HorarioBarberia'!F3</f>
        <v>fechaDesactivacion</v>
      </c>
      <c r="B8" s="18" t="str">
        <f>'M-HorarioBarberia'!F2</f>
        <v>Representa la fecha en la que este horario dejó de estar vigente, dueño. Es un dato calculado que toma la fecha del sistema en ese momento</v>
      </c>
      <c r="C8" s="17" t="s">
        <v>66</v>
      </c>
      <c r="D8" s="17" t="s">
        <v>252</v>
      </c>
      <c r="E8" s="17" t="s">
        <v>66</v>
      </c>
      <c r="F8" s="17" t="s">
        <v>65</v>
      </c>
      <c r="G8" s="17" t="s">
        <v>65</v>
      </c>
      <c r="H8" s="17" t="s">
        <v>65</v>
      </c>
      <c r="I8" s="17" t="s">
        <v>65</v>
      </c>
      <c r="J8" s="17" t="s">
        <v>65</v>
      </c>
      <c r="K8" s="17" t="s">
        <v>65</v>
      </c>
      <c r="L8" s="17" t="s">
        <v>65</v>
      </c>
      <c r="M8" s="18" t="s">
        <v>65</v>
      </c>
      <c r="N8" s="17" t="s">
        <v>63</v>
      </c>
      <c r="O8" s="17" t="s">
        <v>66</v>
      </c>
      <c r="P8" s="17" t="s">
        <v>65</v>
      </c>
      <c r="Q8" s="17" t="s">
        <v>65</v>
      </c>
      <c r="R8" s="17" t="s">
        <v>65</v>
      </c>
      <c r="S8" s="17" t="s">
        <v>66</v>
      </c>
      <c r="T8" s="17" t="s">
        <v>253</v>
      </c>
      <c r="U8" s="17" t="s">
        <v>66</v>
      </c>
    </row>
    <row r="9" spans="1:21" ht="60" customHeight="1" x14ac:dyDescent="0.3">
      <c r="A9" s="17" t="str">
        <f>'M-HorarioBarberia'!G3</f>
        <v>vigente</v>
      </c>
      <c r="B9" s="18" t="str">
        <f>'M-HorarioBarberia'!G2</f>
        <v>Representa si este horario lo sigue o no vigente en la barberia. Una vez que el dueño desactive el horario de la barberia, no se puede volver a cambiar</v>
      </c>
      <c r="C9" s="17" t="s">
        <v>66</v>
      </c>
      <c r="D9" s="90" t="s">
        <v>114</v>
      </c>
      <c r="E9" s="17" t="s">
        <v>66</v>
      </c>
      <c r="F9" s="17" t="s">
        <v>65</v>
      </c>
      <c r="G9" s="17" t="s">
        <v>65</v>
      </c>
      <c r="H9" s="17" t="s">
        <v>65</v>
      </c>
      <c r="I9" s="17" t="s">
        <v>65</v>
      </c>
      <c r="J9" s="17" t="s">
        <v>65</v>
      </c>
      <c r="K9" s="17" t="s">
        <v>65</v>
      </c>
      <c r="L9" s="17" t="s">
        <v>65</v>
      </c>
      <c r="M9" s="18" t="s">
        <v>65</v>
      </c>
      <c r="N9" s="17" t="s">
        <v>66</v>
      </c>
      <c r="O9" s="17" t="s">
        <v>66</v>
      </c>
      <c r="P9" s="17" t="s">
        <v>65</v>
      </c>
      <c r="Q9" s="17" t="s">
        <v>65</v>
      </c>
      <c r="R9" s="17" t="s">
        <v>65</v>
      </c>
      <c r="S9" s="17" t="s">
        <v>66</v>
      </c>
      <c r="T9" s="17" t="s">
        <v>63</v>
      </c>
      <c r="U9" s="17" t="s">
        <v>66</v>
      </c>
    </row>
    <row r="10" spans="1:21" ht="15" customHeight="1" x14ac:dyDescent="0.3">
      <c r="A10" s="6"/>
      <c r="B10" s="6"/>
      <c r="C10" s="6"/>
      <c r="D10" s="6"/>
      <c r="E10" s="6"/>
      <c r="F10" s="6"/>
      <c r="G10" s="6"/>
      <c r="H10" s="6"/>
      <c r="I10" s="6"/>
      <c r="J10" s="6"/>
      <c r="K10" s="6"/>
      <c r="L10" s="6"/>
      <c r="M10" s="6"/>
      <c r="N10" s="6"/>
      <c r="O10" s="6"/>
      <c r="P10" s="6"/>
      <c r="Q10" s="6"/>
      <c r="R10" s="6"/>
      <c r="S10" s="6"/>
      <c r="T10" s="6"/>
      <c r="U10" s="6"/>
    </row>
    <row r="11" spans="1:21" ht="15" customHeight="1" x14ac:dyDescent="0.3">
      <c r="A11" s="19" t="s">
        <v>71</v>
      </c>
      <c r="B11" s="19" t="s">
        <v>72</v>
      </c>
      <c r="C11" s="19" t="s">
        <v>73</v>
      </c>
      <c r="D11" s="40"/>
      <c r="E11" s="40"/>
      <c r="F11" s="40"/>
      <c r="G11" s="40"/>
      <c r="H11" s="40"/>
      <c r="I11" s="40"/>
      <c r="J11" s="40"/>
      <c r="K11" s="40"/>
      <c r="L11" s="40"/>
      <c r="M11" s="40"/>
      <c r="N11" s="40"/>
      <c r="O11" s="40"/>
      <c r="P11" s="40"/>
      <c r="Q11" s="40"/>
      <c r="R11" s="40"/>
      <c r="S11" s="40"/>
      <c r="T11" s="40"/>
      <c r="U11" s="40"/>
    </row>
    <row r="12" spans="1:21" ht="15" customHeight="1" x14ac:dyDescent="0.3">
      <c r="A12" s="158" t="str">
        <f>'M-HorarioBarberia'!H3</f>
        <v>Combinación única</v>
      </c>
      <c r="B12" s="159" t="str">
        <f>'M-HorarioBarberia'!H2</f>
        <v>Combinacion única que indica que no puede existir más de un horario con la misma barberia, dia de la semana, hora de apertura y cierre</v>
      </c>
      <c r="C12" s="20" t="str">
        <f t="shared" ref="C12:C17" si="0">A4</f>
        <v>diaDeLaSemana</v>
      </c>
      <c r="D12" s="6"/>
      <c r="E12" s="6"/>
      <c r="F12" s="6"/>
      <c r="G12" s="6"/>
      <c r="H12" s="6"/>
      <c r="I12" s="6"/>
      <c r="J12" s="6"/>
      <c r="K12" s="6"/>
      <c r="L12" s="6"/>
      <c r="M12" s="6"/>
      <c r="N12" s="6"/>
      <c r="O12" s="6"/>
      <c r="P12" s="6"/>
      <c r="Q12" s="6"/>
      <c r="R12" s="6"/>
      <c r="S12" s="6"/>
      <c r="T12" s="6"/>
      <c r="U12" s="6"/>
    </row>
    <row r="13" spans="1:21" ht="15" customHeight="1" x14ac:dyDescent="0.3">
      <c r="A13" s="158"/>
      <c r="B13" s="158"/>
      <c r="C13" s="20" t="str">
        <f t="shared" si="0"/>
        <v>horaApertura</v>
      </c>
      <c r="D13" s="6"/>
      <c r="E13" s="6"/>
      <c r="F13" s="6"/>
      <c r="G13" s="6"/>
      <c r="H13" s="6"/>
      <c r="I13" s="6"/>
      <c r="J13" s="6"/>
      <c r="K13" s="6"/>
      <c r="L13" s="6"/>
      <c r="M13" s="6"/>
      <c r="N13" s="6"/>
      <c r="O13" s="6"/>
      <c r="P13" s="6"/>
      <c r="Q13" s="6"/>
      <c r="R13" s="6"/>
      <c r="S13" s="6"/>
      <c r="T13" s="6"/>
      <c r="U13" s="6"/>
    </row>
    <row r="14" spans="1:21" ht="15" customHeight="1" x14ac:dyDescent="0.3">
      <c r="A14" s="158"/>
      <c r="B14" s="158"/>
      <c r="C14" s="20" t="str">
        <f t="shared" si="0"/>
        <v>horaCierre</v>
      </c>
      <c r="D14" s="6"/>
      <c r="E14" s="6"/>
      <c r="F14" s="6"/>
      <c r="G14" s="6"/>
      <c r="H14" s="6"/>
      <c r="I14" s="6"/>
      <c r="J14" s="6"/>
      <c r="K14" s="6"/>
      <c r="L14" s="6"/>
      <c r="M14" s="6"/>
      <c r="N14" s="6"/>
      <c r="O14" s="6"/>
      <c r="P14" s="6"/>
      <c r="Q14" s="6"/>
      <c r="R14" s="6"/>
      <c r="S14" s="6"/>
      <c r="T14" s="6"/>
      <c r="U14" s="6"/>
    </row>
    <row r="15" spans="1:21" ht="15" customHeight="1" x14ac:dyDescent="0.3">
      <c r="A15" s="158"/>
      <c r="B15" s="158"/>
      <c r="C15" s="20" t="str">
        <f t="shared" si="0"/>
        <v>fechaCreacion</v>
      </c>
    </row>
    <row r="16" spans="1:21" ht="15" customHeight="1" x14ac:dyDescent="0.3">
      <c r="A16" s="158"/>
      <c r="B16" s="158"/>
      <c r="C16" s="20" t="str">
        <f t="shared" si="0"/>
        <v>fechaDesactivacion</v>
      </c>
    </row>
    <row r="17" spans="1:21" ht="15" customHeight="1" x14ac:dyDescent="0.3">
      <c r="A17" s="158"/>
      <c r="B17" s="158"/>
      <c r="C17" s="20" t="str">
        <f t="shared" si="0"/>
        <v>vigente</v>
      </c>
      <c r="D17" s="41"/>
      <c r="E17" s="41"/>
      <c r="F17" s="41"/>
      <c r="G17" s="41"/>
      <c r="H17" s="41"/>
      <c r="I17" s="41"/>
      <c r="J17" s="41"/>
      <c r="K17" s="41"/>
      <c r="L17" s="41"/>
      <c r="M17" s="41"/>
      <c r="N17" s="41"/>
      <c r="O17" s="41"/>
      <c r="P17" s="41"/>
      <c r="Q17" s="41"/>
      <c r="R17" s="41"/>
      <c r="S17" s="41"/>
      <c r="T17" s="41"/>
      <c r="U17" s="41"/>
    </row>
    <row r="18" spans="1:21" ht="15" customHeight="1" x14ac:dyDescent="0.3">
      <c r="A18" s="34"/>
      <c r="B18" s="34"/>
    </row>
    <row r="19" spans="1:21" ht="15" customHeight="1" x14ac:dyDescent="0.3">
      <c r="A19" s="34"/>
      <c r="B19" s="34"/>
    </row>
    <row r="20" spans="1:21" ht="15" customHeight="1" x14ac:dyDescent="0.3">
      <c r="A20" s="34"/>
      <c r="B20" s="34"/>
    </row>
    <row r="21" spans="1:21" ht="15" customHeight="1" x14ac:dyDescent="0.3">
      <c r="A21" s="34"/>
      <c r="B21" s="34"/>
    </row>
    <row r="23" spans="1:21" ht="15" customHeight="1" x14ac:dyDescent="0.3">
      <c r="A23" s="42"/>
      <c r="B23" s="42"/>
      <c r="C23" s="42"/>
    </row>
    <row r="24" spans="1:21" ht="15" customHeight="1" x14ac:dyDescent="0.3">
      <c r="A24" s="34"/>
      <c r="B24" s="34"/>
    </row>
  </sheetData>
  <mergeCells count="2">
    <mergeCell ref="A12:A17"/>
    <mergeCell ref="B12:B17"/>
  </mergeCells>
  <hyperlinks>
    <hyperlink ref="A1" location="'Modelo de Dominio'!A1" display="&lt;&lt;&lt;&lt; Ir al modulo de dominio" xr:uid="{00000000-0004-0000-1200-000000000000}"/>
    <hyperlink ref="B1" location="'Objetos de Dominio'!A1" display="&lt;&lt;&lt;&lt; Ir a objetos de dominio" xr:uid="{00000000-0004-0000-1200-000001000000}"/>
    <hyperlink ref="D4" location="'C-DiaSemana'!A1" display="DiaSemana" xr:uid="{00000000-0004-0000-1200-000002000000}"/>
  </hyperlink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topLeftCell="C1" zoomScale="130" zoomScaleNormal="130" workbookViewId="0">
      <selection activeCell="H12" sqref="H12"/>
    </sheetView>
  </sheetViews>
  <sheetFormatPr baseColWidth="10" defaultColWidth="10.6640625" defaultRowHeight="14.4" x14ac:dyDescent="0.3"/>
  <cols>
    <col min="1" max="1" width="27" customWidth="1"/>
    <col min="2" max="2" width="26.109375" customWidth="1"/>
    <col min="3" max="3" width="15.6640625" customWidth="1"/>
    <col min="4" max="4" width="17.44140625" customWidth="1"/>
    <col min="5" max="5" width="24.88671875" customWidth="1"/>
    <col min="6" max="6" width="38.6640625" customWidth="1"/>
    <col min="7" max="7" width="24.44140625" customWidth="1"/>
    <col min="8" max="8" width="38.44140625" customWidth="1"/>
  </cols>
  <sheetData>
    <row r="1" spans="1:8" ht="14.25" customHeight="1" x14ac:dyDescent="0.3">
      <c r="A1" s="5" t="s">
        <v>1</v>
      </c>
      <c r="B1" s="5" t="s">
        <v>41</v>
      </c>
    </row>
    <row r="2" spans="1:8" ht="42" customHeight="1" x14ac:dyDescent="0.3">
      <c r="A2" s="84" t="s">
        <v>75</v>
      </c>
      <c r="B2" s="84" t="s">
        <v>254</v>
      </c>
      <c r="C2" s="84" t="s">
        <v>255</v>
      </c>
      <c r="D2" s="84" t="s">
        <v>256</v>
      </c>
      <c r="E2" s="45" t="s">
        <v>257</v>
      </c>
      <c r="F2" s="45" t="s">
        <v>258</v>
      </c>
      <c r="G2" s="45" t="s">
        <v>259</v>
      </c>
      <c r="H2" s="84" t="s">
        <v>260</v>
      </c>
    </row>
    <row r="3" spans="1:8" ht="23.25" customHeight="1" x14ac:dyDescent="0.3">
      <c r="A3" s="23" t="s">
        <v>78</v>
      </c>
      <c r="B3" s="86" t="s">
        <v>261</v>
      </c>
      <c r="C3" s="91" t="s">
        <v>262</v>
      </c>
      <c r="D3" s="92" t="s">
        <v>263</v>
      </c>
      <c r="E3" s="93" t="s">
        <v>264</v>
      </c>
      <c r="F3" s="93" t="s">
        <v>265</v>
      </c>
      <c r="G3" s="87" t="s">
        <v>193</v>
      </c>
      <c r="H3" s="94" t="s">
        <v>166</v>
      </c>
    </row>
    <row r="4" spans="1:8" ht="14.25" customHeight="1" x14ac:dyDescent="0.3">
      <c r="A4" s="26">
        <v>1</v>
      </c>
      <c r="B4" s="95" t="str">
        <f>'M-DiaSemana'!C4</f>
        <v>Lunes</v>
      </c>
      <c r="C4" s="96">
        <v>0.375</v>
      </c>
      <c r="D4" s="96">
        <v>0.79166666666666696</v>
      </c>
      <c r="E4" s="171">
        <v>45242</v>
      </c>
      <c r="F4" s="96" t="s">
        <v>253</v>
      </c>
      <c r="G4" s="96" t="s">
        <v>63</v>
      </c>
      <c r="H4" s="26" t="str">
        <f>_xlfn.CONCAT(B4,"-",TEXT(C4,"hh:mm"),"-",TEXT(D4,"hh:mm"),"-",TEXT(E4,"dd/mm/yyyy"),"-",TEXT(F4,"dd/mm/yyyy"))</f>
        <v>Lunes-09:00-19:00-12/11/2023-1/01/1000</v>
      </c>
    </row>
    <row r="5" spans="1:8" ht="14.25" customHeight="1" x14ac:dyDescent="0.3">
      <c r="A5" s="26">
        <v>2</v>
      </c>
      <c r="B5" s="95" t="str">
        <f>'M-DiaSemana'!C5</f>
        <v>Martes</v>
      </c>
      <c r="C5" s="96">
        <v>0.375</v>
      </c>
      <c r="D5" s="96">
        <v>0.79166666666666696</v>
      </c>
      <c r="E5" s="171">
        <v>45242</v>
      </c>
      <c r="F5" s="96" t="s">
        <v>253</v>
      </c>
      <c r="G5" s="96" t="s">
        <v>63</v>
      </c>
      <c r="H5" s="26" t="str">
        <f t="shared" ref="H5:H10" si="0">_xlfn.CONCAT(B5,"-",TEXT(C5,"hh:mm"),"-",TEXT(D5,"hh:mm"),"-",TEXT(E5,"dd/mm/yyyy"),"-",TEXT(F5,"dd/mm/yyyy"))</f>
        <v>Martes-09:00-19:00-12/11/2023-1/01/1000</v>
      </c>
    </row>
    <row r="6" spans="1:8" ht="14.25" customHeight="1" x14ac:dyDescent="0.3">
      <c r="A6" s="26">
        <v>3</v>
      </c>
      <c r="B6" s="95" t="str">
        <f>'M-DiaSemana'!C6</f>
        <v>Miércoles</v>
      </c>
      <c r="C6" s="96">
        <v>0.375</v>
      </c>
      <c r="D6" s="96">
        <v>0.79166666666666696</v>
      </c>
      <c r="E6" s="171">
        <v>45242</v>
      </c>
      <c r="F6" s="96" t="s">
        <v>253</v>
      </c>
      <c r="G6" s="96" t="s">
        <v>63</v>
      </c>
      <c r="H6" s="26" t="str">
        <f t="shared" si="0"/>
        <v>Miércoles-09:00-19:00-12/11/2023-1/01/1000</v>
      </c>
    </row>
    <row r="7" spans="1:8" ht="14.25" customHeight="1" x14ac:dyDescent="0.3">
      <c r="A7" s="26">
        <v>4</v>
      </c>
      <c r="B7" s="95" t="str">
        <f>'M-DiaSemana'!C7</f>
        <v>Jueves</v>
      </c>
      <c r="C7" s="96">
        <v>0.375</v>
      </c>
      <c r="D7" s="96">
        <v>0.79166666666666696</v>
      </c>
      <c r="E7" s="171">
        <v>45242</v>
      </c>
      <c r="F7" s="96" t="s">
        <v>253</v>
      </c>
      <c r="G7" s="96" t="s">
        <v>63</v>
      </c>
      <c r="H7" s="26" t="str">
        <f t="shared" si="0"/>
        <v>Jueves-09:00-19:00-12/11/2023-1/01/1000</v>
      </c>
    </row>
    <row r="8" spans="1:8" ht="14.25" customHeight="1" x14ac:dyDescent="0.3">
      <c r="A8" s="26">
        <v>5</v>
      </c>
      <c r="B8" s="95" t="str">
        <f>'M-DiaSemana'!C8</f>
        <v>Viernes</v>
      </c>
      <c r="C8" s="96">
        <v>0.375</v>
      </c>
      <c r="D8" s="96">
        <v>0.79166666666666696</v>
      </c>
      <c r="E8" s="171">
        <v>45242</v>
      </c>
      <c r="F8" s="96" t="s">
        <v>253</v>
      </c>
      <c r="G8" s="96" t="s">
        <v>63</v>
      </c>
      <c r="H8" s="26" t="str">
        <f t="shared" si="0"/>
        <v>Viernes-09:00-19:00-12/11/2023-1/01/1000</v>
      </c>
    </row>
    <row r="9" spans="1:8" ht="14.25" customHeight="1" x14ac:dyDescent="0.3">
      <c r="A9" s="26">
        <v>6</v>
      </c>
      <c r="B9" s="95" t="str">
        <f>'M-DiaSemana'!C9</f>
        <v>Sábado</v>
      </c>
      <c r="C9" s="98">
        <v>0.33333333333333298</v>
      </c>
      <c r="D9" s="96">
        <v>0.875</v>
      </c>
      <c r="E9" s="171">
        <v>45638</v>
      </c>
      <c r="F9" s="96" t="s">
        <v>253</v>
      </c>
      <c r="G9" s="96" t="s">
        <v>63</v>
      </c>
      <c r="H9" s="26" t="str">
        <f t="shared" si="0"/>
        <v>Sábado-08:00-21:00-12/12/2024-1/01/1000</v>
      </c>
    </row>
    <row r="10" spans="1:8" ht="14.25" customHeight="1" x14ac:dyDescent="0.3">
      <c r="A10" s="26">
        <v>7</v>
      </c>
      <c r="B10" s="95" t="str">
        <f>'M-DiaSemana'!C11</f>
        <v>Festivo</v>
      </c>
      <c r="C10" s="96">
        <v>0.41666666666666702</v>
      </c>
      <c r="D10" s="96">
        <v>0.625</v>
      </c>
      <c r="E10" s="171">
        <v>45638</v>
      </c>
      <c r="F10" s="96" t="s">
        <v>253</v>
      </c>
      <c r="G10" s="96" t="s">
        <v>63</v>
      </c>
      <c r="H10" s="26" t="str">
        <f t="shared" si="0"/>
        <v>Festivo-10:00-15:00-12/12/2024-1/01/1000</v>
      </c>
    </row>
    <row r="16" spans="1:8" ht="28.5" customHeight="1" x14ac:dyDescent="0.3">
      <c r="A16" s="29"/>
      <c r="B16" s="30" t="s">
        <v>88</v>
      </c>
    </row>
    <row r="17" spans="1:2" ht="28.5" customHeight="1" x14ac:dyDescent="0.3">
      <c r="A17" s="31"/>
      <c r="B17" s="30" t="s">
        <v>89</v>
      </c>
    </row>
    <row r="18" spans="1:2" ht="28.5" customHeight="1" x14ac:dyDescent="0.3">
      <c r="A18" s="55"/>
      <c r="B18" s="30" t="s">
        <v>212</v>
      </c>
    </row>
    <row r="19" spans="1:2" ht="28.5" customHeight="1" x14ac:dyDescent="0.3">
      <c r="A19" s="99"/>
      <c r="B19" s="30" t="s">
        <v>266</v>
      </c>
    </row>
    <row r="20" spans="1:2" ht="28.5" customHeight="1" x14ac:dyDescent="0.3">
      <c r="A20" s="100"/>
      <c r="B20" s="30" t="s">
        <v>248</v>
      </c>
    </row>
    <row r="21" spans="1:2" ht="28.5" customHeight="1" x14ac:dyDescent="0.3">
      <c r="A21" s="101"/>
      <c r="B21" s="30" t="s">
        <v>267</v>
      </c>
    </row>
    <row r="22" spans="1:2" ht="28.5" customHeight="1" x14ac:dyDescent="0.3">
      <c r="A22" s="33"/>
      <c r="B22" s="30" t="s">
        <v>91</v>
      </c>
    </row>
  </sheetData>
  <hyperlinks>
    <hyperlink ref="A1" location="'Modelo de Dominio'!A1" display="&lt;&lt;&lt;&lt; Ir al modulo de dominio" xr:uid="{00000000-0004-0000-1300-000000000000}"/>
    <hyperlink ref="B1" location="'Objetos de Dominio'!A1" display="&lt;&lt;&lt;&lt; Ir a objetos de dominio" xr:uid="{00000000-0004-0000-1300-000001000000}"/>
    <hyperlink ref="B3" location="'M-DiaSemana'!A1" display="diaDeLaSemana" xr:uid="{00000000-0004-0000-1300-000002000000}"/>
    <hyperlink ref="B4" location="'M-DiaSemana'!A4" display="#'M-DiaSemana'.A4" xr:uid="{00000000-0004-0000-1300-000003000000}"/>
    <hyperlink ref="B5" location="'M-DiaSemana'!A5" display="#'M-DiaSemana'.A5" xr:uid="{00000000-0004-0000-1300-000004000000}"/>
    <hyperlink ref="B6" location="'M-DiaSemana'!A6" display="#'M-DiaSemana'.A6" xr:uid="{00000000-0004-0000-1300-000005000000}"/>
    <hyperlink ref="B7" location="'M-DiaSemana'!A7" display="#'M-DiaSemana'.A7" xr:uid="{00000000-0004-0000-1300-000006000000}"/>
    <hyperlink ref="B8" location="'M-DiaSemana'!A8" display="#'M-DiaSemana'.A8" xr:uid="{00000000-0004-0000-1300-000007000000}"/>
    <hyperlink ref="B9" location="'M-DiaSemana'!A9" display="#'M-DiaSemana'.A9" xr:uid="{00000000-0004-0000-1300-000008000000}"/>
    <hyperlink ref="B10" location="'M-DiaSemana'!A11" display="#'M-DiaSemana'.A11" xr:uid="{00000000-0004-0000-1300-000009000000}"/>
  </hyperlinks>
  <pageMargins left="0.7" right="0.7" top="0.75" bottom="0.75"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3"/>
  <sheetViews>
    <sheetView zoomScaleNormal="100" workbookViewId="0">
      <selection activeCell="E10" sqref="E10"/>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12" width="18" customWidth="1"/>
    <col min="13" max="13" width="40" customWidth="1"/>
    <col min="14" max="21" width="18" customWidth="1"/>
  </cols>
  <sheetData>
    <row r="1" spans="1:21" ht="15" customHeight="1" x14ac:dyDescent="0.3">
      <c r="A1" s="5" t="s">
        <v>1</v>
      </c>
      <c r="B1" s="5" t="s">
        <v>41</v>
      </c>
    </row>
    <row r="2" spans="1:2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45" customHeight="1" x14ac:dyDescent="0.3">
      <c r="A3" s="103" t="str">
        <f>'M-BarberoServicio'!A3</f>
        <v>id</v>
      </c>
      <c r="B3" s="104" t="str">
        <f>'M-BarberoServicio'!A2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3" t="s">
        <v>65</v>
      </c>
      <c r="N3" s="103" t="s">
        <v>66</v>
      </c>
      <c r="O3" s="103" t="s">
        <v>65</v>
      </c>
      <c r="P3" s="103" t="s">
        <v>65</v>
      </c>
      <c r="Q3" s="103" t="s">
        <v>65</v>
      </c>
      <c r="R3" s="103" t="s">
        <v>65</v>
      </c>
      <c r="S3" s="103" t="s">
        <v>66</v>
      </c>
      <c r="T3" s="103" t="s">
        <v>67</v>
      </c>
      <c r="U3" s="103" t="s">
        <v>63</v>
      </c>
    </row>
    <row r="4" spans="1:21" ht="27.75" customHeight="1" x14ac:dyDescent="0.3">
      <c r="A4" s="103" t="str">
        <f>'M-BarberoServicio'!B3</f>
        <v>barbero</v>
      </c>
      <c r="B4" s="104" t="str">
        <f>'M-BarberoServicio'!B2</f>
        <v>Representa el nombre y apellidos del barbero</v>
      </c>
      <c r="C4" s="103" t="s">
        <v>66</v>
      </c>
      <c r="D4" s="105" t="s">
        <v>21</v>
      </c>
      <c r="E4" s="103" t="s">
        <v>63</v>
      </c>
      <c r="F4" s="103" t="s">
        <v>65</v>
      </c>
      <c r="G4" s="103" t="s">
        <v>65</v>
      </c>
      <c r="H4" s="103" t="s">
        <v>65</v>
      </c>
      <c r="I4" s="103" t="s">
        <v>65</v>
      </c>
      <c r="J4" s="103" t="s">
        <v>65</v>
      </c>
      <c r="K4" s="103" t="s">
        <v>65</v>
      </c>
      <c r="L4" s="103" t="s">
        <v>65</v>
      </c>
      <c r="M4" s="18" t="s">
        <v>216</v>
      </c>
      <c r="N4" s="103" t="s">
        <v>66</v>
      </c>
      <c r="O4" s="103" t="s">
        <v>65</v>
      </c>
      <c r="P4" s="103" t="s">
        <v>65</v>
      </c>
      <c r="Q4" s="103" t="s">
        <v>65</v>
      </c>
      <c r="R4" s="103" t="s">
        <v>65</v>
      </c>
      <c r="S4" s="103" t="s">
        <v>66</v>
      </c>
      <c r="T4" s="103" t="s">
        <v>67</v>
      </c>
      <c r="U4" s="103" t="s">
        <v>66</v>
      </c>
    </row>
    <row r="5" spans="1:21" ht="27.75" customHeight="1" x14ac:dyDescent="0.3">
      <c r="A5" s="103" t="str">
        <f>'M-BarberoServicio'!C3</f>
        <v>servicio</v>
      </c>
      <c r="B5" s="104" t="str">
        <f>'M-BarberoServicio'!C2</f>
        <v xml:space="preserve">Representa el nombre del servicio de la barberia </v>
      </c>
      <c r="C5" s="103" t="s">
        <v>66</v>
      </c>
      <c r="D5" s="105" t="s">
        <v>13</v>
      </c>
      <c r="E5" s="103" t="s">
        <v>63</v>
      </c>
      <c r="F5" s="103" t="s">
        <v>65</v>
      </c>
      <c r="G5" s="103" t="s">
        <v>65</v>
      </c>
      <c r="H5" s="103" t="s">
        <v>65</v>
      </c>
      <c r="I5" s="103" t="s">
        <v>65</v>
      </c>
      <c r="J5" s="103" t="s">
        <v>65</v>
      </c>
      <c r="K5" s="103" t="s">
        <v>65</v>
      </c>
      <c r="L5" s="103" t="s">
        <v>65</v>
      </c>
      <c r="M5" s="18" t="s">
        <v>216</v>
      </c>
      <c r="N5" s="103" t="s">
        <v>66</v>
      </c>
      <c r="O5" s="103" t="s">
        <v>65</v>
      </c>
      <c r="P5" s="103" t="s">
        <v>65</v>
      </c>
      <c r="Q5" s="103" t="s">
        <v>65</v>
      </c>
      <c r="R5" s="103" t="s">
        <v>65</v>
      </c>
      <c r="S5" s="103" t="s">
        <v>66</v>
      </c>
      <c r="T5" s="103" t="s">
        <v>67</v>
      </c>
      <c r="U5" s="103" t="s">
        <v>66</v>
      </c>
    </row>
    <row r="6" spans="1:21" ht="60" customHeight="1" x14ac:dyDescent="0.3">
      <c r="A6" s="103" t="str">
        <f>'M-BarberoServicio'!D3</f>
        <v>duracionEnHoras</v>
      </c>
      <c r="B6" s="104" t="str">
        <f>'M-BarberoServicio'!D2</f>
        <v>Representa la cantidad de horas que un barbero tarda en realizar un servicio, esta duracion el barbero debe de ser consiente de cuanto se demora en realizarlo</v>
      </c>
      <c r="C6" s="103" t="s">
        <v>66</v>
      </c>
      <c r="D6" s="106" t="s">
        <v>113</v>
      </c>
      <c r="E6" s="103" t="s">
        <v>66</v>
      </c>
      <c r="F6" s="103" t="s">
        <v>65</v>
      </c>
      <c r="G6" s="103" t="s">
        <v>65</v>
      </c>
      <c r="H6" s="103" t="s">
        <v>65</v>
      </c>
      <c r="I6" s="103" t="s">
        <v>65</v>
      </c>
      <c r="J6" s="103">
        <v>0</v>
      </c>
      <c r="K6" s="103">
        <v>3</v>
      </c>
      <c r="L6" s="103" t="s">
        <v>65</v>
      </c>
      <c r="M6" s="103" t="s">
        <v>65</v>
      </c>
      <c r="N6" s="103" t="s">
        <v>66</v>
      </c>
      <c r="O6" s="103" t="s">
        <v>65</v>
      </c>
      <c r="P6" s="103" t="s">
        <v>65</v>
      </c>
      <c r="Q6" s="103" t="s">
        <v>65</v>
      </c>
      <c r="R6" s="103" t="s">
        <v>65</v>
      </c>
      <c r="S6" s="103" t="s">
        <v>66</v>
      </c>
      <c r="T6" s="107">
        <v>0</v>
      </c>
      <c r="U6" s="103" t="s">
        <v>66</v>
      </c>
    </row>
    <row r="7" spans="1:21" ht="60" customHeight="1" x14ac:dyDescent="0.3">
      <c r="A7" s="103" t="str">
        <f>'M-BarberoServicio'!E3</f>
        <v>duracionEnMinutos</v>
      </c>
      <c r="B7" s="104" t="str">
        <f>'M-BarberoServicio'!E2</f>
        <v>Representa la cantidad de minutos que un barbero tarda en realizar un servicio, esta duracion el barbero debe de ser consiente de cuanto se demora en realizarlo</v>
      </c>
      <c r="C7" s="103" t="s">
        <v>66</v>
      </c>
      <c r="D7" s="103" t="s">
        <v>113</v>
      </c>
      <c r="E7" s="103" t="s">
        <v>66</v>
      </c>
      <c r="F7" s="103" t="s">
        <v>65</v>
      </c>
      <c r="G7" s="103" t="s">
        <v>65</v>
      </c>
      <c r="H7" s="103" t="s">
        <v>65</v>
      </c>
      <c r="I7" s="103" t="s">
        <v>65</v>
      </c>
      <c r="J7" s="103">
        <v>0</v>
      </c>
      <c r="K7" s="103">
        <v>59</v>
      </c>
      <c r="L7" s="103" t="s">
        <v>65</v>
      </c>
      <c r="M7" s="103" t="s">
        <v>65</v>
      </c>
      <c r="N7" s="103" t="s">
        <v>66</v>
      </c>
      <c r="O7" s="103" t="s">
        <v>65</v>
      </c>
      <c r="P7" s="103" t="s">
        <v>65</v>
      </c>
      <c r="Q7" s="103" t="s">
        <v>65</v>
      </c>
      <c r="R7" s="103" t="s">
        <v>65</v>
      </c>
      <c r="S7" s="103" t="s">
        <v>66</v>
      </c>
      <c r="T7" s="103" t="s">
        <v>176</v>
      </c>
      <c r="U7" s="103" t="s">
        <v>66</v>
      </c>
    </row>
    <row r="8" spans="1:21" ht="90" customHeight="1" x14ac:dyDescent="0.3">
      <c r="A8" s="103" t="str">
        <f>'M-BarberoServicio'!F3</f>
        <v>tiempoExtra</v>
      </c>
      <c r="B8" s="104" t="str">
        <f>'M-BarberoServicio'!F2</f>
        <v>Representa la cantidad de minutos que un barbero pone de tiempo extra en las citas de su agenda, cada barbero usa este tiempo porque hay ocaciones que la cita se puede demorar más de lo previsto. Este tiempo les ayuda a evitar que se les retrase la agenda</v>
      </c>
      <c r="C8" s="103" t="s">
        <v>66</v>
      </c>
      <c r="D8" s="103" t="s">
        <v>113</v>
      </c>
      <c r="E8" s="103" t="s">
        <v>66</v>
      </c>
      <c r="F8" s="103" t="s">
        <v>65</v>
      </c>
      <c r="G8" s="103" t="s">
        <v>65</v>
      </c>
      <c r="H8" s="103" t="s">
        <v>65</v>
      </c>
      <c r="I8" s="103" t="s">
        <v>65</v>
      </c>
      <c r="J8" s="103">
        <v>0</v>
      </c>
      <c r="K8" s="103">
        <v>59</v>
      </c>
      <c r="L8" s="103" t="s">
        <v>65</v>
      </c>
      <c r="M8" s="103" t="s">
        <v>65</v>
      </c>
      <c r="N8" s="103" t="s">
        <v>66</v>
      </c>
      <c r="O8" s="103" t="s">
        <v>65</v>
      </c>
      <c r="P8" s="103" t="s">
        <v>65</v>
      </c>
      <c r="Q8" s="103" t="s">
        <v>65</v>
      </c>
      <c r="R8" s="103" t="s">
        <v>65</v>
      </c>
      <c r="S8" s="103" t="s">
        <v>66</v>
      </c>
      <c r="T8" s="103" t="s">
        <v>176</v>
      </c>
      <c r="U8" s="103" t="s">
        <v>66</v>
      </c>
    </row>
    <row r="9" spans="1:21" ht="30" customHeight="1" x14ac:dyDescent="0.3">
      <c r="A9" s="103" t="str">
        <f>'M-BarberoServicio'!G3</f>
        <v>vigente</v>
      </c>
      <c r="B9" s="104" t="str">
        <f>'M-BarberoServicio'!G2</f>
        <v>Representa si el barbero sigue o no presentando el servicio en la barbería</v>
      </c>
      <c r="C9" s="103" t="s">
        <v>66</v>
      </c>
      <c r="D9" s="103" t="s">
        <v>114</v>
      </c>
      <c r="E9" s="103" t="s">
        <v>66</v>
      </c>
      <c r="F9" s="103" t="s">
        <v>65</v>
      </c>
      <c r="G9" s="103" t="s">
        <v>65</v>
      </c>
      <c r="H9" s="103" t="s">
        <v>65</v>
      </c>
      <c r="I9" s="103" t="s">
        <v>65</v>
      </c>
      <c r="J9" s="103" t="s">
        <v>65</v>
      </c>
      <c r="K9" s="103" t="s">
        <v>65</v>
      </c>
      <c r="L9" s="103" t="s">
        <v>65</v>
      </c>
      <c r="M9" s="103" t="s">
        <v>65</v>
      </c>
      <c r="N9" s="103" t="s">
        <v>66</v>
      </c>
      <c r="O9" s="103" t="s">
        <v>65</v>
      </c>
      <c r="P9" s="103" t="s">
        <v>65</v>
      </c>
      <c r="Q9" s="103" t="s">
        <v>65</v>
      </c>
      <c r="R9" s="103" t="s">
        <v>65</v>
      </c>
      <c r="S9" s="103" t="s">
        <v>66</v>
      </c>
      <c r="T9" s="103" t="s">
        <v>63</v>
      </c>
      <c r="U9" s="103" t="s">
        <v>66</v>
      </c>
    </row>
    <row r="10" spans="1:21" ht="15" customHeight="1" x14ac:dyDescent="0.3"/>
    <row r="11" spans="1:21" ht="15" customHeight="1" x14ac:dyDescent="0.3">
      <c r="A11" s="19" t="s">
        <v>71</v>
      </c>
      <c r="B11" s="19" t="s">
        <v>72</v>
      </c>
      <c r="C11" s="19" t="s">
        <v>73</v>
      </c>
    </row>
    <row r="12" spans="1:21" ht="15" customHeight="1" x14ac:dyDescent="0.3">
      <c r="A12" s="158" t="str">
        <f>'M-BarberoServicio'!H3</f>
        <v>Combinación única</v>
      </c>
      <c r="B12" s="159" t="str">
        <f>'M-BarberoServicio'!H2</f>
        <v>Combinación única que indica que un mismo barbero no puede aparecer dos veces ofreciendo el mismo servicio</v>
      </c>
      <c r="C12" s="2" t="s">
        <v>268</v>
      </c>
    </row>
    <row r="13" spans="1:21" ht="15" customHeight="1" x14ac:dyDescent="0.3">
      <c r="A13" s="158"/>
      <c r="B13" s="158"/>
      <c r="C13" s="2" t="s">
        <v>269</v>
      </c>
    </row>
  </sheetData>
  <mergeCells count="2">
    <mergeCell ref="A12:A13"/>
    <mergeCell ref="B12:B13"/>
  </mergeCells>
  <hyperlinks>
    <hyperlink ref="A1" location="'Modelo de Dominio'!A1" display="&lt;&lt;&lt;&lt; Ir al modulo de dominio" xr:uid="{00000000-0004-0000-1400-000000000000}"/>
    <hyperlink ref="B1" location="'Objetos de Dominio'!A1" display="&lt;&lt;&lt;&lt; Ir a objetos de dominio" xr:uid="{00000000-0004-0000-1400-000001000000}"/>
    <hyperlink ref="D4" location="'C-Barbero'!A1" display="Barbero" xr:uid="{00000000-0004-0000-1400-000002000000}"/>
    <hyperlink ref="D5" location="'C-Servicio'!A1" display="Servicio" xr:uid="{00000000-0004-0000-1400-000003000000}"/>
  </hyperlink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2"/>
  <sheetViews>
    <sheetView zoomScale="130" zoomScaleNormal="130" workbookViewId="0"/>
  </sheetViews>
  <sheetFormatPr baseColWidth="10" defaultColWidth="10.6640625" defaultRowHeight="14.4" x14ac:dyDescent="0.3"/>
  <cols>
    <col min="1" max="1" width="27" customWidth="1"/>
    <col min="2" max="2" width="26.109375" customWidth="1"/>
    <col min="3" max="3" width="42" customWidth="1"/>
    <col min="4" max="4" width="42" style="65" customWidth="1"/>
    <col min="5" max="5" width="40.33203125" customWidth="1"/>
    <col min="6" max="7" width="35.6640625" customWidth="1"/>
    <col min="8" max="8" width="56.88671875" customWidth="1"/>
  </cols>
  <sheetData>
    <row r="1" spans="1:8" ht="14.25" customHeight="1" x14ac:dyDescent="0.3">
      <c r="A1" s="5" t="s">
        <v>1</v>
      </c>
      <c r="B1" s="5" t="s">
        <v>41</v>
      </c>
    </row>
    <row r="2" spans="1:8" ht="51.75" customHeight="1" x14ac:dyDescent="0.3">
      <c r="A2" s="45" t="s">
        <v>75</v>
      </c>
      <c r="B2" s="108" t="s">
        <v>270</v>
      </c>
      <c r="C2" s="45" t="s">
        <v>271</v>
      </c>
      <c r="D2" s="45" t="s">
        <v>272</v>
      </c>
      <c r="E2" s="45" t="s">
        <v>273</v>
      </c>
      <c r="F2" s="45" t="s">
        <v>274</v>
      </c>
      <c r="G2" s="45" t="s">
        <v>275</v>
      </c>
      <c r="H2" s="46" t="s">
        <v>276</v>
      </c>
    </row>
    <row r="3" spans="1:8" ht="14.25" customHeight="1" x14ac:dyDescent="0.3">
      <c r="A3" s="71" t="s">
        <v>78</v>
      </c>
      <c r="B3" s="109" t="s">
        <v>268</v>
      </c>
      <c r="C3" s="109" t="s">
        <v>269</v>
      </c>
      <c r="D3" s="110" t="s">
        <v>277</v>
      </c>
      <c r="E3" s="110" t="s">
        <v>278</v>
      </c>
      <c r="F3" s="110" t="s">
        <v>279</v>
      </c>
      <c r="G3" s="87" t="s">
        <v>193</v>
      </c>
      <c r="H3" s="111" t="s">
        <v>166</v>
      </c>
    </row>
    <row r="4" spans="1:8" ht="14.25" customHeight="1" x14ac:dyDescent="0.3">
      <c r="A4" s="26">
        <v>1</v>
      </c>
      <c r="B4" s="83" t="str">
        <f>_xlfn.CONCAT('M-Barbero'!B4," ",'M-Barbero'!D4)</f>
        <v>Juan García</v>
      </c>
      <c r="C4" s="83" t="str">
        <f>'M-Servicio'!B4</f>
        <v>Motilada</v>
      </c>
      <c r="D4" s="112">
        <v>0</v>
      </c>
      <c r="E4" s="112">
        <v>45</v>
      </c>
      <c r="F4" s="112">
        <v>15</v>
      </c>
      <c r="G4" s="112" t="s">
        <v>125</v>
      </c>
      <c r="H4" s="26" t="str">
        <f t="shared" ref="H4:H12" si="0">_xlfn.CONCAT(B4,"-",C4)</f>
        <v>Juan García-Motilada</v>
      </c>
    </row>
    <row r="5" spans="1:8" ht="14.25" customHeight="1" x14ac:dyDescent="0.3">
      <c r="A5" s="26">
        <v>2</v>
      </c>
      <c r="B5" s="83" t="str">
        <f>_xlfn.CONCAT('M-Barbero'!B5," ",'M-Barbero'!D5)</f>
        <v>Juan Ortiz</v>
      </c>
      <c r="C5" s="83" t="str">
        <f>'M-Servicio'!B5</f>
        <v>Corte de barba</v>
      </c>
      <c r="D5" s="112">
        <v>0</v>
      </c>
      <c r="E5" s="112">
        <v>10</v>
      </c>
      <c r="F5" s="112">
        <v>5</v>
      </c>
      <c r="G5" s="112" t="s">
        <v>125</v>
      </c>
      <c r="H5" s="26" t="str">
        <f t="shared" si="0"/>
        <v>Juan Ortiz-Corte de barba</v>
      </c>
    </row>
    <row r="6" spans="1:8" ht="14.25" customHeight="1" x14ac:dyDescent="0.3">
      <c r="A6" s="26">
        <v>3</v>
      </c>
      <c r="B6" s="83" t="str">
        <f>_xlfn.CONCAT('M-Barbero'!B6," ",'M-Barbero'!D6)</f>
        <v>Carlos Arbeladez</v>
      </c>
      <c r="C6" s="83" t="str">
        <f>'M-Servicio'!B6</f>
        <v>Perfilada de barba</v>
      </c>
      <c r="D6" s="112">
        <v>0</v>
      </c>
      <c r="E6" s="112">
        <v>15</v>
      </c>
      <c r="F6" s="112">
        <v>5</v>
      </c>
      <c r="G6" s="112" t="s">
        <v>125</v>
      </c>
      <c r="H6" s="26" t="str">
        <f t="shared" si="0"/>
        <v>Carlos Arbeladez-Perfilada de barba</v>
      </c>
    </row>
    <row r="7" spans="1:8" ht="14.25" customHeight="1" x14ac:dyDescent="0.3">
      <c r="A7" s="26">
        <v>4</v>
      </c>
      <c r="B7" s="83" t="str">
        <f>_xlfn.CONCAT('M-Barbero'!B7," ",'M-Barbero'!D7)</f>
        <v>Andres Ramirez</v>
      </c>
      <c r="C7" s="83" t="str">
        <f>'M-Servicio'!B7</f>
        <v>Arreglo completo de barba con toalla caliente</v>
      </c>
      <c r="D7" s="112">
        <v>0</v>
      </c>
      <c r="E7" s="112">
        <v>40</v>
      </c>
      <c r="F7" s="112">
        <v>10</v>
      </c>
      <c r="G7" s="112" t="s">
        <v>125</v>
      </c>
      <c r="H7" s="26" t="str">
        <f t="shared" si="0"/>
        <v>Andres Ramirez-Arreglo completo de barba con toalla caliente</v>
      </c>
    </row>
    <row r="8" spans="1:8" ht="14.25" customHeight="1" x14ac:dyDescent="0.3">
      <c r="A8" s="26">
        <v>5</v>
      </c>
      <c r="B8" s="83" t="str">
        <f>_xlfn.CONCAT('M-Barbero'!B5," ",'M-Barbero'!D5)</f>
        <v>Juan Ortiz</v>
      </c>
      <c r="C8" s="83" t="str">
        <f>'M-Servicio'!B4</f>
        <v>Motilada</v>
      </c>
      <c r="D8" s="112">
        <v>0</v>
      </c>
      <c r="E8" s="112">
        <v>40</v>
      </c>
      <c r="F8" s="112">
        <v>10</v>
      </c>
      <c r="G8" s="112" t="s">
        <v>125</v>
      </c>
      <c r="H8" s="26" t="str">
        <f t="shared" si="0"/>
        <v>Juan Ortiz-Motilada</v>
      </c>
    </row>
    <row r="9" spans="1:8" ht="14.25" customHeight="1" x14ac:dyDescent="0.3">
      <c r="A9" s="26">
        <v>6</v>
      </c>
      <c r="B9" s="83" t="str">
        <f>_xlfn.CONCAT('M-Barbero'!B6," ",'M-Barbero'!D6)</f>
        <v>Carlos Arbeladez</v>
      </c>
      <c r="C9" s="83" t="str">
        <f>'M-Servicio'!B5</f>
        <v>Corte de barba</v>
      </c>
      <c r="D9" s="112">
        <v>0</v>
      </c>
      <c r="E9" s="112">
        <v>15</v>
      </c>
      <c r="F9" s="112">
        <v>5</v>
      </c>
      <c r="G9" s="112" t="s">
        <v>125</v>
      </c>
      <c r="H9" s="26" t="str">
        <f t="shared" si="0"/>
        <v>Carlos Arbeladez-Corte de barba</v>
      </c>
    </row>
    <row r="10" spans="1:8" ht="14.25" customHeight="1" x14ac:dyDescent="0.3">
      <c r="A10" s="26">
        <v>7</v>
      </c>
      <c r="B10" s="83" t="str">
        <f>_xlfn.CONCAT('M-Barbero'!B4," ",'M-Barbero'!D4)</f>
        <v>Juan García</v>
      </c>
      <c r="C10" s="83" t="str">
        <f>'M-Servicio'!B6</f>
        <v>Perfilada de barba</v>
      </c>
      <c r="D10" s="112">
        <v>0</v>
      </c>
      <c r="E10" s="112">
        <v>20</v>
      </c>
      <c r="F10" s="112">
        <v>5</v>
      </c>
      <c r="G10" s="112" t="s">
        <v>125</v>
      </c>
      <c r="H10" s="26" t="str">
        <f t="shared" si="0"/>
        <v>Juan García-Perfilada de barba</v>
      </c>
    </row>
    <row r="11" spans="1:8" ht="14.25" customHeight="1" x14ac:dyDescent="0.3">
      <c r="A11" s="26">
        <v>8</v>
      </c>
      <c r="B11" s="83" t="str">
        <f>_xlfn.CONCAT('M-Barbero'!B7," ",'M-Barbero'!D7)</f>
        <v>Andres Ramirez</v>
      </c>
      <c r="C11" s="83" t="str">
        <f>'M-Servicio'!B4</f>
        <v>Motilada</v>
      </c>
      <c r="D11" s="112">
        <v>0</v>
      </c>
      <c r="E11" s="112">
        <v>50</v>
      </c>
      <c r="F11" s="112">
        <v>15</v>
      </c>
      <c r="G11" s="112" t="s">
        <v>125</v>
      </c>
      <c r="H11" s="26" t="str">
        <f t="shared" si="0"/>
        <v>Andres Ramirez-Motilada</v>
      </c>
    </row>
    <row r="12" spans="1:8" ht="14.25" customHeight="1" x14ac:dyDescent="0.3">
      <c r="A12" s="26">
        <v>9</v>
      </c>
      <c r="B12" s="83" t="str">
        <f>_xlfn.CONCAT('M-Barbero'!B8," ",'M-Barbero'!D8)</f>
        <v>Juan Zambrano</v>
      </c>
      <c r="C12" s="83" t="str">
        <f>'M-Servicio'!B5</f>
        <v>Corte de barba</v>
      </c>
      <c r="D12" s="112">
        <v>0</v>
      </c>
      <c r="E12" s="112">
        <v>12</v>
      </c>
      <c r="F12" s="112">
        <v>5</v>
      </c>
      <c r="G12" s="112" t="s">
        <v>125</v>
      </c>
      <c r="H12" s="26" t="str">
        <f t="shared" si="0"/>
        <v>Juan Zambrano-Corte de barba</v>
      </c>
    </row>
  </sheetData>
  <hyperlinks>
    <hyperlink ref="A1" location="'Modelo de Dominio'!A1" display="&lt;&lt;&lt;&lt; Ir al modulo de dominio" xr:uid="{00000000-0004-0000-1500-000000000000}"/>
    <hyperlink ref="B1" location="'Objetos de Dominio'!A1" display="&lt;&lt;&lt;&lt; Ir a objetos de dominio" xr:uid="{00000000-0004-0000-1500-000001000000}"/>
    <hyperlink ref="B3" location="'M-Barbero'!A1" display="barbero" xr:uid="{00000000-0004-0000-1500-000002000000}"/>
    <hyperlink ref="C3" location="'M-Servicio'!A1" display="servicio" xr:uid="{00000000-0004-0000-1500-000003000000}"/>
    <hyperlink ref="B4" location="'M-Barbero'!A4" display="#'M-Barbero'.A4" xr:uid="{00000000-0004-0000-1500-000004000000}"/>
    <hyperlink ref="C4" location="'M-Servicio'!A4" display="#'M-Servicio'.A4" xr:uid="{00000000-0004-0000-1500-000005000000}"/>
    <hyperlink ref="B5" location="'M-Barbero'!A5" display="#'M-Barbero'.A5" xr:uid="{00000000-0004-0000-1500-000006000000}"/>
    <hyperlink ref="C5" location="'M-Servicio'!A5" display="#'M-Servicio'.A5" xr:uid="{00000000-0004-0000-1500-000007000000}"/>
    <hyperlink ref="B6" location="'M-Barbero'!A6" display="#'M-Barbero'.A6" xr:uid="{00000000-0004-0000-1500-000008000000}"/>
    <hyperlink ref="C6" location="'M-Servicio'!A6" display="#'M-Servicio'.A6" xr:uid="{00000000-0004-0000-1500-000009000000}"/>
    <hyperlink ref="B7" location="'M-Barbero'!A7" display="#'M-Barbero'.A7" xr:uid="{00000000-0004-0000-1500-00000A000000}"/>
    <hyperlink ref="C7" location="'M-Servicio'!A7" display="#'M-Servicio'.A7" xr:uid="{00000000-0004-0000-1500-00000B000000}"/>
    <hyperlink ref="B8" location="'M-Barbero'!A5" display="#'M-Barbero'.A5" xr:uid="{00000000-0004-0000-1500-00000C000000}"/>
    <hyperlink ref="C8" location="'M-Servicio'!A4" display="#'M-Servicio'.A4" xr:uid="{00000000-0004-0000-1500-00000D000000}"/>
    <hyperlink ref="B9" location="'M-Barbero'!A6" display="#'M-Barbero'.A6" xr:uid="{00000000-0004-0000-1500-00000E000000}"/>
    <hyperlink ref="C9" location="'M-Servicio'!A5" display="#'M-Servicio'.A5" xr:uid="{00000000-0004-0000-1500-00000F000000}"/>
    <hyperlink ref="B10" location="'M-Barbero'!A4" display="#'M-Barbero'.A4" xr:uid="{00000000-0004-0000-1500-000010000000}"/>
    <hyperlink ref="C10" location="'M-Servicio'!A6" display="#'M-Servicio'.A6" xr:uid="{00000000-0004-0000-1500-000011000000}"/>
    <hyperlink ref="B11" location="'M-Barbero'!A7" display="#'M-Barbero'.A7" xr:uid="{00000000-0004-0000-1500-000012000000}"/>
    <hyperlink ref="C11" location="'M-Servicio'!A4" display="#'M-Servicio'.A4" xr:uid="{00000000-0004-0000-1500-000013000000}"/>
    <hyperlink ref="B12" location="'M-Barbero'!A8" display="#'M-Barbero'.A8" xr:uid="{00000000-0004-0000-1500-000014000000}"/>
    <hyperlink ref="C12" location="'M-Servicio'!A5" display="#'M-Servicio'.A5" xr:uid="{00000000-0004-0000-1500-000015000000}"/>
  </hyperlinks>
  <pageMargins left="0.7" right="0.7" top="0.75" bottom="0.75"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17"/>
  <sheetViews>
    <sheetView zoomScaleNormal="100" workbookViewId="0">
      <selection activeCell="B1" sqref="B1"/>
    </sheetView>
  </sheetViews>
  <sheetFormatPr baseColWidth="10" defaultColWidth="8.6640625" defaultRowHeight="14.4" x14ac:dyDescent="0.3"/>
  <cols>
    <col min="1" max="1" width="26.6640625" customWidth="1"/>
    <col min="2" max="2" width="51.88671875" customWidth="1"/>
    <col min="3" max="3" width="43" customWidth="1"/>
    <col min="4" max="4" width="25" customWidth="1"/>
    <col min="5" max="12" width="18" customWidth="1"/>
    <col min="13" max="13" width="40" customWidth="1"/>
    <col min="14" max="21" width="18" customWidth="1"/>
  </cols>
  <sheetData>
    <row r="1" spans="1:21" ht="15" customHeight="1" x14ac:dyDescent="0.3">
      <c r="A1" s="5" t="s">
        <v>1</v>
      </c>
      <c r="B1" s="5" t="s">
        <v>41</v>
      </c>
    </row>
    <row r="2" spans="1:2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30" customHeight="1" x14ac:dyDescent="0.3">
      <c r="A3" s="103" t="str">
        <f>'M-HorarioBarbero'!A3</f>
        <v>id</v>
      </c>
      <c r="B3" s="104" t="str">
        <f>'M-HorarioBarbero'!A2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3" t="s">
        <v>65</v>
      </c>
      <c r="N3" s="103" t="s">
        <v>66</v>
      </c>
      <c r="O3" s="103" t="s">
        <v>66</v>
      </c>
      <c r="P3" s="103" t="s">
        <v>65</v>
      </c>
      <c r="Q3" s="103" t="s">
        <v>66</v>
      </c>
      <c r="R3" s="103" t="s">
        <v>66</v>
      </c>
      <c r="S3" s="103" t="s">
        <v>66</v>
      </c>
      <c r="T3" s="103" t="s">
        <v>67</v>
      </c>
      <c r="U3" s="103" t="s">
        <v>63</v>
      </c>
    </row>
    <row r="4" spans="1:21" ht="27.75" customHeight="1" x14ac:dyDescent="0.3">
      <c r="A4" s="103" t="str">
        <f>'M-HorarioBarbero'!B3</f>
        <v>barbero</v>
      </c>
      <c r="B4" s="104" t="str">
        <f>'M-HorarioBarbero'!B2</f>
        <v>Referencia a que barbero va a ser dueño de esta agenda</v>
      </c>
      <c r="C4" s="103" t="s">
        <v>66</v>
      </c>
      <c r="D4" s="105" t="s">
        <v>21</v>
      </c>
      <c r="E4" s="103" t="s">
        <v>63</v>
      </c>
      <c r="F4" s="103" t="s">
        <v>65</v>
      </c>
      <c r="G4" s="103" t="s">
        <v>65</v>
      </c>
      <c r="H4" s="103" t="s">
        <v>65</v>
      </c>
      <c r="I4" s="103" t="s">
        <v>65</v>
      </c>
      <c r="J4" s="103" t="s">
        <v>65</v>
      </c>
      <c r="K4" s="103" t="s">
        <v>65</v>
      </c>
      <c r="L4" s="103" t="s">
        <v>65</v>
      </c>
      <c r="M4" s="18" t="s">
        <v>216</v>
      </c>
      <c r="N4" s="103" t="s">
        <v>66</v>
      </c>
      <c r="O4" s="103" t="s">
        <v>65</v>
      </c>
      <c r="P4" s="103" t="s">
        <v>65</v>
      </c>
      <c r="Q4" s="103" t="s">
        <v>65</v>
      </c>
      <c r="R4" s="103" t="s">
        <v>65</v>
      </c>
      <c r="S4" s="103" t="s">
        <v>66</v>
      </c>
      <c r="T4" s="103" t="s">
        <v>67</v>
      </c>
      <c r="U4" s="103" t="s">
        <v>66</v>
      </c>
    </row>
    <row r="5" spans="1:21" ht="30" customHeight="1" x14ac:dyDescent="0.3">
      <c r="A5" s="103" t="str">
        <f>'M-HorarioBarbero'!C3</f>
        <v>horarioDeLaBarberia</v>
      </c>
      <c r="B5" s="104" t="str">
        <f>'M-HorarioBarbero'!C2</f>
        <v>Hace referencia a la agenda del barbero en la que queda guardado este horario de trabajo</v>
      </c>
      <c r="C5" s="103" t="s">
        <v>66</v>
      </c>
      <c r="D5" s="105" t="s">
        <v>25</v>
      </c>
      <c r="E5" s="103" t="s">
        <v>63</v>
      </c>
      <c r="F5" s="103" t="s">
        <v>65</v>
      </c>
      <c r="G5" s="103" t="s">
        <v>65</v>
      </c>
      <c r="H5" s="103" t="s">
        <v>65</v>
      </c>
      <c r="I5" s="103" t="s">
        <v>65</v>
      </c>
      <c r="J5" s="103" t="s">
        <v>65</v>
      </c>
      <c r="K5" s="103" t="s">
        <v>65</v>
      </c>
      <c r="L5" s="103" t="s">
        <v>65</v>
      </c>
      <c r="M5" s="18" t="s">
        <v>216</v>
      </c>
      <c r="N5" s="103" t="s">
        <v>66</v>
      </c>
      <c r="O5" s="103" t="s">
        <v>65</v>
      </c>
      <c r="P5" s="103" t="s">
        <v>65</v>
      </c>
      <c r="Q5" s="103" t="s">
        <v>65</v>
      </c>
      <c r="R5" s="103" t="s">
        <v>65</v>
      </c>
      <c r="S5" s="103" t="s">
        <v>66</v>
      </c>
      <c r="T5" s="103" t="s">
        <v>67</v>
      </c>
      <c r="U5" s="103" t="s">
        <v>66</v>
      </c>
    </row>
    <row r="6" spans="1:21" ht="30" customHeight="1" x14ac:dyDescent="0.3">
      <c r="A6" s="103" t="str">
        <f>'M-HorarioBarbero'!D3</f>
        <v>horaInicio</v>
      </c>
      <c r="B6" s="104" t="str">
        <f>'M-HorarioBarbero'!D2</f>
        <v>Representa la hora en la que el barbero empieza a estar disponible ese dia</v>
      </c>
      <c r="C6" s="103" t="s">
        <v>66</v>
      </c>
      <c r="D6" s="103" t="s">
        <v>249</v>
      </c>
      <c r="E6" s="103" t="s">
        <v>66</v>
      </c>
      <c r="F6" s="103" t="s">
        <v>65</v>
      </c>
      <c r="G6" s="103" t="s">
        <v>65</v>
      </c>
      <c r="H6" s="103" t="s">
        <v>65</v>
      </c>
      <c r="I6" s="103" t="s">
        <v>65</v>
      </c>
      <c r="J6" s="103" t="s">
        <v>65</v>
      </c>
      <c r="K6" s="103" t="s">
        <v>65</v>
      </c>
      <c r="L6" s="103" t="s">
        <v>280</v>
      </c>
      <c r="M6" s="104" t="s">
        <v>281</v>
      </c>
      <c r="N6" s="103" t="s">
        <v>66</v>
      </c>
      <c r="O6" s="103" t="s">
        <v>65</v>
      </c>
      <c r="P6" s="103" t="s">
        <v>65</v>
      </c>
      <c r="Q6" s="103" t="s">
        <v>65</v>
      </c>
      <c r="R6" s="103" t="s">
        <v>65</v>
      </c>
      <c r="S6" s="103" t="s">
        <v>66</v>
      </c>
      <c r="T6" s="103" t="s">
        <v>250</v>
      </c>
      <c r="U6" s="103" t="s">
        <v>66</v>
      </c>
    </row>
    <row r="7" spans="1:21" ht="60" customHeight="1" x14ac:dyDescent="0.3">
      <c r="A7" s="103" t="str">
        <f>'M-HorarioBarbero'!E3</f>
        <v>horaFinal</v>
      </c>
      <c r="B7" s="104" t="str">
        <f>'M-HorarioBarbero'!E2</f>
        <v>Representa la hora en la que el barbero deja de estar disponible ese día, junto con horaInicio, es lo que la aplicación usa para saber si hay campo para agendar una cita nueva.</v>
      </c>
      <c r="C7" s="103" t="s">
        <v>66</v>
      </c>
      <c r="D7" s="103" t="s">
        <v>249</v>
      </c>
      <c r="E7" s="103" t="s">
        <v>63</v>
      </c>
      <c r="F7" s="103" t="s">
        <v>65</v>
      </c>
      <c r="G7" s="103" t="s">
        <v>65</v>
      </c>
      <c r="H7" s="103" t="s">
        <v>65</v>
      </c>
      <c r="I7" s="103" t="s">
        <v>65</v>
      </c>
      <c r="J7" s="103" t="s">
        <v>65</v>
      </c>
      <c r="K7" s="103" t="s">
        <v>65</v>
      </c>
      <c r="L7" s="103" t="s">
        <v>280</v>
      </c>
      <c r="M7" s="104" t="s">
        <v>282</v>
      </c>
      <c r="N7" s="103" t="s">
        <v>66</v>
      </c>
      <c r="O7" s="103" t="s">
        <v>65</v>
      </c>
      <c r="P7" s="103" t="s">
        <v>65</v>
      </c>
      <c r="Q7" s="103" t="s">
        <v>65</v>
      </c>
      <c r="R7" s="103" t="s">
        <v>65</v>
      </c>
      <c r="S7" s="103" t="s">
        <v>66</v>
      </c>
      <c r="T7" s="103" t="s">
        <v>250</v>
      </c>
      <c r="U7" s="103" t="s">
        <v>66</v>
      </c>
    </row>
    <row r="8" spans="1:21" ht="45" customHeight="1" x14ac:dyDescent="0.3">
      <c r="A8" s="103" t="str">
        <f>'M-HorarioBarbero'!F3</f>
        <v>fechaCreacion</v>
      </c>
      <c r="B8" s="104" t="str">
        <f>'M-HorarioBarbero'!F2</f>
        <v>Representa la fecha en el que el barbero creo su horario. Es un dato calculado que toma la fecha de hoy cuando el barbero la crea</v>
      </c>
      <c r="C8" s="103" t="s">
        <v>66</v>
      </c>
      <c r="D8" s="103" t="s">
        <v>252</v>
      </c>
      <c r="E8" s="103" t="s">
        <v>63</v>
      </c>
      <c r="F8" s="103" t="s">
        <v>65</v>
      </c>
      <c r="G8" s="103" t="s">
        <v>65</v>
      </c>
      <c r="H8" s="103" t="s">
        <v>65</v>
      </c>
      <c r="I8" s="103" t="s">
        <v>65</v>
      </c>
      <c r="J8" s="103" t="s">
        <v>65</v>
      </c>
      <c r="K8" s="103" t="s">
        <v>65</v>
      </c>
      <c r="L8" s="103" t="s">
        <v>283</v>
      </c>
      <c r="M8" s="104" t="s">
        <v>284</v>
      </c>
      <c r="N8" s="103" t="s">
        <v>63</v>
      </c>
      <c r="O8" s="103" t="s">
        <v>65</v>
      </c>
      <c r="P8" s="103" t="s">
        <v>65</v>
      </c>
      <c r="Q8" s="103" t="s">
        <v>65</v>
      </c>
      <c r="R8" s="103" t="s">
        <v>65</v>
      </c>
      <c r="S8" s="103" t="s">
        <v>66</v>
      </c>
      <c r="T8" s="103" t="s">
        <v>285</v>
      </c>
      <c r="U8" s="103" t="s">
        <v>66</v>
      </c>
    </row>
    <row r="9" spans="1:21" ht="60" customHeight="1" x14ac:dyDescent="0.3">
      <c r="A9" s="103" t="str">
        <f>'M-HorarioBarbero'!G3</f>
        <v>fechaDesactivacion</v>
      </c>
      <c r="B9" s="104" t="str">
        <f>'M-HorarioBarbero'!G2</f>
        <v>Representa la fecha en la que este horario dejó de estar vigente, ya sea porque el barbero lo retiró o porque se desactivó el horario de la barbería del que depende. Es un dato calculado que toma la fecha del sistema en ese momento.</v>
      </c>
      <c r="C9" s="113" t="s">
        <v>66</v>
      </c>
      <c r="D9" s="113" t="s">
        <v>252</v>
      </c>
      <c r="E9" s="113" t="s">
        <v>66</v>
      </c>
      <c r="F9" s="113" t="s">
        <v>65</v>
      </c>
      <c r="G9" s="113" t="s">
        <v>65</v>
      </c>
      <c r="H9" s="113" t="s">
        <v>65</v>
      </c>
      <c r="I9" s="113" t="s">
        <v>65</v>
      </c>
      <c r="J9" s="113" t="s">
        <v>65</v>
      </c>
      <c r="K9" s="113" t="s">
        <v>65</v>
      </c>
      <c r="L9" s="113" t="s">
        <v>283</v>
      </c>
      <c r="M9" s="113" t="s">
        <v>286</v>
      </c>
      <c r="N9" s="113" t="s">
        <v>63</v>
      </c>
      <c r="O9" s="113" t="s">
        <v>65</v>
      </c>
      <c r="P9" s="113" t="s">
        <v>65</v>
      </c>
      <c r="Q9" s="113" t="s">
        <v>65</v>
      </c>
      <c r="R9" s="113" t="s">
        <v>65</v>
      </c>
      <c r="S9" s="113" t="s">
        <v>66</v>
      </c>
      <c r="T9" s="113" t="s">
        <v>285</v>
      </c>
      <c r="U9" s="113" t="s">
        <v>66</v>
      </c>
    </row>
    <row r="10" spans="1:21" ht="45" customHeight="1" x14ac:dyDescent="0.3">
      <c r="A10" s="103" t="str">
        <f>'M-HorarioBarbero'!H3</f>
        <v>vigente</v>
      </c>
      <c r="B10" s="104" t="str">
        <f>'M-HorarioBarbero'!H2</f>
        <v>Representa si este horario lo sigue o no usando el barbero. Una vez que el barbero cambie este estado a no vigente, no se puede volver a cambiar</v>
      </c>
      <c r="C10" s="103" t="s">
        <v>66</v>
      </c>
      <c r="D10" s="103" t="s">
        <v>114</v>
      </c>
      <c r="E10" s="103" t="s">
        <v>63</v>
      </c>
      <c r="F10" s="103" t="s">
        <v>65</v>
      </c>
      <c r="G10" s="103" t="s">
        <v>65</v>
      </c>
      <c r="H10" s="103" t="s">
        <v>65</v>
      </c>
      <c r="I10" s="103" t="s">
        <v>65</v>
      </c>
      <c r="J10" s="103" t="s">
        <v>65</v>
      </c>
      <c r="K10" s="103" t="s">
        <v>65</v>
      </c>
      <c r="L10" s="103" t="s">
        <v>65</v>
      </c>
      <c r="M10" s="104" t="s">
        <v>287</v>
      </c>
      <c r="N10" s="103" t="s">
        <v>66</v>
      </c>
      <c r="O10" s="103" t="s">
        <v>65</v>
      </c>
      <c r="P10" s="103" t="s">
        <v>65</v>
      </c>
      <c r="Q10" s="103" t="s">
        <v>65</v>
      </c>
      <c r="R10" s="103" t="s">
        <v>65</v>
      </c>
      <c r="S10" s="103" t="s">
        <v>66</v>
      </c>
      <c r="T10" s="103" t="s">
        <v>63</v>
      </c>
      <c r="U10" s="103" t="s">
        <v>66</v>
      </c>
    </row>
    <row r="12" spans="1:21" ht="15" customHeight="1" x14ac:dyDescent="0.3">
      <c r="A12" s="19" t="s">
        <v>71</v>
      </c>
      <c r="B12" s="19" t="s">
        <v>72</v>
      </c>
      <c r="C12" s="19" t="s">
        <v>73</v>
      </c>
    </row>
    <row r="13" spans="1:21" ht="15" customHeight="1" x14ac:dyDescent="0.3">
      <c r="A13" s="158" t="str">
        <f>'M-HorarioBarbero'!I3</f>
        <v>Combinación única</v>
      </c>
      <c r="B13" s="159" t="str">
        <f>'M-HorarioBarbero'!I2</f>
        <v>Combinación única que indica que un mismo barbero no puede tener dos horarios vigentes exactamente con el mismo día, hora de inicio y hora final. Un barbero sí puede tener varios horarios a lo largo del tiempo (por ejemplo cuando cambia de horario y el anterior queda no vigente)</v>
      </c>
      <c r="C13" s="2" t="str">
        <f>A4</f>
        <v>barbero</v>
      </c>
    </row>
    <row r="14" spans="1:21" ht="15" customHeight="1" x14ac:dyDescent="0.3">
      <c r="A14" s="158"/>
      <c r="B14" s="158"/>
      <c r="C14" s="2" t="str">
        <f>A5</f>
        <v>horarioDeLaBarberia</v>
      </c>
    </row>
    <row r="15" spans="1:21" ht="15" customHeight="1" x14ac:dyDescent="0.3">
      <c r="A15" s="158"/>
      <c r="B15" s="158"/>
      <c r="C15" s="2" t="str">
        <f>A6</f>
        <v>horaInicio</v>
      </c>
    </row>
    <row r="16" spans="1:21" ht="15" customHeight="1" x14ac:dyDescent="0.3">
      <c r="A16" s="158"/>
      <c r="B16" s="158"/>
      <c r="C16" s="2" t="str">
        <f>A7</f>
        <v>horaFinal</v>
      </c>
    </row>
    <row r="17" spans="1:3" ht="15" customHeight="1" x14ac:dyDescent="0.3">
      <c r="A17" s="158"/>
      <c r="B17" s="158"/>
      <c r="C17" s="2" t="str">
        <f>A10</f>
        <v>vigente</v>
      </c>
    </row>
  </sheetData>
  <mergeCells count="2">
    <mergeCell ref="A13:A17"/>
    <mergeCell ref="B13:B17"/>
  </mergeCells>
  <hyperlinks>
    <hyperlink ref="A1" location="'Modelo de Dominio'!A1" display="&lt;&lt;&lt;&lt; Ir al modulo de dominio" xr:uid="{00000000-0004-0000-1600-000000000000}"/>
    <hyperlink ref="B1" location="'Objetos de Dominio'!A1" display="&lt;&lt;&lt;&lt; Ir a objetos de dominio" xr:uid="{00000000-0004-0000-1600-000001000000}"/>
    <hyperlink ref="D4" location="'C-Barbero'!A1" display="Barbero" xr:uid="{00000000-0004-0000-1600-000002000000}"/>
    <hyperlink ref="D5" location="'C-HorarioBarberia'!A1" display="HorarioBarberia" xr:uid="{00000000-0004-0000-1600-000003000000}"/>
    <hyperlink ref="A13" location="'M-HorarioBarbero'!A3" display="#'M-HorarioBarbero'.A3" xr:uid="{00000000-0004-0000-1600-000004000000}"/>
    <hyperlink ref="B13" location="'M-HorarioBarbero'!A2" display="#'M-HorarioBarbero'.A2" xr:uid="{00000000-0004-0000-1600-000005000000}"/>
  </hyperlink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21"/>
  <sheetViews>
    <sheetView zoomScale="75" zoomScaleNormal="75" workbookViewId="0">
      <selection activeCell="B1" sqref="B1"/>
    </sheetView>
  </sheetViews>
  <sheetFormatPr baseColWidth="10" defaultColWidth="10.6640625" defaultRowHeight="14.4" x14ac:dyDescent="0.3"/>
  <cols>
    <col min="1" max="1" width="27" customWidth="1"/>
    <col min="2" max="2" width="26.109375" customWidth="1"/>
    <col min="3" max="3" width="20.5546875" customWidth="1"/>
    <col min="4" max="4" width="24.44140625" customWidth="1"/>
    <col min="5" max="5" width="38.44140625" customWidth="1"/>
    <col min="6" max="6" width="26.44140625" customWidth="1"/>
    <col min="7" max="7" width="29.109375" customWidth="1"/>
    <col min="8" max="8" width="26" customWidth="1"/>
    <col min="9" max="9" width="41.44140625" customWidth="1"/>
  </cols>
  <sheetData>
    <row r="1" spans="1:9" ht="14.25" customHeight="1" x14ac:dyDescent="0.3">
      <c r="A1" s="5" t="s">
        <v>1</v>
      </c>
      <c r="B1" s="5" t="s">
        <v>41</v>
      </c>
      <c r="C1" s="5"/>
      <c r="D1" s="5"/>
      <c r="E1" s="5"/>
      <c r="F1" s="5"/>
      <c r="G1" s="5"/>
      <c r="H1" s="5"/>
    </row>
    <row r="2" spans="1:9" ht="51.75" customHeight="1" x14ac:dyDescent="0.3">
      <c r="A2" s="45" t="s">
        <v>75</v>
      </c>
      <c r="B2" s="45" t="s">
        <v>288</v>
      </c>
      <c r="C2" s="45" t="s">
        <v>289</v>
      </c>
      <c r="D2" s="45" t="s">
        <v>290</v>
      </c>
      <c r="E2" s="45" t="s">
        <v>291</v>
      </c>
      <c r="F2" s="45" t="s">
        <v>292</v>
      </c>
      <c r="G2" s="45" t="s">
        <v>293</v>
      </c>
      <c r="H2" s="45" t="s">
        <v>294</v>
      </c>
      <c r="I2" s="46" t="s">
        <v>295</v>
      </c>
    </row>
    <row r="3" spans="1:9" ht="14.25" customHeight="1" x14ac:dyDescent="0.3">
      <c r="A3" s="71" t="s">
        <v>78</v>
      </c>
      <c r="B3" s="109" t="s">
        <v>268</v>
      </c>
      <c r="C3" s="109" t="s">
        <v>296</v>
      </c>
      <c r="D3" s="114" t="s">
        <v>297</v>
      </c>
      <c r="E3" s="114" t="s">
        <v>298</v>
      </c>
      <c r="F3" s="93" t="s">
        <v>264</v>
      </c>
      <c r="G3" s="93" t="s">
        <v>265</v>
      </c>
      <c r="H3" s="87" t="s">
        <v>193</v>
      </c>
      <c r="I3" s="51" t="s">
        <v>166</v>
      </c>
    </row>
    <row r="4" spans="1:9" ht="28.5" customHeight="1" x14ac:dyDescent="0.3">
      <c r="A4" s="26">
        <v>1</v>
      </c>
      <c r="B4" s="115" t="str">
        <f>'M-Barbero'!K4</f>
        <v>+57-3245627890</v>
      </c>
      <c r="C4" s="115" t="str">
        <f>'M-HorarioBarberia'!H4</f>
        <v>Lunes-09:00-19:00-12/11/2023-1/01/1000</v>
      </c>
      <c r="D4" s="96">
        <v>0.41666666666666702</v>
      </c>
      <c r="E4" s="96">
        <v>0.66666666666666696</v>
      </c>
      <c r="F4" s="97">
        <v>45780</v>
      </c>
      <c r="G4" s="97" t="s">
        <v>253</v>
      </c>
      <c r="H4" s="96" t="s">
        <v>125</v>
      </c>
      <c r="I4" s="36" t="str">
        <f>_xlfn.CONCAT(B4,"-",C4,"-",TEXT(D4,"hh:mm"),"-",TEXT(E4,"hh:mm"),"-",H4)</f>
        <v>+57-3245627890-Lunes-09:00-19:00-12/11/2023-1/01/1000-10:00-16:00-si</v>
      </c>
    </row>
    <row r="5" spans="1:9" ht="28.5" customHeight="1" x14ac:dyDescent="0.3">
      <c r="A5" s="26">
        <v>2</v>
      </c>
      <c r="B5" s="115" t="str">
        <f>'M-Barbero'!K5</f>
        <v>+57-3124518923</v>
      </c>
      <c r="C5" s="115" t="str">
        <f>'M-HorarioBarberia'!H5</f>
        <v>Martes-09:00-19:00-12/11/2023-1/01/1000</v>
      </c>
      <c r="D5" s="96">
        <v>0.375</v>
      </c>
      <c r="E5" s="96">
        <v>0.625</v>
      </c>
      <c r="F5" s="97">
        <v>45718</v>
      </c>
      <c r="G5" s="97" t="s">
        <v>253</v>
      </c>
      <c r="H5" s="96" t="s">
        <v>125</v>
      </c>
      <c r="I5" s="36" t="str">
        <f>_xlfn.CONCAT(B5,"-",C5,"-",TEXT(D5,"hh:mm"),"-",TEXT(E5,"hh:mm"),"-",H5)</f>
        <v>+57-3124518923-Martes-09:00-19:00-12/11/2023-1/01/1000-09:00-15:00-si</v>
      </c>
    </row>
    <row r="6" spans="1:9" ht="28.5" customHeight="1" x14ac:dyDescent="0.3">
      <c r="A6" s="26">
        <v>3</v>
      </c>
      <c r="B6" s="115" t="str">
        <f>'M-Barbero'!K6</f>
        <v>+57-3214533321</v>
      </c>
      <c r="C6" s="115" t="str">
        <f>'M-HorarioBarberia'!H7</f>
        <v>Jueves-09:00-19:00-12/11/2023-1/01/1000</v>
      </c>
      <c r="D6" s="96">
        <v>0.54166666666666696</v>
      </c>
      <c r="E6" s="96">
        <v>0.79166666666666696</v>
      </c>
      <c r="F6" s="97">
        <v>44917</v>
      </c>
      <c r="G6" s="116" t="s">
        <v>253</v>
      </c>
      <c r="H6" s="96" t="s">
        <v>125</v>
      </c>
      <c r="I6" s="36" t="str">
        <f>_xlfn.CONCAT(B6,"-",C6,"-",TEXT(D6,"hh:mm"),"-",TEXT(E6,"hh:mm"),"-",H6)</f>
        <v>+57-3214533321-Jueves-09:00-19:00-12/11/2023-1/01/1000-13:00-19:00-si</v>
      </c>
    </row>
    <row r="7" spans="1:9" ht="28.5" customHeight="1" x14ac:dyDescent="0.3">
      <c r="A7" s="26">
        <v>4</v>
      </c>
      <c r="B7" s="115" t="str">
        <f>'M-Barbero'!K7</f>
        <v>+91-9876543210</v>
      </c>
      <c r="C7" s="115" t="str">
        <f>'M-HorarioBarberia'!H9</f>
        <v>Sábado-08:00-21:00-12/12/2024-1/01/1000</v>
      </c>
      <c r="D7" s="96">
        <v>0.33333333333333298</v>
      </c>
      <c r="E7" s="96">
        <v>0.58333333333333304</v>
      </c>
      <c r="F7" s="117">
        <v>45915</v>
      </c>
      <c r="G7" s="97">
        <v>46023</v>
      </c>
      <c r="H7" s="118" t="s">
        <v>209</v>
      </c>
      <c r="I7" s="36" t="str">
        <f>_xlfn.CONCAT(B7,"-",C7,"-",TEXT(D7,"hh:mm"),"-",TEXT(E7,"hh:mm"),"-",H7)</f>
        <v>+91-9876543210-Sábado-08:00-21:00-12/12/2024-1/01/1000-08:00-14:00-no</v>
      </c>
    </row>
    <row r="8" spans="1:9" ht="28.5" customHeight="1" x14ac:dyDescent="0.3">
      <c r="A8" s="26">
        <v>5</v>
      </c>
      <c r="B8" s="115" t="str">
        <f>'M-Barbero'!K7</f>
        <v>+91-9876543210</v>
      </c>
      <c r="C8" s="115" t="str">
        <f>'M-HorarioBarberia'!H10</f>
        <v>Festivo-10:00-15:00-12/12/2024-1/01/1000</v>
      </c>
      <c r="D8" s="96">
        <v>0.5</v>
      </c>
      <c r="E8" s="96">
        <v>0.625</v>
      </c>
      <c r="F8" s="117">
        <v>46054</v>
      </c>
      <c r="G8" s="97">
        <v>46083</v>
      </c>
      <c r="H8" s="118" t="s">
        <v>209</v>
      </c>
      <c r="I8" s="36" t="str">
        <f>_xlfn.CONCAT(B8,"-",C8,"-",TEXT(D8,"hh:mm"),"-",TEXT(E8,"hh:mm"),"-",H8)</f>
        <v>+91-9876543210-Festivo-10:00-15:00-12/12/2024-1/01/1000-12:00-15:00-no</v>
      </c>
    </row>
    <row r="10" spans="1:9" ht="14.25" customHeight="1" x14ac:dyDescent="0.3">
      <c r="G10" s="119"/>
    </row>
    <row r="14" spans="1:9" ht="28.5" customHeight="1" x14ac:dyDescent="0.3">
      <c r="A14" s="29"/>
      <c r="B14" s="30" t="s">
        <v>88</v>
      </c>
      <c r="C14" s="30"/>
    </row>
    <row r="15" spans="1:9" ht="28.5" customHeight="1" x14ac:dyDescent="0.3">
      <c r="A15" s="31"/>
      <c r="B15" s="30" t="s">
        <v>89</v>
      </c>
      <c r="C15" s="30"/>
    </row>
    <row r="16" spans="1:9" ht="28.5" customHeight="1" x14ac:dyDescent="0.3">
      <c r="A16" s="55"/>
      <c r="B16" s="30" t="s">
        <v>212</v>
      </c>
      <c r="C16" s="30"/>
    </row>
    <row r="17" spans="1:3" ht="28.5" customHeight="1" x14ac:dyDescent="0.3">
      <c r="A17" s="56"/>
      <c r="B17" s="30" t="s">
        <v>90</v>
      </c>
      <c r="C17" s="30"/>
    </row>
    <row r="18" spans="1:3" ht="28.5" customHeight="1" x14ac:dyDescent="0.3">
      <c r="A18" s="99"/>
      <c r="B18" s="30" t="s">
        <v>266</v>
      </c>
      <c r="C18" s="30"/>
    </row>
    <row r="19" spans="1:3" ht="28.5" customHeight="1" x14ac:dyDescent="0.3">
      <c r="A19" s="100"/>
      <c r="B19" s="30" t="s">
        <v>299</v>
      </c>
      <c r="C19" s="30"/>
    </row>
    <row r="20" spans="1:3" ht="28.5" customHeight="1" x14ac:dyDescent="0.3">
      <c r="A20" s="58"/>
      <c r="B20" s="30" t="s">
        <v>267</v>
      </c>
      <c r="C20" s="30"/>
    </row>
    <row r="21" spans="1:3" ht="28.5" customHeight="1" x14ac:dyDescent="0.3">
      <c r="A21" s="33"/>
      <c r="B21" s="30" t="s">
        <v>91</v>
      </c>
      <c r="C21" s="30"/>
    </row>
  </sheetData>
  <hyperlinks>
    <hyperlink ref="A1" location="'Modelo de Dominio'!A1" display="&lt;&lt;&lt;&lt; Ir al modulo de dominio" xr:uid="{00000000-0004-0000-1700-000000000000}"/>
    <hyperlink ref="B1" location="'Objetos de Dominio'!A1" display="&lt;&lt;&lt;&lt; Ir a objetos de dominio" xr:uid="{00000000-0004-0000-1700-000001000000}"/>
    <hyperlink ref="B3" location="'M-Barbero'!A1" display="barbero" xr:uid="{00000000-0004-0000-1700-000002000000}"/>
    <hyperlink ref="C3" location="'M-HorarioBarberia'!A1" display="horarioDeLaBarberia" xr:uid="{00000000-0004-0000-1700-000003000000}"/>
    <hyperlink ref="B4" location="'M-Barbero'!A4" display="#'M-Barbero'.A4" xr:uid="{00000000-0004-0000-1700-000004000000}"/>
    <hyperlink ref="C4" location="'M-HorarioBarberia'!A4" display="#'M-HorarioBarberia'.A4" xr:uid="{00000000-0004-0000-1700-000005000000}"/>
    <hyperlink ref="B5" location="'M-Barbero'!A5" display="#'M-Barbero'.A5" xr:uid="{00000000-0004-0000-1700-000006000000}"/>
    <hyperlink ref="C5" location="'M-HorarioBarberia'!A5" display="#'M-HorarioBarberia'.A5" xr:uid="{00000000-0004-0000-1700-000007000000}"/>
    <hyperlink ref="B6" location="'M-Barbero'!A6" display="#'M-Barbero'.A6" xr:uid="{00000000-0004-0000-1700-000008000000}"/>
    <hyperlink ref="C6" location="'M-HorarioBarberia'!A7" display="#'M-HorarioBarberia'.A7" xr:uid="{00000000-0004-0000-1700-000009000000}"/>
    <hyperlink ref="B7" location="'M-Barbero'!A7" display="#'M-Barbero'.A7" xr:uid="{00000000-0004-0000-1700-00000A000000}"/>
    <hyperlink ref="C7" location="'M-HorarioBarberia'!A9" display="#'M-HorarioBarberia'.A9" xr:uid="{00000000-0004-0000-1700-00000B000000}"/>
    <hyperlink ref="B8" location="'M-Barbero'!A7" display="#'M-Barbero'.A7" xr:uid="{00000000-0004-0000-1700-00000C000000}"/>
    <hyperlink ref="C8" location="'M-HorarioBarberia'!A10" display="#'M-HorarioBarberia'.A10" xr:uid="{00000000-0004-0000-1700-00000D000000}"/>
  </hyperlink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10"/>
  <sheetViews>
    <sheetView topLeftCell="I1" zoomScaleNormal="100" workbookViewId="0">
      <selection activeCell="N6" sqref="N6"/>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12" width="18" customWidth="1"/>
    <col min="13" max="13" width="40" customWidth="1"/>
    <col min="14" max="21" width="18" customWidth="1"/>
  </cols>
  <sheetData>
    <row r="1" spans="1:21" ht="15" customHeight="1" x14ac:dyDescent="0.3">
      <c r="A1" s="5" t="s">
        <v>1</v>
      </c>
      <c r="B1" s="5" t="s">
        <v>41</v>
      </c>
    </row>
    <row r="2" spans="1:2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45" customHeight="1" x14ac:dyDescent="0.3">
      <c r="A3" s="103" t="str">
        <f>'M-Agenda'!A3</f>
        <v>id</v>
      </c>
      <c r="B3" s="104" t="str">
        <f>'M-Agenda'!A2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3" t="s">
        <v>65</v>
      </c>
      <c r="N3" s="103" t="s">
        <v>66</v>
      </c>
      <c r="O3" s="103" t="s">
        <v>66</v>
      </c>
      <c r="P3" s="103" t="s">
        <v>65</v>
      </c>
      <c r="Q3" s="103" t="s">
        <v>66</v>
      </c>
      <c r="R3" s="103" t="s">
        <v>66</v>
      </c>
      <c r="S3" s="103" t="s">
        <v>66</v>
      </c>
      <c r="T3" s="103" t="s">
        <v>67</v>
      </c>
      <c r="U3" s="103" t="s">
        <v>63</v>
      </c>
    </row>
    <row r="4" spans="1:21" ht="45" customHeight="1" x14ac:dyDescent="0.3">
      <c r="A4" s="103" t="str">
        <f>'M-Agenda'!B3</f>
        <v>horarioDelBarbero</v>
      </c>
      <c r="B4" s="104" t="str">
        <f>'M-Agenda'!B2</f>
        <v>Hace referencia al horario de trabajo del barbero (día de la semana, hora de inicio y hora final) al que pertenece esta agenda</v>
      </c>
      <c r="C4" s="103" t="s">
        <v>66</v>
      </c>
      <c r="D4" s="105" t="s">
        <v>29</v>
      </c>
      <c r="E4" s="103" t="s">
        <v>63</v>
      </c>
      <c r="F4" s="103" t="s">
        <v>65</v>
      </c>
      <c r="G4" s="103" t="s">
        <v>65</v>
      </c>
      <c r="H4" s="103" t="s">
        <v>65</v>
      </c>
      <c r="I4" s="103" t="s">
        <v>65</v>
      </c>
      <c r="J4" s="103" t="s">
        <v>65</v>
      </c>
      <c r="K4" s="103" t="s">
        <v>65</v>
      </c>
      <c r="L4" s="103" t="s">
        <v>65</v>
      </c>
      <c r="M4" s="18" t="s">
        <v>216</v>
      </c>
      <c r="N4" s="103" t="s">
        <v>66</v>
      </c>
      <c r="O4" s="103" t="s">
        <v>65</v>
      </c>
      <c r="P4" s="103" t="s">
        <v>65</v>
      </c>
      <c r="Q4" s="103" t="s">
        <v>65</v>
      </c>
      <c r="R4" s="103" t="s">
        <v>65</v>
      </c>
      <c r="S4" s="103" t="s">
        <v>66</v>
      </c>
      <c r="T4" s="103" t="s">
        <v>67</v>
      </c>
      <c r="U4" s="103" t="s">
        <v>66</v>
      </c>
    </row>
    <row r="5" spans="1:21" ht="30" customHeight="1" x14ac:dyDescent="0.3">
      <c r="A5" s="103" t="str">
        <f>'M-Agenda'!C3</f>
        <v>fecha</v>
      </c>
      <c r="B5" s="104" t="str">
        <f>'M-Agenda'!C2</f>
        <v>Representa la fecha específica en el que la agenda va a guardar las citas de ese barbero</v>
      </c>
      <c r="C5" s="103" t="s">
        <v>66</v>
      </c>
      <c r="D5" s="106" t="s">
        <v>252</v>
      </c>
      <c r="E5" s="103" t="s">
        <v>63</v>
      </c>
      <c r="F5" s="103" t="s">
        <v>65</v>
      </c>
      <c r="G5" s="103" t="s">
        <v>65</v>
      </c>
      <c r="H5" s="103" t="s">
        <v>65</v>
      </c>
      <c r="I5" s="103" t="s">
        <v>65</v>
      </c>
      <c r="J5" s="103" t="s">
        <v>65</v>
      </c>
      <c r="K5" s="103" t="s">
        <v>65</v>
      </c>
      <c r="L5" s="103" t="s">
        <v>65</v>
      </c>
      <c r="M5" s="18" t="s">
        <v>65</v>
      </c>
      <c r="N5" s="103" t="s">
        <v>66</v>
      </c>
      <c r="O5" s="103" t="s">
        <v>65</v>
      </c>
      <c r="P5" s="103" t="s">
        <v>65</v>
      </c>
      <c r="Q5" s="103" t="s">
        <v>65</v>
      </c>
      <c r="R5" s="103" t="s">
        <v>65</v>
      </c>
      <c r="S5" s="103" t="s">
        <v>66</v>
      </c>
      <c r="T5" s="103" t="s">
        <v>285</v>
      </c>
      <c r="U5" s="103" t="s">
        <v>63</v>
      </c>
    </row>
    <row r="6" spans="1:21" ht="30" customHeight="1" x14ac:dyDescent="0.3">
      <c r="A6" s="103" t="str">
        <f>'M-Agenda'!D3</f>
        <v>estaDisponible</v>
      </c>
      <c r="B6" s="104" t="str">
        <f>'M-Agenda'!D2</f>
        <v>Representa si en la agenda del barbero, el barbero puede o no trabajar en una fecha en especifico</v>
      </c>
      <c r="C6" s="103" t="s">
        <v>66</v>
      </c>
      <c r="D6" s="106" t="s">
        <v>114</v>
      </c>
      <c r="E6" s="103" t="s">
        <v>66</v>
      </c>
      <c r="F6" s="103" t="s">
        <v>65</v>
      </c>
      <c r="G6" s="103" t="s">
        <v>65</v>
      </c>
      <c r="H6" s="103" t="s">
        <v>65</v>
      </c>
      <c r="I6" s="103" t="s">
        <v>65</v>
      </c>
      <c r="J6" s="103" t="s">
        <v>65</v>
      </c>
      <c r="K6" s="103" t="s">
        <v>65</v>
      </c>
      <c r="L6" s="103" t="s">
        <v>65</v>
      </c>
      <c r="M6" s="103" t="s">
        <v>65</v>
      </c>
      <c r="N6" s="103" t="s">
        <v>66</v>
      </c>
      <c r="O6" s="103" t="s">
        <v>65</v>
      </c>
      <c r="P6" s="103" t="s">
        <v>65</v>
      </c>
      <c r="Q6" s="103" t="s">
        <v>65</v>
      </c>
      <c r="R6" s="103" t="s">
        <v>65</v>
      </c>
      <c r="S6" s="103" t="s">
        <v>66</v>
      </c>
      <c r="T6" s="103" t="s">
        <v>63</v>
      </c>
      <c r="U6" s="103" t="s">
        <v>66</v>
      </c>
    </row>
    <row r="8" spans="1:21" ht="15" customHeight="1" x14ac:dyDescent="0.3">
      <c r="A8" s="19" t="s">
        <v>71</v>
      </c>
      <c r="B8" s="19" t="s">
        <v>72</v>
      </c>
      <c r="C8" s="19" t="s">
        <v>73</v>
      </c>
    </row>
    <row r="9" spans="1:21" ht="21" customHeight="1" x14ac:dyDescent="0.3">
      <c r="A9" s="158" t="str">
        <f>'M-Agenda'!E3</f>
        <v xml:space="preserve">Combinación única </v>
      </c>
      <c r="B9" s="159" t="str">
        <f>'M-Agenda'!E2</f>
        <v>Combinación única que indica que un mismo horario de barbero no puede tener más de una agenda para el mismo día</v>
      </c>
      <c r="C9" s="2" t="str">
        <f>A4</f>
        <v>horarioDelBarbero</v>
      </c>
    </row>
    <row r="10" spans="1:21" ht="21.75" customHeight="1" x14ac:dyDescent="0.3">
      <c r="A10" s="158"/>
      <c r="B10" s="158"/>
      <c r="C10" s="2" t="str">
        <f>A5</f>
        <v>fecha</v>
      </c>
    </row>
  </sheetData>
  <mergeCells count="2">
    <mergeCell ref="A9:A10"/>
    <mergeCell ref="B9:B10"/>
  </mergeCells>
  <hyperlinks>
    <hyperlink ref="A1" location="'Modelo de Dominio'!A1" display="&lt;&lt;&lt;&lt; Ir al modulo de dominio" xr:uid="{00000000-0004-0000-1800-000000000000}"/>
    <hyperlink ref="B1" location="'Objetos de Dominio'!A1" display="&lt;&lt;&lt;&lt; Ir a objetos de dominio" xr:uid="{00000000-0004-0000-1800-000001000000}"/>
    <hyperlink ref="A3" location="'M-Agenda'!A3" display="#'M-Agenda'.A3" xr:uid="{00000000-0004-0000-1800-000002000000}"/>
    <hyperlink ref="B3" location="'M-Agenda'!A2" display="#'M-Agenda'.A2" xr:uid="{00000000-0004-0000-1800-000003000000}"/>
    <hyperlink ref="A4" location="'M-Agenda'!A3" display="#'M-Agenda'.A3" xr:uid="{00000000-0004-0000-1800-000004000000}"/>
    <hyperlink ref="B4" location="'M-Agenda'!A2" display="#'M-Agenda'.A2" xr:uid="{00000000-0004-0000-1800-000005000000}"/>
    <hyperlink ref="D4" location="'C-HorarioBarbero'!A1" display="HorarioBarbero" xr:uid="{00000000-0004-0000-1800-000006000000}"/>
    <hyperlink ref="A5" location="'M-Agenda'!A3" display="#'M-Agenda'.A3" xr:uid="{00000000-0004-0000-1800-000007000000}"/>
    <hyperlink ref="B5" location="'M-Agenda'!A2" display="#'M-Agenda'.A2" xr:uid="{00000000-0004-0000-1800-000008000000}"/>
    <hyperlink ref="A9" location="'M-Agenda'!A3" display="#'M-Agenda'.A3" xr:uid="{00000000-0004-0000-1800-000009000000}"/>
    <hyperlink ref="B9" location="'M-Agenda'!A2" display="#'M-Agenda'.A2" xr:uid="{00000000-0004-0000-1800-00000A000000}"/>
  </hyperlinks>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3"/>
  <sheetViews>
    <sheetView zoomScale="85" zoomScaleNormal="85" workbookViewId="0">
      <selection activeCell="A3" sqref="A3"/>
    </sheetView>
  </sheetViews>
  <sheetFormatPr baseColWidth="10" defaultColWidth="10.6640625" defaultRowHeight="14.4" x14ac:dyDescent="0.3"/>
  <cols>
    <col min="1" max="1" width="27" customWidth="1"/>
    <col min="2" max="2" width="69.109375" customWidth="1"/>
    <col min="3" max="4" width="33.6640625" customWidth="1"/>
    <col min="5" max="5" width="80.88671875" customWidth="1"/>
  </cols>
  <sheetData>
    <row r="1" spans="1:5" ht="14.25" customHeight="1" x14ac:dyDescent="0.3">
      <c r="A1" s="5" t="s">
        <v>1</v>
      </c>
      <c r="B1" s="5" t="s">
        <v>41</v>
      </c>
      <c r="C1" s="34"/>
      <c r="D1" s="34"/>
    </row>
    <row r="2" spans="1:5" ht="36" customHeight="1" x14ac:dyDescent="0.3">
      <c r="A2" s="21" t="s">
        <v>75</v>
      </c>
      <c r="B2" s="21" t="s">
        <v>300</v>
      </c>
      <c r="C2" s="21" t="s">
        <v>301</v>
      </c>
      <c r="D2" s="21" t="s">
        <v>302</v>
      </c>
      <c r="E2" s="22" t="s">
        <v>303</v>
      </c>
    </row>
    <row r="3" spans="1:5" ht="14.25" customHeight="1" x14ac:dyDescent="0.3">
      <c r="A3" s="23" t="s">
        <v>78</v>
      </c>
      <c r="B3" s="109" t="s">
        <v>304</v>
      </c>
      <c r="C3" s="120" t="s">
        <v>305</v>
      </c>
      <c r="D3" s="87" t="s">
        <v>306</v>
      </c>
      <c r="E3" s="25" t="s">
        <v>79</v>
      </c>
    </row>
    <row r="4" spans="1:5" ht="14.25" customHeight="1" x14ac:dyDescent="0.3">
      <c r="A4" s="26">
        <v>1</v>
      </c>
      <c r="B4" s="83" t="str">
        <f>'M-HorarioBarbero'!I4</f>
        <v>+57-3245627890-Lunes-09:00-19:00-12/11/2023-1/01/1000-10:00-16:00-si</v>
      </c>
      <c r="C4" s="121">
        <v>46265</v>
      </c>
      <c r="D4" s="121" t="s">
        <v>63</v>
      </c>
      <c r="E4" s="26" t="str">
        <f t="shared" ref="E4:E12" si="0">_xlfn.CONCAT(B4,"-",TEXT(C4,"dd/mm/yyyy"))</f>
        <v>+57-3245627890-Lunes-09:00-19:00-12/11/2023-1/01/1000-10:00-16:00-si-31/08/2026</v>
      </c>
    </row>
    <row r="5" spans="1:5" ht="14.25" customHeight="1" x14ac:dyDescent="0.3">
      <c r="A5" s="26">
        <v>2</v>
      </c>
      <c r="B5" s="83" t="str">
        <f>'M-HorarioBarbero'!I5</f>
        <v>+57-3124518923-Martes-09:00-19:00-12/11/2023-1/01/1000-09:00-15:00-si</v>
      </c>
      <c r="C5" s="121">
        <v>46091</v>
      </c>
      <c r="D5" s="121" t="s">
        <v>63</v>
      </c>
      <c r="E5" s="26" t="str">
        <f t="shared" si="0"/>
        <v>+57-3124518923-Martes-09:00-19:00-12/11/2023-1/01/1000-09:00-15:00-si-10/03/2026</v>
      </c>
    </row>
    <row r="6" spans="1:5" ht="14.25" customHeight="1" x14ac:dyDescent="0.3">
      <c r="A6" s="26">
        <v>3</v>
      </c>
      <c r="B6" s="83" t="str">
        <f>'M-HorarioBarbero'!I6</f>
        <v>+57-3214533321-Jueves-09:00-19:00-12/11/2023-1/01/1000-13:00-19:00-si</v>
      </c>
      <c r="C6" s="121">
        <v>46156</v>
      </c>
      <c r="D6" s="121" t="s">
        <v>63</v>
      </c>
      <c r="E6" s="26" t="str">
        <f t="shared" si="0"/>
        <v>+57-3214533321-Jueves-09:00-19:00-12/11/2023-1/01/1000-13:00-19:00-si-14/05/2026</v>
      </c>
    </row>
    <row r="7" spans="1:5" ht="14.25" customHeight="1" x14ac:dyDescent="0.3">
      <c r="A7" s="26">
        <v>4</v>
      </c>
      <c r="B7" s="83" t="str">
        <f>'M-HorarioBarbero'!I8</f>
        <v>+91-9876543210-Festivo-10:00-15:00-12/12/2024-1/01/1000-12:00-15:00-no</v>
      </c>
      <c r="C7" s="121">
        <v>46073</v>
      </c>
      <c r="D7" s="121" t="s">
        <v>63</v>
      </c>
      <c r="E7" s="26" t="str">
        <f t="shared" si="0"/>
        <v>+91-9876543210-Festivo-10:00-15:00-12/12/2024-1/01/1000-12:00-15:00-no-20/02/2026</v>
      </c>
    </row>
    <row r="8" spans="1:5" ht="14.25" customHeight="1" x14ac:dyDescent="0.3">
      <c r="A8" s="26">
        <v>5</v>
      </c>
      <c r="B8" s="83" t="str">
        <f>'M-HorarioBarbero'!I7</f>
        <v>+91-9876543210-Sábado-08:00-21:00-12/12/2024-1/01/1000-08:00-14:00-no</v>
      </c>
      <c r="C8" s="121">
        <v>45983</v>
      </c>
      <c r="D8" s="121" t="s">
        <v>63</v>
      </c>
      <c r="E8" s="26" t="str">
        <f t="shared" si="0"/>
        <v>+91-9876543210-Sábado-08:00-21:00-12/12/2024-1/01/1000-08:00-14:00-no-22/11/2025</v>
      </c>
    </row>
    <row r="9" spans="1:5" ht="14.25" customHeight="1" x14ac:dyDescent="0.3">
      <c r="A9" s="26">
        <v>6</v>
      </c>
      <c r="B9" s="83" t="str">
        <f>'M-HorarioBarbero'!I6</f>
        <v>+57-3214533321-Jueves-09:00-19:00-12/11/2023-1/01/1000-13:00-19:00-si</v>
      </c>
      <c r="C9" s="121">
        <v>46240</v>
      </c>
      <c r="D9" s="121" t="s">
        <v>63</v>
      </c>
      <c r="E9" s="26" t="str">
        <f t="shared" si="0"/>
        <v>+57-3214533321-Jueves-09:00-19:00-12/11/2023-1/01/1000-13:00-19:00-si-06/08/2026</v>
      </c>
    </row>
    <row r="10" spans="1:5" ht="14.25" customHeight="1" x14ac:dyDescent="0.3">
      <c r="A10" s="26">
        <v>7</v>
      </c>
      <c r="B10" s="83" t="str">
        <f>'M-HorarioBarbero'!I4</f>
        <v>+57-3245627890-Lunes-09:00-19:00-12/11/2023-1/01/1000-10:00-16:00-si</v>
      </c>
      <c r="C10" s="121">
        <v>46174</v>
      </c>
      <c r="D10" s="121" t="s">
        <v>63</v>
      </c>
      <c r="E10" s="26" t="str">
        <f t="shared" si="0"/>
        <v>+57-3245627890-Lunes-09:00-19:00-12/11/2023-1/01/1000-10:00-16:00-si-01/06/2026</v>
      </c>
    </row>
    <row r="11" spans="1:5" ht="14.25" customHeight="1" x14ac:dyDescent="0.3">
      <c r="A11" s="26">
        <v>8</v>
      </c>
      <c r="B11" s="83" t="str">
        <f>'M-HorarioBarbero'!I5</f>
        <v>+57-3124518923-Martes-09:00-19:00-12/11/2023-1/01/1000-09:00-15:00-si</v>
      </c>
      <c r="C11" s="121">
        <v>46189</v>
      </c>
      <c r="D11" s="121" t="s">
        <v>63</v>
      </c>
      <c r="E11" s="26" t="str">
        <f t="shared" si="0"/>
        <v>+57-3124518923-Martes-09:00-19:00-12/11/2023-1/01/1000-09:00-15:00-si-16/06/2026</v>
      </c>
    </row>
    <row r="12" spans="1:5" ht="14.25" customHeight="1" x14ac:dyDescent="0.3">
      <c r="A12" s="26">
        <v>9</v>
      </c>
      <c r="B12" s="83" t="str">
        <f>'M-HorarioBarbero'!I6</f>
        <v>+57-3214533321-Jueves-09:00-19:00-12/11/2023-1/01/1000-13:00-19:00-si</v>
      </c>
      <c r="C12" s="121">
        <v>46205</v>
      </c>
      <c r="D12" s="121" t="s">
        <v>63</v>
      </c>
      <c r="E12" s="26" t="str">
        <f t="shared" si="0"/>
        <v>+57-3214533321-Jueves-09:00-19:00-12/11/2023-1/01/1000-13:00-19:00-si-02/07/2026</v>
      </c>
    </row>
    <row r="13" spans="1:5" ht="14.25" customHeight="1" x14ac:dyDescent="0.3">
      <c r="B13" s="30"/>
    </row>
    <row r="14" spans="1:5" ht="14.25" customHeight="1" x14ac:dyDescent="0.3">
      <c r="B14" s="30"/>
    </row>
    <row r="15" spans="1:5" ht="14.25" customHeight="1" x14ac:dyDescent="0.3">
      <c r="B15" s="30"/>
    </row>
    <row r="16" spans="1:5" ht="14.25" customHeight="1" x14ac:dyDescent="0.3">
      <c r="B16" s="30"/>
    </row>
    <row r="17" spans="1:2" ht="14.25" customHeight="1" x14ac:dyDescent="0.3">
      <c r="B17" s="30"/>
    </row>
    <row r="18" spans="1:2" ht="14.25" customHeight="1" x14ac:dyDescent="0.3">
      <c r="A18" s="29"/>
      <c r="B18" s="30" t="s">
        <v>88</v>
      </c>
    </row>
    <row r="19" spans="1:2" ht="27.75" customHeight="1" x14ac:dyDescent="0.3">
      <c r="A19" s="31"/>
      <c r="B19" s="30" t="s">
        <v>89</v>
      </c>
    </row>
    <row r="20" spans="1:2" ht="14.25" customHeight="1" x14ac:dyDescent="0.3">
      <c r="A20" s="55"/>
      <c r="B20" t="s">
        <v>212</v>
      </c>
    </row>
    <row r="21" spans="1:2" ht="14.25" customHeight="1" x14ac:dyDescent="0.3">
      <c r="A21" s="122"/>
      <c r="B21" t="s">
        <v>307</v>
      </c>
    </row>
    <row r="22" spans="1:2" ht="14.25" customHeight="1" x14ac:dyDescent="0.3">
      <c r="A22" s="58"/>
      <c r="B22" s="30" t="s">
        <v>213</v>
      </c>
    </row>
    <row r="23" spans="1:2" ht="14.25" customHeight="1" x14ac:dyDescent="0.3">
      <c r="A23" s="33"/>
      <c r="B23" t="s">
        <v>91</v>
      </c>
    </row>
  </sheetData>
  <hyperlinks>
    <hyperlink ref="A1" location="'Modelo de Dominio'!A1" display="&lt;&lt;&lt;&lt; Ir al modulo de dominio" xr:uid="{00000000-0004-0000-1900-000000000000}"/>
    <hyperlink ref="B1" location="'Objetos de Dominio'!A1" display="&lt;&lt;&lt;&lt; Ir a objetos de dominio" xr:uid="{00000000-0004-0000-1900-000001000000}"/>
    <hyperlink ref="B3" location="'M-HorarioBarbero'!A1" display="horarioDelBarbero" xr:uid="{00000000-0004-0000-1900-000002000000}"/>
    <hyperlink ref="B4" location="'M-HorarioBarbero'!A4" display="#'M-HorarioBarbero'.A4" xr:uid="{00000000-0004-0000-1900-000003000000}"/>
    <hyperlink ref="B5" location="'M-HorarioBarbero'!A5" display="#'M-HorarioBarbero'.A5" xr:uid="{00000000-0004-0000-1900-000004000000}"/>
    <hyperlink ref="B6" location="'M-HorarioBarbero'!A6" display="#'M-HorarioBarbero'.A6" xr:uid="{00000000-0004-0000-1900-000005000000}"/>
    <hyperlink ref="B7" location="'M-HorarioBarbero'!A8" display="#'M-HorarioBarbero'.A8" xr:uid="{00000000-0004-0000-1900-000006000000}"/>
    <hyperlink ref="B8" location="'M-HorarioBarbero'!A7" display="#'M-HorarioBarbero'.A7" xr:uid="{00000000-0004-0000-1900-000007000000}"/>
    <hyperlink ref="B9" location="'M-HorarioBarbero'!A6" display="#'M-HorarioBarbero'.A6" xr:uid="{00000000-0004-0000-1900-000008000000}"/>
    <hyperlink ref="B10" location="'M-HorarioBarbero'!A4" display="#'M-HorarioBarbero'.A4" xr:uid="{00000000-0004-0000-1900-000009000000}"/>
    <hyperlink ref="B11" location="'M-HorarioBarbero'!A5" display="#'M-HorarioBarbero'.A5" xr:uid="{00000000-0004-0000-1900-00000A000000}"/>
    <hyperlink ref="B12" location="'M-HorarioBarbero'!A6" display="#'M-HorarioBarbero'.A6" xr:uid="{00000000-0004-0000-1900-00000B000000}"/>
  </hyperlink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2"/>
  <sheetViews>
    <sheetView topLeftCell="D1" zoomScaleNormal="100" workbookViewId="0">
      <selection activeCell="M8" sqref="M8"/>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12" width="18" customWidth="1"/>
    <col min="13" max="13" width="40" customWidth="1"/>
    <col min="14" max="21" width="18" customWidth="1"/>
  </cols>
  <sheetData>
    <row r="1" spans="1:21" ht="15" customHeight="1" x14ac:dyDescent="0.3">
      <c r="A1" s="5" t="s">
        <v>1</v>
      </c>
      <c r="B1" s="5" t="s">
        <v>41</v>
      </c>
    </row>
    <row r="2" spans="1:2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45" customHeight="1" x14ac:dyDescent="0.3">
      <c r="A3" s="103" t="str">
        <f>'M-Bloqueo'!A3</f>
        <v>id</v>
      </c>
      <c r="B3" s="104" t="str">
        <f>'M-Bloqueo'!A2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3" t="s">
        <v>65</v>
      </c>
      <c r="N3" s="103" t="s">
        <v>66</v>
      </c>
      <c r="O3" s="103" t="s">
        <v>66</v>
      </c>
      <c r="P3" s="103" t="s">
        <v>65</v>
      </c>
      <c r="Q3" s="103" t="s">
        <v>66</v>
      </c>
      <c r="R3" s="103" t="s">
        <v>66</v>
      </c>
      <c r="S3" s="103" t="s">
        <v>66</v>
      </c>
      <c r="T3" s="103" t="s">
        <v>67</v>
      </c>
      <c r="U3" s="103" t="s">
        <v>63</v>
      </c>
    </row>
    <row r="4" spans="1:21" ht="30" customHeight="1" x14ac:dyDescent="0.3">
      <c r="A4" s="103" t="str">
        <f>'M-Bloqueo'!B3</f>
        <v>agenda</v>
      </c>
      <c r="B4" s="104" t="str">
        <f>'M-Bloqueo'!B2</f>
        <v>Referencia en cual agenda va a estar esta el bloqueo</v>
      </c>
      <c r="C4" s="103" t="s">
        <v>66</v>
      </c>
      <c r="D4" s="105" t="s">
        <v>31</v>
      </c>
      <c r="E4" s="103" t="s">
        <v>63</v>
      </c>
      <c r="F4" s="103" t="s">
        <v>65</v>
      </c>
      <c r="G4" s="103" t="s">
        <v>65</v>
      </c>
      <c r="H4" s="103" t="s">
        <v>65</v>
      </c>
      <c r="I4" s="103" t="s">
        <v>65</v>
      </c>
      <c r="J4" s="103" t="s">
        <v>65</v>
      </c>
      <c r="K4" s="103" t="s">
        <v>65</v>
      </c>
      <c r="L4" s="103" t="s">
        <v>65</v>
      </c>
      <c r="M4" s="18" t="s">
        <v>216</v>
      </c>
      <c r="N4" s="103" t="s">
        <v>66</v>
      </c>
      <c r="O4" s="103" t="s">
        <v>65</v>
      </c>
      <c r="P4" s="103" t="s">
        <v>65</v>
      </c>
      <c r="Q4" s="103" t="s">
        <v>65</v>
      </c>
      <c r="R4" s="103" t="s">
        <v>65</v>
      </c>
      <c r="S4" s="103" t="s">
        <v>66</v>
      </c>
      <c r="T4" s="103" t="s">
        <v>67</v>
      </c>
      <c r="U4" s="103" t="s">
        <v>66</v>
      </c>
    </row>
    <row r="5" spans="1:21" ht="30" customHeight="1" x14ac:dyDescent="0.3">
      <c r="A5" s="103" t="str">
        <f>'M-Bloqueo'!C3</f>
        <v>horaInicio</v>
      </c>
      <c r="B5" s="104" t="str">
        <f>'M-Bloqueo'!C2</f>
        <v>Representa la hora en el que el barbero empiza el bloqueo en su agenda</v>
      </c>
      <c r="C5" s="103" t="s">
        <v>66</v>
      </c>
      <c r="D5" s="106" t="s">
        <v>249</v>
      </c>
      <c r="E5" s="103" t="s">
        <v>63</v>
      </c>
      <c r="F5" s="103" t="s">
        <v>65</v>
      </c>
      <c r="G5" s="103" t="s">
        <v>65</v>
      </c>
      <c r="H5" s="103" t="s">
        <v>65</v>
      </c>
      <c r="I5" s="103" t="s">
        <v>65</v>
      </c>
      <c r="J5" s="103" t="s">
        <v>65</v>
      </c>
      <c r="K5" s="103" t="s">
        <v>65</v>
      </c>
      <c r="L5" s="103" t="s">
        <v>65</v>
      </c>
      <c r="M5" s="18" t="s">
        <v>308</v>
      </c>
      <c r="N5" s="103" t="s">
        <v>66</v>
      </c>
      <c r="O5" s="103" t="s">
        <v>65</v>
      </c>
      <c r="P5" s="103" t="s">
        <v>65</v>
      </c>
      <c r="Q5" s="103" t="s">
        <v>65</v>
      </c>
      <c r="R5" s="103" t="s">
        <v>65</v>
      </c>
      <c r="S5" s="103" t="s">
        <v>66</v>
      </c>
      <c r="T5" s="123">
        <v>0</v>
      </c>
      <c r="U5" s="103" t="s">
        <v>66</v>
      </c>
    </row>
    <row r="6" spans="1:21" ht="30" customHeight="1" x14ac:dyDescent="0.3">
      <c r="A6" s="103" t="str">
        <f>'M-Bloqueo'!D3</f>
        <v>horaFin</v>
      </c>
      <c r="B6" s="104" t="str">
        <f>'M-Bloqueo'!D2</f>
        <v>Representa la hora en el que el barbero termina el bloqueo en su agenda</v>
      </c>
      <c r="C6" s="103" t="s">
        <v>66</v>
      </c>
      <c r="D6" s="106" t="s">
        <v>249</v>
      </c>
      <c r="E6" s="103" t="s">
        <v>63</v>
      </c>
      <c r="F6" s="103" t="s">
        <v>65</v>
      </c>
      <c r="G6" s="103" t="s">
        <v>65</v>
      </c>
      <c r="H6" s="103" t="s">
        <v>65</v>
      </c>
      <c r="I6" s="103" t="s">
        <v>65</v>
      </c>
      <c r="J6" s="103" t="s">
        <v>65</v>
      </c>
      <c r="K6" s="103" t="s">
        <v>65</v>
      </c>
      <c r="L6" s="103" t="s">
        <v>65</v>
      </c>
      <c r="M6" s="18" t="s">
        <v>309</v>
      </c>
      <c r="N6" s="103" t="s">
        <v>66</v>
      </c>
      <c r="O6" s="103" t="s">
        <v>65</v>
      </c>
      <c r="P6" s="103" t="s">
        <v>65</v>
      </c>
      <c r="Q6" s="103" t="s">
        <v>65</v>
      </c>
      <c r="R6" s="103" t="s">
        <v>65</v>
      </c>
      <c r="S6" s="103" t="s">
        <v>66</v>
      </c>
      <c r="T6" s="123">
        <v>0</v>
      </c>
      <c r="U6" s="103" t="s">
        <v>66</v>
      </c>
    </row>
    <row r="7" spans="1:21" ht="27.75" customHeight="1" x14ac:dyDescent="0.3">
      <c r="A7" s="103" t="str">
        <f>'M-Bloqueo'!E3</f>
        <v>motivo</v>
      </c>
      <c r="B7" s="104" t="str">
        <f>'M-Bloqueo'!E2</f>
        <v>Representa el motivo por el cual el barbero no puede atender la agenda en ese momento</v>
      </c>
      <c r="C7" s="103" t="s">
        <v>66</v>
      </c>
      <c r="D7" s="106" t="s">
        <v>68</v>
      </c>
      <c r="E7" s="103" t="s">
        <v>66</v>
      </c>
      <c r="F7" s="107">
        <v>0</v>
      </c>
      <c r="G7" s="107">
        <v>100</v>
      </c>
      <c r="H7" s="103" t="s">
        <v>65</v>
      </c>
      <c r="I7" s="103" t="s">
        <v>65</v>
      </c>
      <c r="J7" s="103" t="s">
        <v>65</v>
      </c>
      <c r="K7" s="103" t="s">
        <v>65</v>
      </c>
      <c r="L7" s="103" t="s">
        <v>65</v>
      </c>
      <c r="M7" s="18" t="s">
        <v>399</v>
      </c>
      <c r="N7" s="103" t="s">
        <v>66</v>
      </c>
      <c r="O7" s="103" t="s">
        <v>65</v>
      </c>
      <c r="P7" s="103" t="s">
        <v>65</v>
      </c>
      <c r="Q7" s="103" t="s">
        <v>63</v>
      </c>
      <c r="R7" s="103" t="s">
        <v>63</v>
      </c>
      <c r="S7" s="103" t="s">
        <v>66</v>
      </c>
      <c r="T7" s="123" t="s">
        <v>70</v>
      </c>
      <c r="U7" s="103" t="s">
        <v>66</v>
      </c>
    </row>
    <row r="8" spans="1:21" ht="15" customHeight="1" x14ac:dyDescent="0.3"/>
    <row r="9" spans="1:21" ht="21" customHeight="1" x14ac:dyDescent="0.3">
      <c r="A9" s="19" t="s">
        <v>71</v>
      </c>
      <c r="B9" s="19" t="s">
        <v>72</v>
      </c>
      <c r="C9" s="19" t="s">
        <v>73</v>
      </c>
    </row>
    <row r="10" spans="1:21" ht="21.75" customHeight="1" x14ac:dyDescent="0.3">
      <c r="A10" s="163" t="str">
        <f>'M-Bloqueo'!F3</f>
        <v xml:space="preserve">Combinación única </v>
      </c>
      <c r="B10" s="166" t="str">
        <f>'M-Bloqueo'!F2</f>
        <v>Combinación única que indica que una misma agenda no puede tener dos bloqueos con la misma hora de inicio y hora de fin</v>
      </c>
      <c r="C10" s="2" t="str">
        <f>A4</f>
        <v>agenda</v>
      </c>
    </row>
    <row r="11" spans="1:21" ht="15" customHeight="1" x14ac:dyDescent="0.3">
      <c r="A11" s="164"/>
      <c r="B11" s="167"/>
      <c r="C11" s="2" t="str">
        <f>A5</f>
        <v>horaInicio</v>
      </c>
    </row>
    <row r="12" spans="1:21" ht="15" customHeight="1" x14ac:dyDescent="0.3">
      <c r="A12" s="165"/>
      <c r="B12" s="168"/>
      <c r="C12" s="2" t="str">
        <f>A6</f>
        <v>horaFin</v>
      </c>
    </row>
  </sheetData>
  <mergeCells count="2">
    <mergeCell ref="A10:A12"/>
    <mergeCell ref="B10:B12"/>
  </mergeCells>
  <hyperlinks>
    <hyperlink ref="A1" location="'Modelo de Dominio'!A1" display="&lt;&lt;&lt;&lt; Ir al modulo de dominio" xr:uid="{00000000-0004-0000-1A00-000000000000}"/>
    <hyperlink ref="B1" location="'Objetos de Dominio'!A1" display="&lt;&lt;&lt;&lt; Ir a objetos de dominio" xr:uid="{00000000-0004-0000-1A00-000001000000}"/>
    <hyperlink ref="A3" location="'M-Agenda'!A3" display="#'M-Agenda'.A3" xr:uid="{00000000-0004-0000-1A00-000002000000}"/>
    <hyperlink ref="B3" location="'M-Agenda'!A2" display="#'M-Agenda'.A2" xr:uid="{00000000-0004-0000-1A00-000003000000}"/>
    <hyperlink ref="D4" location="'C-Agenda'!A1" display="Agenda" xr:uid="{00000000-0004-0000-1A00-000004000000}"/>
    <hyperlink ref="A9" location="'M-Agenda'!A3" display="Nombre combinación única" xr:uid="{00000000-0004-0000-1A00-000005000000}"/>
    <hyperlink ref="B9" location="'M-Agenda'!A2" display="Descripción" xr:uid="{00000000-0004-0000-1A00-000006000000}"/>
  </hyperlinks>
  <pageMargins left="0.75" right="0.75" top="1" bottom="1"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23"/>
  <sheetViews>
    <sheetView zoomScale="80" zoomScaleNormal="80" workbookViewId="0"/>
  </sheetViews>
  <sheetFormatPr baseColWidth="10" defaultColWidth="10.6640625" defaultRowHeight="14.4" x14ac:dyDescent="0.3"/>
  <cols>
    <col min="1" max="1" width="27" customWidth="1"/>
    <col min="2" max="2" width="58.44140625" customWidth="1"/>
    <col min="3" max="4" width="33.6640625" customWidth="1"/>
    <col min="5" max="5" width="44.21875" customWidth="1"/>
    <col min="6" max="6" width="50.44140625" customWidth="1"/>
  </cols>
  <sheetData>
    <row r="1" spans="1:6" ht="14.25" customHeight="1" x14ac:dyDescent="0.3">
      <c r="A1" s="5" t="s">
        <v>1</v>
      </c>
      <c r="B1" s="5" t="s">
        <v>41</v>
      </c>
      <c r="C1" s="34"/>
      <c r="D1" s="34"/>
      <c r="E1" s="34"/>
    </row>
    <row r="2" spans="1:6" ht="36" customHeight="1" x14ac:dyDescent="0.3">
      <c r="A2" s="21" t="s">
        <v>75</v>
      </c>
      <c r="B2" s="124" t="s">
        <v>310</v>
      </c>
      <c r="C2" s="21" t="s">
        <v>311</v>
      </c>
      <c r="D2" s="21" t="s">
        <v>312</v>
      </c>
      <c r="E2" s="21" t="s">
        <v>403</v>
      </c>
      <c r="F2" s="22" t="s">
        <v>313</v>
      </c>
    </row>
    <row r="3" spans="1:6" ht="14.25" customHeight="1" x14ac:dyDescent="0.3">
      <c r="A3" s="23" t="s">
        <v>78</v>
      </c>
      <c r="B3" s="125" t="s">
        <v>314</v>
      </c>
      <c r="C3" s="114" t="s">
        <v>297</v>
      </c>
      <c r="D3" s="114" t="s">
        <v>315</v>
      </c>
      <c r="E3" s="126" t="s">
        <v>316</v>
      </c>
      <c r="F3" s="25" t="s">
        <v>79</v>
      </c>
    </row>
    <row r="4" spans="1:6" ht="28.8" x14ac:dyDescent="0.3">
      <c r="A4" s="26">
        <v>1</v>
      </c>
      <c r="B4" s="134" t="str">
        <f>'M-Agenda'!E4</f>
        <v>+57-3245627890-Lunes-09:00-19:00-12/11/2023-1/01/1000-10:00-16:00-si-31/08/2026</v>
      </c>
      <c r="C4" s="127">
        <v>0.58333333333333304</v>
      </c>
      <c r="D4" s="127">
        <v>0.625</v>
      </c>
      <c r="E4" s="172" t="s">
        <v>317</v>
      </c>
      <c r="F4" s="36" t="str">
        <f t="shared" ref="F4" si="0">_xlfn.CONCAT(B4,"-",TEXT(C4,"hh:mm"),"-",TEXT(D4,"hh:mm"))</f>
        <v>+57-3245627890-Lunes-09:00-19:00-12/11/2023-1/01/1000-10:00-16:00-si-31/08/2026-14:00-15:00</v>
      </c>
    </row>
    <row r="5" spans="1:6" ht="28.8" x14ac:dyDescent="0.3">
      <c r="A5" s="26">
        <v>2</v>
      </c>
      <c r="B5" s="134" t="str">
        <f>'M-Agenda'!E5</f>
        <v>+57-3124518923-Martes-09:00-19:00-12/11/2023-1/01/1000-09:00-15:00-si-10/03/2026</v>
      </c>
      <c r="C5" s="96">
        <v>0.5</v>
      </c>
      <c r="D5" s="96">
        <v>0.54166666666666663</v>
      </c>
      <c r="E5" s="172" t="s">
        <v>400</v>
      </c>
      <c r="F5" s="36" t="str">
        <f t="shared" ref="F5:F12" si="1">_xlfn.CONCAT(B5,"-",TEXT(C14,"hh:mm"),"-",TEXT(D14,"hh:mm"))</f>
        <v>+57-3124518923-Martes-09:00-19:00-12/11/2023-1/01/1000-09:00-15:00-si-10/03/2026-00:00-00:00</v>
      </c>
    </row>
    <row r="6" spans="1:6" ht="28.8" x14ac:dyDescent="0.3">
      <c r="A6" s="26">
        <v>3</v>
      </c>
      <c r="B6" s="134" t="str">
        <f>'M-Agenda'!E6</f>
        <v>+57-3214533321-Jueves-09:00-19:00-12/11/2023-1/01/1000-13:00-19:00-si-14/05/2026</v>
      </c>
      <c r="C6" s="96">
        <v>0.66666666666666663</v>
      </c>
      <c r="D6" s="96">
        <v>0.6875</v>
      </c>
      <c r="E6" s="172" t="s">
        <v>321</v>
      </c>
      <c r="F6" s="36" t="str">
        <f t="shared" si="1"/>
        <v>+57-3214533321-Jueves-09:00-19:00-12/11/2023-1/01/1000-13:00-19:00-si-14/05/2026-00:00-00:00</v>
      </c>
    </row>
    <row r="7" spans="1:6" ht="28.8" x14ac:dyDescent="0.3">
      <c r="A7" s="26">
        <v>4</v>
      </c>
      <c r="B7" s="134" t="str">
        <f>'M-Agenda'!E7</f>
        <v>+91-9876543210-Festivo-10:00-15:00-12/12/2024-1/01/1000-12:00-15:00-no-20/02/2026</v>
      </c>
      <c r="C7" s="96">
        <v>0.54166666666666663</v>
      </c>
      <c r="D7" s="96">
        <v>0.58333333333333337</v>
      </c>
      <c r="E7" s="172" t="s">
        <v>318</v>
      </c>
      <c r="F7" s="36" t="str">
        <f t="shared" si="1"/>
        <v>+91-9876543210-Festivo-10:00-15:00-12/12/2024-1/01/1000-12:00-15:00-no-20/02/2026-00:00-00:00</v>
      </c>
    </row>
    <row r="8" spans="1:6" ht="28.8" x14ac:dyDescent="0.3">
      <c r="A8" s="26">
        <v>5</v>
      </c>
      <c r="B8" s="134" t="str">
        <f>'M-Agenda'!E8</f>
        <v>+91-9876543210-Sábado-08:00-21:00-12/12/2024-1/01/1000-08:00-14:00-no-22/11/2025</v>
      </c>
      <c r="C8" s="96">
        <v>0.33333333333333331</v>
      </c>
      <c r="D8" s="96">
        <v>0.375</v>
      </c>
      <c r="E8" s="172" t="s">
        <v>319</v>
      </c>
      <c r="F8" s="36" t="str">
        <f t="shared" si="1"/>
        <v>+91-9876543210-Sábado-08:00-21:00-12/12/2024-1/01/1000-08:00-14:00-no-22/11/2025-00:00-00:00</v>
      </c>
    </row>
    <row r="9" spans="1:6" ht="28.8" x14ac:dyDescent="0.3">
      <c r="A9" s="26">
        <v>6</v>
      </c>
      <c r="B9" s="134" t="str">
        <f>'M-Agenda'!E9</f>
        <v>+57-3214533321-Jueves-09:00-19:00-12/11/2023-1/01/1000-13:00-19:00-si-06/08/2026</v>
      </c>
      <c r="C9" s="96">
        <v>0.625</v>
      </c>
      <c r="D9" s="96">
        <v>0.64583333333333337</v>
      </c>
      <c r="E9" s="172" t="s">
        <v>401</v>
      </c>
      <c r="F9" s="36" t="str">
        <f t="shared" si="1"/>
        <v>+57-3214533321-Jueves-09:00-19:00-12/11/2023-1/01/1000-13:00-19:00-si-06/08/2026-00:00-00:00</v>
      </c>
    </row>
    <row r="10" spans="1:6" ht="28.8" x14ac:dyDescent="0.3">
      <c r="A10" s="26">
        <v>7</v>
      </c>
      <c r="B10" s="134" t="str">
        <f>'M-Agenda'!E10</f>
        <v>+57-3245627890-Lunes-09:00-19:00-12/11/2023-1/01/1000-10:00-16:00-si-01/06/2026</v>
      </c>
      <c r="C10" s="96">
        <v>0.52083333333333337</v>
      </c>
      <c r="D10" s="96">
        <v>0.54166666666666663</v>
      </c>
      <c r="E10" s="172" t="s">
        <v>402</v>
      </c>
      <c r="F10" s="36" t="str">
        <f t="shared" si="1"/>
        <v>+57-3245627890-Lunes-09:00-19:00-12/11/2023-1/01/1000-10:00-16:00-si-01/06/2026-00:00-00:00</v>
      </c>
    </row>
    <row r="11" spans="1:6" ht="28.8" x14ac:dyDescent="0.3">
      <c r="A11" s="26">
        <v>8</v>
      </c>
      <c r="B11" s="134" t="str">
        <f>'M-Agenda'!E11</f>
        <v>+57-3124518923-Martes-09:00-19:00-12/11/2023-1/01/1000-09:00-15:00-si-16/06/2026</v>
      </c>
      <c r="C11" s="96">
        <v>0.375</v>
      </c>
      <c r="D11" s="96">
        <v>0.39583333333333331</v>
      </c>
      <c r="E11" s="172" t="s">
        <v>320</v>
      </c>
      <c r="F11" s="36" t="str">
        <f t="shared" si="1"/>
        <v>+57-3124518923-Martes-09:00-19:00-12/11/2023-1/01/1000-09:00-15:00-si-16/06/2026-00:00-00:00</v>
      </c>
    </row>
    <row r="12" spans="1:6" ht="28.8" x14ac:dyDescent="0.3">
      <c r="A12" s="26">
        <v>9</v>
      </c>
      <c r="B12" s="134" t="str">
        <f>'M-Agenda'!E12</f>
        <v>+57-3214533321-Jueves-09:00-19:00-12/11/2023-1/01/1000-13:00-19:00-si-02/07/2026</v>
      </c>
      <c r="C12" s="96">
        <v>0.75</v>
      </c>
      <c r="D12" s="96">
        <v>0.79166666666666663</v>
      </c>
      <c r="E12" s="172" t="s">
        <v>321</v>
      </c>
      <c r="F12" s="36" t="str">
        <f t="shared" si="1"/>
        <v>+57-3214533321-Jueves-09:00-19:00-12/11/2023-1/01/1000-13:00-19:00-si-02/07/2026-00:00-00:00</v>
      </c>
    </row>
    <row r="13" spans="1:6" ht="14.25" customHeight="1" x14ac:dyDescent="0.3">
      <c r="B13" s="30"/>
    </row>
    <row r="14" spans="1:6" ht="14.25" customHeight="1" x14ac:dyDescent="0.3">
      <c r="B14" s="30"/>
      <c r="C14" s="156"/>
      <c r="D14" s="156"/>
    </row>
    <row r="15" spans="1:6" ht="14.25" customHeight="1" x14ac:dyDescent="0.3">
      <c r="B15" s="30"/>
      <c r="C15" s="156"/>
      <c r="D15" s="156"/>
    </row>
    <row r="16" spans="1:6" ht="14.25" customHeight="1" x14ac:dyDescent="0.3">
      <c r="B16" s="30"/>
      <c r="C16" s="156"/>
      <c r="D16" s="156"/>
    </row>
    <row r="17" spans="1:4" ht="14.25" customHeight="1" x14ac:dyDescent="0.3">
      <c r="C17" s="156"/>
      <c r="D17" s="156"/>
    </row>
    <row r="18" spans="1:4" ht="14.25" customHeight="1" x14ac:dyDescent="0.3">
      <c r="A18" s="29"/>
      <c r="B18" s="30" t="s">
        <v>88</v>
      </c>
      <c r="C18" s="156"/>
      <c r="D18" s="156"/>
    </row>
    <row r="19" spans="1:4" ht="27.75" customHeight="1" x14ac:dyDescent="0.3">
      <c r="A19" s="31"/>
      <c r="B19" s="30" t="s">
        <v>89</v>
      </c>
      <c r="C19" s="156"/>
      <c r="D19" s="156"/>
    </row>
    <row r="20" spans="1:4" ht="14.25" customHeight="1" x14ac:dyDescent="0.3">
      <c r="A20" s="55"/>
      <c r="B20" t="s">
        <v>212</v>
      </c>
      <c r="C20" s="156"/>
      <c r="D20" s="156"/>
    </row>
    <row r="21" spans="1:4" ht="14.25" customHeight="1" x14ac:dyDescent="0.3">
      <c r="A21" s="99"/>
      <c r="B21" t="s">
        <v>266</v>
      </c>
      <c r="C21" s="156"/>
      <c r="D21" s="156"/>
    </row>
    <row r="22" spans="1:4" ht="14.25" customHeight="1" x14ac:dyDescent="0.3">
      <c r="A22" s="56"/>
      <c r="B22" s="30" t="s">
        <v>90</v>
      </c>
    </row>
    <row r="23" spans="1:4" ht="14.25" customHeight="1" x14ac:dyDescent="0.3">
      <c r="A23" s="33"/>
      <c r="B23" t="s">
        <v>91</v>
      </c>
    </row>
  </sheetData>
  <hyperlinks>
    <hyperlink ref="A1" location="'Modelo de Dominio'!A1" display="&lt;&lt;&lt;&lt; Ir al modulo de dominio" xr:uid="{00000000-0004-0000-1B00-000000000000}"/>
    <hyperlink ref="B1" location="'Objetos de Dominio'!A1" display="&lt;&lt;&lt;&lt; Ir a objetos de dominio" xr:uid="{00000000-0004-0000-1B00-000001000000}"/>
  </hyperlinks>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3"/>
  <sheetViews>
    <sheetView zoomScaleNormal="100" workbookViewId="0">
      <selection activeCell="B1" sqref="B1"/>
    </sheetView>
  </sheetViews>
  <sheetFormatPr baseColWidth="10" defaultColWidth="8.6640625" defaultRowHeight="14.4" x14ac:dyDescent="0.3"/>
  <cols>
    <col min="1" max="1" width="28.109375" customWidth="1"/>
    <col min="2" max="2" width="45" customWidth="1"/>
    <col min="3" max="3" width="21.5546875" customWidth="1"/>
    <col min="4" max="4" width="26.6640625" customWidth="1"/>
    <col min="5" max="12" width="18" customWidth="1"/>
    <col min="13" max="13" width="42.88671875" customWidth="1"/>
    <col min="14" max="21" width="18" customWidth="1"/>
  </cols>
  <sheetData>
    <row r="1" spans="1:21" ht="15" customHeight="1" x14ac:dyDescent="0.3">
      <c r="A1" s="5" t="s">
        <v>1</v>
      </c>
      <c r="B1" s="5" t="s">
        <v>41</v>
      </c>
    </row>
    <row r="2" spans="1:2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45" customHeight="1" x14ac:dyDescent="0.3">
      <c r="A3" s="103" t="str">
        <f>'M-Cita'!A3</f>
        <v>id</v>
      </c>
      <c r="B3" s="104" t="str">
        <f>'M-Cita'!A2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3" t="s">
        <v>65</v>
      </c>
      <c r="N3" s="103" t="s">
        <v>66</v>
      </c>
      <c r="O3" s="103" t="s">
        <v>66</v>
      </c>
      <c r="P3" s="103" t="s">
        <v>65</v>
      </c>
      <c r="Q3" s="103" t="s">
        <v>66</v>
      </c>
      <c r="R3" s="103" t="s">
        <v>66</v>
      </c>
      <c r="S3" s="103" t="s">
        <v>66</v>
      </c>
      <c r="T3" s="103" t="s">
        <v>67</v>
      </c>
      <c r="U3" s="103" t="s">
        <v>63</v>
      </c>
    </row>
    <row r="4" spans="1:21" ht="45" customHeight="1" x14ac:dyDescent="0.3">
      <c r="A4" s="103" t="str">
        <f>'M-Cita'!B3</f>
        <v>cliente</v>
      </c>
      <c r="B4" s="104" t="str">
        <f>'M-Cita'!B2</f>
        <v>Representa a cuál cliente le pertenece esta cita</v>
      </c>
      <c r="C4" s="103" t="s">
        <v>66</v>
      </c>
      <c r="D4" s="105" t="s">
        <v>23</v>
      </c>
      <c r="E4" s="103" t="s">
        <v>63</v>
      </c>
      <c r="F4" s="103" t="s">
        <v>65</v>
      </c>
      <c r="G4" s="103" t="s">
        <v>65</v>
      </c>
      <c r="H4" s="103" t="s">
        <v>65</v>
      </c>
      <c r="I4" s="103" t="s">
        <v>65</v>
      </c>
      <c r="J4" s="103" t="s">
        <v>65</v>
      </c>
      <c r="K4" s="103" t="s">
        <v>65</v>
      </c>
      <c r="L4" s="103" t="s">
        <v>65</v>
      </c>
      <c r="M4" s="128" t="s">
        <v>322</v>
      </c>
      <c r="N4" s="103" t="s">
        <v>66</v>
      </c>
      <c r="O4" s="103" t="s">
        <v>65</v>
      </c>
      <c r="P4" s="103" t="s">
        <v>65</v>
      </c>
      <c r="Q4" s="103" t="s">
        <v>65</v>
      </c>
      <c r="R4" s="103" t="s">
        <v>65</v>
      </c>
      <c r="S4" s="103" t="s">
        <v>66</v>
      </c>
      <c r="T4" s="103" t="s">
        <v>67</v>
      </c>
      <c r="U4" s="103" t="s">
        <v>66</v>
      </c>
    </row>
    <row r="5" spans="1:21" ht="27.75" customHeight="1" x14ac:dyDescent="0.3">
      <c r="A5" s="103" t="str">
        <f>'M-Cita'!C3</f>
        <v>agenda</v>
      </c>
      <c r="B5" s="104" t="str">
        <f>'M-Cita'!C2</f>
        <v>Referencia en cual agenda va a estar esta cita</v>
      </c>
      <c r="C5" s="103" t="s">
        <v>66</v>
      </c>
      <c r="D5" s="105" t="s">
        <v>31</v>
      </c>
      <c r="E5" s="103" t="s">
        <v>63</v>
      </c>
      <c r="F5" s="103" t="s">
        <v>65</v>
      </c>
      <c r="G5" s="103" t="s">
        <v>65</v>
      </c>
      <c r="H5" s="103" t="s">
        <v>65</v>
      </c>
      <c r="I5" s="103" t="s">
        <v>65</v>
      </c>
      <c r="J5" s="103" t="s">
        <v>65</v>
      </c>
      <c r="K5" s="103" t="s">
        <v>65</v>
      </c>
      <c r="L5" s="103" t="s">
        <v>65</v>
      </c>
      <c r="M5" s="128" t="s">
        <v>216</v>
      </c>
      <c r="N5" s="103" t="s">
        <v>66</v>
      </c>
      <c r="O5" s="103" t="s">
        <v>65</v>
      </c>
      <c r="P5" s="103" t="s">
        <v>65</v>
      </c>
      <c r="Q5" s="103" t="s">
        <v>65</v>
      </c>
      <c r="R5" s="103" t="s">
        <v>65</v>
      </c>
      <c r="S5" s="103" t="s">
        <v>66</v>
      </c>
      <c r="T5" s="103" t="s">
        <v>67</v>
      </c>
      <c r="U5" s="103" t="s">
        <v>66</v>
      </c>
    </row>
    <row r="6" spans="1:21" ht="60" customHeight="1" x14ac:dyDescent="0.3">
      <c r="A6" s="113" t="str">
        <f>'M-Cita'!D3</f>
        <v>regla</v>
      </c>
      <c r="B6" s="113" t="str">
        <f>'M-Cita'!D2</f>
        <v>Hace referencia a la Regla vigente de la barbería en el momento de agendar; de ahí salen las tolerancias, el monto de multa fija y el porcentaje de descuento que aplican a esta cita</v>
      </c>
      <c r="C6" s="113" t="s">
        <v>66</v>
      </c>
      <c r="D6" s="129" t="s">
        <v>15</v>
      </c>
      <c r="E6" s="113" t="s">
        <v>63</v>
      </c>
      <c r="F6" s="113" t="s">
        <v>65</v>
      </c>
      <c r="G6" s="113" t="s">
        <v>65</v>
      </c>
      <c r="H6" s="113" t="s">
        <v>65</v>
      </c>
      <c r="I6" s="113" t="s">
        <v>65</v>
      </c>
      <c r="J6" s="113" t="s">
        <v>65</v>
      </c>
      <c r="K6" s="113" t="s">
        <v>65</v>
      </c>
      <c r="L6" s="113" t="s">
        <v>65</v>
      </c>
      <c r="M6" s="113" t="s">
        <v>323</v>
      </c>
      <c r="N6" s="113" t="s">
        <v>66</v>
      </c>
      <c r="O6" s="113" t="s">
        <v>65</v>
      </c>
      <c r="P6" s="113" t="s">
        <v>65</v>
      </c>
      <c r="Q6" s="113" t="s">
        <v>65</v>
      </c>
      <c r="R6" s="113" t="s">
        <v>65</v>
      </c>
      <c r="S6" s="113" t="s">
        <v>66</v>
      </c>
      <c r="T6" s="113" t="s">
        <v>67</v>
      </c>
      <c r="U6" s="113" t="s">
        <v>66</v>
      </c>
    </row>
    <row r="7" spans="1:21" ht="45" customHeight="1" x14ac:dyDescent="0.3">
      <c r="A7" s="103" t="str">
        <f>'M-Cita'!E3</f>
        <v>estado</v>
      </c>
      <c r="B7" s="104" t="str">
        <f>'M-Cita'!E2</f>
        <v>Representa en qué estado se encuentra esta cita puntual: agendada, finalizada, cancelada, con tardanza del cliente o del barbero, o inasistencia</v>
      </c>
      <c r="C7" s="103" t="s">
        <v>66</v>
      </c>
      <c r="D7" s="105" t="s">
        <v>11</v>
      </c>
      <c r="E7" s="103" t="s">
        <v>63</v>
      </c>
      <c r="F7" s="103" t="s">
        <v>65</v>
      </c>
      <c r="G7" s="103" t="s">
        <v>65</v>
      </c>
      <c r="H7" s="103" t="s">
        <v>65</v>
      </c>
      <c r="I7" s="103" t="s">
        <v>65</v>
      </c>
      <c r="J7" s="103" t="s">
        <v>65</v>
      </c>
      <c r="K7" s="103" t="s">
        <v>65</v>
      </c>
      <c r="L7" s="103" t="s">
        <v>65</v>
      </c>
      <c r="M7" s="103" t="s">
        <v>216</v>
      </c>
      <c r="N7" s="103" t="s">
        <v>66</v>
      </c>
      <c r="O7" s="103" t="s">
        <v>65</v>
      </c>
      <c r="P7" s="103" t="s">
        <v>65</v>
      </c>
      <c r="Q7" s="103" t="s">
        <v>65</v>
      </c>
      <c r="R7" s="103" t="s">
        <v>65</v>
      </c>
      <c r="S7" s="103" t="s">
        <v>66</v>
      </c>
      <c r="T7" s="103" t="s">
        <v>67</v>
      </c>
      <c r="U7" s="103" t="s">
        <v>66</v>
      </c>
    </row>
    <row r="8" spans="1:21" ht="30" customHeight="1" x14ac:dyDescent="0.3">
      <c r="A8" s="103" t="str">
        <f>'M-Cita'!F3</f>
        <v>horaInicio</v>
      </c>
      <c r="B8" s="104" t="str">
        <f>'M-Cita'!F2</f>
        <v>Representa la hora en la que se va a realizar la cita al cliente</v>
      </c>
      <c r="C8" s="103" t="s">
        <v>66</v>
      </c>
      <c r="D8" s="106" t="s">
        <v>249</v>
      </c>
      <c r="E8" s="103" t="s">
        <v>66</v>
      </c>
      <c r="F8" s="103" t="s">
        <v>65</v>
      </c>
      <c r="G8" s="103" t="s">
        <v>65</v>
      </c>
      <c r="H8" s="103" t="s">
        <v>65</v>
      </c>
      <c r="I8" s="103" t="s">
        <v>65</v>
      </c>
      <c r="J8" s="103" t="s">
        <v>65</v>
      </c>
      <c r="K8" s="103" t="s">
        <v>65</v>
      </c>
      <c r="L8" s="103" t="s">
        <v>65</v>
      </c>
      <c r="M8" s="128" t="s">
        <v>324</v>
      </c>
      <c r="N8" s="103" t="s">
        <v>66</v>
      </c>
      <c r="O8" s="103" t="s">
        <v>65</v>
      </c>
      <c r="P8" s="103" t="s">
        <v>65</v>
      </c>
      <c r="Q8" s="103" t="s">
        <v>65</v>
      </c>
      <c r="R8" s="103" t="s">
        <v>65</v>
      </c>
      <c r="S8" s="103" t="s">
        <v>66</v>
      </c>
      <c r="T8" s="103" t="s">
        <v>250</v>
      </c>
      <c r="U8" s="103" t="s">
        <v>66</v>
      </c>
    </row>
    <row r="9" spans="1:21" ht="60" customHeight="1" x14ac:dyDescent="0.3">
      <c r="A9" s="103" t="str">
        <f>'M-Cita'!G3</f>
        <v>horaFinEstimada</v>
      </c>
      <c r="B9" s="104" t="str">
        <f>'M-Cita'!G2</f>
        <v>Representa la hora en la que se espera que termine la cita, sumando horaInicio más la duración total de los servicios pedidos. Es un dato calculado</v>
      </c>
      <c r="C9" s="103" t="s">
        <v>66</v>
      </c>
      <c r="D9" s="106" t="s">
        <v>249</v>
      </c>
      <c r="E9" s="103" t="s">
        <v>63</v>
      </c>
      <c r="F9" s="103" t="s">
        <v>65</v>
      </c>
      <c r="G9" s="103" t="s">
        <v>65</v>
      </c>
      <c r="H9" s="103" t="s">
        <v>65</v>
      </c>
      <c r="I9" s="103" t="s">
        <v>65</v>
      </c>
      <c r="J9" s="103" t="s">
        <v>65</v>
      </c>
      <c r="K9" s="103" t="s">
        <v>65</v>
      </c>
      <c r="L9" s="103" t="s">
        <v>65</v>
      </c>
      <c r="M9" s="128" t="s">
        <v>325</v>
      </c>
      <c r="N9" s="103" t="s">
        <v>63</v>
      </c>
      <c r="O9" s="103" t="s">
        <v>65</v>
      </c>
      <c r="P9" s="103" t="s">
        <v>65</v>
      </c>
      <c r="Q9" s="103" t="s">
        <v>65</v>
      </c>
      <c r="R9" s="103" t="s">
        <v>65</v>
      </c>
      <c r="S9" s="103" t="s">
        <v>66</v>
      </c>
      <c r="T9" s="103" t="s">
        <v>250</v>
      </c>
      <c r="U9" s="103" t="s">
        <v>66</v>
      </c>
    </row>
    <row r="10" spans="1:21" ht="60" customHeight="1" x14ac:dyDescent="0.3">
      <c r="A10" s="113" t="str">
        <f>'M-Cita'!H3</f>
        <v>horaLlegadaCliente</v>
      </c>
      <c r="B10" s="113" t="str">
        <f>'M-Cita'!H2</f>
        <v>Representa la hora real en la que el cliente llegó a la barbería para esta cita. Su valor por defecto es 00:00 y es permitido: significa que el cliente aún no ha llegado</v>
      </c>
      <c r="C10" s="113" t="s">
        <v>66</v>
      </c>
      <c r="D10" s="113" t="s">
        <v>249</v>
      </c>
      <c r="E10" s="113" t="s">
        <v>66</v>
      </c>
      <c r="F10" s="113" t="s">
        <v>65</v>
      </c>
      <c r="G10" s="113" t="s">
        <v>65</v>
      </c>
      <c r="H10" s="113" t="s">
        <v>65</v>
      </c>
      <c r="I10" s="113" t="s">
        <v>65</v>
      </c>
      <c r="J10" s="113" t="s">
        <v>65</v>
      </c>
      <c r="K10" s="113" t="s">
        <v>65</v>
      </c>
      <c r="L10" s="103" t="s">
        <v>65</v>
      </c>
      <c r="M10" s="113" t="s">
        <v>65</v>
      </c>
      <c r="N10" s="113" t="s">
        <v>66</v>
      </c>
      <c r="O10" s="113" t="s">
        <v>65</v>
      </c>
      <c r="P10" s="113" t="s">
        <v>65</v>
      </c>
      <c r="Q10" s="113" t="s">
        <v>65</v>
      </c>
      <c r="R10" s="113" t="s">
        <v>65</v>
      </c>
      <c r="S10" s="113" t="s">
        <v>66</v>
      </c>
      <c r="T10" s="113" t="s">
        <v>250</v>
      </c>
      <c r="U10" s="113" t="s">
        <v>66</v>
      </c>
    </row>
    <row r="11" spans="1:21" ht="60" customHeight="1" x14ac:dyDescent="0.3">
      <c r="A11" s="113" t="str">
        <f>'M-Cita'!I3</f>
        <v>horaDelBarberoPreparado</v>
      </c>
      <c r="B11" s="113" t="str">
        <f>'M-Cita'!I2</f>
        <v>Representa la hora real en la que el barbero quedó listo y disponible para empezar a atender esta cita. Su valor por defecto es 00:00 y es permitido: significa que el barbero aún no se ha preparado</v>
      </c>
      <c r="C11" s="113" t="s">
        <v>66</v>
      </c>
      <c r="D11" s="113" t="s">
        <v>249</v>
      </c>
      <c r="E11" s="113" t="s">
        <v>66</v>
      </c>
      <c r="F11" s="113" t="s">
        <v>65</v>
      </c>
      <c r="G11" s="113" t="s">
        <v>65</v>
      </c>
      <c r="H11" s="113" t="s">
        <v>65</v>
      </c>
      <c r="I11" s="113" t="s">
        <v>65</v>
      </c>
      <c r="J11" s="113" t="s">
        <v>65</v>
      </c>
      <c r="K11" s="113" t="s">
        <v>65</v>
      </c>
      <c r="L11" s="103" t="s">
        <v>65</v>
      </c>
      <c r="M11" s="113" t="s">
        <v>65</v>
      </c>
      <c r="N11" s="113" t="s">
        <v>66</v>
      </c>
      <c r="O11" s="113" t="s">
        <v>65</v>
      </c>
      <c r="P11" s="113" t="s">
        <v>65</v>
      </c>
      <c r="Q11" s="113" t="s">
        <v>65</v>
      </c>
      <c r="R11" s="113" t="s">
        <v>65</v>
      </c>
      <c r="S11" s="113" t="s">
        <v>66</v>
      </c>
      <c r="T11" s="113" t="s">
        <v>250</v>
      </c>
      <c r="U11" s="113" t="s">
        <v>66</v>
      </c>
    </row>
    <row r="12" spans="1:21" ht="60" customHeight="1" x14ac:dyDescent="0.3">
      <c r="A12" s="103" t="str">
        <f>'M-Cita'!J3</f>
        <v>horaInicioAtencion</v>
      </c>
      <c r="B12" s="104" t="str">
        <f>'M-Cita'!J2</f>
        <v>Representa la hora real en la que el barbero empezó a atender al cliente. Su valor por defecto es 00:00 y es permitido: significa que la atención aún no ha comenzado</v>
      </c>
      <c r="C12" s="103" t="s">
        <v>66</v>
      </c>
      <c r="D12" s="103" t="s">
        <v>249</v>
      </c>
      <c r="E12" s="103" t="s">
        <v>66</v>
      </c>
      <c r="F12" s="103" t="s">
        <v>65</v>
      </c>
      <c r="G12" s="103" t="s">
        <v>65</v>
      </c>
      <c r="H12" s="103" t="s">
        <v>65</v>
      </c>
      <c r="I12" s="103" t="s">
        <v>65</v>
      </c>
      <c r="J12" s="103" t="s">
        <v>65</v>
      </c>
      <c r="K12" s="103" t="s">
        <v>65</v>
      </c>
      <c r="L12" s="103" t="s">
        <v>65</v>
      </c>
      <c r="M12" s="103" t="s">
        <v>65</v>
      </c>
      <c r="N12" s="103" t="s">
        <v>66</v>
      </c>
      <c r="O12" s="103" t="s">
        <v>65</v>
      </c>
      <c r="P12" s="103" t="s">
        <v>65</v>
      </c>
      <c r="Q12" s="103" t="s">
        <v>65</v>
      </c>
      <c r="R12" s="103" t="s">
        <v>65</v>
      </c>
      <c r="S12" s="103" t="s">
        <v>66</v>
      </c>
      <c r="T12" s="103" t="s">
        <v>250</v>
      </c>
      <c r="U12" s="103" t="s">
        <v>66</v>
      </c>
    </row>
    <row r="13" spans="1:21" ht="60" customHeight="1" x14ac:dyDescent="0.3">
      <c r="A13" s="103" t="str">
        <f>'M-Cita'!K3</f>
        <v>horaFinAtencion</v>
      </c>
      <c r="B13" s="104" t="str">
        <f>'M-Cita'!K2</f>
        <v>Representa la hora real en la que el barbero terminó de atender al cliente. Su valor por defecto es 00:00 y es permitido: significa que la atención aún no ha terminado</v>
      </c>
      <c r="C13" s="103" t="s">
        <v>66</v>
      </c>
      <c r="D13" s="106" t="s">
        <v>249</v>
      </c>
      <c r="E13" s="103" t="s">
        <v>66</v>
      </c>
      <c r="F13" s="103" t="s">
        <v>65</v>
      </c>
      <c r="G13" s="103" t="s">
        <v>65</v>
      </c>
      <c r="H13" s="103" t="s">
        <v>65</v>
      </c>
      <c r="I13" s="103" t="s">
        <v>65</v>
      </c>
      <c r="J13" s="103" t="s">
        <v>65</v>
      </c>
      <c r="K13" s="103" t="s">
        <v>65</v>
      </c>
      <c r="L13" s="103" t="s">
        <v>65</v>
      </c>
      <c r="M13" s="128" t="s">
        <v>65</v>
      </c>
      <c r="N13" s="103" t="s">
        <v>66</v>
      </c>
      <c r="O13" s="103" t="s">
        <v>65</v>
      </c>
      <c r="P13" s="103" t="s">
        <v>65</v>
      </c>
      <c r="Q13" s="103" t="s">
        <v>65</v>
      </c>
      <c r="R13" s="103" t="s">
        <v>65</v>
      </c>
      <c r="S13" s="103" t="s">
        <v>66</v>
      </c>
      <c r="T13" s="103" t="s">
        <v>250</v>
      </c>
      <c r="U13" s="103" t="s">
        <v>66</v>
      </c>
    </row>
    <row r="14" spans="1:21" ht="60" customHeight="1" x14ac:dyDescent="0.3">
      <c r="A14" s="103" t="str">
        <f>'M-Cita'!L3</f>
        <v>duracionHoras</v>
      </c>
      <c r="B14" s="104" t="str">
        <f>'M-Cita'!L2</f>
        <v>Representa la cantidad total de horas que va a durar la cita, sumando la duración de cada servicio pedido más el tiempo extra de cada uno. Es un dato calculado</v>
      </c>
      <c r="C14" s="103" t="s">
        <v>66</v>
      </c>
      <c r="D14" s="106" t="s">
        <v>113</v>
      </c>
      <c r="E14" s="103" t="s">
        <v>66</v>
      </c>
      <c r="F14" s="103" t="s">
        <v>65</v>
      </c>
      <c r="G14" s="103" t="s">
        <v>65</v>
      </c>
      <c r="H14" s="103" t="s">
        <v>65</v>
      </c>
      <c r="I14" s="103" t="s">
        <v>65</v>
      </c>
      <c r="J14" s="103">
        <v>0</v>
      </c>
      <c r="K14" s="103">
        <v>3</v>
      </c>
      <c r="L14" s="103" t="s">
        <v>65</v>
      </c>
      <c r="M14" s="128" t="s">
        <v>326</v>
      </c>
      <c r="N14" s="103" t="s">
        <v>63</v>
      </c>
      <c r="O14" s="103" t="s">
        <v>65</v>
      </c>
      <c r="P14" s="103" t="s">
        <v>65</v>
      </c>
      <c r="Q14" s="103" t="s">
        <v>65</v>
      </c>
      <c r="R14" s="103" t="s">
        <v>65</v>
      </c>
      <c r="S14" s="103" t="s">
        <v>66</v>
      </c>
      <c r="T14" s="103">
        <v>0</v>
      </c>
      <c r="U14" s="103" t="s">
        <v>66</v>
      </c>
    </row>
    <row r="15" spans="1:21" ht="60" customHeight="1" x14ac:dyDescent="0.3">
      <c r="A15" s="103" t="str">
        <f>'M-Cita'!M3</f>
        <v>duracionMinutos</v>
      </c>
      <c r="B15" s="104" t="str">
        <f>'M-Cita'!M2</f>
        <v>Representa la cantidad total de minutos que va a durar la cita, sumando la duración de cada servicio pedido más el tiempo extra de cada uno. Es un dato calculado</v>
      </c>
      <c r="C15" s="103" t="s">
        <v>66</v>
      </c>
      <c r="D15" s="106" t="s">
        <v>113</v>
      </c>
      <c r="E15" s="103" t="s">
        <v>66</v>
      </c>
      <c r="F15" s="103" t="s">
        <v>65</v>
      </c>
      <c r="G15" s="103" t="s">
        <v>65</v>
      </c>
      <c r="H15" s="103" t="s">
        <v>65</v>
      </c>
      <c r="I15" s="103" t="s">
        <v>65</v>
      </c>
      <c r="J15" s="103">
        <v>0</v>
      </c>
      <c r="K15" s="103">
        <v>59</v>
      </c>
      <c r="L15" s="103" t="s">
        <v>65</v>
      </c>
      <c r="M15" s="128" t="s">
        <v>327</v>
      </c>
      <c r="N15" s="103" t="s">
        <v>63</v>
      </c>
      <c r="O15" s="103" t="s">
        <v>65</v>
      </c>
      <c r="P15" s="103" t="s">
        <v>65</v>
      </c>
      <c r="Q15" s="103" t="s">
        <v>65</v>
      </c>
      <c r="R15" s="103" t="s">
        <v>65</v>
      </c>
      <c r="S15" s="103" t="s">
        <v>66</v>
      </c>
      <c r="T15" s="103" t="s">
        <v>176</v>
      </c>
      <c r="U15" s="103" t="s">
        <v>66</v>
      </c>
    </row>
    <row r="16" spans="1:21" ht="60" customHeight="1" x14ac:dyDescent="0.3">
      <c r="A16" s="113" t="str">
        <f>'M-Cita'!N3</f>
        <v>minutosTardanzaCliente</v>
      </c>
      <c r="B16" s="113" t="str">
        <f>'M-Cita'!N2</f>
        <v>Representa cuántos minutos después de horaInicio llegó el cliente. Si llegó a tiempo o aún no ha llegado su valor es 0. Es un dato calculado</v>
      </c>
      <c r="C16" s="113" t="s">
        <v>66</v>
      </c>
      <c r="D16" s="113" t="s">
        <v>113</v>
      </c>
      <c r="E16" s="113" t="s">
        <v>66</v>
      </c>
      <c r="F16" s="113" t="s">
        <v>65</v>
      </c>
      <c r="G16" s="113" t="s">
        <v>65</v>
      </c>
      <c r="H16" s="113" t="s">
        <v>65</v>
      </c>
      <c r="I16" s="113" t="s">
        <v>65</v>
      </c>
      <c r="J16" s="113">
        <v>0</v>
      </c>
      <c r="K16" s="113">
        <v>300</v>
      </c>
      <c r="L16" s="103" t="s">
        <v>65</v>
      </c>
      <c r="M16" s="113" t="s">
        <v>328</v>
      </c>
      <c r="N16" s="113" t="s">
        <v>63</v>
      </c>
      <c r="O16" s="113" t="s">
        <v>65</v>
      </c>
      <c r="P16" s="113" t="s">
        <v>65</v>
      </c>
      <c r="Q16" s="113" t="s">
        <v>65</v>
      </c>
      <c r="R16" s="113" t="s">
        <v>65</v>
      </c>
      <c r="S16" s="113" t="s">
        <v>66</v>
      </c>
      <c r="T16" s="113" t="s">
        <v>176</v>
      </c>
      <c r="U16" s="113" t="s">
        <v>66</v>
      </c>
    </row>
    <row r="17" spans="1:21" ht="60" customHeight="1" x14ac:dyDescent="0.3">
      <c r="A17" s="103" t="str">
        <f>'M-Cita'!O3</f>
        <v>minutosDemoraBarbero</v>
      </c>
      <c r="B17" s="104" t="str">
        <f>'M-Cita'!O2</f>
        <v>Representa cuántos minutos después de la llegada del cliente empezó el barbero a atenderlo. Si no hubo demora su valor es 0. Es un dato calculado</v>
      </c>
      <c r="C17" s="103" t="s">
        <v>66</v>
      </c>
      <c r="D17" s="103" t="s">
        <v>113</v>
      </c>
      <c r="E17" s="103" t="s">
        <v>66</v>
      </c>
      <c r="F17" s="103" t="s">
        <v>65</v>
      </c>
      <c r="G17" s="103" t="s">
        <v>65</v>
      </c>
      <c r="H17" s="103" t="s">
        <v>65</v>
      </c>
      <c r="I17" s="103" t="s">
        <v>65</v>
      </c>
      <c r="J17" s="103">
        <v>0</v>
      </c>
      <c r="K17" s="103">
        <v>300</v>
      </c>
      <c r="L17" s="103" t="s">
        <v>65</v>
      </c>
      <c r="M17" s="104" t="s">
        <v>329</v>
      </c>
      <c r="N17" s="103" t="s">
        <v>63</v>
      </c>
      <c r="O17" s="103" t="s">
        <v>65</v>
      </c>
      <c r="P17" s="103" t="s">
        <v>65</v>
      </c>
      <c r="Q17" s="103" t="s">
        <v>65</v>
      </c>
      <c r="R17" s="103" t="s">
        <v>65</v>
      </c>
      <c r="S17" s="103" t="s">
        <v>66</v>
      </c>
      <c r="T17" s="103" t="s">
        <v>176</v>
      </c>
      <c r="U17" s="103" t="s">
        <v>66</v>
      </c>
    </row>
    <row r="18" spans="1:21" ht="60" customHeight="1" x14ac:dyDescent="0.3">
      <c r="A18" s="103" t="str">
        <f>'M-Cita'!P3</f>
        <v>porcentajeDescuentoAplicado</v>
      </c>
      <c r="B18" s="104" t="str">
        <f>'M-Cita'!P2</f>
        <v>Representa el porcentaje de descuento aplicado al cliente en esta cita, cuando minutosDemoraBarbero supera la toleranciaTardanzaBarbero de Regla. Su valor por defecto es 0 y es permitido. Es un dato auto generado: copia de Regla.porcentajeDescuentoCita</v>
      </c>
      <c r="C18" s="103" t="s">
        <v>66</v>
      </c>
      <c r="D18" s="106" t="s">
        <v>113</v>
      </c>
      <c r="E18" s="103" t="s">
        <v>66</v>
      </c>
      <c r="F18" s="103" t="s">
        <v>65</v>
      </c>
      <c r="G18" s="103" t="s">
        <v>65</v>
      </c>
      <c r="H18" s="103" t="s">
        <v>65</v>
      </c>
      <c r="I18" s="103" t="s">
        <v>65</v>
      </c>
      <c r="J18" s="103">
        <v>0</v>
      </c>
      <c r="K18" s="103">
        <v>100</v>
      </c>
      <c r="L18" s="103" t="s">
        <v>65</v>
      </c>
      <c r="M18" s="128" t="s">
        <v>330</v>
      </c>
      <c r="N18" s="103" t="s">
        <v>66</v>
      </c>
      <c r="O18" s="103" t="s">
        <v>65</v>
      </c>
      <c r="P18" s="103" t="s">
        <v>65</v>
      </c>
      <c r="Q18" s="103" t="s">
        <v>65</v>
      </c>
      <c r="R18" s="103" t="s">
        <v>65</v>
      </c>
      <c r="S18" s="103" t="s">
        <v>66</v>
      </c>
      <c r="T18" s="103" t="s">
        <v>176</v>
      </c>
      <c r="U18" s="103" t="s">
        <v>63</v>
      </c>
    </row>
    <row r="19" spans="1:21" ht="60" customHeight="1" x14ac:dyDescent="0.3">
      <c r="A19" s="103" t="str">
        <f>'M-Cita'!Q3</f>
        <v>precioFinal</v>
      </c>
      <c r="B19" s="104" t="str">
        <f>'M-Cita'!Q2</f>
        <v>Representa cuánto debe pagar el cliente por los servicios de esta cita: la suma de los precios de sus CitaServicio, menos el descuento si aplicó. Es un dato calculado</v>
      </c>
      <c r="C19" s="103" t="s">
        <v>66</v>
      </c>
      <c r="D19" s="106" t="s">
        <v>113</v>
      </c>
      <c r="E19" s="103" t="s">
        <v>63</v>
      </c>
      <c r="F19" s="103" t="s">
        <v>65</v>
      </c>
      <c r="G19" s="103" t="s">
        <v>65</v>
      </c>
      <c r="H19" s="103" t="s">
        <v>65</v>
      </c>
      <c r="I19" s="103" t="s">
        <v>65</v>
      </c>
      <c r="J19" s="103">
        <v>0</v>
      </c>
      <c r="K19" s="157">
        <v>3000000</v>
      </c>
      <c r="L19" s="103" t="s">
        <v>65</v>
      </c>
      <c r="M19" s="128" t="s">
        <v>331</v>
      </c>
      <c r="N19" s="103" t="s">
        <v>63</v>
      </c>
      <c r="O19" s="103" t="s">
        <v>65</v>
      </c>
      <c r="P19" s="103" t="s">
        <v>65</v>
      </c>
      <c r="Q19" s="103" t="s">
        <v>65</v>
      </c>
      <c r="R19" s="103" t="s">
        <v>65</v>
      </c>
      <c r="S19" s="103" t="s">
        <v>66</v>
      </c>
      <c r="T19" s="103" t="s">
        <v>176</v>
      </c>
      <c r="U19" s="103" t="s">
        <v>66</v>
      </c>
    </row>
    <row r="20" spans="1:21" ht="15" customHeight="1" x14ac:dyDescent="0.3"/>
    <row r="21" spans="1:21" ht="42.75" customHeight="1" x14ac:dyDescent="0.3">
      <c r="A21" s="130" t="s">
        <v>71</v>
      </c>
      <c r="B21" s="130" t="s">
        <v>72</v>
      </c>
      <c r="C21" s="19" t="s">
        <v>73</v>
      </c>
    </row>
    <row r="22" spans="1:21" ht="22.5" customHeight="1" x14ac:dyDescent="0.3">
      <c r="A22" s="158" t="str">
        <f>'M-Cita'!R3</f>
        <v>Combinación única</v>
      </c>
      <c r="B22" s="159" t="str">
        <f>'M-Cita'!R2</f>
        <v>Combinación única que indica que una misma agenda no puede tener dos citas que empiecen a la misma hora</v>
      </c>
      <c r="C22" s="2" t="str">
        <f>A5</f>
        <v>agenda</v>
      </c>
    </row>
    <row r="23" spans="1:21" ht="24.75" customHeight="1" x14ac:dyDescent="0.3">
      <c r="A23" s="158"/>
      <c r="B23" s="158"/>
      <c r="C23" s="2" t="str">
        <f>A8</f>
        <v>horaInicio</v>
      </c>
    </row>
  </sheetData>
  <mergeCells count="2">
    <mergeCell ref="A22:A23"/>
    <mergeCell ref="B22:B23"/>
  </mergeCells>
  <hyperlinks>
    <hyperlink ref="A1" location="'Modelo de Dominio'!A1" display="&lt;&lt;&lt;&lt; Ir al modulo de dominio" xr:uid="{00000000-0004-0000-1C00-000000000000}"/>
    <hyperlink ref="B1" location="'Objetos de Dominio'!A1" display="&lt;&lt;&lt;&lt; Ir a objetos de dominio" xr:uid="{00000000-0004-0000-1C00-000001000000}"/>
    <hyperlink ref="A3" location="'M-Cita'!A3" display="#'M-Cita'.A3" xr:uid="{00000000-0004-0000-1C00-000002000000}"/>
    <hyperlink ref="B3" location="'M-Cita'!A2" display="#'M-Cita'.A2" xr:uid="{00000000-0004-0000-1C00-000003000000}"/>
    <hyperlink ref="A4" location="'M-Cita'!A3" display="#'M-Cita'.A3" xr:uid="{00000000-0004-0000-1C00-000004000000}"/>
    <hyperlink ref="B4" location="'M-Cita'!A2" display="#'M-Cita'.A2" xr:uid="{00000000-0004-0000-1C00-000005000000}"/>
    <hyperlink ref="D4" location="'C-Cliente'!A1" display="Cliente" xr:uid="{00000000-0004-0000-1C00-000006000000}"/>
    <hyperlink ref="A5" location="'M-Cita'!A3" display="#'M-Cita'.A3" xr:uid="{00000000-0004-0000-1C00-000007000000}"/>
    <hyperlink ref="B5" location="'M-Cita'!A2" display="#'M-Cita'.A2" xr:uid="{00000000-0004-0000-1C00-000008000000}"/>
    <hyperlink ref="D5" location="'C-Agenda'!A1" display="Agenda" xr:uid="{00000000-0004-0000-1C00-000009000000}"/>
    <hyperlink ref="A6" location="'M-Cita'!A3" display="#'M-Cita'.A3" xr:uid="{00000000-0004-0000-1C00-00000A000000}"/>
    <hyperlink ref="B6" location="'M-Cita'!A2" display="#'M-Cita'.A2" xr:uid="{00000000-0004-0000-1C00-00000B000000}"/>
    <hyperlink ref="D6" location="'C-Regla'!A1" display="Regla" xr:uid="{00000000-0004-0000-1C00-00000C000000}"/>
    <hyperlink ref="A7" location="'M-Cita'!A3" display="#'M-Cita'.A3" xr:uid="{00000000-0004-0000-1C00-00000D000000}"/>
    <hyperlink ref="B7" location="'M-Cita'!A2" display="#'M-Cita'.A2" xr:uid="{00000000-0004-0000-1C00-00000E000000}"/>
    <hyperlink ref="D7" location="'C-Estado'!A1" display="Estado" xr:uid="{00000000-0004-0000-1C00-00000F000000}"/>
    <hyperlink ref="A8" location="'M-Cita'!A3" display="#'M-Cita'.A3" xr:uid="{00000000-0004-0000-1C00-000010000000}"/>
    <hyperlink ref="B8" location="'M-Cita'!A2" display="#'M-Cita'.A2" xr:uid="{00000000-0004-0000-1C00-000011000000}"/>
    <hyperlink ref="A9" location="'M-Cita'!A3" display="#'M-Cita'.A3" xr:uid="{00000000-0004-0000-1C00-000012000000}"/>
    <hyperlink ref="B9" location="'M-Cita'!A2" display="#'M-Cita'.A2" xr:uid="{00000000-0004-0000-1C00-000013000000}"/>
    <hyperlink ref="A10" location="'M-Cita'!A3" display="#'M-Cita'.A3" xr:uid="{00000000-0004-0000-1C00-000014000000}"/>
    <hyperlink ref="B10" location="'M-Cita'!A2" display="#'M-Cita'.A2" xr:uid="{00000000-0004-0000-1C00-000015000000}"/>
    <hyperlink ref="A11" location="'M-Cita'!A3" display="#'M-Cita'.A3" xr:uid="{00000000-0004-0000-1C00-000016000000}"/>
    <hyperlink ref="B11" location="'M-Cita'!A2" display="#'M-Cita'.A2" xr:uid="{00000000-0004-0000-1C00-000017000000}"/>
    <hyperlink ref="A12" location="'M-Cita'!A3" display="#'M-Cita'.A3" xr:uid="{00000000-0004-0000-1C00-000018000000}"/>
    <hyperlink ref="B12" location="'M-Cita'!A2" display="#'M-Cita'.A2" xr:uid="{00000000-0004-0000-1C00-000019000000}"/>
    <hyperlink ref="A14" location="'M-Cita'!A3" display="#'M-Cita'.A3" xr:uid="{00000000-0004-0000-1C00-00001A000000}"/>
    <hyperlink ref="B14" location="'M-Cita'!A2" display="#'M-Cita'.A2" xr:uid="{00000000-0004-0000-1C00-00001B000000}"/>
    <hyperlink ref="A15" location="'M-Cita'!A3" display="#'M-Cita'.A3" xr:uid="{00000000-0004-0000-1C00-00001C000000}"/>
    <hyperlink ref="B15" location="'M-Cita'!A2" display="#'M-Cita'.A2" xr:uid="{00000000-0004-0000-1C00-00001D000000}"/>
    <hyperlink ref="A16" location="'M-Cita'!A3" display="#'M-Cita'.A3" xr:uid="{00000000-0004-0000-1C00-00001E000000}"/>
    <hyperlink ref="B16" location="'M-Cita'!A2" display="#'M-Cita'.A2" xr:uid="{00000000-0004-0000-1C00-00001F000000}"/>
    <hyperlink ref="A17" location="'M-Cita'!A3" display="#'M-Cita'.A3" xr:uid="{00000000-0004-0000-1C00-000020000000}"/>
    <hyperlink ref="B17" location="'M-Cita'!A2" display="#'M-Cita'.A2" xr:uid="{00000000-0004-0000-1C00-000021000000}"/>
    <hyperlink ref="A18" location="'M-Cita'!A3" display="#'M-Cita'.A3" xr:uid="{00000000-0004-0000-1C00-000022000000}"/>
    <hyperlink ref="B18" location="'M-Cita'!A2" display="#'M-Cita'.A2" xr:uid="{00000000-0004-0000-1C00-000023000000}"/>
    <hyperlink ref="A21" location="'M-Cita'!A3" display="Nombre combinación única" xr:uid="{00000000-0004-0000-1C00-000024000000}"/>
    <hyperlink ref="B21" location="'M-Cita'!A2" display="Descripción" xr:uid="{00000000-0004-0000-1C00-000025000000}"/>
  </hyperlinks>
  <pageMargins left="0.75" right="0.75" top="1" bottom="1" header="0.511811023622047" footer="0.511811023622047"/>
  <pageSetup paperSize="9"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R25"/>
  <sheetViews>
    <sheetView zoomScale="124" zoomScaleNormal="124" workbookViewId="0">
      <selection activeCell="B1" sqref="B1"/>
    </sheetView>
  </sheetViews>
  <sheetFormatPr baseColWidth="10" defaultColWidth="10.6640625" defaultRowHeight="14.4" x14ac:dyDescent="0.3"/>
  <cols>
    <col min="1" max="1" width="25" customWidth="1"/>
    <col min="2" max="2" width="27.5546875" customWidth="1"/>
    <col min="3" max="5" width="26.109375" customWidth="1"/>
    <col min="6" max="8" width="19.88671875" customWidth="1"/>
    <col min="9" max="9" width="23.44140625" customWidth="1"/>
    <col min="10" max="10" width="20.44140625" customWidth="1"/>
    <col min="11" max="13" width="19.88671875" customWidth="1"/>
    <col min="14" max="15" width="23" customWidth="1"/>
    <col min="16" max="16" width="36" customWidth="1"/>
    <col min="17" max="17" width="26.6640625" customWidth="1"/>
    <col min="18" max="18" width="36" customWidth="1"/>
  </cols>
  <sheetData>
    <row r="1" spans="1:18" ht="14.25" customHeight="1" x14ac:dyDescent="0.3">
      <c r="A1" s="5" t="s">
        <v>1</v>
      </c>
      <c r="B1" s="5" t="s">
        <v>41</v>
      </c>
    </row>
    <row r="2" spans="1:18" ht="64.5" customHeight="1" x14ac:dyDescent="0.3">
      <c r="A2" s="124" t="s">
        <v>75</v>
      </c>
      <c r="B2" s="124" t="s">
        <v>332</v>
      </c>
      <c r="C2" s="124" t="s">
        <v>333</v>
      </c>
      <c r="D2" s="124" t="s">
        <v>334</v>
      </c>
      <c r="E2" s="124" t="s">
        <v>335</v>
      </c>
      <c r="F2" s="124" t="s">
        <v>336</v>
      </c>
      <c r="G2" s="124" t="s">
        <v>337</v>
      </c>
      <c r="H2" s="124" t="s">
        <v>338</v>
      </c>
      <c r="I2" s="124" t="s">
        <v>339</v>
      </c>
      <c r="J2" s="124" t="s">
        <v>340</v>
      </c>
      <c r="K2" s="124" t="s">
        <v>341</v>
      </c>
      <c r="L2" s="124" t="s">
        <v>342</v>
      </c>
      <c r="M2" s="124" t="s">
        <v>343</v>
      </c>
      <c r="N2" s="124" t="s">
        <v>344</v>
      </c>
      <c r="O2" s="124" t="s">
        <v>345</v>
      </c>
      <c r="P2" s="124" t="s">
        <v>346</v>
      </c>
      <c r="Q2" s="124" t="s">
        <v>347</v>
      </c>
      <c r="R2" s="124" t="s">
        <v>348</v>
      </c>
    </row>
    <row r="3" spans="1:18" ht="14.25" customHeight="1" x14ac:dyDescent="0.3">
      <c r="A3" s="131" t="s">
        <v>78</v>
      </c>
      <c r="B3" s="109" t="s">
        <v>349</v>
      </c>
      <c r="C3" s="109" t="s">
        <v>314</v>
      </c>
      <c r="D3" s="109" t="s">
        <v>350</v>
      </c>
      <c r="E3" s="109" t="s">
        <v>351</v>
      </c>
      <c r="F3" s="92" t="s">
        <v>297</v>
      </c>
      <c r="G3" s="92" t="s">
        <v>352</v>
      </c>
      <c r="H3" s="92" t="s">
        <v>353</v>
      </c>
      <c r="I3" s="92" t="s">
        <v>354</v>
      </c>
      <c r="J3" s="92" t="s">
        <v>355</v>
      </c>
      <c r="K3" s="92" t="s">
        <v>356</v>
      </c>
      <c r="L3" s="93" t="s">
        <v>357</v>
      </c>
      <c r="M3" s="132" t="s">
        <v>358</v>
      </c>
      <c r="N3" s="93" t="s">
        <v>359</v>
      </c>
      <c r="O3" s="93" t="s">
        <v>360</v>
      </c>
      <c r="P3" s="82" t="s">
        <v>361</v>
      </c>
      <c r="Q3" s="93" t="s">
        <v>362</v>
      </c>
      <c r="R3" s="133" t="s">
        <v>166</v>
      </c>
    </row>
    <row r="4" spans="1:18" ht="45" customHeight="1" x14ac:dyDescent="0.3">
      <c r="A4" s="26">
        <v>1</v>
      </c>
      <c r="B4" s="83" t="str">
        <f>'M-Cliente'!L4</f>
        <v>+57-3234528921</v>
      </c>
      <c r="C4" s="134" t="str">
        <f>'M-Agenda'!E4</f>
        <v>+57-3245627890-Lunes-09:00-19:00-12/11/2023-1/01/1000-10:00-16:00-si-31/08/2026</v>
      </c>
      <c r="D4" s="134">
        <f>'M-Regla'!A4</f>
        <v>1</v>
      </c>
      <c r="E4" s="134" t="str">
        <f>'M-Estado'!D4</f>
        <v>Agendada</v>
      </c>
      <c r="F4" s="135">
        <v>0.41666666666666702</v>
      </c>
      <c r="G4" s="135">
        <f t="shared" ref="G4:G13" si="0">F4+TIME(0,M4,0)</f>
        <v>0.41666666666666702</v>
      </c>
      <c r="H4" s="135">
        <v>0</v>
      </c>
      <c r="I4" s="135">
        <v>0</v>
      </c>
      <c r="J4" s="135">
        <v>0</v>
      </c>
      <c r="K4" s="135">
        <v>0</v>
      </c>
      <c r="L4" s="136">
        <f>INT((SUMIF('M-CitaServicio'!$B$4:$B$14,R4,'M-CitaServicio'!$F$4:$F$14)+SUMIF('M-CitaServicio'!$B$4:$B$14,R4,'M-CitaServicio'!$G$4:$G$14))/60)</f>
        <v>1</v>
      </c>
      <c r="M4" s="26">
        <f>MOD((SUMIF('M-CitaServicio'!$B$4:$B$14,R4,'M-CitaServicio'!$F$4:$F$14)+SUMIF('M-CitaServicio'!$B$4:$B$14,R4,'M-CitaServicio'!$G$4:$G$14)),60)</f>
        <v>0</v>
      </c>
      <c r="N4" s="137">
        <f t="shared" ref="N4:N13" si="1">IF(H4=TIME(0,0,0),0,MAX(0,(H4-F4)*1440))</f>
        <v>0</v>
      </c>
      <c r="O4" s="138">
        <f t="shared" ref="O4:O13" si="2">IF(J4=TIME(0,0,0),0,MAX(0,(J4-MAX(H4,F4))*1440))</f>
        <v>0</v>
      </c>
      <c r="P4" s="138">
        <v>0</v>
      </c>
      <c r="Q4" s="139">
        <f>SUMIF('M-CitaServicio'!$B$4:$B$14,R4,'M-CitaServicio'!$D$4:$D$14)*(1-P4/100)</f>
        <v>22000</v>
      </c>
      <c r="R4" s="36" t="str">
        <f t="shared" ref="R4:R13" si="3">_xlfn.CONCAT(C4,"-",TEXT(F4,"hh:mm"))</f>
        <v>+57-3245627890-Lunes-09:00-19:00-12/11/2023-1/01/1000-10:00-16:00-si-31/08/2026-10:00</v>
      </c>
    </row>
    <row r="5" spans="1:18" ht="41.25" customHeight="1" x14ac:dyDescent="0.3">
      <c r="A5" s="26">
        <v>2</v>
      </c>
      <c r="B5" s="83" t="str">
        <f>'M-Cliente'!L5</f>
        <v>+57-3161657782</v>
      </c>
      <c r="C5" s="134" t="str">
        <f>'M-Agenda'!E5</f>
        <v>+57-3124518923-Martes-09:00-19:00-12/11/2023-1/01/1000-09:00-15:00-si-10/03/2026</v>
      </c>
      <c r="D5" s="134">
        <f>'M-Regla'!A4</f>
        <v>1</v>
      </c>
      <c r="E5" s="134" t="str">
        <f>'M-Estado'!D5</f>
        <v>Finalizada</v>
      </c>
      <c r="F5" s="135">
        <v>0.39583333333333298</v>
      </c>
      <c r="G5" s="135">
        <f t="shared" si="0"/>
        <v>0.40624999999999967</v>
      </c>
      <c r="H5" s="135">
        <v>0.39444444444444399</v>
      </c>
      <c r="I5" s="135">
        <v>0.39236111111111099</v>
      </c>
      <c r="J5" s="135">
        <v>0.39583333333333298</v>
      </c>
      <c r="K5" s="135">
        <v>0.40625</v>
      </c>
      <c r="L5" s="136">
        <f>INT((SUMIF('M-CitaServicio'!$B$4:$B$14,R5,'M-CitaServicio'!$F$4:$F$14)+SUMIF('M-CitaServicio'!$B$4:$B$14,R5,'M-CitaServicio'!$G$4:$G$14))/60)</f>
        <v>0</v>
      </c>
      <c r="M5" s="26">
        <f>MOD((SUMIF('M-CitaServicio'!$B$4:$B$14,R5,'M-CitaServicio'!$F$4:$F$14)+SUMIF('M-CitaServicio'!$B$4:$B$14,R5,'M-CitaServicio'!$G$4:$G$14)),60)</f>
        <v>15</v>
      </c>
      <c r="N5" s="137">
        <f t="shared" si="1"/>
        <v>0</v>
      </c>
      <c r="O5" s="138">
        <f t="shared" si="2"/>
        <v>0</v>
      </c>
      <c r="P5" s="138">
        <v>0</v>
      </c>
      <c r="Q5" s="139">
        <f>SUMIF('M-CitaServicio'!$B$4:$B$14,R5,'M-CitaServicio'!$D$4:$D$14)*(1-P5/100)</f>
        <v>12000</v>
      </c>
      <c r="R5" s="36" t="str">
        <f t="shared" si="3"/>
        <v>+57-3124518923-Martes-09:00-19:00-12/11/2023-1/01/1000-09:00-15:00-si-10/03/2026-09:30</v>
      </c>
    </row>
    <row r="6" spans="1:18" ht="41.25" customHeight="1" x14ac:dyDescent="0.3">
      <c r="A6" s="26">
        <v>3</v>
      </c>
      <c r="B6" s="83" t="str">
        <f>'M-Cliente'!L6</f>
        <v>+57-3119884321</v>
      </c>
      <c r="C6" s="134" t="str">
        <f>'M-Agenda'!E6</f>
        <v>+57-3214533321-Jueves-09:00-19:00-12/11/2023-1/01/1000-13:00-19:00-si-14/05/2026</v>
      </c>
      <c r="D6" s="134">
        <f>'M-Regla'!A4</f>
        <v>1</v>
      </c>
      <c r="E6" s="134" t="str">
        <f>'M-Estado'!D8</f>
        <v>El cliente se demoro</v>
      </c>
      <c r="F6" s="135">
        <v>0.54166666666666696</v>
      </c>
      <c r="G6" s="135">
        <f t="shared" si="0"/>
        <v>0.5555555555555558</v>
      </c>
      <c r="H6" s="135">
        <v>0.55208333333333304</v>
      </c>
      <c r="I6" s="135">
        <v>0.54305555555555596</v>
      </c>
      <c r="J6" s="135">
        <v>0.55208333333333304</v>
      </c>
      <c r="K6" s="135">
        <v>0.56597222222222199</v>
      </c>
      <c r="L6" s="136">
        <f>INT((SUMIF('M-CitaServicio'!$B$4:$B$14,R6,'M-CitaServicio'!$F$4:$F$14)+SUMIF('M-CitaServicio'!$B$4:$B$14,R6,'M-CitaServicio'!$G$4:$G$14))/60)</f>
        <v>0</v>
      </c>
      <c r="M6" s="26">
        <f>MOD((SUMIF('M-CitaServicio'!$B$4:$B$14,R6,'M-CitaServicio'!$F$4:$F$14)+SUMIF('M-CitaServicio'!$B$4:$B$14,R6,'M-CitaServicio'!$G$4:$G$14)),60)</f>
        <v>20</v>
      </c>
      <c r="N6" s="137">
        <f t="shared" si="1"/>
        <v>14.999999999999147</v>
      </c>
      <c r="O6" s="138">
        <f t="shared" si="2"/>
        <v>0</v>
      </c>
      <c r="P6" s="138">
        <v>0</v>
      </c>
      <c r="Q6" s="139">
        <f>SUMIF('M-CitaServicio'!$B$4:$B$14,R6,'M-CitaServicio'!$D$4:$D$14)*(1-P6/100)</f>
        <v>15000</v>
      </c>
      <c r="R6" s="36" t="str">
        <f t="shared" si="3"/>
        <v>+57-3214533321-Jueves-09:00-19:00-12/11/2023-1/01/1000-13:00-19:00-si-14/05/2026-13:00</v>
      </c>
    </row>
    <row r="7" spans="1:18" ht="41.25" customHeight="1" x14ac:dyDescent="0.3">
      <c r="A7" s="26">
        <v>4</v>
      </c>
      <c r="B7" s="83" t="str">
        <f>'M-Cliente'!L7</f>
        <v>+58-4127359182</v>
      </c>
      <c r="C7" s="134" t="str">
        <f>'M-Agenda'!E8</f>
        <v>+91-9876543210-Sábado-08:00-21:00-12/12/2024-1/01/1000-08:00-14:00-no-22/11/2025</v>
      </c>
      <c r="D7" s="134">
        <f>'M-Regla'!A4</f>
        <v>1</v>
      </c>
      <c r="E7" s="134" t="str">
        <f>'M-Estado'!D10</f>
        <v>Inasistencia del cliente</v>
      </c>
      <c r="F7" s="135">
        <v>0.54166666666666696</v>
      </c>
      <c r="G7" s="135">
        <f t="shared" si="0"/>
        <v>0.57638888888888917</v>
      </c>
      <c r="H7" s="135">
        <v>0</v>
      </c>
      <c r="I7" s="135">
        <v>0.52777777777777801</v>
      </c>
      <c r="J7" s="135">
        <v>0</v>
      </c>
      <c r="K7" s="135">
        <v>0</v>
      </c>
      <c r="L7" s="136">
        <f>INT((SUMIF('M-CitaServicio'!$B$4:$B$14,R7,'M-CitaServicio'!$F$4:$F$14)+SUMIF('M-CitaServicio'!$B$4:$B$14,R7,'M-CitaServicio'!$G$4:$G$14))/60)</f>
        <v>0</v>
      </c>
      <c r="M7" s="26">
        <f>MOD((SUMIF('M-CitaServicio'!$B$4:$B$14,R7,'M-CitaServicio'!$F$4:$F$14)+SUMIF('M-CitaServicio'!$B$4:$B$14,R7,'M-CitaServicio'!$G$4:$G$14)),60)</f>
        <v>50</v>
      </c>
      <c r="N7" s="137">
        <f t="shared" si="1"/>
        <v>0</v>
      </c>
      <c r="O7" s="138">
        <f t="shared" si="2"/>
        <v>0</v>
      </c>
      <c r="P7" s="138">
        <v>0</v>
      </c>
      <c r="Q7" s="139">
        <f>SUMIF('M-CitaServicio'!$B$4:$B$14,R7,'M-CitaServicio'!$D$4:$D$14)*(1-P7/100)</f>
        <v>35000</v>
      </c>
      <c r="R7" s="36" t="str">
        <f t="shared" si="3"/>
        <v>+91-9876543210-Sábado-08:00-21:00-12/12/2024-1/01/1000-08:00-14:00-no-22/11/2025-13:00</v>
      </c>
    </row>
    <row r="8" spans="1:18" ht="41.25" customHeight="1" x14ac:dyDescent="0.3">
      <c r="A8" s="26">
        <v>5</v>
      </c>
      <c r="B8" s="83" t="str">
        <f>'M-Cliente'!L7</f>
        <v>+58-4127359182</v>
      </c>
      <c r="C8" s="134" t="str">
        <f>'M-Agenda'!E9</f>
        <v>+57-3214533321-Jueves-09:00-19:00-12/11/2023-1/01/1000-13:00-19:00-si-06/08/2026</v>
      </c>
      <c r="D8" s="134">
        <f>'M-Regla'!A4</f>
        <v>1</v>
      </c>
      <c r="E8" s="134" t="str">
        <f>'M-Estado'!D9</f>
        <v>El barbero se demoro</v>
      </c>
      <c r="F8" s="135">
        <v>0.75</v>
      </c>
      <c r="G8" s="135">
        <f t="shared" si="0"/>
        <v>0.76388888888888884</v>
      </c>
      <c r="H8" s="135">
        <v>0.74861111111111101</v>
      </c>
      <c r="I8" s="135">
        <v>0.76388888888888895</v>
      </c>
      <c r="J8" s="135">
        <v>0.76388888888888895</v>
      </c>
      <c r="K8" s="135">
        <v>0.77777777777777801</v>
      </c>
      <c r="L8" s="136">
        <f>INT((SUMIF('M-CitaServicio'!$B$4:$B$14,R8,'M-CitaServicio'!$F$4:$F$14)+SUMIF('M-CitaServicio'!$B$4:$B$14,R8,'M-CitaServicio'!$G$4:$G$14))/60)</f>
        <v>0</v>
      </c>
      <c r="M8" s="26">
        <f>MOD((SUMIF('M-CitaServicio'!$B$4:$B$14,R8,'M-CitaServicio'!$F$4:$F$14)+SUMIF('M-CitaServicio'!$B$4:$B$14,R8,'M-CitaServicio'!$G$4:$G$14)),60)</f>
        <v>20</v>
      </c>
      <c r="N8" s="137">
        <f t="shared" si="1"/>
        <v>0</v>
      </c>
      <c r="O8" s="138">
        <f t="shared" si="2"/>
        <v>20.000000000000089</v>
      </c>
      <c r="P8" s="138">
        <v>10</v>
      </c>
      <c r="Q8" s="139">
        <f>SUMIF('M-CitaServicio'!$B$4:$B$14,R8,'M-CitaServicio'!$D$4:$D$14)*(1-P8/100)</f>
        <v>10800</v>
      </c>
      <c r="R8" s="36" t="str">
        <f t="shared" si="3"/>
        <v>+57-3214533321-Jueves-09:00-19:00-12/11/2023-1/01/1000-13:00-19:00-si-06/08/2026-18:00</v>
      </c>
    </row>
    <row r="9" spans="1:18" ht="41.25" customHeight="1" x14ac:dyDescent="0.3">
      <c r="A9" s="26">
        <v>6</v>
      </c>
      <c r="B9" s="83" t="str">
        <f>'M-Cliente'!L4</f>
        <v>+57-3234528921</v>
      </c>
      <c r="C9" s="134" t="str">
        <f>'M-Agenda'!E7</f>
        <v>+91-9876543210-Festivo-10:00-15:00-12/12/2024-1/01/1000-12:00-15:00-no-20/02/2026</v>
      </c>
      <c r="D9" s="134">
        <f>'M-Regla'!A4</f>
        <v>1</v>
      </c>
      <c r="E9" s="134" t="str">
        <f>'M-Estado'!D5</f>
        <v>Finalizada</v>
      </c>
      <c r="F9" s="135">
        <v>0.58333333333333304</v>
      </c>
      <c r="G9" s="135">
        <f t="shared" si="0"/>
        <v>0.61805555555555525</v>
      </c>
      <c r="H9" s="135">
        <v>0.58194444444444504</v>
      </c>
      <c r="I9" s="135">
        <v>0.58333333333333304</v>
      </c>
      <c r="J9" s="135">
        <v>0.58333333333333304</v>
      </c>
      <c r="K9" s="135">
        <v>0.61805555555555602</v>
      </c>
      <c r="L9" s="136">
        <f>INT((SUMIF('M-CitaServicio'!$B$4:$B$14,R9,'M-CitaServicio'!$F$4:$F$14)+SUMIF('M-CitaServicio'!$B$4:$B$14,R9,'M-CitaServicio'!$G$4:$G$14))/60)</f>
        <v>0</v>
      </c>
      <c r="M9" s="26">
        <f>MOD((SUMIF('M-CitaServicio'!$B$4:$B$14,R9,'M-CitaServicio'!$F$4:$F$14)+SUMIF('M-CitaServicio'!$B$4:$B$14,R9,'M-CitaServicio'!$G$4:$G$14)),60)</f>
        <v>50</v>
      </c>
      <c r="N9" s="137">
        <f t="shared" si="1"/>
        <v>0</v>
      </c>
      <c r="O9" s="138">
        <f t="shared" si="2"/>
        <v>0</v>
      </c>
      <c r="P9" s="138">
        <v>0</v>
      </c>
      <c r="Q9" s="139">
        <f>SUMIF('M-CitaServicio'!$B$4:$B$14,R9,'M-CitaServicio'!$D$4:$D$14)*(1-P9/100)</f>
        <v>35000</v>
      </c>
      <c r="R9" s="36" t="str">
        <f t="shared" si="3"/>
        <v>+91-9876543210-Festivo-10:00-15:00-12/12/2024-1/01/1000-12:00-15:00-no-20/02/2026-14:00</v>
      </c>
    </row>
    <row r="10" spans="1:18" ht="41.25" customHeight="1" x14ac:dyDescent="0.3">
      <c r="A10" s="26">
        <v>7</v>
      </c>
      <c r="B10" s="83" t="str">
        <f>'M-Cliente'!L8</f>
        <v>+57-3005544332</v>
      </c>
      <c r="C10" s="134" t="str">
        <f>'M-Agenda'!E10</f>
        <v>+57-3245627890-Lunes-09:00-19:00-12/11/2023-1/01/1000-10:00-16:00-si-01/06/2026</v>
      </c>
      <c r="D10" s="134">
        <f>'M-Regla'!A4</f>
        <v>1</v>
      </c>
      <c r="E10" s="134" t="str">
        <f>'M-Estado'!D10</f>
        <v>Inasistencia del cliente</v>
      </c>
      <c r="F10" s="135">
        <v>0.41666666666666702</v>
      </c>
      <c r="G10" s="135">
        <f t="shared" si="0"/>
        <v>0.41666666666666702</v>
      </c>
      <c r="H10" s="135">
        <v>0</v>
      </c>
      <c r="I10" s="135">
        <v>0</v>
      </c>
      <c r="J10" s="135">
        <v>0</v>
      </c>
      <c r="K10" s="135">
        <v>0</v>
      </c>
      <c r="L10" s="136">
        <f>INT((SUMIF('M-CitaServicio'!$B$4:$B$14,R10,'M-CitaServicio'!$F$4:$F$14)+SUMIF('M-CitaServicio'!$B$4:$B$14,R10,'M-CitaServicio'!$G$4:$G$14))/60)</f>
        <v>1</v>
      </c>
      <c r="M10" s="26">
        <f>MOD((SUMIF('M-CitaServicio'!$B$4:$B$14,R10,'M-CitaServicio'!$F$4:$F$14)+SUMIF('M-CitaServicio'!$B$4:$B$14,R10,'M-CitaServicio'!$G$4:$G$14)),60)</f>
        <v>0</v>
      </c>
      <c r="N10" s="137">
        <f t="shared" si="1"/>
        <v>0</v>
      </c>
      <c r="O10" s="138">
        <f t="shared" si="2"/>
        <v>0</v>
      </c>
      <c r="P10" s="138">
        <v>0</v>
      </c>
      <c r="Q10" s="139">
        <f>SUMIF('M-CitaServicio'!$B$4:$B$14,R10,'M-CitaServicio'!$D$4:$D$14)*(1-P10/100)</f>
        <v>22000</v>
      </c>
      <c r="R10" s="36" t="str">
        <f t="shared" si="3"/>
        <v>+57-3245627890-Lunes-09:00-19:00-12/11/2023-1/01/1000-10:00-16:00-si-01/06/2026-10:00</v>
      </c>
    </row>
    <row r="11" spans="1:18" ht="41.25" customHeight="1" x14ac:dyDescent="0.3">
      <c r="A11" s="26">
        <v>8</v>
      </c>
      <c r="B11" s="83" t="str">
        <f>'M-Cliente'!L8</f>
        <v>+57-3005544332</v>
      </c>
      <c r="C11" s="134" t="str">
        <f>'M-Agenda'!E11</f>
        <v>+57-3124518923-Martes-09:00-19:00-12/11/2023-1/01/1000-09:00-15:00-si-16/06/2026</v>
      </c>
      <c r="D11" s="134">
        <f>'M-Regla'!A4</f>
        <v>1</v>
      </c>
      <c r="E11" s="134" t="str">
        <f>'M-Estado'!D10</f>
        <v>Inasistencia del cliente</v>
      </c>
      <c r="F11" s="135">
        <v>0.375</v>
      </c>
      <c r="G11" s="135">
        <f t="shared" si="0"/>
        <v>0.38541666666666669</v>
      </c>
      <c r="H11" s="135">
        <v>0</v>
      </c>
      <c r="I11" s="135">
        <v>0</v>
      </c>
      <c r="J11" s="135">
        <v>0</v>
      </c>
      <c r="K11" s="135">
        <v>0</v>
      </c>
      <c r="L11" s="136">
        <f>INT((SUMIF('M-CitaServicio'!$B$4:$B$14,R11,'M-CitaServicio'!$F$4:$F$14)+SUMIF('M-CitaServicio'!$B$4:$B$14,R11,'M-CitaServicio'!$G$4:$G$14))/60)</f>
        <v>0</v>
      </c>
      <c r="M11" s="26">
        <f>MOD((SUMIF('M-CitaServicio'!$B$4:$B$14,R11,'M-CitaServicio'!$F$4:$F$14)+SUMIF('M-CitaServicio'!$B$4:$B$14,R11,'M-CitaServicio'!$G$4:$G$14)),60)</f>
        <v>15</v>
      </c>
      <c r="N11" s="137">
        <f t="shared" si="1"/>
        <v>0</v>
      </c>
      <c r="O11" s="138">
        <f t="shared" si="2"/>
        <v>0</v>
      </c>
      <c r="P11" s="138">
        <v>0</v>
      </c>
      <c r="Q11" s="139">
        <f>SUMIF('M-CitaServicio'!$B$4:$B$14,R11,'M-CitaServicio'!$D$4:$D$14)*(1-P11/100)</f>
        <v>12000</v>
      </c>
      <c r="R11" s="36" t="str">
        <f t="shared" si="3"/>
        <v>+57-3124518923-Martes-09:00-19:00-12/11/2023-1/01/1000-09:00-15:00-si-16/06/2026-09:00</v>
      </c>
    </row>
    <row r="12" spans="1:18" ht="41.25" customHeight="1" x14ac:dyDescent="0.3">
      <c r="A12" s="26">
        <v>9</v>
      </c>
      <c r="B12" s="83" t="str">
        <f>'M-Cliente'!L8</f>
        <v>+57-3005544332</v>
      </c>
      <c r="C12" s="134" t="str">
        <f>'M-Agenda'!E12</f>
        <v>+57-3214533321-Jueves-09:00-19:00-12/11/2023-1/01/1000-13:00-19:00-si-02/07/2026</v>
      </c>
      <c r="D12" s="134">
        <f>'M-Regla'!A4</f>
        <v>1</v>
      </c>
      <c r="E12" s="134" t="str">
        <f>'M-Estado'!D10</f>
        <v>Inasistencia del cliente</v>
      </c>
      <c r="F12" s="135">
        <v>0.625</v>
      </c>
      <c r="G12" s="135">
        <f t="shared" si="0"/>
        <v>0.63888888888888884</v>
      </c>
      <c r="H12" s="135">
        <v>0</v>
      </c>
      <c r="I12" s="135">
        <v>0</v>
      </c>
      <c r="J12" s="135">
        <v>0</v>
      </c>
      <c r="K12" s="135">
        <v>0</v>
      </c>
      <c r="L12" s="136">
        <f>INT((SUMIF('M-CitaServicio'!$B$4:$B$14,R12,'M-CitaServicio'!$F$4:$F$14)+SUMIF('M-CitaServicio'!$B$4:$B$14,R12,'M-CitaServicio'!$G$4:$G$14))/60)</f>
        <v>0</v>
      </c>
      <c r="M12" s="26">
        <f>MOD((SUMIF('M-CitaServicio'!$B$4:$B$14,R12,'M-CitaServicio'!$F$4:$F$14)+SUMIF('M-CitaServicio'!$B$4:$B$14,R12,'M-CitaServicio'!$G$4:$G$14)),60)</f>
        <v>20</v>
      </c>
      <c r="N12" s="137">
        <f t="shared" si="1"/>
        <v>0</v>
      </c>
      <c r="O12" s="138">
        <f t="shared" si="2"/>
        <v>0</v>
      </c>
      <c r="P12" s="138">
        <v>0</v>
      </c>
      <c r="Q12" s="139">
        <f>SUMIF('M-CitaServicio'!$B$4:$B$14,R12,'M-CitaServicio'!$D$4:$D$14)*(1-P12/100)</f>
        <v>15000</v>
      </c>
      <c r="R12" s="36" t="str">
        <f t="shared" si="3"/>
        <v>+57-3214533321-Jueves-09:00-19:00-12/11/2023-1/01/1000-13:00-19:00-si-02/07/2026-15:00</v>
      </c>
    </row>
    <row r="13" spans="1:18" s="28" customFormat="1" ht="45" customHeight="1" x14ac:dyDescent="0.3">
      <c r="A13" s="26">
        <v>10</v>
      </c>
      <c r="B13" s="83" t="str">
        <f>'M-Cliente'!L5</f>
        <v>+57-3161657782</v>
      </c>
      <c r="C13" s="134" t="str">
        <f>'M-Agenda'!E6</f>
        <v>+57-3214533321-Jueves-09:00-19:00-12/11/2023-1/01/1000-13:00-19:00-si-14/05/2026</v>
      </c>
      <c r="D13" s="83">
        <f>'M-Regla'!A4</f>
        <v>1</v>
      </c>
      <c r="E13" s="83" t="str">
        <f>'M-Estado'!D5</f>
        <v>Finalizada</v>
      </c>
      <c r="F13" s="135">
        <v>0.5625</v>
      </c>
      <c r="G13" s="135">
        <f t="shared" si="0"/>
        <v>0.59027777777777779</v>
      </c>
      <c r="H13" s="135">
        <v>0.56111111111111101</v>
      </c>
      <c r="I13" s="135">
        <v>0.55902777777777801</v>
      </c>
      <c r="J13" s="135">
        <v>0.5625</v>
      </c>
      <c r="K13" s="135">
        <v>0.59027777777777801</v>
      </c>
      <c r="L13" s="136">
        <f>INT((SUMIF('M-CitaServicio'!$B$4:$B$14,R13,'M-CitaServicio'!$F$4:$F$14)+SUMIF('M-CitaServicio'!$B$4:$B$14,R13,'M-CitaServicio'!$G$4:$G$14))/60)</f>
        <v>0</v>
      </c>
      <c r="M13" s="26">
        <f>MOD((SUMIF('M-CitaServicio'!$B$4:$B$14,R13,'M-CitaServicio'!$F$4:$F$14)+SUMIF('M-CitaServicio'!$B$4:$B$14,R13,'M-CitaServicio'!$G$4:$G$14)),60)</f>
        <v>40</v>
      </c>
      <c r="N13" s="137">
        <f t="shared" si="1"/>
        <v>0</v>
      </c>
      <c r="O13" s="138">
        <f t="shared" si="2"/>
        <v>0</v>
      </c>
      <c r="P13" s="138">
        <v>0</v>
      </c>
      <c r="Q13" s="139">
        <f>SUMIF('M-CitaServicio'!$B$4:$B$14,R13,'M-CitaServicio'!$D$4:$D$14)*(1-P13/100)</f>
        <v>27000</v>
      </c>
      <c r="R13" s="36" t="str">
        <f t="shared" si="3"/>
        <v>+57-3214533321-Jueves-09:00-19:00-12/11/2023-1/01/1000-13:00-19:00-si-14/05/2026-13:30</v>
      </c>
    </row>
    <row r="14" spans="1:18" ht="14.25" customHeight="1" x14ac:dyDescent="0.3">
      <c r="B14" s="30"/>
    </row>
    <row r="15" spans="1:18" ht="27.75" customHeight="1" x14ac:dyDescent="0.3"/>
    <row r="16" spans="1:18" ht="27.75" customHeight="1" x14ac:dyDescent="0.3"/>
    <row r="17" spans="1:2" ht="27.75" customHeight="1" x14ac:dyDescent="0.3"/>
    <row r="18" spans="1:2" ht="27.75" customHeight="1" x14ac:dyDescent="0.3"/>
    <row r="19" spans="1:2" ht="28.5" customHeight="1" x14ac:dyDescent="0.3">
      <c r="A19" s="29"/>
      <c r="B19" s="30" t="s">
        <v>88</v>
      </c>
    </row>
    <row r="20" spans="1:2" ht="28.5" customHeight="1" x14ac:dyDescent="0.3">
      <c r="A20" s="31"/>
      <c r="B20" s="30" t="s">
        <v>89</v>
      </c>
    </row>
    <row r="21" spans="1:2" ht="28.5" customHeight="1" x14ac:dyDescent="0.3">
      <c r="A21" s="55"/>
      <c r="B21" s="30" t="s">
        <v>212</v>
      </c>
    </row>
    <row r="22" spans="1:2" ht="28.5" customHeight="1" x14ac:dyDescent="0.3">
      <c r="A22" s="56"/>
      <c r="B22" s="30" t="s">
        <v>90</v>
      </c>
    </row>
    <row r="23" spans="1:2" ht="28.5" customHeight="1" x14ac:dyDescent="0.3">
      <c r="A23" s="99"/>
      <c r="B23" s="30" t="s">
        <v>266</v>
      </c>
    </row>
    <row r="24" spans="1:2" ht="28.5" customHeight="1" x14ac:dyDescent="0.3">
      <c r="A24" s="100"/>
      <c r="B24" s="30" t="s">
        <v>248</v>
      </c>
    </row>
    <row r="25" spans="1:2" ht="28.5" customHeight="1" x14ac:dyDescent="0.3">
      <c r="A25" s="33"/>
      <c r="B25" s="30" t="s">
        <v>91</v>
      </c>
    </row>
  </sheetData>
  <hyperlinks>
    <hyperlink ref="A1" location="'Modelo de Dominio'!A1" display="&lt;&lt;&lt;&lt; Ir al modulo de dominio" xr:uid="{00000000-0004-0000-1D00-000000000000}"/>
    <hyperlink ref="B1" location="'Objetos de Dominio'!A1" display="&lt;&lt;&lt;&lt; Ir a objetos de dominio" xr:uid="{00000000-0004-0000-1D00-000001000000}"/>
    <hyperlink ref="B3" location="'M-Cliente'!A1" display="cliente" xr:uid="{00000000-0004-0000-1D00-000002000000}"/>
    <hyperlink ref="C3" location="'M-Agenda'!A1" display="agenda" xr:uid="{00000000-0004-0000-1D00-000003000000}"/>
    <hyperlink ref="D3" location="'M-Regla'!A1" display="regla" xr:uid="{00000000-0004-0000-1D00-000004000000}"/>
    <hyperlink ref="E3" location="'M-Estado'!A1" display="estado" xr:uid="{00000000-0004-0000-1D00-000005000000}"/>
    <hyperlink ref="B4" location="'M-Cliente'!A4" display="#'M-Cliente'.A4" xr:uid="{00000000-0004-0000-1D00-000006000000}"/>
    <hyperlink ref="C4" location="'M-Agenda'!A4" display="#'M-Agenda'.A4" xr:uid="{00000000-0004-0000-1D00-000007000000}"/>
    <hyperlink ref="D4" location="'M-Regla'!A4" display="#'M-Regla'.A4" xr:uid="{00000000-0004-0000-1D00-000008000000}"/>
    <hyperlink ref="E4" location="'M-Estado'!A4" display="#'M-Estado'.A4" xr:uid="{00000000-0004-0000-1D00-000009000000}"/>
    <hyperlink ref="Q4" location="'M-CitaServicio'!A4" display="#'M-CitaServicio'.A4" xr:uid="{00000000-0004-0000-1D00-00000A000000}"/>
    <hyperlink ref="B5" location="'M-Cliente'!A5" display="#'M-Cliente'.A5" xr:uid="{00000000-0004-0000-1D00-00000B000000}"/>
    <hyperlink ref="C5" location="'M-Agenda'!A5" display="#'M-Agenda'.A5" xr:uid="{00000000-0004-0000-1D00-00000C000000}"/>
    <hyperlink ref="D5" location="'M-Regla'!A4" display="#'M-Regla'.A4" xr:uid="{00000000-0004-0000-1D00-00000D000000}"/>
    <hyperlink ref="E5" location="'M-Estado'!A5" display="#'M-Estado'.A5" xr:uid="{00000000-0004-0000-1D00-00000E000000}"/>
    <hyperlink ref="Q5" location="'M-CitaServicio'!A4" display="#'M-CitaServicio'.A4" xr:uid="{00000000-0004-0000-1D00-00000F000000}"/>
    <hyperlink ref="B6" location="'M-Cliente'!A6" display="#'M-Cliente'.A6" xr:uid="{00000000-0004-0000-1D00-000010000000}"/>
    <hyperlink ref="C6" location="'M-Agenda'!A6" display="#'M-Agenda'.A6" xr:uid="{00000000-0004-0000-1D00-000011000000}"/>
    <hyperlink ref="D6" location="'M-Regla'!A4" display="#'M-Regla'.A4" xr:uid="{00000000-0004-0000-1D00-000012000000}"/>
    <hyperlink ref="E6" location="'M-Estado'!A8" display="#'M-Estado'.A8" xr:uid="{00000000-0004-0000-1D00-000013000000}"/>
    <hyperlink ref="Q6" location="'M-CitaServicio'!A4" display="#'M-CitaServicio'.A4" xr:uid="{00000000-0004-0000-1D00-000014000000}"/>
    <hyperlink ref="B7" location="'M-Cliente'!A7" display="#'M-Cliente'.A7" xr:uid="{00000000-0004-0000-1D00-000015000000}"/>
    <hyperlink ref="C7" location="'M-Agenda'!A8" display="#'M-Agenda'.A8" xr:uid="{00000000-0004-0000-1D00-000016000000}"/>
    <hyperlink ref="D7" location="'M-Regla'!A4" display="#'M-Regla'.A4" xr:uid="{00000000-0004-0000-1D00-000017000000}"/>
    <hyperlink ref="E7" location="'M-Estado'!A10" display="#'M-Estado'.A10" xr:uid="{00000000-0004-0000-1D00-000018000000}"/>
    <hyperlink ref="Q7" location="'M-CitaServicio'!A4" display="#'M-CitaServicio'.A4" xr:uid="{00000000-0004-0000-1D00-000019000000}"/>
    <hyperlink ref="B8" location="'M-Cliente'!A7" display="#'M-Cliente'.A7" xr:uid="{00000000-0004-0000-1D00-00001A000000}"/>
    <hyperlink ref="C8" location="'M-Agenda'!A9" display="#'M-Agenda'.A9" xr:uid="{00000000-0004-0000-1D00-00001B000000}"/>
    <hyperlink ref="D8" location="'M-Regla'!A4" display="#'M-Regla'.A4" xr:uid="{00000000-0004-0000-1D00-00001C000000}"/>
    <hyperlink ref="E8" location="'M-Estado'!A9" display="#'M-Estado'.A9" xr:uid="{00000000-0004-0000-1D00-00001D000000}"/>
    <hyperlink ref="Q8" location="'M-CitaServicio'!A4" display="#'M-CitaServicio'.A4" xr:uid="{00000000-0004-0000-1D00-00001E000000}"/>
    <hyperlink ref="B9" location="'M-Cliente'!A4" display="#'M-Cliente'.A4" xr:uid="{00000000-0004-0000-1D00-00001F000000}"/>
    <hyperlink ref="C9" location="'M-Agenda'!A7" display="#'M-Agenda'.A7" xr:uid="{00000000-0004-0000-1D00-000020000000}"/>
    <hyperlink ref="D9" location="'M-Regla'!A4" display="#'M-Regla'.A4" xr:uid="{00000000-0004-0000-1D00-000021000000}"/>
    <hyperlink ref="E9" location="'M-Estado'!A5" display="#'M-Estado'.A5" xr:uid="{00000000-0004-0000-1D00-000022000000}"/>
    <hyperlink ref="Q9" location="'M-CitaServicio'!A4" display="#'M-CitaServicio'.A4" xr:uid="{00000000-0004-0000-1D00-000023000000}"/>
    <hyperlink ref="B10" location="'M-Cliente'!A8" display="#'M-Cliente'.A8" xr:uid="{00000000-0004-0000-1D00-000024000000}"/>
    <hyperlink ref="C10" location="'M-Agenda'!A10" display="#'M-Agenda'.A10" xr:uid="{00000000-0004-0000-1D00-000025000000}"/>
    <hyperlink ref="D10" location="'M-Regla'!A4" display="#'M-Regla'.A4" xr:uid="{00000000-0004-0000-1D00-000026000000}"/>
    <hyperlink ref="E10" location="'M-Estado'!A10" display="#'M-Estado'.A10" xr:uid="{00000000-0004-0000-1D00-000027000000}"/>
    <hyperlink ref="Q10" location="'M-CitaServicio'!A4" display="#'M-CitaServicio'.A4" xr:uid="{00000000-0004-0000-1D00-000028000000}"/>
    <hyperlink ref="B11" location="'M-Cliente'!A8" display="#'M-Cliente'.A8" xr:uid="{00000000-0004-0000-1D00-000029000000}"/>
    <hyperlink ref="C11" location="'M-Agenda'!A11" display="#'M-Agenda'.A11" xr:uid="{00000000-0004-0000-1D00-00002A000000}"/>
    <hyperlink ref="D11" location="'M-Regla'!A4" display="#'M-Regla'.A4" xr:uid="{00000000-0004-0000-1D00-00002B000000}"/>
    <hyperlink ref="E11" location="'M-Estado'!A10" display="#'M-Estado'.A10" xr:uid="{00000000-0004-0000-1D00-00002C000000}"/>
    <hyperlink ref="Q11" location="'M-CitaServicio'!A4" display="#'M-CitaServicio'.A4" xr:uid="{00000000-0004-0000-1D00-00002D000000}"/>
    <hyperlink ref="B12" location="'M-Cliente'!A8" display="#'M-Cliente'.A8" xr:uid="{00000000-0004-0000-1D00-00002E000000}"/>
    <hyperlink ref="C12" location="'M-Agenda'!A12" display="#'M-Agenda'.A12" xr:uid="{00000000-0004-0000-1D00-00002F000000}"/>
    <hyperlink ref="D12" location="'M-Regla'!A4" display="#'M-Regla'.A4" xr:uid="{00000000-0004-0000-1D00-000030000000}"/>
    <hyperlink ref="E12" location="'M-Estado'!A10" display="#'M-Estado'.A10" xr:uid="{00000000-0004-0000-1D00-000031000000}"/>
    <hyperlink ref="Q12" location="'M-CitaServicio'!A4" display="#'M-CitaServicio'.A4" xr:uid="{00000000-0004-0000-1D00-000032000000}"/>
    <hyperlink ref="B13" location="'M-Cliente'!A5" display="#'M-Cliente'.A5" xr:uid="{00000000-0004-0000-1D00-000033000000}"/>
    <hyperlink ref="C13" location="'M-Agenda'!A6" display="#'M-Agenda'.A6" xr:uid="{00000000-0004-0000-1D00-000034000000}"/>
    <hyperlink ref="D13" location="'M-Regla'!A4" display="#'M-Regla'.A4" xr:uid="{00000000-0004-0000-1D00-000035000000}"/>
    <hyperlink ref="E13" location="'M-Estado'!A5" display="#'M-Estado'.A5" xr:uid="{00000000-0004-0000-1D00-000036000000}"/>
    <hyperlink ref="Q13" location="'M-CitaServicio'!A4" display="#'M-CitaServicio'.A4" xr:uid="{00000000-0004-0000-1D00-000037000000}"/>
  </hyperlinks>
  <pageMargins left="0.7" right="0.7" top="0.75" bottom="0.75" header="0.511811023622047" footer="0.511811023622047"/>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13"/>
  <sheetViews>
    <sheetView zoomScaleNormal="100" workbookViewId="0">
      <selection activeCell="B1" sqref="B1"/>
    </sheetView>
  </sheetViews>
  <sheetFormatPr baseColWidth="10" defaultColWidth="8.6640625" defaultRowHeight="14.4" x14ac:dyDescent="0.3"/>
  <cols>
    <col min="1" max="1" width="26.6640625" customWidth="1"/>
    <col min="2" max="2" width="45" customWidth="1"/>
    <col min="3" max="3" width="21.5546875" customWidth="1"/>
    <col min="4" max="4" width="26.6640625" customWidth="1"/>
    <col min="5" max="12" width="18" customWidth="1"/>
    <col min="13" max="13" width="40" customWidth="1"/>
    <col min="14" max="21" width="18" customWidth="1"/>
  </cols>
  <sheetData>
    <row r="1" spans="1:21" ht="15" customHeight="1" x14ac:dyDescent="0.3">
      <c r="A1" s="5" t="s">
        <v>1</v>
      </c>
      <c r="B1" s="5" t="s">
        <v>41</v>
      </c>
    </row>
    <row r="2" spans="1:2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45" customHeight="1" x14ac:dyDescent="0.3">
      <c r="A3" s="103" t="str">
        <f>'M-CitaServicio'!A3</f>
        <v>id</v>
      </c>
      <c r="B3" s="104" t="str">
        <f>'M-CitaServicio'!A2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3" t="s">
        <v>65</v>
      </c>
      <c r="N3" s="103" t="s">
        <v>66</v>
      </c>
      <c r="O3" s="103" t="s">
        <v>66</v>
      </c>
      <c r="P3" s="103" t="s">
        <v>65</v>
      </c>
      <c r="Q3" s="103" t="s">
        <v>66</v>
      </c>
      <c r="R3" s="103" t="s">
        <v>66</v>
      </c>
      <c r="S3" s="103" t="s">
        <v>66</v>
      </c>
      <c r="T3" s="103" t="s">
        <v>67</v>
      </c>
      <c r="U3" s="103" t="s">
        <v>63</v>
      </c>
    </row>
    <row r="4" spans="1:21" ht="30" customHeight="1" x14ac:dyDescent="0.3">
      <c r="A4" s="113" t="str">
        <f>'M-CitaServicio'!B3</f>
        <v>cita</v>
      </c>
      <c r="B4" s="113" t="str">
        <f>'M-CitaServicio'!B2</f>
        <v>Hace referencia a la cita a la que pertenece este servicio pedido</v>
      </c>
      <c r="C4" s="113" t="s">
        <v>66</v>
      </c>
      <c r="D4" s="129" t="s">
        <v>35</v>
      </c>
      <c r="E4" s="113" t="s">
        <v>63</v>
      </c>
      <c r="F4" s="113" t="s">
        <v>65</v>
      </c>
      <c r="G4" s="113" t="s">
        <v>65</v>
      </c>
      <c r="H4" s="113" t="s">
        <v>65</v>
      </c>
      <c r="I4" s="113" t="s">
        <v>65</v>
      </c>
      <c r="J4" s="113" t="s">
        <v>65</v>
      </c>
      <c r="K4" s="113" t="s">
        <v>65</v>
      </c>
      <c r="L4" s="113" t="s">
        <v>65</v>
      </c>
      <c r="M4" s="128" t="s">
        <v>216</v>
      </c>
      <c r="N4" s="113" t="s">
        <v>66</v>
      </c>
      <c r="O4" s="113" t="s">
        <v>65</v>
      </c>
      <c r="P4" s="113" t="s">
        <v>65</v>
      </c>
      <c r="Q4" s="113" t="s">
        <v>65</v>
      </c>
      <c r="R4" s="113" t="s">
        <v>65</v>
      </c>
      <c r="S4" s="113" t="s">
        <v>66</v>
      </c>
      <c r="T4" s="113" t="s">
        <v>67</v>
      </c>
      <c r="U4" s="113" t="s">
        <v>66</v>
      </c>
    </row>
    <row r="5" spans="1:21" ht="60" customHeight="1" x14ac:dyDescent="0.3">
      <c r="A5" s="103" t="str">
        <f>'M-CitaServicio'!C3</f>
        <v>barberoServicio</v>
      </c>
      <c r="B5" s="104" t="str">
        <f>'M-CitaServicio'!C2</f>
        <v>Hace referencia a qué servicio, de qué barbero específico, se pidió en esta cita. No se referencia el Servicio directamente porque un barbero podría no ofrecerlo</v>
      </c>
      <c r="C5" s="103" t="s">
        <v>66</v>
      </c>
      <c r="D5" s="105" t="s">
        <v>27</v>
      </c>
      <c r="E5" s="103" t="s">
        <v>63</v>
      </c>
      <c r="F5" s="103" t="s">
        <v>65</v>
      </c>
      <c r="G5" s="103" t="s">
        <v>65</v>
      </c>
      <c r="H5" s="103" t="s">
        <v>65</v>
      </c>
      <c r="I5" s="103" t="s">
        <v>65</v>
      </c>
      <c r="J5" s="103" t="s">
        <v>65</v>
      </c>
      <c r="K5" s="103" t="s">
        <v>65</v>
      </c>
      <c r="L5" s="103" t="s">
        <v>65</v>
      </c>
      <c r="M5" s="128" t="s">
        <v>216</v>
      </c>
      <c r="N5" s="103" t="s">
        <v>66</v>
      </c>
      <c r="O5" s="103" t="s">
        <v>65</v>
      </c>
      <c r="P5" s="103" t="s">
        <v>65</v>
      </c>
      <c r="Q5" s="103" t="s">
        <v>65</v>
      </c>
      <c r="R5" s="103" t="s">
        <v>65</v>
      </c>
      <c r="S5" s="103" t="s">
        <v>66</v>
      </c>
      <c r="T5" s="103" t="s">
        <v>67</v>
      </c>
      <c r="U5" s="103" t="s">
        <v>66</v>
      </c>
    </row>
    <row r="6" spans="1:21" ht="75" customHeight="1" x14ac:dyDescent="0.3">
      <c r="A6" s="113" t="str">
        <f>'M-CitaServicio'!D3</f>
        <v>precioServicio</v>
      </c>
      <c r="B6" s="113" t="str">
        <f>'M-CitaServicio'!D2</f>
        <v>Representa el precio que tenía el servicio en el momento en que se agendó esta cita. Es un dato auto generado: copia de Servicio.precio, para que cambios futuros en el precio del catálogo no alteren una cita ya registrada</v>
      </c>
      <c r="C6" s="113" t="s">
        <v>66</v>
      </c>
      <c r="D6" s="113" t="s">
        <v>113</v>
      </c>
      <c r="E6" s="113" t="s">
        <v>63</v>
      </c>
      <c r="F6" s="113" t="s">
        <v>65</v>
      </c>
      <c r="G6" s="113" t="s">
        <v>65</v>
      </c>
      <c r="H6" s="113" t="s">
        <v>65</v>
      </c>
      <c r="I6" s="113" t="s">
        <v>65</v>
      </c>
      <c r="J6" s="113">
        <v>0</v>
      </c>
      <c r="K6" s="113">
        <v>2000000</v>
      </c>
      <c r="L6" s="103" t="s">
        <v>65</v>
      </c>
      <c r="M6" s="113" t="s">
        <v>363</v>
      </c>
      <c r="N6" s="113" t="s">
        <v>66</v>
      </c>
      <c r="O6" s="113" t="s">
        <v>65</v>
      </c>
      <c r="P6" s="113" t="s">
        <v>65</v>
      </c>
      <c r="Q6" s="113" t="s">
        <v>65</v>
      </c>
      <c r="R6" s="113" t="s">
        <v>65</v>
      </c>
      <c r="S6" s="113" t="s">
        <v>66</v>
      </c>
      <c r="T6" s="113" t="s">
        <v>176</v>
      </c>
      <c r="U6" s="113" t="s">
        <v>63</v>
      </c>
    </row>
    <row r="7" spans="1:21" ht="75" customHeight="1" x14ac:dyDescent="0.3">
      <c r="A7" s="113" t="str">
        <f>'M-CitaServicio'!E3</f>
        <v>duracionEnHorasElServicio</v>
      </c>
      <c r="B7" s="113" t="str">
        <f>'M-CitaServicio'!E2</f>
        <v>Representa la duración en horas que tenía el servicio para ese barbero en el momento en que se agendó esta cita. Es un dato auto generado: copia de BarberoServicio.duracionServicio</v>
      </c>
      <c r="C7" s="113" t="s">
        <v>66</v>
      </c>
      <c r="D7" s="113" t="s">
        <v>113</v>
      </c>
      <c r="E7" s="113" t="s">
        <v>63</v>
      </c>
      <c r="F7" s="113" t="s">
        <v>65</v>
      </c>
      <c r="G7" s="113" t="s">
        <v>65</v>
      </c>
      <c r="H7" s="113" t="s">
        <v>65</v>
      </c>
      <c r="I7" s="113" t="s">
        <v>65</v>
      </c>
      <c r="J7" s="113">
        <v>0</v>
      </c>
      <c r="K7" s="113">
        <v>3</v>
      </c>
      <c r="L7" s="103" t="s">
        <v>65</v>
      </c>
      <c r="M7" s="113" t="s">
        <v>364</v>
      </c>
      <c r="N7" s="113" t="s">
        <v>66</v>
      </c>
      <c r="O7" s="113" t="s">
        <v>65</v>
      </c>
      <c r="P7" s="113" t="s">
        <v>65</v>
      </c>
      <c r="Q7" s="113" t="s">
        <v>65</v>
      </c>
      <c r="R7" s="113" t="s">
        <v>65</v>
      </c>
      <c r="S7" s="113" t="s">
        <v>66</v>
      </c>
      <c r="T7" s="140">
        <v>0</v>
      </c>
      <c r="U7" s="113" t="s">
        <v>63</v>
      </c>
    </row>
    <row r="8" spans="1:21" ht="60" customHeight="1" x14ac:dyDescent="0.3">
      <c r="A8" s="103" t="str">
        <f>'M-CitaServicio'!F3</f>
        <v>duracionEnMinutosElServicio</v>
      </c>
      <c r="B8" s="104" t="str">
        <f>'M-CitaServicio'!F2</f>
        <v>Representa la duración en minutos que tenía el servicio para ese barbero en el momento en que se agendó esta cita. Es un dato auto generado: copia de BarberoServicio.duracionServicio</v>
      </c>
      <c r="C8" s="103" t="s">
        <v>66</v>
      </c>
      <c r="D8" s="103" t="s">
        <v>113</v>
      </c>
      <c r="E8" s="103" t="s">
        <v>63</v>
      </c>
      <c r="F8" s="103" t="s">
        <v>65</v>
      </c>
      <c r="G8" s="103" t="s">
        <v>65</v>
      </c>
      <c r="H8" s="103" t="s">
        <v>65</v>
      </c>
      <c r="I8" s="103" t="s">
        <v>65</v>
      </c>
      <c r="J8" s="103">
        <v>0</v>
      </c>
      <c r="K8" s="103">
        <v>59</v>
      </c>
      <c r="L8" s="103" t="s">
        <v>65</v>
      </c>
      <c r="M8" s="104" t="s">
        <v>365</v>
      </c>
      <c r="N8" s="103" t="s">
        <v>66</v>
      </c>
      <c r="O8" s="103" t="s">
        <v>65</v>
      </c>
      <c r="P8" s="103" t="s">
        <v>65</v>
      </c>
      <c r="Q8" s="103" t="s">
        <v>65</v>
      </c>
      <c r="R8" s="103" t="s">
        <v>65</v>
      </c>
      <c r="S8" s="103" t="s">
        <v>66</v>
      </c>
      <c r="T8" s="103" t="s">
        <v>176</v>
      </c>
      <c r="U8" s="103" t="s">
        <v>63</v>
      </c>
    </row>
    <row r="9" spans="1:21" ht="105" customHeight="1" x14ac:dyDescent="0.3">
      <c r="A9" s="113" t="str">
        <f>'M-CitaServicio'!G3</f>
        <v>tiempoExtra</v>
      </c>
      <c r="B9" s="113" t="str">
        <f>'M-CitaServicio'!G2</f>
        <v>Representa el tiempo extra en minutos que ese barbero tenía configurado para este servicio en el momento en que se agendó la cita. Es un dato auto generado: copia de BarberoServicio.tiempoExtra, para que cambios futuros en el tiempo extra no alteren una cita ya registrada</v>
      </c>
      <c r="C9" s="113" t="s">
        <v>66</v>
      </c>
      <c r="D9" s="113" t="s">
        <v>113</v>
      </c>
      <c r="E9" s="113" t="s">
        <v>63</v>
      </c>
      <c r="F9" s="113" t="s">
        <v>65</v>
      </c>
      <c r="G9" s="113" t="s">
        <v>65</v>
      </c>
      <c r="H9" s="113" t="s">
        <v>65</v>
      </c>
      <c r="I9" s="113" t="s">
        <v>65</v>
      </c>
      <c r="J9" s="113">
        <v>0</v>
      </c>
      <c r="K9" s="113">
        <v>59</v>
      </c>
      <c r="L9" s="103" t="s">
        <v>65</v>
      </c>
      <c r="M9" s="113" t="s">
        <v>366</v>
      </c>
      <c r="N9" s="113" t="s">
        <v>66</v>
      </c>
      <c r="O9" s="113" t="s">
        <v>65</v>
      </c>
      <c r="P9" s="113" t="s">
        <v>65</v>
      </c>
      <c r="Q9" s="113" t="s">
        <v>65</v>
      </c>
      <c r="R9" s="113" t="s">
        <v>65</v>
      </c>
      <c r="S9" s="113" t="s">
        <v>66</v>
      </c>
      <c r="T9" s="113" t="s">
        <v>176</v>
      </c>
      <c r="U9" s="113" t="s">
        <v>63</v>
      </c>
    </row>
    <row r="11" spans="1:21" ht="15" customHeight="1" x14ac:dyDescent="0.3">
      <c r="A11" s="19" t="s">
        <v>71</v>
      </c>
      <c r="B11" s="19" t="s">
        <v>72</v>
      </c>
      <c r="C11" s="19" t="s">
        <v>73</v>
      </c>
    </row>
    <row r="12" spans="1:21" ht="57" customHeight="1" x14ac:dyDescent="0.3">
      <c r="A12" s="158" t="str">
        <f>'M-CitaServicio'!H3</f>
        <v xml:space="preserve">Combinación única </v>
      </c>
      <c r="B12" s="159" t="str">
        <f>'M-CitaServicio'!H2</f>
        <v>Combinación única que indica que un mismo servicio no se puede pedir dos veces en la misma cita, es decir que CitaServicio no puede tener la misma cita y el barberoServicio</v>
      </c>
      <c r="C12" s="2" t="str">
        <f>A4</f>
        <v>cita</v>
      </c>
    </row>
    <row r="13" spans="1:21" ht="15" customHeight="1" x14ac:dyDescent="0.3">
      <c r="A13" s="158"/>
      <c r="B13" s="158"/>
      <c r="C13" s="2" t="str">
        <f>A5</f>
        <v>barberoServicio</v>
      </c>
    </row>
  </sheetData>
  <mergeCells count="2">
    <mergeCell ref="A12:A13"/>
    <mergeCell ref="B12:B13"/>
  </mergeCells>
  <hyperlinks>
    <hyperlink ref="A1" location="'Modelo de Dominio'!A1" display="&lt;&lt;&lt;&lt; Ir al modulo de dominio" xr:uid="{00000000-0004-0000-1E00-000000000000}"/>
    <hyperlink ref="B1" location="'Objetos de Dominio'!A1" display="&lt;&lt;&lt;&lt; Ir a objetos de dominio" xr:uid="{00000000-0004-0000-1E00-000001000000}"/>
    <hyperlink ref="A3" location="'M-CitaServicio'!A3" display="#'M-CitaServicio'.A3" xr:uid="{00000000-0004-0000-1E00-000002000000}"/>
    <hyperlink ref="B3" location="'M-CitaServicio'!A2" display="#'M-CitaServicio'.A2" xr:uid="{00000000-0004-0000-1E00-000003000000}"/>
    <hyperlink ref="A4" location="'M-CitaServicio'!A3" display="#'M-CitaServicio'.A3" xr:uid="{00000000-0004-0000-1E00-000004000000}"/>
    <hyperlink ref="B4" location="'M-CitaServicio'!A2" display="#'M-CitaServicio'.A2" xr:uid="{00000000-0004-0000-1E00-000005000000}"/>
    <hyperlink ref="D4" location="'C-Cita'!A1" display="Cita" xr:uid="{00000000-0004-0000-1E00-000006000000}"/>
    <hyperlink ref="A5" location="'M-CitaServicio'!A3" display="#'M-CitaServicio'.A3" xr:uid="{00000000-0004-0000-1E00-000007000000}"/>
    <hyperlink ref="B5" location="'M-CitaServicio'!A2" display="#'M-CitaServicio'.A2" xr:uid="{00000000-0004-0000-1E00-000008000000}"/>
    <hyperlink ref="D5" location="'C-BarberoServicio'!A1" display="BarberoServicio" xr:uid="{00000000-0004-0000-1E00-000009000000}"/>
    <hyperlink ref="A6" location="'M-CitaServicio'!A3" display="#'M-CitaServicio'.A3" xr:uid="{00000000-0004-0000-1E00-00000A000000}"/>
    <hyperlink ref="B6" location="'M-CitaServicio'!A2" display="#'M-CitaServicio'.A2" xr:uid="{00000000-0004-0000-1E00-00000B000000}"/>
    <hyperlink ref="A8" location="'M-CitaServicio'!A3" display="#'M-CitaServicio'.A3" xr:uid="{00000000-0004-0000-1E00-00000C000000}"/>
    <hyperlink ref="B8" location="'M-CitaServicio'!A2" display="#'M-CitaServicio'.A2" xr:uid="{00000000-0004-0000-1E00-00000D000000}"/>
    <hyperlink ref="A9" location="'M-CitaServicio'!A3" display="#'M-CitaServicio'.A3" xr:uid="{00000000-0004-0000-1E00-00000E000000}"/>
    <hyperlink ref="B9" location="'M-CitaServicio'!A2" display="#'M-CitaServicio'.A2" xr:uid="{00000000-0004-0000-1E00-00000F000000}"/>
    <hyperlink ref="A12" location="'M-CitaServicio'!A3" display="#'M-CitaServicio'.A3" xr:uid="{00000000-0004-0000-1E00-000010000000}"/>
    <hyperlink ref="B12" location="'M-CitaServicio'!A2" display="#'M-CitaServicio'.A2" xr:uid="{00000000-0004-0000-1E00-000011000000}"/>
  </hyperlinks>
  <pageMargins left="0.75" right="0.75" top="1" bottom="1" header="0.511811023622047" footer="0.511811023622047"/>
  <pageSetup paperSize="9"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24"/>
  <sheetViews>
    <sheetView zoomScale="130" zoomScaleNormal="130" workbookViewId="0">
      <selection activeCell="B1" sqref="B1"/>
    </sheetView>
  </sheetViews>
  <sheetFormatPr baseColWidth="10" defaultColWidth="10.6640625" defaultRowHeight="14.4" x14ac:dyDescent="0.3"/>
  <cols>
    <col min="1" max="1" width="27" customWidth="1"/>
    <col min="2" max="2" width="33.6640625" customWidth="1"/>
    <col min="3" max="3" width="26.109375" customWidth="1"/>
    <col min="4" max="5" width="36.109375" customWidth="1"/>
    <col min="6" max="6" width="27.33203125" customWidth="1"/>
    <col min="7" max="7" width="45.44140625" customWidth="1"/>
    <col min="8" max="8" width="29.33203125" customWidth="1"/>
  </cols>
  <sheetData>
    <row r="1" spans="1:8" ht="14.25" customHeight="1" x14ac:dyDescent="0.3">
      <c r="A1" s="5" t="s">
        <v>1</v>
      </c>
      <c r="B1" s="5" t="s">
        <v>41</v>
      </c>
      <c r="C1" s="34"/>
      <c r="D1" s="34"/>
      <c r="E1" s="34"/>
      <c r="F1" s="34"/>
    </row>
    <row r="2" spans="1:8" ht="49.5" customHeight="1" x14ac:dyDescent="0.3">
      <c r="A2" s="21" t="s">
        <v>75</v>
      </c>
      <c r="B2" s="21" t="s">
        <v>367</v>
      </c>
      <c r="C2" s="21" t="s">
        <v>368</v>
      </c>
      <c r="D2" s="21" t="s">
        <v>369</v>
      </c>
      <c r="E2" s="21" t="s">
        <v>370</v>
      </c>
      <c r="F2" s="21" t="s">
        <v>371</v>
      </c>
      <c r="G2" s="141" t="s">
        <v>372</v>
      </c>
      <c r="H2" s="22" t="s">
        <v>373</v>
      </c>
    </row>
    <row r="3" spans="1:8" ht="14.25" customHeight="1" x14ac:dyDescent="0.3">
      <c r="A3" s="23" t="s">
        <v>78</v>
      </c>
      <c r="B3" s="109" t="s">
        <v>374</v>
      </c>
      <c r="C3" s="109" t="s">
        <v>375</v>
      </c>
      <c r="D3" s="82" t="s">
        <v>376</v>
      </c>
      <c r="E3" s="82" t="s">
        <v>377</v>
      </c>
      <c r="F3" s="82" t="s">
        <v>378</v>
      </c>
      <c r="G3" s="82" t="s">
        <v>279</v>
      </c>
      <c r="H3" s="25" t="s">
        <v>79</v>
      </c>
    </row>
    <row r="4" spans="1:8" ht="45" customHeight="1" x14ac:dyDescent="0.3">
      <c r="A4" s="26">
        <v>1</v>
      </c>
      <c r="B4" s="142" t="str">
        <f>'M-Cita'!R4</f>
        <v>+57-3245627890-Lunes-09:00-19:00-12/11/2023-1/01/1000-10:00-16:00-si-31/08/2026-10:00</v>
      </c>
      <c r="C4" s="142" t="str">
        <f>'M-BarberoServicio'!H4</f>
        <v>Juan García-Motilada</v>
      </c>
      <c r="D4" s="139">
        <f>'M-Servicio'!D4</f>
        <v>22000</v>
      </c>
      <c r="E4" s="139">
        <f>'M-BarberoServicio'!D4</f>
        <v>0</v>
      </c>
      <c r="F4" s="143">
        <f>'M-BarberoServicio'!E4</f>
        <v>45</v>
      </c>
      <c r="G4" s="143">
        <f>'M-BarberoServicio'!F4</f>
        <v>15</v>
      </c>
      <c r="H4" s="35" t="str">
        <f t="shared" ref="H4:H14" si="0">_xlfn.CONCAT(B4,"-",C4)</f>
        <v>+57-3245627890-Lunes-09:00-19:00-12/11/2023-1/01/1000-10:00-16:00-si-31/08/2026-10:00-Juan García-Motilada</v>
      </c>
    </row>
    <row r="5" spans="1:8" ht="45" customHeight="1" x14ac:dyDescent="0.3">
      <c r="A5" s="26">
        <v>2</v>
      </c>
      <c r="B5" s="134" t="str">
        <f>'M-Cita'!R5</f>
        <v>+57-3124518923-Martes-09:00-19:00-12/11/2023-1/01/1000-09:00-15:00-si-10/03/2026-09:30</v>
      </c>
      <c r="C5" s="134" t="str">
        <f>'M-BarberoServicio'!H5</f>
        <v>Juan Ortiz-Corte de barba</v>
      </c>
      <c r="D5" s="139">
        <f>'M-Servicio'!D5</f>
        <v>12000</v>
      </c>
      <c r="E5" s="139">
        <f>'M-BarberoServicio'!D5</f>
        <v>0</v>
      </c>
      <c r="F5" s="143">
        <f>'M-BarberoServicio'!E5</f>
        <v>10</v>
      </c>
      <c r="G5" s="143">
        <f>'M-BarberoServicio'!F5</f>
        <v>5</v>
      </c>
      <c r="H5" s="35" t="str">
        <f t="shared" si="0"/>
        <v>+57-3124518923-Martes-09:00-19:00-12/11/2023-1/01/1000-09:00-15:00-si-10/03/2026-09:30-Juan Ortiz-Corte de barba</v>
      </c>
    </row>
    <row r="6" spans="1:8" ht="60" customHeight="1" x14ac:dyDescent="0.3">
      <c r="A6" s="26">
        <v>3</v>
      </c>
      <c r="B6" s="134" t="str">
        <f>'M-Cita'!R6</f>
        <v>+57-3214533321-Jueves-09:00-19:00-12/11/2023-1/01/1000-13:00-19:00-si-14/05/2026-13:00</v>
      </c>
      <c r="C6" s="134" t="str">
        <f>'M-BarberoServicio'!H6</f>
        <v>Carlos Arbeladez-Perfilada de barba</v>
      </c>
      <c r="D6" s="139">
        <f>'M-Servicio'!D6</f>
        <v>15000</v>
      </c>
      <c r="E6" s="139">
        <f>'M-BarberoServicio'!D6</f>
        <v>0</v>
      </c>
      <c r="F6" s="143">
        <f>'M-BarberoServicio'!E6</f>
        <v>15</v>
      </c>
      <c r="G6" s="143">
        <f>'M-BarberoServicio'!F6</f>
        <v>5</v>
      </c>
      <c r="H6" s="35" t="str">
        <f t="shared" si="0"/>
        <v>+57-3214533321-Jueves-09:00-19:00-12/11/2023-1/01/1000-13:00-19:00-si-14/05/2026-13:00-Carlos Arbeladez-Perfilada de barba</v>
      </c>
    </row>
    <row r="7" spans="1:8" ht="75" customHeight="1" x14ac:dyDescent="0.3">
      <c r="A7" s="26">
        <v>4</v>
      </c>
      <c r="B7" s="134" t="str">
        <f>'M-Cita'!R7</f>
        <v>+91-9876543210-Sábado-08:00-21:00-12/12/2024-1/01/1000-08:00-14:00-no-22/11/2025-13:00</v>
      </c>
      <c r="C7" s="134" t="str">
        <f>'M-BarberoServicio'!H7</f>
        <v>Andres Ramirez-Arreglo completo de barba con toalla caliente</v>
      </c>
      <c r="D7" s="139">
        <f>'M-Servicio'!D7</f>
        <v>35000</v>
      </c>
      <c r="E7" s="139">
        <f>'M-BarberoServicio'!D7</f>
        <v>0</v>
      </c>
      <c r="F7" s="143">
        <f>'M-BarberoServicio'!E7</f>
        <v>40</v>
      </c>
      <c r="G7" s="143">
        <f>'M-BarberoServicio'!F7</f>
        <v>10</v>
      </c>
      <c r="H7" s="35" t="str">
        <f t="shared" si="0"/>
        <v>+91-9876543210-Sábado-08:00-21:00-12/12/2024-1/01/1000-08:00-14:00-no-22/11/2025-13:00-Andres Ramirez-Arreglo completo de barba con toalla caliente</v>
      </c>
    </row>
    <row r="8" spans="1:8" ht="60" customHeight="1" x14ac:dyDescent="0.3">
      <c r="A8" s="26">
        <v>5</v>
      </c>
      <c r="B8" s="134" t="str">
        <f>'M-Cita'!R8</f>
        <v>+57-3214533321-Jueves-09:00-19:00-12/11/2023-1/01/1000-13:00-19:00-si-06/08/2026-18:00</v>
      </c>
      <c r="C8" s="134" t="str">
        <f>'M-BarberoServicio'!H9</f>
        <v>Carlos Arbeladez-Corte de barba</v>
      </c>
      <c r="D8" s="139">
        <f>'M-Servicio'!D5</f>
        <v>12000</v>
      </c>
      <c r="E8" s="139">
        <f>'M-BarberoServicio'!D9</f>
        <v>0</v>
      </c>
      <c r="F8" s="143">
        <f>'M-BarberoServicio'!E9</f>
        <v>15</v>
      </c>
      <c r="G8" s="143">
        <f>'M-BarberoServicio'!F9</f>
        <v>5</v>
      </c>
      <c r="H8" s="35" t="str">
        <f t="shared" si="0"/>
        <v>+57-3214533321-Jueves-09:00-19:00-12/11/2023-1/01/1000-13:00-19:00-si-06/08/2026-18:00-Carlos Arbeladez-Corte de barba</v>
      </c>
    </row>
    <row r="9" spans="1:8" ht="75" customHeight="1" x14ac:dyDescent="0.3">
      <c r="A9" s="26">
        <v>6</v>
      </c>
      <c r="B9" s="134" t="str">
        <f>'M-Cita'!R9</f>
        <v>+91-9876543210-Festivo-10:00-15:00-12/12/2024-1/01/1000-12:00-15:00-no-20/02/2026-14:00</v>
      </c>
      <c r="C9" s="134" t="str">
        <f>'M-BarberoServicio'!H7</f>
        <v>Andres Ramirez-Arreglo completo de barba con toalla caliente</v>
      </c>
      <c r="D9" s="139">
        <f>'M-Servicio'!D7</f>
        <v>35000</v>
      </c>
      <c r="E9" s="139">
        <f>'M-BarberoServicio'!D7</f>
        <v>0</v>
      </c>
      <c r="F9" s="143">
        <f>'M-BarberoServicio'!E7</f>
        <v>40</v>
      </c>
      <c r="G9" s="143">
        <f>'M-BarberoServicio'!F7</f>
        <v>10</v>
      </c>
      <c r="H9" s="35" t="str">
        <f t="shared" si="0"/>
        <v>+91-9876543210-Festivo-10:00-15:00-12/12/2024-1/01/1000-12:00-15:00-no-20/02/2026-14:00-Andres Ramirez-Arreglo completo de barba con toalla caliente</v>
      </c>
    </row>
    <row r="10" spans="1:8" ht="45" customHeight="1" x14ac:dyDescent="0.3">
      <c r="A10" s="26">
        <v>7</v>
      </c>
      <c r="B10" s="134" t="str">
        <f>'M-Cita'!R10</f>
        <v>+57-3245627890-Lunes-09:00-19:00-12/11/2023-1/01/1000-10:00-16:00-si-01/06/2026-10:00</v>
      </c>
      <c r="C10" s="134" t="str">
        <f>'M-BarberoServicio'!H4</f>
        <v>Juan García-Motilada</v>
      </c>
      <c r="D10" s="139">
        <f>'M-Servicio'!D4</f>
        <v>22000</v>
      </c>
      <c r="E10" s="139">
        <f>'M-BarberoServicio'!D4</f>
        <v>0</v>
      </c>
      <c r="F10" s="143">
        <f>'M-BarberoServicio'!E4</f>
        <v>45</v>
      </c>
      <c r="G10" s="143">
        <f>'M-BarberoServicio'!F4</f>
        <v>15</v>
      </c>
      <c r="H10" s="36" t="str">
        <f t="shared" si="0"/>
        <v>+57-3245627890-Lunes-09:00-19:00-12/11/2023-1/01/1000-10:00-16:00-si-01/06/2026-10:00-Juan García-Motilada</v>
      </c>
    </row>
    <row r="11" spans="1:8" ht="45" customHeight="1" x14ac:dyDescent="0.3">
      <c r="A11" s="26">
        <v>8</v>
      </c>
      <c r="B11" s="134" t="str">
        <f>'M-Cita'!R11</f>
        <v>+57-3124518923-Martes-09:00-19:00-12/11/2023-1/01/1000-09:00-15:00-si-16/06/2026-09:00</v>
      </c>
      <c r="C11" s="134" t="str">
        <f>'M-BarberoServicio'!H5</f>
        <v>Juan Ortiz-Corte de barba</v>
      </c>
      <c r="D11" s="139">
        <f>'M-Servicio'!D5</f>
        <v>12000</v>
      </c>
      <c r="E11" s="139">
        <f>'M-BarberoServicio'!D5</f>
        <v>0</v>
      </c>
      <c r="F11" s="143">
        <f>'M-BarberoServicio'!E5</f>
        <v>10</v>
      </c>
      <c r="G11" s="143">
        <f>'M-BarberoServicio'!F5</f>
        <v>5</v>
      </c>
      <c r="H11" s="36" t="str">
        <f t="shared" si="0"/>
        <v>+57-3124518923-Martes-09:00-19:00-12/11/2023-1/01/1000-09:00-15:00-si-16/06/2026-09:00-Juan Ortiz-Corte de barba</v>
      </c>
    </row>
    <row r="12" spans="1:8" ht="60" customHeight="1" x14ac:dyDescent="0.3">
      <c r="A12" s="26">
        <v>9</v>
      </c>
      <c r="B12" s="134" t="str">
        <f>'M-Cita'!R12</f>
        <v>+57-3214533321-Jueves-09:00-19:00-12/11/2023-1/01/1000-13:00-19:00-si-02/07/2026-15:00</v>
      </c>
      <c r="C12" s="134" t="str">
        <f>'M-BarberoServicio'!H6</f>
        <v>Carlos Arbeladez-Perfilada de barba</v>
      </c>
      <c r="D12" s="139">
        <f>'M-Servicio'!D6</f>
        <v>15000</v>
      </c>
      <c r="E12" s="139">
        <f>'M-BarberoServicio'!D6</f>
        <v>0</v>
      </c>
      <c r="F12" s="143">
        <f>'M-BarberoServicio'!E6</f>
        <v>15</v>
      </c>
      <c r="G12" s="143">
        <f>'M-BarberoServicio'!F6</f>
        <v>5</v>
      </c>
      <c r="H12" s="36" t="str">
        <f t="shared" si="0"/>
        <v>+57-3214533321-Jueves-09:00-19:00-12/11/2023-1/01/1000-13:00-19:00-si-02/07/2026-15:00-Carlos Arbeladez-Perfilada de barba</v>
      </c>
    </row>
    <row r="13" spans="1:8" ht="60" customHeight="1" x14ac:dyDescent="0.3">
      <c r="A13" s="26">
        <v>10</v>
      </c>
      <c r="B13" s="134" t="str">
        <f>'M-Cita'!R13</f>
        <v>+57-3214533321-Jueves-09:00-19:00-12/11/2023-1/01/1000-13:00-19:00-si-14/05/2026-13:30</v>
      </c>
      <c r="C13" s="134" t="str">
        <f>'M-BarberoServicio'!H6</f>
        <v>Carlos Arbeladez-Perfilada de barba</v>
      </c>
      <c r="D13" s="139">
        <f>'M-Servicio'!D6</f>
        <v>15000</v>
      </c>
      <c r="E13" s="139">
        <f>'M-BarberoServicio'!D6</f>
        <v>0</v>
      </c>
      <c r="F13" s="143">
        <f>'M-BarberoServicio'!E6</f>
        <v>15</v>
      </c>
      <c r="G13" s="143">
        <f>'M-BarberoServicio'!F6</f>
        <v>5</v>
      </c>
      <c r="H13" s="36" t="str">
        <f t="shared" si="0"/>
        <v>+57-3214533321-Jueves-09:00-19:00-12/11/2023-1/01/1000-13:00-19:00-si-14/05/2026-13:30-Carlos Arbeladez-Perfilada de barba</v>
      </c>
    </row>
    <row r="14" spans="1:8" ht="60" customHeight="1" x14ac:dyDescent="0.3">
      <c r="A14" s="26">
        <v>11</v>
      </c>
      <c r="B14" s="134" t="str">
        <f>'M-Cita'!R13</f>
        <v>+57-3214533321-Jueves-09:00-19:00-12/11/2023-1/01/1000-13:00-19:00-si-14/05/2026-13:30</v>
      </c>
      <c r="C14" s="134" t="str">
        <f>'M-BarberoServicio'!H9</f>
        <v>Carlos Arbeladez-Corte de barba</v>
      </c>
      <c r="D14" s="139">
        <f>'M-Servicio'!D5</f>
        <v>12000</v>
      </c>
      <c r="E14" s="139">
        <f>'M-BarberoServicio'!D9</f>
        <v>0</v>
      </c>
      <c r="F14" s="143">
        <f>'M-BarberoServicio'!E9</f>
        <v>15</v>
      </c>
      <c r="G14" s="143">
        <f>'M-BarberoServicio'!F9</f>
        <v>5</v>
      </c>
      <c r="H14" s="36" t="str">
        <f t="shared" si="0"/>
        <v>+57-3214533321-Jueves-09:00-19:00-12/11/2023-1/01/1000-13:00-19:00-si-14/05/2026-13:30-Carlos Arbeladez-Corte de barba</v>
      </c>
    </row>
    <row r="15" spans="1:8" ht="28.5" customHeight="1" x14ac:dyDescent="0.3">
      <c r="B15" s="30"/>
    </row>
    <row r="16" spans="1:8" ht="28.5" customHeight="1" x14ac:dyDescent="0.3">
      <c r="B16" s="30"/>
    </row>
    <row r="17" spans="1:2" ht="28.5" customHeight="1" x14ac:dyDescent="0.3">
      <c r="B17" s="30"/>
    </row>
    <row r="18" spans="1:2" ht="28.5" customHeight="1" x14ac:dyDescent="0.3">
      <c r="B18" s="30"/>
    </row>
    <row r="19" spans="1:2" ht="28.5" customHeight="1" x14ac:dyDescent="0.3">
      <c r="B19" s="30"/>
    </row>
    <row r="20" spans="1:2" ht="28.5" customHeight="1" x14ac:dyDescent="0.3">
      <c r="A20" s="29"/>
      <c r="B20" s="30" t="s">
        <v>88</v>
      </c>
    </row>
    <row r="21" spans="1:2" ht="28.5" customHeight="1" x14ac:dyDescent="0.3">
      <c r="A21" s="31"/>
      <c r="B21" s="30" t="s">
        <v>89</v>
      </c>
    </row>
    <row r="22" spans="1:2" ht="28.5" customHeight="1" x14ac:dyDescent="0.3">
      <c r="A22" s="55"/>
      <c r="B22" s="30" t="s">
        <v>212</v>
      </c>
    </row>
    <row r="23" spans="1:2" ht="14.25" customHeight="1" x14ac:dyDescent="0.3">
      <c r="A23" s="57"/>
      <c r="B23" t="s">
        <v>133</v>
      </c>
    </row>
    <row r="24" spans="1:2" ht="14.25" customHeight="1" x14ac:dyDescent="0.3">
      <c r="A24" s="33"/>
      <c r="B24" t="s">
        <v>91</v>
      </c>
    </row>
  </sheetData>
  <hyperlinks>
    <hyperlink ref="A1" location="'Modelo de Dominio'!A1" display="&lt;&lt;&lt;&lt; Ir al modulo de dominio" xr:uid="{00000000-0004-0000-1F00-000000000000}"/>
    <hyperlink ref="B1" location="'Objetos de Dominio'!A1" display="&lt;&lt;&lt;&lt; Ir a objetos de dominio" xr:uid="{00000000-0004-0000-1F00-000001000000}"/>
    <hyperlink ref="B3" location="'M-Cita'!A1" display="cita" xr:uid="{00000000-0004-0000-1F00-000002000000}"/>
    <hyperlink ref="C3" location="'M-BarberoServicio'!A1" display="barberoServicio" xr:uid="{00000000-0004-0000-1F00-000003000000}"/>
    <hyperlink ref="B4" location="'M-Cita'!A4" display="#'M-Cita'.A4" xr:uid="{00000000-0004-0000-1F00-000004000000}"/>
    <hyperlink ref="C4" location="'M-BarberoServicio'!A4" display="#'M-BarberoServicio'.A4" xr:uid="{00000000-0004-0000-1F00-000005000000}"/>
    <hyperlink ref="D4" location="'M-Servicio'!A4" display="#'M-Servicio'.A4" xr:uid="{00000000-0004-0000-1F00-000006000000}"/>
    <hyperlink ref="F4" location="'M-BarberoServicio'!A4" display="#'M-BarberoServicio'.A4" xr:uid="{00000000-0004-0000-1F00-000007000000}"/>
    <hyperlink ref="G4" location="'M-BarberoServicio'!A4" display="#'M-BarberoServicio'.A4" xr:uid="{00000000-0004-0000-1F00-000008000000}"/>
    <hyperlink ref="B5" location="'M-Cita'!A5" display="#'M-Cita'.A5" xr:uid="{00000000-0004-0000-1F00-000009000000}"/>
    <hyperlink ref="C5" location="'M-BarberoServicio'!A5" display="#'M-BarberoServicio'.A5" xr:uid="{00000000-0004-0000-1F00-00000A000000}"/>
    <hyperlink ref="D5" location="'M-Servicio'!A5" display="#'M-Servicio'.A5" xr:uid="{00000000-0004-0000-1F00-00000B000000}"/>
    <hyperlink ref="F5" location="'M-BarberoServicio'!A5" display="#'M-BarberoServicio'.A5" xr:uid="{00000000-0004-0000-1F00-00000C000000}"/>
    <hyperlink ref="G5" location="'M-BarberoServicio'!A5" display="#'M-BarberoServicio'.A5" xr:uid="{00000000-0004-0000-1F00-00000D000000}"/>
    <hyperlink ref="B6" location="'M-Cita'!A6" display="#'M-Cita'.A6" xr:uid="{00000000-0004-0000-1F00-00000E000000}"/>
    <hyperlink ref="C6" location="'M-BarberoServicio'!A6" display="#'M-BarberoServicio'.A6" xr:uid="{00000000-0004-0000-1F00-00000F000000}"/>
    <hyperlink ref="D6" location="'M-Servicio'!A6" display="#'M-Servicio'.A6" xr:uid="{00000000-0004-0000-1F00-000010000000}"/>
    <hyperlink ref="F6" location="'M-BarberoServicio'!A6" display="#'M-BarberoServicio'.A6" xr:uid="{00000000-0004-0000-1F00-000011000000}"/>
    <hyperlink ref="G6" location="'M-BarberoServicio'!A6" display="#'M-BarberoServicio'.A6" xr:uid="{00000000-0004-0000-1F00-000012000000}"/>
    <hyperlink ref="B7" location="'M-Cita'!A7" display="#'M-Cita'.A7" xr:uid="{00000000-0004-0000-1F00-000013000000}"/>
    <hyperlink ref="C7" location="'M-BarberoServicio'!A7" display="#'M-BarberoServicio'.A7" xr:uid="{00000000-0004-0000-1F00-000014000000}"/>
    <hyperlink ref="D7" location="'M-Servicio'!A7" display="#'M-Servicio'.A7" xr:uid="{00000000-0004-0000-1F00-000015000000}"/>
    <hyperlink ref="F7" location="'M-BarberoServicio'!A7" display="#'M-BarberoServicio'.A7" xr:uid="{00000000-0004-0000-1F00-000016000000}"/>
    <hyperlink ref="G7" location="'M-BarberoServicio'!A7" display="#'M-BarberoServicio'.A7" xr:uid="{00000000-0004-0000-1F00-000017000000}"/>
    <hyperlink ref="B8" location="'M-Cita'!A8" display="#'M-Cita'.A8" xr:uid="{00000000-0004-0000-1F00-000018000000}"/>
    <hyperlink ref="C8" location="'M-BarberoServicio'!A9" display="#'M-BarberoServicio'.A9" xr:uid="{00000000-0004-0000-1F00-000019000000}"/>
    <hyperlink ref="D8" location="'M-Servicio'!A5" display="#'M-Servicio'.A5" xr:uid="{00000000-0004-0000-1F00-00001A000000}"/>
    <hyperlink ref="F8" location="'M-BarberoServicio'!A9" display="#'M-BarberoServicio'.A9" xr:uid="{00000000-0004-0000-1F00-00001B000000}"/>
    <hyperlink ref="G8" location="'M-BarberoServicio'!A9" display="#'M-BarberoServicio'.A9" xr:uid="{00000000-0004-0000-1F00-00001C000000}"/>
    <hyperlink ref="B9" location="'M-Cita'!A9" display="#'M-Cita'.A9" xr:uid="{00000000-0004-0000-1F00-00001D000000}"/>
    <hyperlink ref="C9" location="'M-BarberoServicio'!A7" display="#'M-BarberoServicio'.A7" xr:uid="{00000000-0004-0000-1F00-00001E000000}"/>
    <hyperlink ref="D9" location="'M-Servicio'!A7" display="#'M-Servicio'.A7" xr:uid="{00000000-0004-0000-1F00-00001F000000}"/>
    <hyperlink ref="F9" location="'M-BarberoServicio'!A7" display="#'M-BarberoServicio'.A7" xr:uid="{00000000-0004-0000-1F00-000020000000}"/>
    <hyperlink ref="G9" location="'M-BarberoServicio'!A7" display="#'M-BarberoServicio'.A7" xr:uid="{00000000-0004-0000-1F00-000021000000}"/>
    <hyperlink ref="B10" location="'M-Cita'!A10" display="#'M-Cita'.A10" xr:uid="{00000000-0004-0000-1F00-000022000000}"/>
    <hyperlink ref="C10" location="'M-BarberoServicio'!A4" display="#'M-BarberoServicio'.A4" xr:uid="{00000000-0004-0000-1F00-000023000000}"/>
    <hyperlink ref="D10" location="'M-Servicio'!A4" display="#'M-Servicio'.A4" xr:uid="{00000000-0004-0000-1F00-000024000000}"/>
    <hyperlink ref="F10" location="'M-BarberoServicio'!A4" display="#'M-BarberoServicio'.A4" xr:uid="{00000000-0004-0000-1F00-000025000000}"/>
    <hyperlink ref="G10" location="'M-BarberoServicio'!A4" display="#'M-BarberoServicio'.A4" xr:uid="{00000000-0004-0000-1F00-000026000000}"/>
    <hyperlink ref="B11" location="'M-Cita'!A11" display="#'M-Cita'.A11" xr:uid="{00000000-0004-0000-1F00-000027000000}"/>
    <hyperlink ref="C11" location="'M-BarberoServicio'!A5" display="#'M-BarberoServicio'.A5" xr:uid="{00000000-0004-0000-1F00-000028000000}"/>
    <hyperlink ref="D11" location="'M-Servicio'!A5" display="#'M-Servicio'.A5" xr:uid="{00000000-0004-0000-1F00-000029000000}"/>
    <hyperlink ref="F11" location="'M-BarberoServicio'!A5" display="#'M-BarberoServicio'.A5" xr:uid="{00000000-0004-0000-1F00-00002A000000}"/>
    <hyperlink ref="G11" location="'M-BarberoServicio'!A5" display="#'M-BarberoServicio'.A5" xr:uid="{00000000-0004-0000-1F00-00002B000000}"/>
    <hyperlink ref="B12" location="'M-Cita'!A12" display="#'M-Cita'.A12" xr:uid="{00000000-0004-0000-1F00-00002C000000}"/>
    <hyperlink ref="C12" location="'M-BarberoServicio'!A6" display="#'M-BarberoServicio'.A6" xr:uid="{00000000-0004-0000-1F00-00002D000000}"/>
    <hyperlink ref="D12" location="'M-Servicio'!A6" display="#'M-Servicio'.A6" xr:uid="{00000000-0004-0000-1F00-00002E000000}"/>
    <hyperlink ref="F12" location="'M-BarberoServicio'!A6" display="#'M-BarberoServicio'.A6" xr:uid="{00000000-0004-0000-1F00-00002F000000}"/>
    <hyperlink ref="G12" location="'M-BarberoServicio'!A6" display="#'M-BarberoServicio'.A6" xr:uid="{00000000-0004-0000-1F00-000030000000}"/>
    <hyperlink ref="B13" location="'M-Cita'!A13" display="#'M-Cita'.A13" xr:uid="{00000000-0004-0000-1F00-000031000000}"/>
    <hyperlink ref="C13" location="'M-BarberoServicio'!A6" display="#'M-BarberoServicio'.A6" xr:uid="{00000000-0004-0000-1F00-000032000000}"/>
    <hyperlink ref="D13" location="'M-Servicio'!A6" display="#'M-Servicio'.A6" xr:uid="{00000000-0004-0000-1F00-000033000000}"/>
    <hyperlink ref="F13" location="'M-BarberoServicio'!A6" display="#'M-BarberoServicio'.A6" xr:uid="{00000000-0004-0000-1F00-000034000000}"/>
    <hyperlink ref="G13" location="'M-BarberoServicio'!A6" display="#'M-BarberoServicio'.A6" xr:uid="{00000000-0004-0000-1F00-000035000000}"/>
    <hyperlink ref="B14" location="'M-Cita'!A13" display="#'M-Cita'.A13" xr:uid="{00000000-0004-0000-1F00-000036000000}"/>
    <hyperlink ref="C14" location="'M-BarberoServicio'!A9" display="#'M-BarberoServicio'.A9" xr:uid="{00000000-0004-0000-1F00-000037000000}"/>
    <hyperlink ref="D14" location="'M-Servicio'!A5" display="#'M-Servicio'.A5" xr:uid="{00000000-0004-0000-1F00-000038000000}"/>
    <hyperlink ref="F14" location="'M-BarberoServicio'!A9" display="#'M-BarberoServicio'.A9" xr:uid="{00000000-0004-0000-1F00-000039000000}"/>
    <hyperlink ref="G14" location="'M-BarberoServicio'!A9" display="#'M-BarberoServicio'.A9" xr:uid="{00000000-0004-0000-1F00-00003A000000}"/>
  </hyperlinks>
  <pageMargins left="0.7" right="0.7" top="0.75" bottom="0.75" header="0.511811023622047" footer="0.511811023622047"/>
  <pageSetup paperSize="9"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12"/>
  <sheetViews>
    <sheetView zoomScaleNormal="100" workbookViewId="0">
      <selection activeCell="B1" sqref="B1"/>
    </sheetView>
  </sheetViews>
  <sheetFormatPr baseColWidth="10" defaultColWidth="8.6640625" defaultRowHeight="14.4" x14ac:dyDescent="0.3"/>
  <cols>
    <col min="1" max="1" width="26.6640625" customWidth="1"/>
    <col min="2" max="2" width="45" customWidth="1"/>
    <col min="3" max="3" width="21.5546875" customWidth="1"/>
    <col min="4" max="4" width="24.33203125" customWidth="1"/>
    <col min="5" max="12" width="18" customWidth="1"/>
    <col min="13" max="13" width="40" customWidth="1"/>
    <col min="14" max="21" width="18" customWidth="1"/>
  </cols>
  <sheetData>
    <row r="1" spans="1:21" ht="15" customHeight="1" x14ac:dyDescent="0.3">
      <c r="A1" s="5" t="s">
        <v>1</v>
      </c>
      <c r="B1" s="5" t="s">
        <v>41</v>
      </c>
    </row>
    <row r="2" spans="1:21" s="16" customFormat="1" ht="45" customHeight="1" x14ac:dyDescent="0.3">
      <c r="A2" s="102" t="s">
        <v>42</v>
      </c>
      <c r="B2" s="102" t="s">
        <v>43</v>
      </c>
      <c r="C2" s="102" t="s">
        <v>44</v>
      </c>
      <c r="D2" s="102" t="s">
        <v>45</v>
      </c>
      <c r="E2" s="102" t="s">
        <v>46</v>
      </c>
      <c r="F2" s="102" t="s">
        <v>47</v>
      </c>
      <c r="G2" s="102" t="s">
        <v>48</v>
      </c>
      <c r="H2" s="102" t="s">
        <v>49</v>
      </c>
      <c r="I2" s="102" t="s">
        <v>50</v>
      </c>
      <c r="J2" s="102" t="s">
        <v>51</v>
      </c>
      <c r="K2" s="102" t="s">
        <v>52</v>
      </c>
      <c r="L2" s="102" t="s">
        <v>53</v>
      </c>
      <c r="M2" s="102" t="s">
        <v>54</v>
      </c>
      <c r="N2" s="102" t="s">
        <v>55</v>
      </c>
      <c r="O2" s="102" t="s">
        <v>56</v>
      </c>
      <c r="P2" s="102" t="s">
        <v>57</v>
      </c>
      <c r="Q2" s="102" t="s">
        <v>58</v>
      </c>
      <c r="R2" s="102" t="s">
        <v>59</v>
      </c>
      <c r="S2" s="102" t="s">
        <v>60</v>
      </c>
      <c r="T2" s="102" t="s">
        <v>61</v>
      </c>
      <c r="U2" s="102" t="s">
        <v>62</v>
      </c>
    </row>
    <row r="3" spans="1:21" ht="45" customHeight="1" x14ac:dyDescent="0.3">
      <c r="A3" s="103" t="str">
        <f>'M-Multa'!A3</f>
        <v>id</v>
      </c>
      <c r="B3" s="104" t="str">
        <f>'M-Multa'!A2</f>
        <v>Representa un identificador que hará unico cada objeto de dominio de este tipo, no se puede repetir</v>
      </c>
      <c r="C3" s="103" t="s">
        <v>63</v>
      </c>
      <c r="D3" s="103" t="s">
        <v>64</v>
      </c>
      <c r="E3" s="103" t="s">
        <v>63</v>
      </c>
      <c r="F3" s="103" t="s">
        <v>65</v>
      </c>
      <c r="G3" s="103" t="s">
        <v>65</v>
      </c>
      <c r="H3" s="103" t="s">
        <v>65</v>
      </c>
      <c r="I3" s="103" t="s">
        <v>65</v>
      </c>
      <c r="J3" s="103" t="s">
        <v>65</v>
      </c>
      <c r="K3" s="103" t="s">
        <v>65</v>
      </c>
      <c r="L3" s="103" t="s">
        <v>65</v>
      </c>
      <c r="M3" s="104" t="s">
        <v>65</v>
      </c>
      <c r="N3" s="103" t="s">
        <v>66</v>
      </c>
      <c r="O3" s="113" t="s">
        <v>65</v>
      </c>
      <c r="P3" s="103" t="s">
        <v>65</v>
      </c>
      <c r="Q3" s="113" t="s">
        <v>65</v>
      </c>
      <c r="R3" s="113" t="s">
        <v>65</v>
      </c>
      <c r="S3" s="113" t="s">
        <v>66</v>
      </c>
      <c r="T3" s="103" t="s">
        <v>67</v>
      </c>
      <c r="U3" s="103" t="s">
        <v>63</v>
      </c>
    </row>
    <row r="4" spans="1:21" ht="75" customHeight="1" x14ac:dyDescent="0.3">
      <c r="A4" s="113" t="str">
        <f>'M-Multa'!B3</f>
        <v>cita</v>
      </c>
      <c r="B4" s="113" t="str">
        <f>'M-Multa'!B2</f>
        <v>Hace referencia a la cita puntual que el cliente incumplió (llegando tarde fuera de la tolerancia o no presentándose), de esa cita es de donde sale el valor de monto si fue el caso de no presentase</v>
      </c>
      <c r="C4" s="113" t="s">
        <v>66</v>
      </c>
      <c r="D4" s="129" t="s">
        <v>35</v>
      </c>
      <c r="E4" s="113" t="s">
        <v>63</v>
      </c>
      <c r="F4" s="113" t="s">
        <v>65</v>
      </c>
      <c r="G4" s="113" t="s">
        <v>65</v>
      </c>
      <c r="H4" s="113" t="s">
        <v>65</v>
      </c>
      <c r="I4" s="113" t="s">
        <v>65</v>
      </c>
      <c r="J4" s="113" t="s">
        <v>65</v>
      </c>
      <c r="K4" s="113" t="s">
        <v>65</v>
      </c>
      <c r="L4" s="113" t="s">
        <v>65</v>
      </c>
      <c r="M4" s="113" t="s">
        <v>216</v>
      </c>
      <c r="N4" s="113" t="s">
        <v>66</v>
      </c>
      <c r="O4" s="113" t="s">
        <v>65</v>
      </c>
      <c r="P4" s="113" t="s">
        <v>65</v>
      </c>
      <c r="Q4" s="113" t="s">
        <v>65</v>
      </c>
      <c r="R4" s="113" t="s">
        <v>65</v>
      </c>
      <c r="S4" s="113" t="s">
        <v>66</v>
      </c>
      <c r="T4" s="113" t="s">
        <v>67</v>
      </c>
      <c r="U4" s="113" t="s">
        <v>66</v>
      </c>
    </row>
    <row r="5" spans="1:21" ht="45" customHeight="1" x14ac:dyDescent="0.3">
      <c r="A5" s="103" t="str">
        <f>'M-Multa'!C3</f>
        <v>tipo</v>
      </c>
      <c r="B5" s="104" t="str">
        <f>'M-Multa'!C2</f>
        <v>Hace referencia al tipo de multa -tardanza o inasistencia- según lo que haya ocurrido con la cita</v>
      </c>
      <c r="C5" s="103" t="s">
        <v>66</v>
      </c>
      <c r="D5" s="105" t="s">
        <v>19</v>
      </c>
      <c r="E5" s="103" t="s">
        <v>63</v>
      </c>
      <c r="F5" s="103" t="s">
        <v>65</v>
      </c>
      <c r="G5" s="103" t="s">
        <v>65</v>
      </c>
      <c r="H5" s="103" t="s">
        <v>65</v>
      </c>
      <c r="I5" s="103" t="s">
        <v>65</v>
      </c>
      <c r="J5" s="103" t="s">
        <v>65</v>
      </c>
      <c r="K5" s="103" t="s">
        <v>65</v>
      </c>
      <c r="L5" s="103" t="s">
        <v>65</v>
      </c>
      <c r="M5" s="104" t="s">
        <v>216</v>
      </c>
      <c r="N5" s="103" t="s">
        <v>66</v>
      </c>
      <c r="O5" s="103" t="s">
        <v>65</v>
      </c>
      <c r="P5" s="103" t="s">
        <v>65</v>
      </c>
      <c r="Q5" s="103" t="s">
        <v>65</v>
      </c>
      <c r="R5" s="103" t="s">
        <v>65</v>
      </c>
      <c r="S5" s="103" t="s">
        <v>66</v>
      </c>
      <c r="T5" s="103" t="s">
        <v>67</v>
      </c>
      <c r="U5" s="103" t="s">
        <v>66</v>
      </c>
    </row>
    <row r="6" spans="1:21" ht="105" customHeight="1" x14ac:dyDescent="0.3">
      <c r="A6" s="113" t="str">
        <f>'M-Multa'!D3</f>
        <v>monto</v>
      </c>
      <c r="B6" s="113" t="str">
        <f>'M-Multa'!D2</f>
        <v>Representa cuánto dinero en pesos colombianos debe pagar el cliente por esta multa. Es un dato auto generado: si el tipo es Tardanza copia el monto fijo de Regla.montoMultaTardanzaCliente; si el tipo es Inasistencia copia el precioFinal de la Cita incumplida</v>
      </c>
      <c r="C6" s="113" t="s">
        <v>66</v>
      </c>
      <c r="D6" s="113" t="s">
        <v>113</v>
      </c>
      <c r="E6" s="113" t="s">
        <v>63</v>
      </c>
      <c r="F6" s="113" t="s">
        <v>65</v>
      </c>
      <c r="G6" s="113" t="s">
        <v>65</v>
      </c>
      <c r="H6" s="113" t="s">
        <v>65</v>
      </c>
      <c r="I6" s="113" t="s">
        <v>65</v>
      </c>
      <c r="J6" s="113">
        <v>0</v>
      </c>
      <c r="K6" s="144">
        <v>1000000</v>
      </c>
      <c r="L6" s="103" t="s">
        <v>65</v>
      </c>
      <c r="M6" s="113" t="s">
        <v>379</v>
      </c>
      <c r="N6" s="113" t="s">
        <v>66</v>
      </c>
      <c r="O6" s="113" t="s">
        <v>65</v>
      </c>
      <c r="P6" s="113" t="s">
        <v>65</v>
      </c>
      <c r="Q6" s="113" t="s">
        <v>65</v>
      </c>
      <c r="R6" s="113" t="s">
        <v>65</v>
      </c>
      <c r="S6" s="113" t="s">
        <v>66</v>
      </c>
      <c r="T6" s="113" t="s">
        <v>176</v>
      </c>
      <c r="U6" s="113" t="s">
        <v>63</v>
      </c>
    </row>
    <row r="7" spans="1:21" ht="105" customHeight="1" x14ac:dyDescent="0.3">
      <c r="A7" s="103" t="str">
        <f>'M-Multa'!E3</f>
        <v>horaGeneracion</v>
      </c>
      <c r="B7" s="104" t="str">
        <f>'M-Multa'!E2</f>
        <v>Representa la hora en la que el sistema generó esta multa: si es por tardanza, en el momento en que el cliente llega superando la tolerancia; si es por inasistencia, en la hora estimada de finalización de la cita sin que el cliente haya llegado. El día es el mismo día de la agenda de la cita que la originó</v>
      </c>
      <c r="C7" s="103" t="s">
        <v>66</v>
      </c>
      <c r="D7" s="103" t="s">
        <v>249</v>
      </c>
      <c r="E7" s="103" t="s">
        <v>63</v>
      </c>
      <c r="F7" s="103" t="s">
        <v>65</v>
      </c>
      <c r="G7" s="103" t="s">
        <v>65</v>
      </c>
      <c r="H7" s="103" t="s">
        <v>65</v>
      </c>
      <c r="I7" s="103" t="s">
        <v>65</v>
      </c>
      <c r="J7" s="103" t="s">
        <v>65</v>
      </c>
      <c r="K7" s="103" t="s">
        <v>65</v>
      </c>
      <c r="L7" s="103" t="s">
        <v>65</v>
      </c>
      <c r="M7" s="104" t="s">
        <v>380</v>
      </c>
      <c r="N7" s="103" t="s">
        <v>66</v>
      </c>
      <c r="O7" s="103" t="s">
        <v>65</v>
      </c>
      <c r="P7" s="103" t="s">
        <v>65</v>
      </c>
      <c r="Q7" s="103" t="s">
        <v>65</v>
      </c>
      <c r="R7" s="103" t="s">
        <v>65</v>
      </c>
      <c r="S7" s="103" t="s">
        <v>66</v>
      </c>
      <c r="T7" s="103" t="s">
        <v>250</v>
      </c>
      <c r="U7" s="103" t="s">
        <v>63</v>
      </c>
    </row>
    <row r="8" spans="1:21" ht="60" customHeight="1" x14ac:dyDescent="0.3">
      <c r="A8" s="113" t="str">
        <f>'M-Multa'!F3</f>
        <v>fechaHoraPago</v>
      </c>
      <c r="B8" s="113" t="str">
        <f>'M-Multa'!F2</f>
        <v>Representa la fecha y hora en la que el cliente pagó esta multa. Su valor por defecto es 01/01/1000 00:00 y es permitido: significa que la multa sigue sin pagar</v>
      </c>
      <c r="C8" s="113" t="s">
        <v>66</v>
      </c>
      <c r="D8" s="113" t="s">
        <v>381</v>
      </c>
      <c r="E8" s="113" t="s">
        <v>66</v>
      </c>
      <c r="F8" s="113" t="s">
        <v>65</v>
      </c>
      <c r="G8" s="113" t="s">
        <v>65</v>
      </c>
      <c r="H8" s="113" t="s">
        <v>65</v>
      </c>
      <c r="I8" s="113" t="s">
        <v>65</v>
      </c>
      <c r="J8" s="113" t="s">
        <v>65</v>
      </c>
      <c r="K8" s="113" t="s">
        <v>65</v>
      </c>
      <c r="L8" s="103" t="s">
        <v>65</v>
      </c>
      <c r="M8" s="113" t="s">
        <v>65</v>
      </c>
      <c r="N8" s="113" t="s">
        <v>66</v>
      </c>
      <c r="O8" s="113" t="s">
        <v>65</v>
      </c>
      <c r="P8" s="113" t="s">
        <v>65</v>
      </c>
      <c r="Q8" s="113" t="s">
        <v>65</v>
      </c>
      <c r="R8" s="113" t="s">
        <v>65</v>
      </c>
      <c r="S8" s="113" t="s">
        <v>66</v>
      </c>
      <c r="T8" s="113" t="s">
        <v>382</v>
      </c>
      <c r="U8" s="113" t="s">
        <v>66</v>
      </c>
    </row>
    <row r="9" spans="1:21" ht="60" customHeight="1" x14ac:dyDescent="0.3">
      <c r="A9" s="103" t="str">
        <f>'M-Multa'!G3</f>
        <v>pagada</v>
      </c>
      <c r="B9" s="104" t="str">
        <f>'M-Multa'!G2</f>
        <v>Representa si el cliente ya pagó o no esta multa, es el dato que se revisa para decidir si un cliente llega al número de multas sin pagar que activa el veto</v>
      </c>
      <c r="C9" s="103" t="s">
        <v>66</v>
      </c>
      <c r="D9" s="103" t="s">
        <v>114</v>
      </c>
      <c r="E9" s="103" t="s">
        <v>63</v>
      </c>
      <c r="F9" s="103" t="s">
        <v>65</v>
      </c>
      <c r="G9" s="103" t="s">
        <v>65</v>
      </c>
      <c r="H9" s="103" t="s">
        <v>65</v>
      </c>
      <c r="I9" s="103" t="s">
        <v>65</v>
      </c>
      <c r="J9" s="103" t="s">
        <v>65</v>
      </c>
      <c r="K9" s="103" t="s">
        <v>65</v>
      </c>
      <c r="L9" s="103" t="s">
        <v>65</v>
      </c>
      <c r="M9" s="104" t="s">
        <v>65</v>
      </c>
      <c r="N9" s="103" t="s">
        <v>66</v>
      </c>
      <c r="O9" s="103" t="s">
        <v>65</v>
      </c>
      <c r="P9" s="103" t="s">
        <v>65</v>
      </c>
      <c r="Q9" s="103" t="s">
        <v>65</v>
      </c>
      <c r="R9" s="103" t="s">
        <v>65</v>
      </c>
      <c r="S9" s="103" t="s">
        <v>66</v>
      </c>
      <c r="T9" s="103" t="s">
        <v>66</v>
      </c>
      <c r="U9" s="103" t="s">
        <v>66</v>
      </c>
    </row>
    <row r="11" spans="1:21" ht="15" customHeight="1" x14ac:dyDescent="0.3">
      <c r="A11" s="19" t="s">
        <v>71</v>
      </c>
      <c r="B11" s="19" t="s">
        <v>72</v>
      </c>
      <c r="C11" s="19" t="s">
        <v>73</v>
      </c>
    </row>
    <row r="12" spans="1:21" ht="30" customHeight="1" x14ac:dyDescent="0.3">
      <c r="A12" s="4" t="str">
        <f>'M-Multa'!H3</f>
        <v>Combinación única</v>
      </c>
      <c r="B12" s="3" t="str">
        <f>'M-Multa'!H2</f>
        <v>Combinación única que indica que una misma cita no puede generar más de una multa</v>
      </c>
      <c r="C12" s="2" t="str">
        <f>A4</f>
        <v>cita</v>
      </c>
    </row>
  </sheetData>
  <hyperlinks>
    <hyperlink ref="A1" location="'Modelo de Dominio'!A1" display="&lt;&lt;&lt;&lt; Ir al modulo de dominio" xr:uid="{00000000-0004-0000-2000-000000000000}"/>
    <hyperlink ref="B1" location="'Objetos de Dominio'!A1" display="&lt;&lt;&lt;&lt; Ir a objetos de dominio" xr:uid="{00000000-0004-0000-2000-000001000000}"/>
    <hyperlink ref="A3" location="'M-Multa'!A3" display="#'M-Multa'.A3" xr:uid="{00000000-0004-0000-2000-000002000000}"/>
    <hyperlink ref="B3" location="'M-Multa'!A2" display="#'M-Multa'.A2" xr:uid="{00000000-0004-0000-2000-000003000000}"/>
    <hyperlink ref="A4" location="'M-Multa'!A3" display="#'M-Multa'.A3" xr:uid="{00000000-0004-0000-2000-000004000000}"/>
    <hyperlink ref="B4" location="'M-Multa'!A2" display="#'M-Multa'.A2" xr:uid="{00000000-0004-0000-2000-000005000000}"/>
    <hyperlink ref="D4" location="'C-Cita'!A1" display="Cita" xr:uid="{00000000-0004-0000-2000-000006000000}"/>
    <hyperlink ref="A5" location="'M-Multa'!A3" display="#'M-Multa'.A3" xr:uid="{00000000-0004-0000-2000-000007000000}"/>
    <hyperlink ref="B5" location="'M-Multa'!A2" display="#'M-Multa'.A2" xr:uid="{00000000-0004-0000-2000-000008000000}"/>
    <hyperlink ref="D5" location="'C-TipoMulta'!A1" display="TipoMulta" xr:uid="{00000000-0004-0000-2000-000009000000}"/>
    <hyperlink ref="A6" location="'M-Multa'!A3" display="#'M-Multa'.A3" xr:uid="{00000000-0004-0000-2000-00000A000000}"/>
    <hyperlink ref="B6" location="'M-Multa'!A2" display="#'M-Multa'.A2" xr:uid="{00000000-0004-0000-2000-00000B000000}"/>
    <hyperlink ref="A7" location="'M-Multa'!A3" display="#'M-Multa'.A3" xr:uid="{00000000-0004-0000-2000-00000C000000}"/>
    <hyperlink ref="B7" location="'M-Multa'!A2" display="#'M-Multa'.A2" xr:uid="{00000000-0004-0000-2000-00000D000000}"/>
    <hyperlink ref="A8" location="'M-Multa'!A3" display="#'M-Multa'.A3" xr:uid="{00000000-0004-0000-2000-00000E000000}"/>
    <hyperlink ref="B8" location="'M-Multa'!A2" display="#'M-Multa'.A2" xr:uid="{00000000-0004-0000-2000-00000F000000}"/>
    <hyperlink ref="A9" location="'M-Multa'!A3" display="#'M-Multa'.A3" xr:uid="{00000000-0004-0000-2000-000010000000}"/>
    <hyperlink ref="B9" location="'M-Multa'!A2" display="#'M-Multa'.A2" xr:uid="{00000000-0004-0000-2000-000011000000}"/>
    <hyperlink ref="A12" location="'M-Multa'!A3" display="#'M-Multa'.A3" xr:uid="{00000000-0004-0000-2000-000012000000}"/>
    <hyperlink ref="B12" location="'M-Multa'!A2" display="#'M-Multa'.A2" xr:uid="{00000000-0004-0000-2000-000013000000}"/>
  </hyperlinks>
  <pageMargins left="0.75" right="0.75" top="1" bottom="1"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21"/>
  <sheetViews>
    <sheetView topLeftCell="B1" zoomScale="130" zoomScaleNormal="130" workbookViewId="0">
      <selection activeCell="D3" sqref="D3"/>
    </sheetView>
  </sheetViews>
  <sheetFormatPr baseColWidth="10" defaultColWidth="10.6640625" defaultRowHeight="14.4" x14ac:dyDescent="0.3"/>
  <cols>
    <col min="1" max="1" width="25" customWidth="1"/>
    <col min="2" max="2" width="33.6640625" customWidth="1"/>
    <col min="3" max="3" width="24.6640625" customWidth="1"/>
    <col min="4" max="4" width="35.5546875" customWidth="1"/>
    <col min="5" max="5" width="40.88671875" customWidth="1"/>
    <col min="6" max="6" width="35.5546875" customWidth="1"/>
    <col min="7" max="7" width="27.109375" customWidth="1"/>
    <col min="8" max="8" width="30.44140625" customWidth="1"/>
  </cols>
  <sheetData>
    <row r="1" spans="1:8" ht="14.25" customHeight="1" x14ac:dyDescent="0.3">
      <c r="A1" s="5" t="s">
        <v>1</v>
      </c>
      <c r="B1" s="5" t="s">
        <v>41</v>
      </c>
    </row>
    <row r="2" spans="1:8" ht="54" customHeight="1" x14ac:dyDescent="0.3">
      <c r="A2" s="124" t="s">
        <v>75</v>
      </c>
      <c r="B2" s="124" t="s">
        <v>383</v>
      </c>
      <c r="C2" s="124" t="s">
        <v>384</v>
      </c>
      <c r="D2" s="124" t="s">
        <v>385</v>
      </c>
      <c r="E2" s="124" t="s">
        <v>386</v>
      </c>
      <c r="F2" s="124" t="s">
        <v>387</v>
      </c>
      <c r="G2" s="124" t="s">
        <v>388</v>
      </c>
      <c r="H2" s="124" t="s">
        <v>389</v>
      </c>
    </row>
    <row r="3" spans="1:8" ht="14.25" customHeight="1" x14ac:dyDescent="0.3">
      <c r="A3" s="131" t="s">
        <v>78</v>
      </c>
      <c r="B3" s="109" t="s">
        <v>374</v>
      </c>
      <c r="C3" s="86" t="s">
        <v>390</v>
      </c>
      <c r="D3" s="82" t="s">
        <v>391</v>
      </c>
      <c r="E3" s="92" t="s">
        <v>392</v>
      </c>
      <c r="F3" s="145" t="s">
        <v>393</v>
      </c>
      <c r="G3" s="81" t="s">
        <v>394</v>
      </c>
      <c r="H3" s="25" t="s">
        <v>166</v>
      </c>
    </row>
    <row r="4" spans="1:8" ht="42.75" customHeight="1" x14ac:dyDescent="0.3">
      <c r="A4" s="26">
        <v>1</v>
      </c>
      <c r="B4" s="134" t="str">
        <f>'M-Cita'!R6</f>
        <v>+57-3214533321-Jueves-09:00-19:00-12/11/2023-1/01/1000-13:00-19:00-si-14/05/2026-13:00</v>
      </c>
      <c r="C4" s="83" t="str">
        <f>'M-TipoMulta'!D4</f>
        <v>Tardanza</v>
      </c>
      <c r="D4" s="139">
        <f>'M-Regla'!C4</f>
        <v>10000</v>
      </c>
      <c r="E4" s="146">
        <f>'M-Cita'!H6</f>
        <v>0.55208333333333304</v>
      </c>
      <c r="F4" s="147">
        <v>46233.416666666701</v>
      </c>
      <c r="G4" s="26" t="s">
        <v>125</v>
      </c>
      <c r="H4" s="36" t="str">
        <f>B4</f>
        <v>+57-3214533321-Jueves-09:00-19:00-12/11/2023-1/01/1000-13:00-19:00-si-14/05/2026-13:00</v>
      </c>
    </row>
    <row r="5" spans="1:8" ht="42.75" customHeight="1" x14ac:dyDescent="0.3">
      <c r="A5" s="26">
        <v>2</v>
      </c>
      <c r="B5" s="134" t="str">
        <f>'M-Cita'!R7</f>
        <v>+91-9876543210-Sábado-08:00-21:00-12/12/2024-1/01/1000-08:00-14:00-no-22/11/2025-13:00</v>
      </c>
      <c r="C5" s="83" t="str">
        <f>'M-TipoMulta'!D5</f>
        <v>Inasistencia</v>
      </c>
      <c r="D5" s="139">
        <f>'M-Cita'!Q7</f>
        <v>35000</v>
      </c>
      <c r="E5" s="146">
        <f>'M-Cita'!G7</f>
        <v>0.57638888888888917</v>
      </c>
      <c r="F5" s="26" t="s">
        <v>395</v>
      </c>
      <c r="G5" s="26" t="s">
        <v>209</v>
      </c>
      <c r="H5" s="36" t="str">
        <f>B5</f>
        <v>+91-9876543210-Sábado-08:00-21:00-12/12/2024-1/01/1000-08:00-14:00-no-22/11/2025-13:00</v>
      </c>
    </row>
    <row r="6" spans="1:8" ht="57" customHeight="1" x14ac:dyDescent="0.3">
      <c r="A6" s="26">
        <v>3</v>
      </c>
      <c r="B6" s="134" t="str">
        <f>'M-Cita'!R10</f>
        <v>+57-3245627890-Lunes-09:00-19:00-12/11/2023-1/01/1000-10:00-16:00-si-01/06/2026-10:00</v>
      </c>
      <c r="C6" s="83" t="str">
        <f>'M-TipoMulta'!D5</f>
        <v>Inasistencia</v>
      </c>
      <c r="D6" s="139">
        <f>'M-Cita'!Q10</f>
        <v>22000</v>
      </c>
      <c r="E6" s="146">
        <f>'M-Cita'!G10</f>
        <v>0.41666666666666702</v>
      </c>
      <c r="F6" s="26" t="s">
        <v>395</v>
      </c>
      <c r="G6" s="26" t="s">
        <v>209</v>
      </c>
      <c r="H6" s="36" t="str">
        <f>B6</f>
        <v>+57-3245627890-Lunes-09:00-19:00-12/11/2023-1/01/1000-10:00-16:00-si-01/06/2026-10:00</v>
      </c>
    </row>
    <row r="7" spans="1:8" ht="57" customHeight="1" x14ac:dyDescent="0.3">
      <c r="A7" s="26">
        <v>4</v>
      </c>
      <c r="B7" s="134" t="str">
        <f>'M-Cita'!R11</f>
        <v>+57-3124518923-Martes-09:00-19:00-12/11/2023-1/01/1000-09:00-15:00-si-16/06/2026-09:00</v>
      </c>
      <c r="C7" s="83" t="str">
        <f>'M-TipoMulta'!D5</f>
        <v>Inasistencia</v>
      </c>
      <c r="D7" s="139">
        <f>'M-Cita'!Q11</f>
        <v>12000</v>
      </c>
      <c r="E7" s="146">
        <f>'M-Cita'!G11</f>
        <v>0.38541666666666669</v>
      </c>
      <c r="F7" s="26" t="s">
        <v>395</v>
      </c>
      <c r="G7" s="26" t="s">
        <v>209</v>
      </c>
      <c r="H7" s="36" t="str">
        <f>B7</f>
        <v>+57-3124518923-Martes-09:00-19:00-12/11/2023-1/01/1000-09:00-15:00-si-16/06/2026-09:00</v>
      </c>
    </row>
    <row r="8" spans="1:8" ht="57" customHeight="1" x14ac:dyDescent="0.3">
      <c r="A8" s="26">
        <v>5</v>
      </c>
      <c r="B8" s="134" t="str">
        <f>'M-Cita'!R12</f>
        <v>+57-3214533321-Jueves-09:00-19:00-12/11/2023-1/01/1000-13:00-19:00-si-02/07/2026-15:00</v>
      </c>
      <c r="C8" s="83" t="str">
        <f>'M-TipoMulta'!D5</f>
        <v>Inasistencia</v>
      </c>
      <c r="D8" s="139">
        <f>'M-Cita'!Q12</f>
        <v>15000</v>
      </c>
      <c r="E8" s="146">
        <f>'M-Cita'!G12</f>
        <v>0.63888888888888884</v>
      </c>
      <c r="F8" s="26" t="s">
        <v>395</v>
      </c>
      <c r="G8" s="26" t="s">
        <v>209</v>
      </c>
      <c r="H8" s="36" t="str">
        <f>B8</f>
        <v>+57-3214533321-Jueves-09:00-19:00-12/11/2023-1/01/1000-13:00-19:00-si-02/07/2026-15:00</v>
      </c>
    </row>
    <row r="14" spans="1:8" ht="28.5" customHeight="1" x14ac:dyDescent="0.3">
      <c r="A14" s="148"/>
      <c r="B14" s="30" t="s">
        <v>88</v>
      </c>
    </row>
    <row r="15" spans="1:8" ht="28.5" customHeight="1" x14ac:dyDescent="0.3">
      <c r="A15" s="149"/>
      <c r="B15" s="30" t="s">
        <v>89</v>
      </c>
    </row>
    <row r="16" spans="1:8" ht="28.5" customHeight="1" x14ac:dyDescent="0.3">
      <c r="A16" s="150"/>
      <c r="B16" s="30" t="s">
        <v>132</v>
      </c>
    </row>
    <row r="17" spans="1:2" ht="14.25" customHeight="1" x14ac:dyDescent="0.3">
      <c r="A17" s="151"/>
      <c r="B17" s="30" t="s">
        <v>396</v>
      </c>
    </row>
    <row r="18" spans="1:2" ht="14.25" customHeight="1" x14ac:dyDescent="0.3">
      <c r="A18" s="152"/>
      <c r="B18" s="30" t="s">
        <v>397</v>
      </c>
    </row>
    <row r="19" spans="1:2" ht="14.25" customHeight="1" x14ac:dyDescent="0.3">
      <c r="A19" s="153"/>
      <c r="B19" s="30" t="s">
        <v>398</v>
      </c>
    </row>
    <row r="20" spans="1:2" ht="14.25" customHeight="1" x14ac:dyDescent="0.3">
      <c r="A20" s="154"/>
      <c r="B20" t="s">
        <v>134</v>
      </c>
    </row>
    <row r="21" spans="1:2" ht="14.25" customHeight="1" x14ac:dyDescent="0.3">
      <c r="A21" s="155"/>
      <c r="B21" t="s">
        <v>91</v>
      </c>
    </row>
  </sheetData>
  <hyperlinks>
    <hyperlink ref="A1" location="'Modelo de Dominio'!A1" display="&lt;&lt;&lt;&lt; Ir al modulo de dominio" xr:uid="{00000000-0004-0000-2100-000000000000}"/>
    <hyperlink ref="B1" location="'Objetos de Dominio'!A1" display="&lt;&lt;&lt;&lt; Ir a objetos de dominio" xr:uid="{00000000-0004-0000-2100-000001000000}"/>
    <hyperlink ref="B3" location="'M-Cita'!A1" display="cita" xr:uid="{00000000-0004-0000-2100-000002000000}"/>
    <hyperlink ref="C3" location="'M-TipoMulta'!A1" display="tipo" xr:uid="{00000000-0004-0000-2100-000003000000}"/>
    <hyperlink ref="B4" location="'M-Cita'!A6" display="#'M-Cita'.A6" xr:uid="{00000000-0004-0000-2100-000004000000}"/>
    <hyperlink ref="C4" location="'M-TipoMulta'!A4" display="#'M-TipoMulta'.A4" xr:uid="{00000000-0004-0000-2100-000005000000}"/>
    <hyperlink ref="D4" location="'M-Regla'!A4" display="#'M-Regla'.A4" xr:uid="{00000000-0004-0000-2100-000006000000}"/>
    <hyperlink ref="E4" location="'M-Cita'!A6" display="#'M-Cita'.A6" xr:uid="{00000000-0004-0000-2100-000007000000}"/>
    <hyperlink ref="B5" location="'M-Cita'!A7" display="#'M-Cita'.A7" xr:uid="{00000000-0004-0000-2100-000008000000}"/>
    <hyperlink ref="C5" location="'M-TipoMulta'!A5" display="#'M-TipoMulta'.A5" xr:uid="{00000000-0004-0000-2100-000009000000}"/>
    <hyperlink ref="D5" location="'M-Cita'!A7" display="#'M-Cita'.A7" xr:uid="{00000000-0004-0000-2100-00000A000000}"/>
    <hyperlink ref="E5" location="'M-Cita'!A7" display="#'M-Cita'.A7" xr:uid="{00000000-0004-0000-2100-00000B000000}"/>
    <hyperlink ref="B6" location="'M-Cita'!A10" display="#'M-Cita'.A10" xr:uid="{00000000-0004-0000-2100-00000C000000}"/>
    <hyperlink ref="C6" location="'M-TipoMulta'!A5" display="#'M-TipoMulta'.A5" xr:uid="{00000000-0004-0000-2100-00000D000000}"/>
    <hyperlink ref="D6" location="'M-Cita'!A10" display="#'M-Cita'.A10" xr:uid="{00000000-0004-0000-2100-00000E000000}"/>
    <hyperlink ref="E6" location="'M-Cita'!A10" display="#'M-Cita'.A10" xr:uid="{00000000-0004-0000-2100-00000F000000}"/>
    <hyperlink ref="B7" location="'M-Cita'!A11" display="#'M-Cita'.A11" xr:uid="{00000000-0004-0000-2100-000010000000}"/>
    <hyperlink ref="C7" location="'M-TipoMulta'!A5" display="#'M-TipoMulta'.A5" xr:uid="{00000000-0004-0000-2100-000011000000}"/>
    <hyperlink ref="D7" location="'M-Cita'!A11" display="#'M-Cita'.A11" xr:uid="{00000000-0004-0000-2100-000012000000}"/>
    <hyperlink ref="E7" location="'M-Cita'!A11" display="#'M-Cita'.A11" xr:uid="{00000000-0004-0000-2100-000013000000}"/>
    <hyperlink ref="B8" location="'M-Cita'!A12" display="#'M-Cita'.A12" xr:uid="{00000000-0004-0000-2100-000014000000}"/>
    <hyperlink ref="C8" location="'M-TipoMulta'!A5" display="#'M-TipoMulta'.A5" xr:uid="{00000000-0004-0000-2100-000015000000}"/>
    <hyperlink ref="D8" location="'M-Cita'!A12" display="#'M-Cita'.A12" xr:uid="{00000000-0004-0000-2100-000016000000}"/>
    <hyperlink ref="E8" location="'M-Cita'!A12" display="#'M-Cita'.A12" xr:uid="{00000000-0004-0000-2100-000017000000}"/>
  </hyperlink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34</vt:i4>
      </vt:variant>
    </vt:vector>
  </HeadingPairs>
  <TitlesOfParts>
    <vt:vector size="34" baseType="lpstr">
      <vt:lpstr>Modelo de Dominio</vt:lpstr>
      <vt:lpstr>Objetos de Dominio</vt:lpstr>
      <vt:lpstr>C-DiaSemana</vt:lpstr>
      <vt:lpstr>M-DiaSemana</vt:lpstr>
      <vt:lpstr>C-Estado</vt:lpstr>
      <vt:lpstr>M-Estado</vt:lpstr>
      <vt:lpstr>C-Servicio</vt:lpstr>
      <vt:lpstr>M-Servicio</vt:lpstr>
      <vt:lpstr>C-Regla</vt:lpstr>
      <vt:lpstr>M-Regla</vt:lpstr>
      <vt:lpstr>C-PrefijoCelular</vt:lpstr>
      <vt:lpstr>M-PrefijoCelular</vt:lpstr>
      <vt:lpstr>C-TipoMulta</vt:lpstr>
      <vt:lpstr>M-TipoMulta</vt:lpstr>
      <vt:lpstr>C-Barbero</vt:lpstr>
      <vt:lpstr>M-Barbero</vt:lpstr>
      <vt:lpstr>C-Cliente</vt:lpstr>
      <vt:lpstr>M-Cliente</vt:lpstr>
      <vt:lpstr>C-HorarioBarberia</vt:lpstr>
      <vt:lpstr>M-HorarioBarberia</vt:lpstr>
      <vt:lpstr>C-BarberoServicio</vt:lpstr>
      <vt:lpstr>M-BarberoServicio</vt:lpstr>
      <vt:lpstr>C-HorarioBarbero</vt:lpstr>
      <vt:lpstr>M-HorarioBarbero</vt:lpstr>
      <vt:lpstr>C-Agenda</vt:lpstr>
      <vt:lpstr>M-Agenda</vt:lpstr>
      <vt:lpstr>C-Bloqueo</vt:lpstr>
      <vt:lpstr>M-Bloqueo</vt:lpstr>
      <vt:lpstr>C-Cita</vt:lpstr>
      <vt:lpstr>M-Cita</vt:lpstr>
      <vt:lpstr>C-CitaServicio</vt:lpstr>
      <vt:lpstr>M-CitaServicio</vt:lpstr>
      <vt:lpstr>C-Multa</vt:lpstr>
      <vt:lpstr>M-Multa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Gomez</dc:creator>
  <dc:description/>
  <cp:lastModifiedBy>Leo 1000</cp:lastModifiedBy>
  <cp:revision>0</cp:revision>
  <dcterms:created xsi:type="dcterms:W3CDTF">2015-06-05T18:19:34Z</dcterms:created>
  <dcterms:modified xsi:type="dcterms:W3CDTF">2026-09-08T17:29:08Z</dcterms:modified>
  <dc:language>en-US</dc:language>
</cp:coreProperties>
</file>