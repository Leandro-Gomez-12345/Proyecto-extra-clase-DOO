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and\Downloads\"/>
    </mc:Choice>
  </mc:AlternateContent>
  <xr:revisionPtr revIDLastSave="0" documentId="13_ncr:1_{41D690B7-4FF3-44AC-AF88-D0157F41686D}" xr6:coauthVersionLast="47" xr6:coauthVersionMax="47" xr10:uidLastSave="{00000000-0000-0000-0000-000000000000}"/>
  <bookViews>
    <workbookView xWindow="-108" yWindow="-108" windowWidth="23256" windowHeight="12456" tabRatio="500" firstSheet="1" activeTab="4" xr2:uid="{00000000-000D-0000-FFFF-FFFF00000000}"/>
  </bookViews>
  <sheets>
    <sheet name="Modelo de Dominio" sheetId="1" r:id="rId1"/>
    <sheet name="Objetos de Dominio" sheetId="2" r:id="rId2"/>
    <sheet name="C-DiaSemana" sheetId="3" r:id="rId3"/>
    <sheet name="M-DiaSemana" sheetId="4" r:id="rId4"/>
    <sheet name="C-Estado" sheetId="5" r:id="rId5"/>
    <sheet name="M-Estado" sheetId="6" r:id="rId6"/>
    <sheet name="C-Servicio" sheetId="7" r:id="rId7"/>
    <sheet name="M-Servicio" sheetId="8" r:id="rId8"/>
    <sheet name="C-Regla" sheetId="9" r:id="rId9"/>
    <sheet name="M-Regla" sheetId="10" r:id="rId10"/>
    <sheet name="C-PrefijoCelular" sheetId="11" r:id="rId11"/>
    <sheet name="M-PrefijoCelular" sheetId="12" r:id="rId12"/>
    <sheet name="C-TipoMulta" sheetId="13" r:id="rId13"/>
    <sheet name="M-TipoMulta" sheetId="14" r:id="rId14"/>
    <sheet name="C-TipoBloqueo" sheetId="15" r:id="rId15"/>
    <sheet name="M-TipoBloqueo" sheetId="16" r:id="rId16"/>
    <sheet name="C-Barbero" sheetId="17" r:id="rId17"/>
    <sheet name="M-Barbero" sheetId="18" r:id="rId18"/>
    <sheet name="C-Cliente" sheetId="19" r:id="rId19"/>
    <sheet name="M-Cliente" sheetId="20" r:id="rId20"/>
    <sheet name="C-HorarioBarberia" sheetId="21" r:id="rId21"/>
    <sheet name="M-HorarioBarberia" sheetId="22" r:id="rId22"/>
    <sheet name="C-BarberoServicio" sheetId="23" r:id="rId23"/>
    <sheet name="M-BarberoServicio" sheetId="24" r:id="rId24"/>
    <sheet name="C-HorarioBarbero" sheetId="25" r:id="rId25"/>
    <sheet name="M-HorarioBarbero" sheetId="26" r:id="rId26"/>
    <sheet name="C-Agenda" sheetId="27" r:id="rId27"/>
    <sheet name="M-Agenda" sheetId="28" r:id="rId28"/>
    <sheet name="C-Bloqueo" sheetId="29" r:id="rId29"/>
    <sheet name="M-Bloqueo" sheetId="30" r:id="rId30"/>
    <sheet name="C-Cita" sheetId="31" r:id="rId31"/>
    <sheet name="M-Cita" sheetId="32" r:id="rId32"/>
    <sheet name="C-CitaServicio" sheetId="33" r:id="rId33"/>
    <sheet name="M-CitaServicio" sheetId="34" r:id="rId34"/>
    <sheet name="C-Multa" sheetId="35" r:id="rId35"/>
    <sheet name="M-Multa" sheetId="36" r:id="rId3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4" i="36" l="1"/>
  <c r="D4" i="36"/>
  <c r="B12" i="35"/>
  <c r="A12" i="35"/>
  <c r="B9" i="35"/>
  <c r="A9" i="35"/>
  <c r="B8" i="35"/>
  <c r="A8" i="35"/>
  <c r="B7" i="35"/>
  <c r="A7" i="35"/>
  <c r="B6" i="35"/>
  <c r="A6" i="35"/>
  <c r="B5" i="35"/>
  <c r="A5" i="35"/>
  <c r="B4" i="35"/>
  <c r="A4" i="35"/>
  <c r="C12" i="35" s="1"/>
  <c r="B3" i="35"/>
  <c r="A3" i="35"/>
  <c r="G14" i="34"/>
  <c r="F14" i="34"/>
  <c r="E14" i="34"/>
  <c r="D14" i="34"/>
  <c r="C14" i="34"/>
  <c r="G13" i="34"/>
  <c r="F13" i="34"/>
  <c r="E13" i="34"/>
  <c r="D13" i="34"/>
  <c r="G12" i="34"/>
  <c r="F12" i="34"/>
  <c r="E12" i="34"/>
  <c r="D12" i="34"/>
  <c r="G11" i="34"/>
  <c r="F11" i="34"/>
  <c r="E11" i="34"/>
  <c r="D11" i="34"/>
  <c r="G10" i="34"/>
  <c r="F10" i="34"/>
  <c r="E10" i="34"/>
  <c r="D10" i="34"/>
  <c r="G9" i="34"/>
  <c r="F9" i="34"/>
  <c r="E9" i="34"/>
  <c r="D9" i="34"/>
  <c r="G8" i="34"/>
  <c r="F8" i="34"/>
  <c r="E8" i="34"/>
  <c r="D8" i="34"/>
  <c r="G7" i="34"/>
  <c r="F7" i="34"/>
  <c r="E7" i="34"/>
  <c r="D7" i="34"/>
  <c r="G6" i="34"/>
  <c r="F6" i="34"/>
  <c r="E6" i="34"/>
  <c r="D6" i="34"/>
  <c r="G5" i="34"/>
  <c r="F5" i="34"/>
  <c r="E5" i="34"/>
  <c r="D5" i="34"/>
  <c r="G4" i="34"/>
  <c r="F4" i="34"/>
  <c r="E4" i="34"/>
  <c r="D4" i="34"/>
  <c r="C13" i="33"/>
  <c r="B12" i="33"/>
  <c r="A12" i="33"/>
  <c r="B9" i="33"/>
  <c r="A9" i="33"/>
  <c r="B8" i="33"/>
  <c r="A8" i="33"/>
  <c r="B7" i="33"/>
  <c r="A7" i="33"/>
  <c r="B6" i="33"/>
  <c r="A6" i="33"/>
  <c r="B5" i="33"/>
  <c r="A5" i="33"/>
  <c r="B4" i="33"/>
  <c r="A4" i="33"/>
  <c r="C12" i="33" s="1"/>
  <c r="B3" i="33"/>
  <c r="A3" i="33"/>
  <c r="O13" i="32"/>
  <c r="N13" i="32"/>
  <c r="D13" i="32"/>
  <c r="O12" i="32"/>
  <c r="N12" i="32"/>
  <c r="E12" i="32"/>
  <c r="D12" i="32"/>
  <c r="O11" i="32"/>
  <c r="N11" i="32"/>
  <c r="E11" i="32"/>
  <c r="D11" i="32"/>
  <c r="O10" i="32"/>
  <c r="N10" i="32"/>
  <c r="E10" i="32"/>
  <c r="D10" i="32"/>
  <c r="O9" i="32"/>
  <c r="N9" i="32"/>
  <c r="E9" i="32"/>
  <c r="D9" i="32"/>
  <c r="O8" i="32"/>
  <c r="N8" i="32"/>
  <c r="D8" i="32"/>
  <c r="O7" i="32"/>
  <c r="N7" i="32"/>
  <c r="D7" i="32"/>
  <c r="O6" i="32"/>
  <c r="N6" i="32"/>
  <c r="D6" i="32"/>
  <c r="O5" i="32"/>
  <c r="N5" i="32"/>
  <c r="D5" i="32"/>
  <c r="O4" i="32"/>
  <c r="N4" i="32"/>
  <c r="D4" i="32"/>
  <c r="C22" i="31"/>
  <c r="B22" i="31"/>
  <c r="A22" i="31"/>
  <c r="B19" i="31"/>
  <c r="A19" i="31"/>
  <c r="B18" i="31"/>
  <c r="A18" i="31"/>
  <c r="B17" i="31"/>
  <c r="A17" i="31"/>
  <c r="B16" i="31"/>
  <c r="A16" i="31"/>
  <c r="B15" i="31"/>
  <c r="A15" i="31"/>
  <c r="B14" i="31"/>
  <c r="A14" i="31"/>
  <c r="B13" i="31"/>
  <c r="A13" i="31"/>
  <c r="B12" i="31"/>
  <c r="A12" i="31"/>
  <c r="B11" i="31"/>
  <c r="A11" i="31"/>
  <c r="B10" i="31"/>
  <c r="A10" i="31"/>
  <c r="B9" i="31"/>
  <c r="A9" i="31"/>
  <c r="B8" i="31"/>
  <c r="A8" i="31"/>
  <c r="C23" i="31" s="1"/>
  <c r="B7" i="31"/>
  <c r="A7" i="31"/>
  <c r="B6" i="31"/>
  <c r="A6" i="31"/>
  <c r="B5" i="31"/>
  <c r="A5" i="31"/>
  <c r="B4" i="31"/>
  <c r="A4" i="31"/>
  <c r="B3" i="31"/>
  <c r="A3" i="31"/>
  <c r="C15" i="30"/>
  <c r="B12" i="29"/>
  <c r="A12" i="29"/>
  <c r="B9" i="29"/>
  <c r="A9" i="29"/>
  <c r="B8" i="29"/>
  <c r="A8" i="29"/>
  <c r="B7" i="29"/>
  <c r="A7" i="29"/>
  <c r="B6" i="29"/>
  <c r="A6" i="29"/>
  <c r="B5" i="29"/>
  <c r="A5" i="29"/>
  <c r="B4" i="29"/>
  <c r="A4" i="29"/>
  <c r="B3" i="29"/>
  <c r="A3" i="29"/>
  <c r="C9" i="27"/>
  <c r="C8" i="27"/>
  <c r="B8" i="27"/>
  <c r="A8" i="27"/>
  <c r="B5" i="27"/>
  <c r="A5" i="27"/>
  <c r="B4" i="27"/>
  <c r="A4" i="27"/>
  <c r="B3" i="27"/>
  <c r="A3" i="27"/>
  <c r="C12" i="24"/>
  <c r="B12" i="24"/>
  <c r="H12" i="24" s="1"/>
  <c r="H11" i="24"/>
  <c r="C11" i="24"/>
  <c r="B11" i="24"/>
  <c r="H10" i="24"/>
  <c r="C10" i="24"/>
  <c r="B10" i="24"/>
  <c r="H9" i="24"/>
  <c r="C8" i="34" s="1"/>
  <c r="C9" i="24"/>
  <c r="B9" i="24"/>
  <c r="C8" i="24"/>
  <c r="B8" i="24"/>
  <c r="H8" i="24" s="1"/>
  <c r="H7" i="24"/>
  <c r="C7" i="34" s="1"/>
  <c r="C7" i="24"/>
  <c r="B7" i="24"/>
  <c r="H6" i="24"/>
  <c r="C12" i="34" s="1"/>
  <c r="C6" i="24"/>
  <c r="B6" i="24"/>
  <c r="H5" i="24"/>
  <c r="C5" i="34" s="1"/>
  <c r="C5" i="24"/>
  <c r="B5" i="24"/>
  <c r="C4" i="24"/>
  <c r="B4" i="24"/>
  <c r="H4" i="24" s="1"/>
  <c r="B12" i="23"/>
  <c r="A12" i="23"/>
  <c r="B9" i="23"/>
  <c r="A9" i="23"/>
  <c r="B8" i="23"/>
  <c r="A8" i="23"/>
  <c r="B7" i="23"/>
  <c r="A7" i="23"/>
  <c r="B6" i="23"/>
  <c r="A6" i="23"/>
  <c r="B5" i="23"/>
  <c r="A5" i="23"/>
  <c r="B4" i="23"/>
  <c r="A4" i="23"/>
  <c r="B3" i="23"/>
  <c r="A3" i="23"/>
  <c r="H8" i="22"/>
  <c r="B8" i="22"/>
  <c r="H7" i="22"/>
  <c r="C6" i="26" s="1"/>
  <c r="B7" i="22"/>
  <c r="H5" i="22"/>
  <c r="C5" i="26" s="1"/>
  <c r="B5" i="22"/>
  <c r="C17" i="21"/>
  <c r="C16" i="21"/>
  <c r="C15" i="21"/>
  <c r="C12" i="21"/>
  <c r="B12" i="21"/>
  <c r="A12" i="21"/>
  <c r="B9" i="21"/>
  <c r="A9" i="21"/>
  <c r="B8" i="21"/>
  <c r="A8" i="21"/>
  <c r="B7" i="21"/>
  <c r="A7" i="21"/>
  <c r="B6" i="21"/>
  <c r="A6" i="21"/>
  <c r="C14" i="21" s="1"/>
  <c r="B5" i="21"/>
  <c r="A5" i="21"/>
  <c r="C13" i="21" s="1"/>
  <c r="B4" i="21"/>
  <c r="A4" i="21"/>
  <c r="B3" i="21"/>
  <c r="A3" i="21"/>
  <c r="C18" i="19"/>
  <c r="B15" i="19"/>
  <c r="A15" i="19"/>
  <c r="B12" i="19"/>
  <c r="A12" i="19"/>
  <c r="B11" i="19"/>
  <c r="A11" i="19"/>
  <c r="B10" i="19"/>
  <c r="A10" i="19"/>
  <c r="B9" i="19"/>
  <c r="A9" i="19"/>
  <c r="B8" i="19"/>
  <c r="A8" i="19"/>
  <c r="C15" i="19" s="1"/>
  <c r="B7" i="19"/>
  <c r="A7" i="19"/>
  <c r="B6" i="19"/>
  <c r="A6" i="19"/>
  <c r="B5" i="19"/>
  <c r="A5" i="19"/>
  <c r="B4" i="19"/>
  <c r="A4" i="19"/>
  <c r="B3" i="19"/>
  <c r="A3" i="19"/>
  <c r="C16" i="17"/>
  <c r="B15" i="17"/>
  <c r="A15" i="17"/>
  <c r="B12" i="17"/>
  <c r="A12" i="17"/>
  <c r="B11" i="17"/>
  <c r="A11" i="17"/>
  <c r="B10" i="17"/>
  <c r="A10" i="17"/>
  <c r="B9" i="17"/>
  <c r="A9" i="17"/>
  <c r="B8" i="17"/>
  <c r="A8" i="17"/>
  <c r="C15" i="17" s="1"/>
  <c r="B7" i="17"/>
  <c r="A7" i="17"/>
  <c r="B6" i="17"/>
  <c r="A6" i="17"/>
  <c r="B5" i="17"/>
  <c r="A5" i="17"/>
  <c r="B4" i="17"/>
  <c r="A4" i="17"/>
  <c r="B3" i="17"/>
  <c r="A3" i="17"/>
  <c r="D5" i="16"/>
  <c r="C10" i="30" s="1"/>
  <c r="D4" i="16"/>
  <c r="C14" i="30" s="1"/>
  <c r="B8" i="15"/>
  <c r="A8" i="15"/>
  <c r="B5" i="15"/>
  <c r="A5" i="15"/>
  <c r="B4" i="15"/>
  <c r="A4" i="15"/>
  <c r="B3" i="15"/>
  <c r="A3" i="15"/>
  <c r="D5" i="14"/>
  <c r="C6" i="36" s="1"/>
  <c r="D4" i="14"/>
  <c r="C4" i="36" s="1"/>
  <c r="B8" i="13"/>
  <c r="A8" i="13"/>
  <c r="B5" i="13"/>
  <c r="A5" i="13"/>
  <c r="B4" i="13"/>
  <c r="A4" i="13"/>
  <c r="B3" i="13"/>
  <c r="A3" i="13"/>
  <c r="C7" i="12"/>
  <c r="F7" i="20" s="1"/>
  <c r="L7" i="20" s="1"/>
  <c r="C6" i="12"/>
  <c r="F8" i="18" s="1"/>
  <c r="K8" i="18" s="1"/>
  <c r="C5" i="12"/>
  <c r="F7" i="18" s="1"/>
  <c r="K7" i="18" s="1"/>
  <c r="C4" i="12"/>
  <c r="F4" i="20" s="1"/>
  <c r="L4" i="20" s="1"/>
  <c r="B7" i="11"/>
  <c r="A7" i="11"/>
  <c r="B4" i="11"/>
  <c r="A4" i="11"/>
  <c r="B3" i="11"/>
  <c r="A3" i="11"/>
  <c r="B12" i="9"/>
  <c r="A12" i="9"/>
  <c r="B11" i="9"/>
  <c r="A11" i="9"/>
  <c r="B10" i="9"/>
  <c r="A10" i="9"/>
  <c r="B9" i="9"/>
  <c r="A9" i="9"/>
  <c r="B8" i="9"/>
  <c r="A8" i="9"/>
  <c r="B7" i="9"/>
  <c r="A7" i="9"/>
  <c r="B6" i="9"/>
  <c r="A6" i="9"/>
  <c r="B5" i="9"/>
  <c r="A5" i="9"/>
  <c r="B4" i="9"/>
  <c r="A4" i="9"/>
  <c r="B3" i="9"/>
  <c r="A3" i="9"/>
  <c r="F7" i="8"/>
  <c r="F6" i="8"/>
  <c r="F5" i="8"/>
  <c r="F4" i="8"/>
  <c r="C10" i="7"/>
  <c r="B10" i="7"/>
  <c r="A10" i="7"/>
  <c r="B7" i="7"/>
  <c r="A7" i="7"/>
  <c r="B6" i="7"/>
  <c r="A6" i="7"/>
  <c r="B5" i="7"/>
  <c r="A5" i="7"/>
  <c r="B4" i="7"/>
  <c r="A4" i="7"/>
  <c r="B3" i="7"/>
  <c r="A3" i="7"/>
  <c r="D11" i="6"/>
  <c r="D10" i="6"/>
  <c r="E7" i="32" s="1"/>
  <c r="D9" i="6"/>
  <c r="E8" i="32" s="1"/>
  <c r="D8" i="6"/>
  <c r="E6" i="32" s="1"/>
  <c r="D7" i="6"/>
  <c r="D6" i="6"/>
  <c r="D5" i="6"/>
  <c r="E13" i="32" s="1"/>
  <c r="D4" i="6"/>
  <c r="E4" i="32" s="1"/>
  <c r="B8" i="5"/>
  <c r="A8" i="5"/>
  <c r="B5" i="5"/>
  <c r="A5" i="5"/>
  <c r="B4" i="5"/>
  <c r="A4" i="5"/>
  <c r="B3" i="5"/>
  <c r="A3" i="5"/>
  <c r="C11" i="4"/>
  <c r="B10" i="22" s="1"/>
  <c r="H10" i="22" s="1"/>
  <c r="C8" i="26" s="1"/>
  <c r="C10" i="4"/>
  <c r="C9" i="4"/>
  <c r="B9" i="22" s="1"/>
  <c r="H9" i="22" s="1"/>
  <c r="C7" i="26" s="1"/>
  <c r="C8" i="4"/>
  <c r="C7" i="4"/>
  <c r="C6" i="4"/>
  <c r="B6" i="22" s="1"/>
  <c r="H6" i="22" s="1"/>
  <c r="C5" i="4"/>
  <c r="C4" i="4"/>
  <c r="B4" i="22" s="1"/>
  <c r="H4" i="22" s="1"/>
  <c r="C4" i="26" s="1"/>
  <c r="B7" i="3"/>
  <c r="A7" i="3"/>
  <c r="B4" i="3"/>
  <c r="A4" i="3"/>
  <c r="B3" i="3"/>
  <c r="A3" i="3"/>
  <c r="C15" i="25"/>
  <c r="C14" i="25"/>
  <c r="B13" i="25"/>
  <c r="A13" i="25"/>
  <c r="B10" i="25"/>
  <c r="A10" i="25"/>
  <c r="C17" i="25" s="1"/>
  <c r="B9" i="25"/>
  <c r="A9" i="25"/>
  <c r="B8" i="25"/>
  <c r="A8" i="25"/>
  <c r="B7" i="25"/>
  <c r="A7" i="25"/>
  <c r="C16" i="25" s="1"/>
  <c r="B6" i="25"/>
  <c r="A6" i="25"/>
  <c r="B5" i="25"/>
  <c r="A5" i="25"/>
  <c r="B4" i="25"/>
  <c r="A4" i="25"/>
  <c r="C13" i="25" s="1"/>
  <c r="B3" i="25"/>
  <c r="A3" i="25"/>
  <c r="B7" i="32" l="1"/>
  <c r="B8" i="32"/>
  <c r="C10" i="34"/>
  <c r="C4" i="34"/>
  <c r="B4" i="32"/>
  <c r="B9" i="32"/>
  <c r="B8" i="26"/>
  <c r="I8" i="26" s="1"/>
  <c r="B7" i="28" s="1"/>
  <c r="D7" i="28" s="1"/>
  <c r="C9" i="32" s="1"/>
  <c r="R9" i="32" s="1"/>
  <c r="B7" i="26"/>
  <c r="I7" i="26" s="1"/>
  <c r="F5" i="20"/>
  <c r="L5" i="20" s="1"/>
  <c r="C9" i="34"/>
  <c r="F4" i="18"/>
  <c r="K4" i="18" s="1"/>
  <c r="B4" i="26" s="1"/>
  <c r="I4" i="26" s="1"/>
  <c r="C7" i="36"/>
  <c r="C11" i="30"/>
  <c r="F5" i="18"/>
  <c r="K5" i="18" s="1"/>
  <c r="B5" i="26" s="1"/>
  <c r="I5" i="26" s="1"/>
  <c r="F6" i="20"/>
  <c r="L6" i="20" s="1"/>
  <c r="B6" i="32" s="1"/>
  <c r="C11" i="34"/>
  <c r="C4" i="30"/>
  <c r="C8" i="30"/>
  <c r="C12" i="30"/>
  <c r="C6" i="34"/>
  <c r="F6" i="18"/>
  <c r="K6" i="18" s="1"/>
  <c r="B6" i="26" s="1"/>
  <c r="I6" i="26" s="1"/>
  <c r="C13" i="34"/>
  <c r="C5" i="36"/>
  <c r="C7" i="30"/>
  <c r="F8" i="20"/>
  <c r="L8" i="20" s="1"/>
  <c r="C5" i="30"/>
  <c r="C9" i="30"/>
  <c r="C13" i="30"/>
  <c r="E5" i="32"/>
  <c r="C8" i="36"/>
  <c r="C6" i="30"/>
  <c r="B9" i="34" l="1"/>
  <c r="H9" i="34" s="1"/>
  <c r="B15" i="30"/>
  <c r="H15" i="30" s="1"/>
  <c r="B8" i="30"/>
  <c r="H8" i="30" s="1"/>
  <c r="B11" i="30"/>
  <c r="H11" i="30" s="1"/>
  <c r="B8" i="28"/>
  <c r="D8" i="28" s="1"/>
  <c r="C7" i="32" s="1"/>
  <c r="R7" i="32" s="1"/>
  <c r="B13" i="30"/>
  <c r="H13" i="30" s="1"/>
  <c r="B10" i="28"/>
  <c r="D10" i="28" s="1"/>
  <c r="C10" i="32" s="1"/>
  <c r="R10" i="32" s="1"/>
  <c r="B4" i="28"/>
  <c r="D4" i="28" s="1"/>
  <c r="C4" i="32" s="1"/>
  <c r="R4" i="32" s="1"/>
  <c r="B4" i="30"/>
  <c r="H4" i="30" s="1"/>
  <c r="B7" i="30"/>
  <c r="H7" i="30" s="1"/>
  <c r="B13" i="32"/>
  <c r="B5" i="32"/>
  <c r="B14" i="30"/>
  <c r="H14" i="30" s="1"/>
  <c r="B10" i="30"/>
  <c r="H10" i="30" s="1"/>
  <c r="B11" i="28"/>
  <c r="D11" i="28" s="1"/>
  <c r="C11" i="32" s="1"/>
  <c r="R11" i="32" s="1"/>
  <c r="B5" i="28"/>
  <c r="D5" i="28" s="1"/>
  <c r="C5" i="32" s="1"/>
  <c r="R5" i="32" s="1"/>
  <c r="B5" i="30"/>
  <c r="H5" i="30" s="1"/>
  <c r="B6" i="30"/>
  <c r="H6" i="30" s="1"/>
  <c r="B12" i="28"/>
  <c r="D12" i="28" s="1"/>
  <c r="C12" i="32" s="1"/>
  <c r="R12" i="32" s="1"/>
  <c r="B6" i="28"/>
  <c r="D6" i="28" s="1"/>
  <c r="B9" i="30"/>
  <c r="H9" i="30" s="1"/>
  <c r="B12" i="30"/>
  <c r="H12" i="30" s="1"/>
  <c r="B9" i="28"/>
  <c r="D9" i="28" s="1"/>
  <c r="C8" i="32" s="1"/>
  <c r="R8" i="32" s="1"/>
  <c r="B10" i="32"/>
  <c r="B12" i="32"/>
  <c r="B11" i="32"/>
  <c r="B7" i="34" l="1"/>
  <c r="H7" i="34" s="1"/>
  <c r="B5" i="36"/>
  <c r="H5" i="36" s="1"/>
  <c r="B12" i="34"/>
  <c r="H12" i="34" s="1"/>
  <c r="B8" i="36"/>
  <c r="H8" i="36" s="1"/>
  <c r="B6" i="36"/>
  <c r="H6" i="36" s="1"/>
  <c r="B10" i="34"/>
  <c r="H10" i="34" s="1"/>
  <c r="B11" i="34"/>
  <c r="H11" i="34" s="1"/>
  <c r="B7" i="36"/>
  <c r="H7" i="36" s="1"/>
  <c r="C13" i="32"/>
  <c r="R13" i="32" s="1"/>
  <c r="C6" i="32"/>
  <c r="R6" i="32" s="1"/>
  <c r="B5" i="34"/>
  <c r="H5" i="34" s="1"/>
  <c r="B8" i="34"/>
  <c r="H8" i="34" s="1"/>
  <c r="B4" i="34"/>
  <c r="B14" i="34" l="1"/>
  <c r="H14" i="34" s="1"/>
  <c r="Q13" i="32"/>
  <c r="B13" i="34"/>
  <c r="H13" i="34" s="1"/>
  <c r="L13" i="32"/>
  <c r="L8" i="32"/>
  <c r="G8" i="32" s="1"/>
  <c r="Q11" i="32"/>
  <c r="D7" i="36" s="1"/>
  <c r="B4" i="36"/>
  <c r="H4" i="36" s="1"/>
  <c r="B6" i="34"/>
  <c r="L12" i="32" s="1"/>
  <c r="M8" i="32"/>
  <c r="Q5" i="32"/>
  <c r="H4" i="34"/>
  <c r="Q9" i="32"/>
  <c r="M9" i="32"/>
  <c r="Q4" i="32"/>
  <c r="Q12" i="32" l="1"/>
  <c r="D8" i="36" s="1"/>
  <c r="L7" i="32"/>
  <c r="Q8" i="32"/>
  <c r="Q6" i="32"/>
  <c r="M13" i="32"/>
  <c r="G13" i="32" s="1"/>
  <c r="M11" i="32"/>
  <c r="H6" i="34"/>
  <c r="M5" i="32"/>
  <c r="Q10" i="32"/>
  <c r="D6" i="36" s="1"/>
  <c r="M7" i="32"/>
  <c r="L5" i="32"/>
  <c r="L11" i="32"/>
  <c r="Q7" i="32"/>
  <c r="D5" i="36" s="1"/>
  <c r="L4" i="32"/>
  <c r="G4" i="32" s="1"/>
  <c r="M4" i="32"/>
  <c r="M6" i="32"/>
  <c r="M12" i="32"/>
  <c r="G12" i="32" s="1"/>
  <c r="E8" i="36" s="1"/>
  <c r="L10" i="32"/>
  <c r="L6" i="32"/>
  <c r="G6" i="32" s="1"/>
  <c r="L9" i="32"/>
  <c r="G9" i="32" s="1"/>
  <c r="M10" i="32"/>
  <c r="G10" i="32" l="1"/>
  <c r="E6" i="36" s="1"/>
  <c r="G7" i="32"/>
  <c r="E5" i="36" s="1"/>
  <c r="G11" i="32"/>
  <c r="E7" i="36" s="1"/>
  <c r="G5" i="32"/>
</calcChain>
</file>

<file path=xl/sharedStrings.xml><?xml version="1.0" encoding="utf-8"?>
<sst xmlns="http://schemas.openxmlformats.org/spreadsheetml/2006/main" count="2979" uniqueCount="423">
  <si>
    <t>Ir a objetos de dominio &gt;&gt;&gt;&gt;</t>
  </si>
  <si>
    <t>&lt;&lt;&lt;&lt; Ir al modulo de dominio</t>
  </si>
  <si>
    <t>Nombre</t>
  </si>
  <si>
    <t>Descripcion</t>
  </si>
  <si>
    <t>Linea de vida</t>
  </si>
  <si>
    <t>Muestreo</t>
  </si>
  <si>
    <t>Caracterización</t>
  </si>
  <si>
    <t>DiaSemana</t>
  </si>
  <si>
    <t>Representa cada uno de los días de la semana, incluyendo festivo, que se usa como catálogo para definir los horarios de la barbería y de cada barbero</t>
  </si>
  <si>
    <t>Ir al muestreo</t>
  </si>
  <si>
    <t>Ir a la caracterización</t>
  </si>
  <si>
    <t>Estado</t>
  </si>
  <si>
    <t>Representa en qué situación puntual se encuentra una cita: agendada, finalizada, cancelada por alguna de las partes, con tardanza del cliente o del barbero, o con inasistencia del cliente</t>
  </si>
  <si>
    <t>Servicio</t>
  </si>
  <si>
    <t>Representa cada tipo de corte o arreglo que ofrece la barbería, definido por el dueño, para que luego cada barbero decida cuáles sabe hacer</t>
  </si>
  <si>
    <t>Regla</t>
  </si>
  <si>
    <t>Representa las políticas de la barbería frente al incumplimiento de clientes y barberos: tolerancias de tardanza, monto de la multa fija, número máximo de multas sin pagar antes del veto, y el descuento que se da cuando el barbero se demora</t>
  </si>
  <si>
    <t>PrefijoCelular</t>
  </si>
  <si>
    <t>Representa el catálogo de prefijos telefónicos de país disponibles para el número de celular de barberos y clientes</t>
  </si>
  <si>
    <t>TipoMulta</t>
  </si>
  <si>
    <t>Representa los tipos de multa que puede recibir un cliente: por tardanza o por inasistencia</t>
  </si>
  <si>
    <t>TipoBloqueo</t>
  </si>
  <si>
    <t>Representa si un bloqueo del barbero se repite todas las semanas, como la hora de almuerzo, o si aplica únicamente a una fecha específica, como un imprevisto</t>
  </si>
  <si>
    <t>Barbero</t>
  </si>
  <si>
    <t>Representa a un trabajador de la barbería que atiende clientes según los servicios que sabe realizar, organiza su propio horario y tiene su agenda personal</t>
  </si>
  <si>
    <t>Cliente</t>
  </si>
  <si>
    <t>Representa a la persona que solicita citas en la barbería con un barbero. Guarda su historial de multas sin pagar para saber si está o no vetado</t>
  </si>
  <si>
    <t>HorarioBarberia</t>
  </si>
  <si>
    <t>Representa, día por día, a qué hora abre y cierra el negocio; es el límite dentro del cual debe caber el horario de cualquier barbero</t>
  </si>
  <si>
    <t>BarberoServicio</t>
  </si>
  <si>
    <t>Representa qué servicios sabe hacer cada barbero, cuánto se demora en realizarlos y cuánto tiempo extra usa de colchón, ya que no todos los barberos ofrecen los mismos servicios</t>
  </si>
  <si>
    <t>HorarioBarbero</t>
  </si>
  <si>
    <t>Representa el día de la semana en que trabaja un barbero, junto con la hora en la que empieza y termina su jornada</t>
  </si>
  <si>
    <t>Agenda</t>
  </si>
  <si>
    <t>Representa un día puntual del calendario en el que un barbero, según su horario de trabajo, va a recibir citas. Es donde se agrupan todas las citas de ese barbero para ese día</t>
  </si>
  <si>
    <t>Bloqueo</t>
  </si>
  <si>
    <t>Representa una franja de tiempo en la que un barbero no atiende citas, ya sea porque es un descanso que repite todas las semanas o porque tuvo un imprevisto en una fecha puntual</t>
  </si>
  <si>
    <t>Cita</t>
  </si>
  <si>
    <t>Representa la reserva de un cliente con un barbero para un día y hora puntual, con los servicios pedidos, su estado, y lo que realmente ocurrió (llegada, atención, tardanzas)</t>
  </si>
  <si>
    <t>CitaServicio</t>
  </si>
  <si>
    <t>Representa cada servicio incluido dentro de una cita puntual, guardando el precio y la duración que tenía ese servicio para ese barbero en el momento exacto en que se agendó, para que cambios futuros en el catálogo no alteren citas ya registradas</t>
  </si>
  <si>
    <t>Multa</t>
  </si>
  <si>
    <t>Representa la sanción económica que se le impone a un cliente por incumplir una cita, ya sea por llegar tarde fuera de tolerancia o por no presentarse, calculada a partir de la cita específica que la originó</t>
  </si>
  <si>
    <t>&lt;&lt;&lt;&lt; Ir a objetos de dominio</t>
  </si>
  <si>
    <t>Nombre atributo</t>
  </si>
  <si>
    <t>Descripción atributo</t>
  </si>
  <si>
    <t>Identificador del objeto de dominio</t>
  </si>
  <si>
    <t>Tipo de dato</t>
  </si>
  <si>
    <t>Obligatorio</t>
  </si>
  <si>
    <t>Longitud mínima (si aplica)</t>
  </si>
  <si>
    <t>Longitud máxima (si aplica)</t>
  </si>
  <si>
    <t>Precisión (si aplica)</t>
  </si>
  <si>
    <t>Rendondeo (si aplica)</t>
  </si>
  <si>
    <t>Rango inicial (si aplica)</t>
  </si>
  <si>
    <t>Rango final (si aplica)</t>
  </si>
  <si>
    <t>Formato (si aplica)</t>
  </si>
  <si>
    <t>Reglas especiales (si aplica)</t>
  </si>
  <si>
    <t>Dato calculado</t>
  </si>
  <si>
    <t>Aplica ajuste del dato (si aplica)</t>
  </si>
  <si>
    <t>Carácter de ajuste (si aplica)</t>
  </si>
  <si>
    <t>Quitar espacios en blanco al inicio (si aplica)</t>
  </si>
  <si>
    <t>Quitar espacios en blanco al fin (si aplica)</t>
  </si>
  <si>
    <t>Dato sensible (si aplica)</t>
  </si>
  <si>
    <t>Valor por defecto (si aplica)</t>
  </si>
  <si>
    <t>Auto generado</t>
  </si>
  <si>
    <t>Si</t>
  </si>
  <si>
    <t>Identificador único universal</t>
  </si>
  <si>
    <t>No aplica</t>
  </si>
  <si>
    <t>No</t>
  </si>
  <si>
    <t>UUID vacio</t>
  </si>
  <si>
    <t>Alfanumérico</t>
  </si>
  <si>
    <t>Solo pueden ser los dias de la semana como Lunes, Martes, Miércoles, Jueves, Viernes, Sábado, Domingo y Festivo</t>
  </si>
  <si>
    <t>Vacio</t>
  </si>
  <si>
    <t>Nombre combinación única</t>
  </si>
  <si>
    <t>Descripción</t>
  </si>
  <si>
    <t>Atributos involucrados</t>
  </si>
  <si>
    <t>nombre</t>
  </si>
  <si>
    <t>Representa un identificador que hará unico cada objeto de dominio de este tipo, no se puede repetir</t>
  </si>
  <si>
    <t>Representa como se llama el dia de la semana, para los horarios</t>
  </si>
  <si>
    <t>Combinacion única que indica que no puede existir más un dia de la semana con el mismo nombre</t>
  </si>
  <si>
    <t>id</t>
  </si>
  <si>
    <t xml:space="preserve">Combinación única </t>
  </si>
  <si>
    <t>Lunes</t>
  </si>
  <si>
    <t>Martes</t>
  </si>
  <si>
    <t>Miércoles</t>
  </si>
  <si>
    <t>Jueves</t>
  </si>
  <si>
    <t>Viernes</t>
  </si>
  <si>
    <t>Sábado</t>
  </si>
  <si>
    <t>Domingo</t>
  </si>
  <si>
    <t>Festivo</t>
  </si>
  <si>
    <t>Corresponde a la descripcion de los atributos</t>
  </si>
  <si>
    <t>Corresponde al identificador unico del objeto de dominio</t>
  </si>
  <si>
    <t>Corresponde a los datos de tipo alfanumerico</t>
  </si>
  <si>
    <t>Corresponde a la combinacion única</t>
  </si>
  <si>
    <t>Solo se aceptan caracteres de letras de la 'a' a la 'z' y caracteres con tilde</t>
  </si>
  <si>
    <t>Solo se aceptan caracteres de letras de la 'a' a la 'z', caracteres con tilde y espacios en blanco</t>
  </si>
  <si>
    <t>Representa como se llama el estado en el que se encuentra una cita puntual</t>
  </si>
  <si>
    <t>Representa el significado de que representa cada estado para la cita</t>
  </si>
  <si>
    <t>descripcion</t>
  </si>
  <si>
    <t>Agendada</t>
  </si>
  <si>
    <t>La cita quedó registrada en la agenda del barbero y está a la espera de la fecha y hora acordadas.</t>
  </si>
  <si>
    <t>Finalizada</t>
  </si>
  <si>
    <t>El barbero atendió al cliente y el servicio contratado se prestó por completo.</t>
  </si>
  <si>
    <t>Cancelada por el cliente</t>
  </si>
  <si>
    <t>El cliente decidió no asistir y anuló la cita antes de la fecha y hora programada.</t>
  </si>
  <si>
    <t>Cancelada por el barbero</t>
  </si>
  <si>
    <t>El barbero anuló la cita antes de la fecha y hora programada, por ejemplo por una eventualidad.</t>
  </si>
  <si>
    <t>El cliente se demoro</t>
  </si>
  <si>
    <t>El cliente llegó después de la hora acordada superando la toleranciaTardanzaCliente definida en Regla, lo que genera una multa.</t>
  </si>
  <si>
    <t>El barbero se demoro</t>
  </si>
  <si>
    <t>El barbero se demoró más de lo previsto en una cita anterior y no pudo atender al cliente a la hora acordada, dándole un descuento en compensación según Regla.</t>
  </si>
  <si>
    <t>Inasistencia del cliente</t>
  </si>
  <si>
    <t>El cliente nunca llegó a la cita: se alcanzó la hora estimada de finalización sin registrar su llegada, lo que genera una multa por el valor total de los servicios pedidos.</t>
  </si>
  <si>
    <t>Inasistencia del barbero</t>
  </si>
  <si>
    <t>El barbero nunca inició la atención de la cita: se alcanzó la hora estimada de finalización sin que el barbero hubiera atendido al cliente, lo que da lugar a un descuento en la próxima cita del cliente como compensación.</t>
  </si>
  <si>
    <t>Entero</t>
  </si>
  <si>
    <t>Lógico</t>
  </si>
  <si>
    <t>Representa el nombre del servicio que va estar en la barberia, para que el barbero elija los servicios que el sabe hacer</t>
  </si>
  <si>
    <t>Representa una descripcion de que va a hacer cada servicio en la barberia, para que el barbero sepa que hace el servicio</t>
  </si>
  <si>
    <t>Representa cuanto va a valer el servicio en pesos colombianos</t>
  </si>
  <si>
    <t>Representa si el servicio sigue o no disponible en la barberia</t>
  </si>
  <si>
    <t>Combinacion única que indica que no puede existir más de un servicio con el mismo nombre</t>
  </si>
  <si>
    <t>precio</t>
  </si>
  <si>
    <t>disponible</t>
  </si>
  <si>
    <t xml:space="preserve">Combinacion única </t>
  </si>
  <si>
    <t>Motilada</t>
  </si>
  <si>
    <t>Corte de cabello completo con máquina y tijera, incluye lavado y secado</t>
  </si>
  <si>
    <t>si</t>
  </si>
  <si>
    <t>Corte de barba</t>
  </si>
  <si>
    <t>Recorte de la barba con máquina para dejarla pareja y a la medida que pide el cliente</t>
  </si>
  <si>
    <t>Perfilada de barba</t>
  </si>
  <si>
    <t>Delineado de los bordes de la barba y el bigote con navaja, sin recortar el largo</t>
  </si>
  <si>
    <t>Arreglo completo de barba con toalla caliente</t>
  </si>
  <si>
    <t>Recorte, perfilado con navaja, toalla caliente, exfoliación y aceite para la barba</t>
  </si>
  <si>
    <t>Corresponde a los datos de referencia de otros objetos de dominio</t>
  </si>
  <si>
    <t>Corresponde a los datos de tipo entero</t>
  </si>
  <si>
    <t>Corresponde a los datos de tipo logico</t>
  </si>
  <si>
    <t>Representa la cantidad de minutos maxima que un cliente puede llegar tarde</t>
  </si>
  <si>
    <t>Representa la cantidad de dinero que el cliente debe de pagar en pesos colombianos, por superar la toleranciaTardanza</t>
  </si>
  <si>
    <t>Representa la maxima de multas que pueda tener un cliente sin pagar, a partir de esta cantidad se le hace un veto al cliente</t>
  </si>
  <si>
    <t>Representa la cantidad de minutos que un barbero puede demorarse en atender a un cliente, en caso de que el barbero se demore mas de lo previsto en su cita anterior</t>
  </si>
  <si>
    <t>Representa la cantidad cuanto descuento va a tener un cliente en la cita con el barbero, como recompesa por esperar al barbero mas de la tolerancia permitida</t>
  </si>
  <si>
    <t>Representa la parte en horas del tiempo mínimo de anticipación con el que un barbero pueda cancelar una cita con el cliente. El barbero no podrá cancelar la cita cuando falte menos del tiempo indicado</t>
  </si>
  <si>
    <t>Representa la parte en minutos del tiempo mínimo de anticipación con el que un barbero puede cancelar una cita con el cliente. El barbero no podrá cancelar la cita cuando falte menos del tiempo indicado</t>
  </si>
  <si>
    <t>Representa la parte en horas del tiempo mínimo de anticipación con el que un cliente puede cancelar una cita con el barbero. El cliente no podrá cancelar la cita cuando falte menos del tiempo indicado</t>
  </si>
  <si>
    <t>Representa la parte en minutos del tiempo mínimo de anticipación con el que un cliente puede cancelar una cita con el barbero. El cliente no podrá cancelar la cita cuando falte menos del tiempo indicado</t>
  </si>
  <si>
    <t>toleranciaTardanzaCliente</t>
  </si>
  <si>
    <t>montoMultaTardanzaCliente</t>
  </si>
  <si>
    <t>numeroMultasMaxima</t>
  </si>
  <si>
    <t>toleranciaTardanzaBarbero</t>
  </si>
  <si>
    <t>porcentajeDescuentoCita</t>
  </si>
  <si>
    <t>tiempoEnHorasAnticipacionDelBarberoParaCancelarUnaCita</t>
  </si>
  <si>
    <t>tiempoEnMinutosAnticipacionDelBarberoParaCancelarUnaCita</t>
  </si>
  <si>
    <t>tiempoEnHorasAnticipacionDelClienteParaCancelarUnaCita</t>
  </si>
  <si>
    <t>tiempoEnMinutosAnticipacionDelClienteParaCancelarUnaCita</t>
  </si>
  <si>
    <t>Simbolo + seguido de un número. Por ejemplo +57. Tambien el anterior puede ser seguido de un - y un numero. Por ejemplo +1-809</t>
  </si>
  <si>
    <t>Solo se aceptan caracteres numericos del 0 al 9 y el carácter '+' y '-'</t>
  </si>
  <si>
    <t>+0</t>
  </si>
  <si>
    <t>prefijo</t>
  </si>
  <si>
    <t>Representa el primer nombre del barbero que trabaja en barbería</t>
  </si>
  <si>
    <t>Combinacion única que indica que no puede existir más un mismo prefijo</t>
  </si>
  <si>
    <t>+57</t>
  </si>
  <si>
    <t>+91</t>
  </si>
  <si>
    <t>+593</t>
  </si>
  <si>
    <t>+58</t>
  </si>
  <si>
    <t>Representa el nombre del tipo de multa</t>
  </si>
  <si>
    <t>Representa que hace cada tipo de multa</t>
  </si>
  <si>
    <t xml:space="preserve">Combinación única indica que no puede existir más de un tipo de multa con el mismo nombre </t>
  </si>
  <si>
    <t>Combinación única</t>
  </si>
  <si>
    <t>Tardanza</t>
  </si>
  <si>
    <t>El cliente llegó a la cita después de la hora acordada, superando los minutos de toleranciaTardanzaCliente definidos en Regla.</t>
  </si>
  <si>
    <t>Inasistencia</t>
  </si>
  <si>
    <t>El cliente no se presentó a la cita agendada: se llegó a la hora estimada de finalización sin que hubiera registrado su llegada.</t>
  </si>
  <si>
    <t>Corresponde a los datos de tipo texto</t>
  </si>
  <si>
    <t>Representa un identificador que hará unico cada objeto de dominio de tipo de bloqueo</t>
  </si>
  <si>
    <t>Representa como se llama el tipo de bloqueo que puede registrar un barbero</t>
  </si>
  <si>
    <t>Representa el significado de cada tipo de bloqueo y cuando se debe usar</t>
  </si>
  <si>
    <t>Combinación única que indica que no puede existir más de un tipo de bloqueo con el mismo nombre</t>
  </si>
  <si>
    <t>Habitual</t>
  </si>
  <si>
    <t>Puntual</t>
  </si>
  <si>
    <t xml:space="preserve">Solo se aceptan caracteres de letras de la 'a' a la 'z', caracteres con tilde y numeros del 0 al 9 </t>
  </si>
  <si>
    <t>vacío</t>
  </si>
  <si>
    <t>Solo se aceptan caracteres de letras de la 'a' a la 'z', caracteres con tilde y numeros del 0 al 9</t>
  </si>
  <si>
    <t>Número telefónico, sin el prefijo de país</t>
  </si>
  <si>
    <t>0</t>
  </si>
  <si>
    <t>Horas</t>
  </si>
  <si>
    <t>Minutos</t>
  </si>
  <si>
    <t>Representa el segundo nombre del barbero que trabaja en barbería</t>
  </si>
  <si>
    <t>Representa el primer apellido del barbero que trabaja en la barbería</t>
  </si>
  <si>
    <t>Representa el segundo apellido del barbero que trabaja en la barbería</t>
  </si>
  <si>
    <t>Representa cual es el prefijo del numero de celular del barbero</t>
  </si>
  <si>
    <t>Representa el número de celular del barbero, es el dato que el cliente necesita en caso de que tenga que contactarse con el</t>
  </si>
  <si>
    <t>Representa si el barbero sigue o no trabajando en la barberia</t>
  </si>
  <si>
    <t>Representa la parte en horas del tiempo mínimo de anticipación con el que un cliente debe pedirle una cita a este barbero. Junto con anticipacionEnMinutosParaAgendarCita forma el tiempo total de anticipación que exige el barbero</t>
  </si>
  <si>
    <t>Representa la parte en minutos del tiempo mínimo de anticipación con el que un cliente debe pedirle una cita a este barbero. Junto con anticipacionEnHorasParaAgendarCita forma el tiempo total de anticipación que exige el barbero</t>
  </si>
  <si>
    <t>Combinacion única que indica que no puede existir más de un barbero con el mismo prefijo de celular y número de celular</t>
  </si>
  <si>
    <t>primerNombre</t>
  </si>
  <si>
    <t>segundoNombre</t>
  </si>
  <si>
    <t>primerApellido</t>
  </si>
  <si>
    <t>segundoApellido</t>
  </si>
  <si>
    <t>celular</t>
  </si>
  <si>
    <t>vigente</t>
  </si>
  <si>
    <t>anticipacionEnHorasParaAgendarCita</t>
  </si>
  <si>
    <t>anticipacionEnMinutosParaAgendarCita</t>
  </si>
  <si>
    <t>Combinación única  1</t>
  </si>
  <si>
    <t>Juan</t>
  </si>
  <si>
    <t>Fernando</t>
  </si>
  <si>
    <t>García</t>
  </si>
  <si>
    <t>Lopez</t>
  </si>
  <si>
    <t>David</t>
  </si>
  <si>
    <t>Ortiz</t>
  </si>
  <si>
    <t>Sanchez</t>
  </si>
  <si>
    <t>Carlos</t>
  </si>
  <si>
    <t>Arbeladez</t>
  </si>
  <si>
    <t>Andres</t>
  </si>
  <si>
    <t>Ramirez</t>
  </si>
  <si>
    <t>Patiño</t>
  </si>
  <si>
    <t>no</t>
  </si>
  <si>
    <t>Zambrano</t>
  </si>
  <si>
    <t>Perez</t>
  </si>
  <si>
    <t>Corresponde a referencias de objetos de dominio</t>
  </si>
  <si>
    <t>Corresponde a los datos de tipo lógico</t>
  </si>
  <si>
    <t>Corresponde a la combinacion única 1</t>
  </si>
  <si>
    <t>El mismo formato del objeto referenciado</t>
  </si>
  <si>
    <t>Aplican las reglas del objeto referenciado</t>
  </si>
  <si>
    <t xml:space="preserve">Deben de ser solo números que cumplan un número de teléfono válido </t>
  </si>
  <si>
    <t>Se calcula contando las Multa del cliente donde pagada='no'</t>
  </si>
  <si>
    <t>Se calcula comparando multasSinPagar contra Regla.numeroMultasMaxima; si multasSinPagar alcanza ese máximo, el cliente queda vetado</t>
  </si>
  <si>
    <t>Se calcula contando cuántas citas con inasistencia del barbero ha tenido el cliente</t>
  </si>
  <si>
    <t>Representa el primer nombre de la persona, que va a estar llendo a la barberia para las citas</t>
  </si>
  <si>
    <t>Representa el segundo nombre de la persona, que va a estar llendo a la barberia para las citas</t>
  </si>
  <si>
    <t>Representa el primer apellido de la persona, que va a estar llendo a la barberia para las citas</t>
  </si>
  <si>
    <t>Representa el segundo apellido de la persona, que va a estar llendo a la barberia para las citas</t>
  </si>
  <si>
    <t>Representa cual es el prefijo del numero de celular del cliente</t>
  </si>
  <si>
    <t>Representa el numero de celular del cliente, es el dato que el barbero necesita en caso de que tenga que contactarse con el</t>
  </si>
  <si>
    <t>Representa si el numero que ingreso el cliente es correcto o no</t>
  </si>
  <si>
    <t>Representa la cantidad de multas que tiene sin pagar en las citas que ha tenido, ya sea multa por tardanza o por no llegar</t>
  </si>
  <si>
    <t>Representa si el cliente esta en estado de veto o no, cuando el cliente esta vetado el sistema no va a permitir agendar citas con este cliente con ningun barbero</t>
  </si>
  <si>
    <t>Representa la cantidad de citas que un cliente va a tener con descuento, cada inasistencia que un barbero le haga al cliente se le suma un descuento a la proxima cita</t>
  </si>
  <si>
    <t>Combinacion única que indica que no puede existir más de un cliente con el mismo prefijo de celular y número de celular</t>
  </si>
  <si>
    <t>prefijoCelular</t>
  </si>
  <si>
    <t>elNumeroCelularEsCorrecto</t>
  </si>
  <si>
    <t>multasSinPagar</t>
  </si>
  <si>
    <t>estaVetado</t>
  </si>
  <si>
    <t>cantidadDeDescuentoCitas</t>
  </si>
  <si>
    <t>Gómez</t>
  </si>
  <si>
    <t>Jose</t>
  </si>
  <si>
    <t>Miguel</t>
  </si>
  <si>
    <t>Simon</t>
  </si>
  <si>
    <t>Ochoa</t>
  </si>
  <si>
    <t>Alexis</t>
  </si>
  <si>
    <t>Gallego</t>
  </si>
  <si>
    <t>Kevin</t>
  </si>
  <si>
    <t>Andrés</t>
  </si>
  <si>
    <t>Muñoz</t>
  </si>
  <si>
    <t>Salazar</t>
  </si>
  <si>
    <t>Corresponde a los datos calculados por el sistema</t>
  </si>
  <si>
    <t>Hora</t>
  </si>
  <si>
    <t>00:00</t>
  </si>
  <si>
    <t>Debe ser mayor a horaApertura</t>
  </si>
  <si>
    <t>Fecha</t>
  </si>
  <si>
    <t>1/01/1000</t>
  </si>
  <si>
    <t>Representa el día de la semana en el que la barberia abre</t>
  </si>
  <si>
    <t>Representa la hora a la que abre la barbería</t>
  </si>
  <si>
    <t>Representa la hora a la que cierra la barbería</t>
  </si>
  <si>
    <t>Representa la fecha en el que el dueño definio el horario de la barberia. Es un dato calculado que toma la fecha del sistema en ese momento</t>
  </si>
  <si>
    <t>Representa la fecha en la que este horario dejó de estar vigente, dueño. Es un dato calculado que toma la fecha del sistema en ese momento</t>
  </si>
  <si>
    <t>Representa si este horario lo sigue o no vigente en la barberia. Una vez que el dueño desactive el horario de la barberia, no se puede volver a cambiar</t>
  </si>
  <si>
    <t>Combinacion única que indica que no puede existir más de un horario con la misma barberia, dia de la semana, hora de apertura y cierre</t>
  </si>
  <si>
    <t>diaDeLaSemana</t>
  </si>
  <si>
    <t>horaApertura</t>
  </si>
  <si>
    <t>horaCierre</t>
  </si>
  <si>
    <t>fechaCreacion</t>
  </si>
  <si>
    <t>fechaDesactivacion</t>
  </si>
  <si>
    <t>Corresponde a los datos de tipo hora</t>
  </si>
  <si>
    <t>Corresponde a los datos tipo logico</t>
  </si>
  <si>
    <t>barbero</t>
  </si>
  <si>
    <t>servicio</t>
  </si>
  <si>
    <t>Representa el nombre y apellidos del barbero</t>
  </si>
  <si>
    <t xml:space="preserve">Representa el nombre del servicio de la barberia </t>
  </si>
  <si>
    <t>Representa la cantidad de horas que un barbero tarda en realizar un servicio, esta duracion el barbero debe de ser consiente de cuanto se demora en realizarlo</t>
  </si>
  <si>
    <t>Representa la cantidad de minutos que un barbero tarda en realizar un servicio, esta duracion el barbero debe de ser consiente de cuanto se demora en realizarlo</t>
  </si>
  <si>
    <t>Representa la cantidad de minutos que un barbero pone de tiempo extra en las citas de su agenda, cada barbero usa este tiempo porque hay ocaciones que la cita se puede demorar más de lo previsto. Este tiempo les ayuda a evitar que se les retrase la agenda</t>
  </si>
  <si>
    <t>Representa si el barbero sigue o no presentando el servicio en la barbería</t>
  </si>
  <si>
    <t>Combinación única que indica que un mismo barbero no puede aparecer dos veces ofreciendo el mismo servicio</t>
  </si>
  <si>
    <t>duracionEnHoras</t>
  </si>
  <si>
    <t>duracionEnMinutos</t>
  </si>
  <si>
    <t>tiempoExtra</t>
  </si>
  <si>
    <t>hh:mm</t>
  </si>
  <si>
    <t>Debe estar dentro del rango de horarioDeLaBarberia</t>
  </si>
  <si>
    <t>Debe ser mayor a horaInicio y estar dentro del rango de horarioDeLaBarberia</t>
  </si>
  <si>
    <t>dd/mm/aaaa</t>
  </si>
  <si>
    <t>Toma la fecha del sistema en el momento en que el barbero crea este horario</t>
  </si>
  <si>
    <t>01/01/1000</t>
  </si>
  <si>
    <t>Toma la fecha del sistema en el momento en que el barbero desactiva este horario. Su valor por defecto es 01/01/1000 mientras siga vigente</t>
  </si>
  <si>
    <t>Una vez se cambia a No, no puede volver a cambiar a Si</t>
  </si>
  <si>
    <t>Referencia a que barbero va a ser dueño de este horario</t>
  </si>
  <si>
    <t>Hace referencia a la agenda del barbero en la que queda guardado este horario de trabajo</t>
  </si>
  <si>
    <t>Representa la hora en la que el barbero empieza a estar disponible ese dia</t>
  </si>
  <si>
    <t>Representa la hora en la que el barbero deja de estar disponible ese día.</t>
  </si>
  <si>
    <t>Representa la fecha en el que el barbero creo su horario. Es un dato calculado que toma la fecha de hoy cuando el barbero la crea</t>
  </si>
  <si>
    <t>Representa la fecha en la que este horario dejó de estar vigente, ya sea porque el barbero lo retiró o porque se desactivó el horario de la barbería del que depende. Es un dato calculado que toma la fecha del sistema en ese momento.</t>
  </si>
  <si>
    <t>Representa si este horario lo sigue o no usando el barbero. Una vez que el barbero cambie este estado a no vigente, no se puede volver a cambiar</t>
  </si>
  <si>
    <t>Combinación única que indica que un mismo barbero no puede tener dos horarios con el mismo día de la barbería, la misma hora de inicio y la misma hora final. No incluye vigente porque la identidad de un horario no puede cambiar cuando se desactiva</t>
  </si>
  <si>
    <t>horarioDeLaBarberia</t>
  </si>
  <si>
    <t>horaInicio</t>
  </si>
  <si>
    <t>horaFinal</t>
  </si>
  <si>
    <t>Corresponde a los datos calculados</t>
  </si>
  <si>
    <t>Hace referencia al horario de trabajo del barbero (día de la semana, hora de inicio y hora final) al que pertenece esta agenda</t>
  </si>
  <si>
    <t>Representa la fecha específica en el que la agenda va a guardar las citas de ese barbero</t>
  </si>
  <si>
    <t>Combinación única que indica que un mismo horario de barbero no puede tener más de una agenda para el mismo día</t>
  </si>
  <si>
    <t>horarioDelBarbero</t>
  </si>
  <si>
    <t>fecha</t>
  </si>
  <si>
    <t>Corresponde a los datos de tipo fecha</t>
  </si>
  <si>
    <t>Referencia a HorarioBarbero</t>
  </si>
  <si>
    <t>El bloqueo cuelga del horario de trabajo del barbero, no de la agenda, para que un mismo bloqueo habitual sirva para todas las agendas de ese horario</t>
  </si>
  <si>
    <t>Referencia a TipoBloqueo</t>
  </si>
  <si>
    <t>Es lo que distingue si el bloqueo aplica a todas las semanas o solo a una fecha</t>
  </si>
  <si>
    <t>Cuando el tipo de bloqueo es Habitual su valor es 01/01/1000. Cuando es Puntual debe ser una fecha cuyo día de la semana coincida con el del horario de la barbería al que pertenece el horario del barbero</t>
  </si>
  <si>
    <t>Debe ser mayor o igual a la horaInicio del horario del barbero</t>
  </si>
  <si>
    <t>Debe ser mayor a horaInicio y menor o igual a la horaFinal del horario del barbero</t>
  </si>
  <si>
    <t>horarioBarbero, fecha, horaInicio</t>
  </si>
  <si>
    <t>Referencia en cuál horario de barbero va a estar el bloqueo</t>
  </si>
  <si>
    <t>Hace referencia a si el bloqueo es habitual, es decir que se repite todas las semanas en ese horario de trabajo, o puntual, es decir que solo aplica a una fecha específica</t>
  </si>
  <si>
    <t>Representa la hora en la que el barbero empieza a no estar disponible</t>
  </si>
  <si>
    <t>Representa la hora en la que el barbero vuelve a estar disponible, después del bloqueo</t>
  </si>
  <si>
    <t>Representa el motivo por el cual el barbero no puede atender las citas en esa franja</t>
  </si>
  <si>
    <t>Combinación única que indica que un mismo horario de barbero no puede tener dos bloqueos que empiecen el mismo día a la misma hora</t>
  </si>
  <si>
    <t>horarioBarbero</t>
  </si>
  <si>
    <t>tipoBloqueo</t>
  </si>
  <si>
    <t>horaFin</t>
  </si>
  <si>
    <t>motivo</t>
  </si>
  <si>
    <t>Se me presentó un inconveniente, más adelante estaré disponible</t>
  </si>
  <si>
    <t>No puedo</t>
  </si>
  <si>
    <t>Imprevisto personal</t>
  </si>
  <si>
    <t>Cita médica</t>
  </si>
  <si>
    <t>Reunión familiar</t>
  </si>
  <si>
    <t>Compromiso</t>
  </si>
  <si>
    <t>Diligencia personal</t>
  </si>
  <si>
    <t>Mantenimiento de herramientas</t>
  </si>
  <si>
    <t>Almuerzo</t>
  </si>
  <si>
    <t>Se muestra el nombre completo del cliente, no una combinación única, únicamente para lectura humana en el muestreo</t>
  </si>
  <si>
    <t>Congela la Regla vigente al momento de agendar</t>
  </si>
  <si>
    <t>Debe de estar dentro del horario de trabajo del barbero</t>
  </si>
  <si>
    <t xml:space="preserve">horaInicio + duracion (en minutos) y debe de estar dentro del horario de trabajo del barbero </t>
  </si>
  <si>
    <t>Resulta de dividir entre 60 la suma de duracionServicio + tiempoExtra de todos los CitaServicio de esta cita (parte en horas)</t>
  </si>
  <si>
    <t>Resto en minutos de dividir entre 60 la suma de duracionServicio + tiempoExtra de todos los CitaServicio de esta cita (parte en minutos)</t>
  </si>
  <si>
    <t>Si horaLlegadaCliente es 00:00 (no ha llegado), 0. Si no, MAX(0, horaLlegadaCliente - horaInicio) en minutos</t>
  </si>
  <si>
    <t>Si horaInicioAtencion es 00:00 (no ha empezado), 0. Si no, MAX(0, horaInicioAtencion - MAX(horaLlegadaCliente, horaInicio)) en minutos</t>
  </si>
  <si>
    <t>Copia de Regla.porcentajeDescuentoCita, únicamente cuando minutosDemoraBarbero supera Regla.toleranciaTardanzaBarbero</t>
  </si>
  <si>
    <t>Suma de precioServicio de todos los CitaServicio de esta cita, menos el descuento (precioTotal * porcentajeDescuentoAplicado / 100)</t>
  </si>
  <si>
    <t>Representa a cuál cliente le pertenece esta cita</t>
  </si>
  <si>
    <t>Referencia en cual agenda va a estar esta cita</t>
  </si>
  <si>
    <t>Hace referencia a la Regla vigente de la barbería en el momento de agendar; de ahí salen las tolerancias, el monto de multa fija y el porcentaje de descuento que aplican a esta cita</t>
  </si>
  <si>
    <t>Representa en qué estado se encuentra esta cita puntual: agendada, finalizada, cancelada, con tardanza del cliente o del barbero, o inasistencia</t>
  </si>
  <si>
    <t>Representa la hora en la que se va a realizar la cita al cliente</t>
  </si>
  <si>
    <t>Representa la hora en la que se espera que termine la cita, sumando horaInicio más la duración total de los servicios pedidos. Es un dato calculado</t>
  </si>
  <si>
    <t>Representa la hora real en la que el cliente llegó a la barbería para esta cita. Su valor por defecto es 00:00 y es permitido: significa que el cliente aún no ha llegado</t>
  </si>
  <si>
    <t>Representa la hora real en la que el barbero quedó listo y disponible para empezar a atender esta cita. Su valor por defecto es 00:00 y es permitido: significa que el barbero aún no se ha preparado</t>
  </si>
  <si>
    <t>Representa la hora real en la que el barbero empezó a atender al cliente. Su valor por defecto es 00:00 y es permitido: significa que la atención aún no ha comenzado</t>
  </si>
  <si>
    <t>Representa la hora real en la que el barbero terminó de atender al cliente. Su valor por defecto es 00:00 y es permitido: significa que la atención aún no ha terminado</t>
  </si>
  <si>
    <t>Representa la cantidad total de horas que va a durar la cita, sumando la duración de cada servicio pedido más el tiempo extra de cada uno. Es un dato calculado</t>
  </si>
  <si>
    <t>Representa la cantidad total de minutos que va a durar la cita, sumando la duración de cada servicio pedido más el tiempo extra de cada uno. Es un dato calculado</t>
  </si>
  <si>
    <t>Representa cuántos minutos después de horaInicio llegó el cliente. Si llegó a tiempo o aún no ha llegado su valor es 0. Es un dato calculado</t>
  </si>
  <si>
    <t>Representa cuántos minutos después de la llegada del cliente empezó el barbero a atenderlo. Si no hubo demora su valor es 0. Es un dato calculado</t>
  </si>
  <si>
    <t>Representa el porcentaje de descuento aplicado al cliente en esta cita, cuando minutosDemoraBarbero supera la toleranciaTardanzaBarbero de Regla. Su valor por defecto es 0 y es permitido. Es un dato auto generado: copia de Regla.porcentajeDescuentoCita</t>
  </si>
  <si>
    <t>Representa cuánto debe pagar el cliente por los servicios de esta cita: la suma de los precios de sus CitaServicio, menos el descuento si aplicó. Es un dato calculado</t>
  </si>
  <si>
    <t>Combinación única que indica que una misma agenda no puede tener dos citas que empiecen a la misma hora</t>
  </si>
  <si>
    <t>cliente</t>
  </si>
  <si>
    <t>agenda</t>
  </si>
  <si>
    <t>regla</t>
  </si>
  <si>
    <t>estado</t>
  </si>
  <si>
    <t>horaFinEstimada</t>
  </si>
  <si>
    <t>horaLlegadaCliente</t>
  </si>
  <si>
    <t>horaDelBarberoPreparado</t>
  </si>
  <si>
    <t>horaInicioAtencion</t>
  </si>
  <si>
    <t>horaFinAtencion</t>
  </si>
  <si>
    <t>duracionHoras</t>
  </si>
  <si>
    <t>duracionMinutos</t>
  </si>
  <si>
    <t>minutosTardanzaCliente</t>
  </si>
  <si>
    <t>minutosDemoraBarbero</t>
  </si>
  <si>
    <t>porcentajeDescuentoAplicado</t>
  </si>
  <si>
    <t>precioFinal</t>
  </si>
  <si>
    <t>Copia de Servicio.precio en el momento de agendar la cita</t>
  </si>
  <si>
    <t>Copia de BarberoServicio.duracionEnHoras en el momento de agendar la cita</t>
  </si>
  <si>
    <t>Copia de BarberoServicio.duracionServicio en el momento de agendar la cita</t>
  </si>
  <si>
    <t>Copia de BarberoServicio.tiempoExtra en el momento de agendar la cita</t>
  </si>
  <si>
    <t>Hace referencia a la cita a la que pertenece este servicio pedido</t>
  </si>
  <si>
    <t>Hace referencia a qué servicio, de qué barbero específico, se pidió en esta cita. No se referencia el Servicio directamente porque un barbero podría no ofrecerlo</t>
  </si>
  <si>
    <t>Representa el precio que tenía el servicio en el momento en que se agendó esta cita. Es un dato auto generado: copia de Servicio.precio, para que cambios futuros en el precio del catálogo no alteren una cita ya registrada</t>
  </si>
  <si>
    <t>Representa la duración en horas que tenía el servicio para ese barbero en el momento en que se agendó esta cita. Es un dato auto generado: copia de BarberoServicio.duracionServicio</t>
  </si>
  <si>
    <t>Representa la duración en minutos que tenía el servicio para ese barbero en el momento en que se agendó esta cita. Es un dato auto generado: copia de BarberoServicio.duracionServicio</t>
  </si>
  <si>
    <t>Representa el tiempo extra en minutos que ese barbero tenía configurado para este servicio en el momento en que se agendó la cita. Es un dato auto generado: copia de BarberoServicio.tiempoExtra, para que cambios futuros en el tiempo extra no alteren una cita ya registrada</t>
  </si>
  <si>
    <t>Combinación única que indica que un mismo servicio no se puede pedir dos veces en la misma cita, es decir que CitaServicio no puede tener la misma cita y el barberoServicio</t>
  </si>
  <si>
    <t>cita</t>
  </si>
  <si>
    <t>barberoServicio</t>
  </si>
  <si>
    <t>precioServicio</t>
  </si>
  <si>
    <t>duracionEnHorasElServicio</t>
  </si>
  <si>
    <t>duracionEnMinutosElServicio</t>
  </si>
  <si>
    <t>Si tipo=Tardanza copia Regla.montoMultaTardanzaCliente; si tipo=Inasistencia copia Cita.precioFinal</t>
  </si>
  <si>
    <t>Si tipo=Tardanza copia Cita.horaLlegadaCliente; si tipo=Inasistencia copia Cita.horaFinEstimada</t>
  </si>
  <si>
    <t>Fecha y Hora</t>
  </si>
  <si>
    <t>01/01/1000 00:00</t>
  </si>
  <si>
    <t>Hace referencia a la cita puntual que el cliente incumplió (llegando tarde fuera de la tolerancia o no presentándose), de esa cita es de donde sale el valor de monto si fue el caso de no presentase</t>
  </si>
  <si>
    <t>Hace referencia al tipo de multa -tardanza o inasistencia- según lo que haya ocurrido con la cita</t>
  </si>
  <si>
    <t>Representa cuánto dinero en pesos colombianos debe pagar el cliente por esta multa. Es un dato auto generado: si el tipo es Tardanza copia el monto fijo de Regla.montoMultaTardanzaCliente; si el tipo es Inasistencia copia el precioFinal de la Cita incumplida</t>
  </si>
  <si>
    <t>Representa la hora en la que el sistema generó esta multa: si es por tardanza, en el momento en que el cliente llega superando la tolerancia; si es por inasistencia, en la hora estimada de finalización de la cita sin que el cliente haya llegado. El día es el mismo día de la agenda de la cita que la originó</t>
  </si>
  <si>
    <t>Representa la fecha y hora en la que el cliente pagó esta multa. Su valor por defecto es 01/01/1000 00:00 y es permitido: significa que la multa sigue sin pagar</t>
  </si>
  <si>
    <t>Representa si el cliente ya pagó o no esta multa, es el dato que se revisa para decidir si un cliente llega al número de multas sin pagar que activa el veto</t>
  </si>
  <si>
    <t>Combinación única que indica que una misma cita no puede generar más de una multa</t>
  </si>
  <si>
    <t>tipo</t>
  </si>
  <si>
    <t>monto</t>
  </si>
  <si>
    <t>horaGeneracion</t>
  </si>
  <si>
    <t>fechaHoraPago</t>
  </si>
  <si>
    <t>pagada</t>
  </si>
  <si>
    <t>1/01/1000 00:00</t>
  </si>
  <si>
    <t>Corresponde a los datos tipo entero</t>
  </si>
  <si>
    <t>Corresponde a los datos tipo hora</t>
  </si>
  <si>
    <t xml:space="preserve">Corresponde a los datos tipo fecha hora </t>
  </si>
  <si>
    <t>Se repite todas las semanas en el mismo horario de trabajo del barbero, sin importar la fecha. Se usa para la hora de almuerzo o cualquier pausa fija</t>
  </si>
  <si>
    <t>Aplica únicamente a una fecha específica en dosde el barbero no esta disponible. Se usa para imprevistos, citas médicas o días libres. Su fecha es la del día concreto que el barbero bloquea.</t>
  </si>
  <si>
    <t>Representa la fecha en el que el barbero no va a atender. Cuando el bloqueo es habitual su valor es 01/01/1000, porque no aplica a un día sino a todas las agendas de ese horario de trabajo</t>
  </si>
  <si>
    <t>Solo se aceptan caracteres de letras de la 'a' a la 'z' y espacios en blanco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</si>
</sst>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h:mm\ AM/PM"/>
    <numFmt numFmtId="165" formatCode="_-&quot;$ &quot;* #,##0_-;&quot;-$ &quot;* #,##0_-;_-&quot;$ &quot;* \-??_-;_-@_-"/>
    <numFmt numFmtId="166" formatCode="&quot;$ &quot;#,##0"/>
    <numFmt numFmtId="167" formatCode="_(\$* #,##0_);_(\$* \(#,##0\);_(\$* \-??_);_(@_)"/>
    <numFmt numFmtId="168" formatCode="m/d/yyyy"/>
    <numFmt numFmtId="169" formatCode="dd/mm/yyyy"/>
    <numFmt numFmtId="170" formatCode="hh:mm"/>
    <numFmt numFmtId="171" formatCode="m/d/yyyy\ h:mm"/>
  </numFmts>
  <fonts count="23" x14ac:knownFonts="1">
    <font>
      <sz val="11"/>
      <color theme="1"/>
      <name val="Calibri"/>
      <family val="2"/>
      <charset val="1"/>
    </font>
    <font>
      <u/>
      <sz val="11"/>
      <color theme="10"/>
      <name val="Calibri"/>
      <family val="2"/>
      <charset val="1"/>
    </font>
    <font>
      <b/>
      <sz val="11"/>
      <color theme="1"/>
      <name val="Calibri"/>
      <family val="2"/>
      <charset val="1"/>
    </font>
    <font>
      <u/>
      <sz val="11"/>
      <color rgb="FF0563C1"/>
      <name val="Calibri"/>
      <family val="2"/>
      <charset val="1"/>
    </font>
    <font>
      <u/>
      <sz val="11"/>
      <color rgb="FF0563C1"/>
      <name val="Calibri"/>
      <family val="2"/>
    </font>
    <font>
      <b/>
      <sz val="11"/>
      <color theme="1"/>
      <name val="Aptos Narrow"/>
      <family val="2"/>
      <charset val="1"/>
    </font>
    <font>
      <sz val="11"/>
      <color theme="1"/>
      <name val="Aptos Narrow"/>
      <family val="2"/>
      <charset val="1"/>
    </font>
    <font>
      <b/>
      <sz val="11"/>
      <color rgb="FF000000"/>
      <name val="Aptos Narrow"/>
      <family val="2"/>
      <charset val="1"/>
    </font>
    <font>
      <u/>
      <sz val="11"/>
      <color rgb="FF467886"/>
      <name val="Aptos Narrow"/>
      <family val="2"/>
      <charset val="1"/>
    </font>
    <font>
      <sz val="7"/>
      <name val="Calibri"/>
      <family val="2"/>
      <charset val="1"/>
    </font>
    <font>
      <sz val="7"/>
      <color rgb="FF000000"/>
      <name val="Calibri"/>
      <family val="2"/>
      <charset val="1"/>
    </font>
    <font>
      <b/>
      <sz val="11"/>
      <color rgb="FF000000"/>
      <name val="Calibri"/>
      <family val="2"/>
      <charset val="1"/>
    </font>
    <font>
      <b/>
      <sz val="11"/>
      <name val="Cambria"/>
      <family val="1"/>
      <charset val="1"/>
    </font>
    <font>
      <sz val="7"/>
      <color theme="1"/>
      <name val="Calibri"/>
      <family val="2"/>
      <charset val="1"/>
    </font>
    <font>
      <b/>
      <sz val="11"/>
      <name val="Calibri"/>
      <family val="2"/>
      <charset val="1"/>
    </font>
    <font>
      <sz val="11"/>
      <name val="Aptos Narrow"/>
      <family val="2"/>
      <charset val="1"/>
    </font>
    <font>
      <sz val="11"/>
      <name val="Calibri"/>
      <family val="2"/>
      <charset val="1"/>
    </font>
    <font>
      <u/>
      <sz val="11"/>
      <color rgb="FF0563C1"/>
      <name val="Aptos Narrow"/>
      <family val="2"/>
      <charset val="1"/>
    </font>
    <font>
      <b/>
      <sz val="11"/>
      <name val="Aptos Narrow"/>
      <family val="2"/>
      <charset val="1"/>
    </font>
    <font>
      <b/>
      <u/>
      <sz val="11"/>
      <color theme="10"/>
      <name val="Calibri"/>
      <family val="2"/>
      <charset val="1"/>
    </font>
    <font>
      <b/>
      <u/>
      <sz val="11"/>
      <color rgb="FF0563C1"/>
      <name val="Aptos Narrow"/>
      <family val="2"/>
    </font>
    <font>
      <sz val="10"/>
      <name val="Arial"/>
      <family val="2"/>
      <charset val="1"/>
    </font>
    <font>
      <b/>
      <u/>
      <sz val="11"/>
      <color rgb="FF467886"/>
      <name val="Calibri"/>
      <family val="2"/>
      <charset val="1"/>
    </font>
  </fonts>
  <fills count="25">
    <fill>
      <patternFill patternType="none"/>
    </fill>
    <fill>
      <patternFill patternType="gray125"/>
    </fill>
    <fill>
      <patternFill patternType="solid">
        <fgColor theme="0"/>
        <bgColor rgb="FFDBDBDB"/>
      </patternFill>
    </fill>
    <fill>
      <patternFill patternType="solid">
        <fgColor rgb="FFD9D9D9"/>
        <bgColor rgb="FFDBDBDB"/>
      </patternFill>
    </fill>
    <fill>
      <patternFill patternType="solid">
        <fgColor rgb="FFC0E6F5"/>
        <bgColor rgb="FFDBDBDB"/>
      </patternFill>
    </fill>
    <fill>
      <patternFill patternType="solid">
        <fgColor rgb="FFF2CEEF"/>
        <bgColor rgb="FFDBDBDB"/>
      </patternFill>
    </fill>
    <fill>
      <patternFill patternType="solid">
        <fgColor rgb="FF70AD47"/>
        <bgColor rgb="FF4EA72E"/>
      </patternFill>
    </fill>
    <fill>
      <patternFill patternType="solid">
        <fgColor rgb="FF2F75B5"/>
        <bgColor rgb="FF2E75B6"/>
      </patternFill>
    </fill>
    <fill>
      <patternFill patternType="solid">
        <fgColor rgb="FFFFD966"/>
        <bgColor rgb="FFFFE699"/>
      </patternFill>
    </fill>
    <fill>
      <patternFill patternType="solid">
        <fgColor rgb="FFD0CECE"/>
        <bgColor rgb="FFD0D0D0"/>
      </patternFill>
    </fill>
    <fill>
      <patternFill patternType="solid">
        <fgColor theme="4" tint="-0.249977111117893"/>
        <bgColor rgb="FF2F75B5"/>
      </patternFill>
    </fill>
    <fill>
      <patternFill patternType="solid">
        <fgColor rgb="FF7030A0"/>
        <bgColor rgb="FF993366"/>
      </patternFill>
    </fill>
    <fill>
      <patternFill patternType="solid">
        <fgColor rgb="FF00B0F0"/>
        <bgColor rgb="FF33CCCC"/>
      </patternFill>
    </fill>
    <fill>
      <patternFill patternType="solid">
        <fgColor theme="7" tint="0.59959715567491678"/>
        <bgColor rgb="FFFFD966"/>
      </patternFill>
    </fill>
    <fill>
      <patternFill patternType="solid">
        <fgColor theme="5" tint="0.59959715567491678"/>
        <bgColor rgb="FFF7C7AC"/>
      </patternFill>
    </fill>
    <fill>
      <patternFill patternType="solid">
        <fgColor theme="4" tint="0.39939573351237523"/>
        <bgColor rgb="FFADB9CA"/>
      </patternFill>
    </fill>
    <fill>
      <patternFill patternType="solid">
        <fgColor rgb="FFF1ABE9"/>
        <bgColor rgb="FFF2CEEF"/>
      </patternFill>
    </fill>
    <fill>
      <patternFill patternType="solid">
        <fgColor theme="6" tint="0.59959715567491678"/>
        <bgColor rgb="FFD9D9D9"/>
      </patternFill>
    </fill>
    <fill>
      <patternFill patternType="solid">
        <fgColor rgb="FFFFFF00"/>
        <bgColor rgb="FFFFFF00"/>
      </patternFill>
    </fill>
    <fill>
      <patternFill patternType="solid">
        <fgColor theme="3" tint="0.59959715567491678"/>
        <bgColor rgb="FF9CC3E6"/>
      </patternFill>
    </fill>
    <fill>
      <patternFill patternType="solid">
        <fgColor theme="3" tint="0.39948728904080327"/>
        <bgColor rgb="FF808080"/>
      </patternFill>
    </fill>
    <fill>
      <patternFill patternType="solid">
        <fgColor theme="5" tint="-0.249977111117893"/>
        <bgColor rgb="FF993300"/>
      </patternFill>
    </fill>
    <fill>
      <patternFill patternType="solid">
        <fgColor rgb="FFD0D0D0"/>
        <bgColor rgb="FFD0CECE"/>
      </patternFill>
    </fill>
    <fill>
      <patternFill patternType="solid">
        <fgColor rgb="FF4EA72E"/>
        <bgColor rgb="FF70AD47"/>
      </patternFill>
    </fill>
    <fill>
      <patternFill patternType="solid">
        <fgColor rgb="FFF7C7AC"/>
        <bgColor rgb="FFF8CBAD"/>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185">
    <xf numFmtId="0" fontId="0" fillId="0" borderId="0" xfId="0"/>
    <xf numFmtId="0" fontId="8" fillId="5" borderId="1" xfId="0" applyFont="1" applyFill="1" applyBorder="1" applyAlignment="1">
      <alignment horizontal="center" vertical="center"/>
    </xf>
    <xf numFmtId="0" fontId="6" fillId="5" borderId="1" xfId="0" applyFont="1" applyFill="1" applyBorder="1" applyAlignment="1">
      <alignment horizontal="left" vertical="center" wrapText="1"/>
    </xf>
    <xf numFmtId="0" fontId="6" fillId="5" borderId="1" xfId="0" applyFont="1" applyFill="1" applyBorder="1" applyAlignment="1">
      <alignment horizontal="left" vertical="center"/>
    </xf>
    <xf numFmtId="0" fontId="6" fillId="5" borderId="1" xfId="0" applyFont="1" applyFill="1" applyBorder="1" applyAlignment="1">
      <alignment horizontal="center" vertical="center" wrapText="1"/>
    </xf>
    <xf numFmtId="0" fontId="6" fillId="5" borderId="1" xfId="0" applyFont="1" applyFill="1" applyBorder="1" applyAlignment="1">
      <alignment horizontal="center" vertical="center"/>
    </xf>
    <xf numFmtId="0" fontId="1" fillId="0" borderId="0" xfId="0" applyFont="1"/>
    <xf numFmtId="0" fontId="0" fillId="2" borderId="0" xfId="0" applyFill="1"/>
    <xf numFmtId="0" fontId="2" fillId="0" borderId="1" xfId="0" applyFont="1" applyBorder="1" applyAlignment="1">
      <alignment vertical="center"/>
    </xf>
    <xf numFmtId="0" fontId="2" fillId="0" borderId="0" xfId="0" applyFont="1" applyAlignment="1">
      <alignment vertical="center"/>
    </xf>
    <xf numFmtId="0" fontId="0" fillId="0" borderId="1" xfId="0" applyBorder="1"/>
    <xf numFmtId="0" fontId="0" fillId="0" borderId="1" xfId="0" applyBorder="1" applyAlignment="1">
      <alignment vertical="center" wrapText="1"/>
    </xf>
    <xf numFmtId="0" fontId="0" fillId="0" borderId="1" xfId="0" applyBorder="1" applyAlignment="1">
      <alignment vertical="center"/>
    </xf>
    <xf numFmtId="0" fontId="3" fillId="0" borderId="1" xfId="0" applyFont="1" applyBorder="1"/>
    <xf numFmtId="0" fontId="0" fillId="0" borderId="1" xfId="0" applyBorder="1" applyAlignment="1">
      <alignment wrapText="1"/>
    </xf>
    <xf numFmtId="0" fontId="4" fillId="0" borderId="1" xfId="0" applyFont="1" applyBorder="1"/>
    <xf numFmtId="0" fontId="1" fillId="0" borderId="1" xfId="0" applyFont="1" applyBorder="1"/>
    <xf numFmtId="0" fontId="5" fillId="3" borderId="1" xfId="0" applyFont="1" applyFill="1" applyBorder="1" applyAlignment="1">
      <alignment vertical="center"/>
    </xf>
    <xf numFmtId="0" fontId="5" fillId="3" borderId="1" xfId="0" applyFont="1" applyFill="1" applyBorder="1" applyAlignment="1">
      <alignment vertical="center" wrapText="1"/>
    </xf>
    <xf numFmtId="0" fontId="2" fillId="0" borderId="0" xfId="0" applyFont="1"/>
    <xf numFmtId="0" fontId="6" fillId="3" borderId="1" xfId="0" applyFont="1" applyFill="1" applyBorder="1" applyAlignment="1">
      <alignment vertical="center"/>
    </xf>
    <xf numFmtId="0" fontId="6" fillId="3" borderId="1" xfId="0" applyFont="1" applyFill="1" applyBorder="1" applyAlignment="1">
      <alignment vertical="center" wrapText="1"/>
    </xf>
    <xf numFmtId="0" fontId="7" fillId="4" borderId="1" xfId="0" applyFont="1" applyFill="1" applyBorder="1" applyAlignment="1">
      <alignment horizontal="center" vertical="center"/>
    </xf>
    <xf numFmtId="0" fontId="6" fillId="5" borderId="1" xfId="0" applyFont="1" applyFill="1" applyBorder="1" applyAlignment="1">
      <alignment horizontal="left" vertical="center"/>
    </xf>
    <xf numFmtId="0" fontId="6" fillId="5" borderId="1" xfId="0" applyFont="1" applyFill="1" applyBorder="1" applyAlignment="1">
      <alignment horizontal="left" vertical="center" wrapText="1"/>
    </xf>
    <xf numFmtId="0" fontId="8" fillId="5" borderId="1" xfId="0" applyFont="1" applyFill="1" applyBorder="1" applyAlignment="1">
      <alignment vertical="center"/>
    </xf>
    <xf numFmtId="0" fontId="9" fillId="3" borderId="1" xfId="0" applyFont="1" applyFill="1" applyBorder="1" applyAlignment="1">
      <alignment horizontal="center" wrapText="1"/>
    </xf>
    <xf numFmtId="0" fontId="10" fillId="3" borderId="1" xfId="0" applyFont="1" applyFill="1" applyBorder="1" applyAlignment="1">
      <alignment horizontal="center" wrapText="1"/>
    </xf>
    <xf numFmtId="0" fontId="11" fillId="6" borderId="1" xfId="0" applyFont="1" applyFill="1" applyBorder="1" applyAlignment="1">
      <alignment horizontal="center"/>
    </xf>
    <xf numFmtId="0" fontId="11" fillId="7" borderId="1" xfId="0" applyFont="1" applyFill="1" applyBorder="1" applyAlignment="1">
      <alignment horizontal="center"/>
    </xf>
    <xf numFmtId="0" fontId="11" fillId="8" borderId="1" xfId="0" applyFont="1" applyFill="1" applyBorder="1" applyAlignment="1">
      <alignment horizontal="center"/>
    </xf>
    <xf numFmtId="0" fontId="0" fillId="0" borderId="1" xfId="0" applyBorder="1" applyAlignment="1">
      <alignment horizontal="center"/>
    </xf>
    <xf numFmtId="164" fontId="0" fillId="0" borderId="1" xfId="0" applyNumberFormat="1" applyBorder="1" applyAlignment="1">
      <alignment horizontal="center"/>
    </xf>
    <xf numFmtId="0" fontId="0" fillId="0" borderId="0" xfId="0" applyAlignment="1">
      <alignment horizontal="center"/>
    </xf>
    <xf numFmtId="0" fontId="0" fillId="9" borderId="0" xfId="0" applyFill="1"/>
    <xf numFmtId="0" fontId="0" fillId="0" borderId="0" xfId="0" applyAlignment="1">
      <alignment wrapText="1"/>
    </xf>
    <xf numFmtId="0" fontId="0" fillId="6" borderId="0" xfId="0" applyFill="1"/>
    <xf numFmtId="0" fontId="0" fillId="7" borderId="0" xfId="0" applyFill="1"/>
    <xf numFmtId="0" fontId="0" fillId="8" borderId="0" xfId="0" applyFill="1"/>
    <xf numFmtId="0" fontId="3" fillId="0" borderId="0" xfId="0" applyFont="1"/>
    <xf numFmtId="164" fontId="0" fillId="0" borderId="1" xfId="0" applyNumberFormat="1" applyBorder="1" applyAlignment="1">
      <alignment horizontal="center" wrapText="1"/>
    </xf>
    <xf numFmtId="0" fontId="0" fillId="0" borderId="1" xfId="0" applyBorder="1" applyAlignment="1">
      <alignment horizontal="center" wrapText="1"/>
    </xf>
    <xf numFmtId="0" fontId="0" fillId="0" borderId="0" xfId="0" applyAlignment="1">
      <alignment horizontal="center" wrapText="1"/>
    </xf>
    <xf numFmtId="0" fontId="7" fillId="3" borderId="1" xfId="0" applyFont="1" applyFill="1" applyBorder="1" applyAlignment="1">
      <alignment horizontal="center" vertical="center"/>
    </xf>
    <xf numFmtId="165" fontId="6" fillId="3" borderId="1" xfId="0" applyNumberFormat="1" applyFont="1" applyFill="1" applyBorder="1" applyAlignment="1">
      <alignment vertical="center"/>
    </xf>
    <xf numFmtId="0" fontId="7" fillId="2" borderId="0" xfId="0" applyFont="1" applyFill="1" applyAlignment="1">
      <alignment horizontal="center" vertical="center"/>
    </xf>
    <xf numFmtId="0" fontId="12" fillId="0" borderId="0" xfId="0" applyFont="1" applyAlignment="1">
      <alignment vertical="top" wrapText="1"/>
    </xf>
    <xf numFmtId="0" fontId="12" fillId="0" borderId="0" xfId="0" applyFont="1"/>
    <xf numFmtId="0" fontId="1" fillId="0" borderId="0" xfId="0" applyFont="1" applyAlignment="1">
      <alignment horizontal="center" vertical="top"/>
    </xf>
    <xf numFmtId="0" fontId="0" fillId="0" borderId="0" xfId="0" applyAlignment="1">
      <alignment horizontal="center" vertical="top"/>
    </xf>
    <xf numFmtId="0" fontId="9" fillId="9" borderId="1" xfId="0" applyFont="1" applyFill="1" applyBorder="1" applyAlignment="1">
      <alignment horizontal="center" wrapText="1"/>
    </xf>
    <xf numFmtId="0" fontId="13" fillId="9" borderId="1" xfId="0" applyFont="1" applyFill="1" applyBorder="1" applyAlignment="1">
      <alignment horizontal="center" wrapText="1"/>
    </xf>
    <xf numFmtId="0" fontId="14" fillId="6" borderId="1" xfId="0" applyFont="1" applyFill="1" applyBorder="1" applyAlignment="1">
      <alignment horizontal="center" vertical="top"/>
    </xf>
    <xf numFmtId="0" fontId="14" fillId="10" borderId="1" xfId="0" applyFont="1" applyFill="1" applyBorder="1" applyAlignment="1">
      <alignment horizontal="center" vertical="top"/>
    </xf>
    <xf numFmtId="0" fontId="14" fillId="11" borderId="1" xfId="0" applyFont="1" applyFill="1" applyBorder="1" applyAlignment="1">
      <alignment horizontal="center" vertical="top"/>
    </xf>
    <xf numFmtId="0" fontId="14" fillId="12" borderId="1" xfId="0" applyFont="1" applyFill="1" applyBorder="1" applyAlignment="1">
      <alignment horizontal="center" vertical="top"/>
    </xf>
    <xf numFmtId="0" fontId="2" fillId="13" borderId="1" xfId="0" applyFont="1" applyFill="1" applyBorder="1" applyAlignment="1">
      <alignment horizontal="center"/>
    </xf>
    <xf numFmtId="0" fontId="0" fillId="0" borderId="1" xfId="0" applyBorder="1" applyAlignment="1">
      <alignment horizontal="center" vertical="top"/>
    </xf>
    <xf numFmtId="0" fontId="0" fillId="0" borderId="1" xfId="0" applyBorder="1" applyAlignment="1">
      <alignment horizontal="center" vertical="top" wrapText="1"/>
    </xf>
    <xf numFmtId="166" fontId="0" fillId="0" borderId="1" xfId="0" applyNumberFormat="1" applyBorder="1" applyAlignment="1">
      <alignment horizontal="center" vertical="top"/>
    </xf>
    <xf numFmtId="0" fontId="0" fillId="14" borderId="0" xfId="0" applyFill="1"/>
    <xf numFmtId="0" fontId="0" fillId="10" borderId="0" xfId="0" applyFill="1"/>
    <xf numFmtId="0" fontId="0" fillId="11" borderId="0" xfId="0" applyFill="1"/>
    <xf numFmtId="0" fontId="0" fillId="12" borderId="0" xfId="0" applyFill="1"/>
    <xf numFmtId="0" fontId="0" fillId="13" borderId="0" xfId="0" applyFill="1"/>
    <xf numFmtId="167" fontId="0" fillId="3" borderId="0" xfId="0" applyNumberFormat="1" applyFill="1" applyAlignment="1">
      <alignment vertical="center"/>
    </xf>
    <xf numFmtId="0" fontId="15" fillId="3" borderId="1" xfId="0" applyFont="1" applyFill="1" applyBorder="1" applyAlignment="1">
      <alignment horizontal="left" vertical="center"/>
    </xf>
    <xf numFmtId="0" fontId="15" fillId="3" borderId="1" xfId="0" applyFont="1" applyFill="1" applyBorder="1" applyAlignment="1">
      <alignment wrapText="1"/>
    </xf>
    <xf numFmtId="0" fontId="15" fillId="3" borderId="1" xfId="0" applyFont="1" applyFill="1" applyBorder="1" applyAlignment="1">
      <alignment horizontal="right" vertical="center"/>
    </xf>
    <xf numFmtId="0" fontId="15" fillId="0" borderId="0" xfId="0" applyFont="1"/>
    <xf numFmtId="0" fontId="16" fillId="0" borderId="0" xfId="0" applyFont="1"/>
    <xf numFmtId="0" fontId="15" fillId="3" borderId="1" xfId="0" applyFont="1" applyFill="1" applyBorder="1" applyAlignment="1">
      <alignment horizontal="left" vertical="center" wrapText="1"/>
    </xf>
    <xf numFmtId="0" fontId="15" fillId="3" borderId="1" xfId="0" applyFont="1" applyFill="1" applyBorder="1" applyAlignment="1">
      <alignment vertical="top" wrapText="1"/>
    </xf>
    <xf numFmtId="0" fontId="17" fillId="0" borderId="0" xfId="0" applyFont="1"/>
    <xf numFmtId="0" fontId="6" fillId="0" borderId="0" xfId="0" applyFont="1"/>
    <xf numFmtId="0" fontId="18" fillId="0" borderId="0" xfId="0" applyFont="1"/>
    <xf numFmtId="0" fontId="2" fillId="6" borderId="1" xfId="0" applyFont="1" applyFill="1" applyBorder="1" applyAlignment="1">
      <alignment horizontal="center"/>
    </xf>
    <xf numFmtId="0" fontId="2" fillId="11" borderId="1" xfId="0" applyFont="1" applyFill="1" applyBorder="1" applyAlignment="1">
      <alignment horizontal="center"/>
    </xf>
    <xf numFmtId="166" fontId="0" fillId="0" borderId="1" xfId="0" applyNumberFormat="1" applyBorder="1" applyAlignment="1">
      <alignment horizontal="center"/>
    </xf>
    <xf numFmtId="0" fontId="16" fillId="11" borderId="0" xfId="0" applyFont="1" applyFill="1"/>
    <xf numFmtId="0" fontId="11" fillId="15" borderId="1" xfId="0" applyFont="1" applyFill="1" applyBorder="1" applyAlignment="1">
      <alignment horizontal="center"/>
    </xf>
    <xf numFmtId="0" fontId="11" fillId="10" borderId="1" xfId="0" applyFont="1" applyFill="1" applyBorder="1" applyAlignment="1">
      <alignment horizontal="center"/>
    </xf>
    <xf numFmtId="0" fontId="0" fillId="15" borderId="0" xfId="0" applyFill="1"/>
    <xf numFmtId="0" fontId="4" fillId="0" borderId="0" xfId="0" applyFont="1"/>
    <xf numFmtId="0" fontId="5" fillId="3" borderId="1" xfId="0" applyFont="1" applyFill="1" applyBorder="1" applyAlignment="1">
      <alignment horizontal="center" vertical="center"/>
    </xf>
    <xf numFmtId="0" fontId="1" fillId="3" borderId="1" xfId="0" applyFont="1" applyFill="1" applyBorder="1" applyAlignment="1">
      <alignment vertical="center"/>
    </xf>
    <xf numFmtId="0" fontId="6" fillId="3" borderId="1" xfId="0" applyFont="1" applyFill="1" applyBorder="1" applyAlignment="1">
      <alignment horizontal="left" vertical="center"/>
    </xf>
    <xf numFmtId="0" fontId="6" fillId="5" borderId="1" xfId="0" applyFont="1" applyFill="1" applyBorder="1" applyAlignment="1">
      <alignment horizontal="center" vertical="center"/>
    </xf>
    <xf numFmtId="0" fontId="6" fillId="5" borderId="1" xfId="0" applyFont="1" applyFill="1" applyBorder="1" applyAlignment="1">
      <alignment horizontal="center" vertical="center" wrapText="1"/>
    </xf>
    <xf numFmtId="0" fontId="11" fillId="14" borderId="1" xfId="0" applyFont="1" applyFill="1" applyBorder="1" applyAlignment="1">
      <alignment horizontal="center"/>
    </xf>
    <xf numFmtId="0" fontId="11" fillId="12" borderId="1" xfId="0" applyFont="1" applyFill="1" applyBorder="1" applyAlignment="1">
      <alignment horizontal="center"/>
    </xf>
    <xf numFmtId="0" fontId="11" fillId="11" borderId="1" xfId="0" applyFont="1" applyFill="1" applyBorder="1" applyAlignment="1">
      <alignment horizontal="center"/>
    </xf>
    <xf numFmtId="0" fontId="3" fillId="0" borderId="1" xfId="0" applyFont="1" applyBorder="1" applyAlignment="1">
      <alignment horizontal="center"/>
    </xf>
    <xf numFmtId="0" fontId="10" fillId="9" borderId="1" xfId="0" applyFont="1" applyFill="1" applyBorder="1" applyAlignment="1">
      <alignment horizontal="center" wrapText="1"/>
    </xf>
    <xf numFmtId="0" fontId="10" fillId="9" borderId="1" xfId="0" applyFont="1" applyFill="1" applyBorder="1" applyAlignment="1">
      <alignment wrapText="1"/>
    </xf>
    <xf numFmtId="0" fontId="19" fillId="14" borderId="0" xfId="0" applyFont="1" applyFill="1" applyAlignment="1">
      <alignment horizontal="center"/>
    </xf>
    <xf numFmtId="0" fontId="14" fillId="12" borderId="1" xfId="0" applyFont="1" applyFill="1" applyBorder="1" applyAlignment="1">
      <alignment horizontal="center"/>
    </xf>
    <xf numFmtId="0" fontId="11" fillId="16" borderId="1" xfId="0" applyFont="1" applyFill="1" applyBorder="1" applyAlignment="1">
      <alignment horizontal="center"/>
    </xf>
    <xf numFmtId="0" fontId="0" fillId="16" borderId="0" xfId="0" applyFill="1"/>
    <xf numFmtId="0" fontId="0" fillId="17" borderId="1" xfId="0" applyFill="1" applyBorder="1" applyAlignment="1">
      <alignment vertical="center"/>
    </xf>
    <xf numFmtId="0" fontId="11" fillId="18" borderId="1" xfId="0" applyFont="1" applyFill="1" applyBorder="1" applyAlignment="1">
      <alignment horizontal="center" wrapText="1"/>
    </xf>
    <xf numFmtId="0" fontId="11" fillId="18" borderId="1" xfId="0" applyFont="1" applyFill="1" applyBorder="1" applyAlignment="1">
      <alignment horizontal="center"/>
    </xf>
    <xf numFmtId="0" fontId="14" fillId="16" borderId="1" xfId="0" applyFont="1" applyFill="1" applyBorder="1" applyAlignment="1">
      <alignment horizontal="center"/>
    </xf>
    <xf numFmtId="0" fontId="14" fillId="8" borderId="1" xfId="0" applyFont="1" applyFill="1" applyBorder="1" applyAlignment="1">
      <alignment horizontal="center"/>
    </xf>
    <xf numFmtId="164" fontId="3" fillId="0" borderId="1" xfId="0" applyNumberFormat="1" applyFont="1" applyBorder="1" applyAlignment="1">
      <alignment horizontal="center"/>
    </xf>
    <xf numFmtId="20" fontId="0" fillId="0" borderId="1" xfId="0" applyNumberFormat="1" applyBorder="1" applyAlignment="1">
      <alignment horizontal="center"/>
    </xf>
    <xf numFmtId="168" fontId="0" fillId="0" borderId="1" xfId="0" applyNumberFormat="1" applyBorder="1" applyAlignment="1">
      <alignment horizontal="center"/>
    </xf>
    <xf numFmtId="20" fontId="0" fillId="0" borderId="1" xfId="0" applyNumberFormat="1" applyBorder="1" applyAlignment="1">
      <alignment horizontal="center" vertical="top"/>
    </xf>
    <xf numFmtId="0" fontId="0" fillId="18" borderId="0" xfId="0" applyFill="1"/>
    <xf numFmtId="0" fontId="14" fillId="16" borderId="0" xfId="0" applyFont="1" applyFill="1" applyAlignment="1">
      <alignment horizontal="center"/>
    </xf>
    <xf numFmtId="0" fontId="14" fillId="12" borderId="0" xfId="0" applyFont="1" applyFill="1" applyAlignment="1">
      <alignment horizontal="center"/>
    </xf>
    <xf numFmtId="0" fontId="14" fillId="17" borderId="1" xfId="0" applyFont="1" applyFill="1" applyBorder="1" applyAlignment="1">
      <alignment vertical="top" wrapText="1"/>
    </xf>
    <xf numFmtId="0" fontId="0" fillId="17" borderId="1" xfId="0" applyFill="1" applyBorder="1"/>
    <xf numFmtId="0" fontId="0" fillId="17" borderId="1" xfId="0" applyFill="1" applyBorder="1" applyAlignment="1">
      <alignment wrapText="1"/>
    </xf>
    <xf numFmtId="0" fontId="1" fillId="17" borderId="1" xfId="0" applyFont="1" applyFill="1" applyBorder="1"/>
    <xf numFmtId="0" fontId="16" fillId="17" borderId="1" xfId="0" applyFont="1" applyFill="1" applyBorder="1"/>
    <xf numFmtId="0" fontId="0" fillId="17" borderId="1" xfId="0" applyFill="1" applyBorder="1" applyAlignment="1">
      <alignment horizontal="left"/>
    </xf>
    <xf numFmtId="0" fontId="9" fillId="9" borderId="1" xfId="0" applyFont="1" applyFill="1" applyBorder="1" applyAlignment="1">
      <alignment horizontal="center"/>
    </xf>
    <xf numFmtId="0" fontId="19" fillId="14" borderId="1" xfId="0" applyFont="1" applyFill="1" applyBorder="1" applyAlignment="1">
      <alignment horizontal="center"/>
    </xf>
    <xf numFmtId="0" fontId="14" fillId="11" borderId="1" xfId="0" applyFont="1" applyFill="1" applyBorder="1" applyAlignment="1">
      <alignment horizontal="center"/>
    </xf>
    <xf numFmtId="0" fontId="14" fillId="13" borderId="1" xfId="0" applyFont="1" applyFill="1" applyBorder="1" applyAlignment="1">
      <alignment horizontal="center"/>
    </xf>
    <xf numFmtId="0" fontId="16" fillId="0" borderId="1" xfId="0" applyFont="1" applyBorder="1" applyAlignment="1">
      <alignment horizontal="center"/>
    </xf>
    <xf numFmtId="0" fontId="16" fillId="17" borderId="1" xfId="0" applyFont="1" applyFill="1" applyBorder="1" applyAlignment="1">
      <alignment wrapText="1"/>
    </xf>
    <xf numFmtId="0" fontId="14" fillId="18" borderId="1" xfId="0" applyFont="1" applyFill="1" applyBorder="1" applyAlignment="1">
      <alignment horizontal="center"/>
    </xf>
    <xf numFmtId="0" fontId="4" fillId="0" borderId="1" xfId="0" applyFont="1" applyBorder="1" applyAlignment="1">
      <alignment wrapText="1"/>
    </xf>
    <xf numFmtId="168" fontId="0" fillId="0" borderId="2" xfId="0" applyNumberFormat="1" applyBorder="1" applyAlignment="1">
      <alignment horizontal="center"/>
    </xf>
    <xf numFmtId="168" fontId="0" fillId="0" borderId="3" xfId="0" applyNumberFormat="1" applyBorder="1" applyAlignment="1">
      <alignment horizontal="center"/>
    </xf>
    <xf numFmtId="20" fontId="0" fillId="0" borderId="4" xfId="0" applyNumberFormat="1" applyBorder="1" applyAlignment="1">
      <alignment horizontal="center"/>
    </xf>
    <xf numFmtId="168" fontId="0" fillId="0" borderId="0" xfId="0" applyNumberFormat="1" applyAlignment="1">
      <alignment horizontal="center"/>
    </xf>
    <xf numFmtId="0" fontId="14" fillId="19" borderId="1" xfId="0" applyFont="1" applyFill="1" applyBorder="1" applyAlignment="1">
      <alignment horizontal="center"/>
    </xf>
    <xf numFmtId="169" fontId="16" fillId="0" borderId="1" xfId="0" applyNumberFormat="1" applyFont="1" applyBorder="1" applyAlignment="1">
      <alignment horizontal="center"/>
    </xf>
    <xf numFmtId="0" fontId="0" fillId="20" borderId="0" xfId="0" applyFill="1"/>
    <xf numFmtId="0" fontId="4" fillId="17" borderId="1" xfId="0" applyFont="1" applyFill="1" applyBorder="1"/>
    <xf numFmtId="0" fontId="4" fillId="17" borderId="1" xfId="0" applyFont="1" applyFill="1" applyBorder="1" applyAlignment="1">
      <alignment wrapText="1"/>
    </xf>
    <xf numFmtId="20" fontId="0" fillId="17" borderId="1" xfId="0" applyNumberFormat="1" applyFill="1" applyBorder="1" applyAlignment="1">
      <alignment horizontal="left"/>
    </xf>
    <xf numFmtId="0" fontId="20" fillId="4" borderId="1" xfId="0" applyFont="1" applyFill="1" applyBorder="1" applyAlignment="1">
      <alignment horizontal="center" vertical="center"/>
    </xf>
    <xf numFmtId="0" fontId="5" fillId="3" borderId="0" xfId="0" applyFont="1" applyFill="1"/>
    <xf numFmtId="0" fontId="5" fillId="3" borderId="1" xfId="0" applyFont="1" applyFill="1" applyBorder="1" applyAlignment="1">
      <alignment horizontal="left" vertical="center"/>
    </xf>
    <xf numFmtId="0" fontId="14" fillId="10" borderId="1" xfId="0" applyFont="1" applyFill="1" applyBorder="1" applyAlignment="1">
      <alignment horizontal="center"/>
    </xf>
    <xf numFmtId="0" fontId="4" fillId="0" borderId="1" xfId="0" applyFont="1" applyBorder="1" applyAlignment="1">
      <alignment horizontal="center" wrapText="1"/>
    </xf>
    <xf numFmtId="170" fontId="16" fillId="0" borderId="1" xfId="0" applyNumberFormat="1" applyFont="1" applyBorder="1" applyAlignment="1">
      <alignment horizontal="center"/>
    </xf>
    <xf numFmtId="169" fontId="16" fillId="0" borderId="1" xfId="0" applyNumberFormat="1" applyFont="1" applyBorder="1" applyAlignment="1">
      <alignment horizontal="center" wrapText="1"/>
    </xf>
    <xf numFmtId="21" fontId="16" fillId="0" borderId="1" xfId="0" applyNumberFormat="1" applyFont="1" applyBorder="1" applyAlignment="1">
      <alignment horizontal="center"/>
    </xf>
    <xf numFmtId="21" fontId="16" fillId="0" borderId="0" xfId="0" applyNumberFormat="1" applyFont="1" applyAlignment="1">
      <alignment horizontal="center"/>
    </xf>
    <xf numFmtId="0" fontId="11" fillId="21" borderId="0" xfId="0" applyFont="1" applyFill="1" applyAlignment="1">
      <alignment horizontal="center"/>
    </xf>
    <xf numFmtId="0" fontId="6" fillId="3" borderId="1" xfId="0" applyFont="1" applyFill="1" applyBorder="1" applyAlignment="1">
      <alignment wrapText="1"/>
    </xf>
    <xf numFmtId="0" fontId="1" fillId="17" borderId="1" xfId="0" applyFont="1" applyFill="1" applyBorder="1" applyAlignment="1">
      <alignment wrapText="1"/>
    </xf>
    <xf numFmtId="165" fontId="21" fillId="3" borderId="1" xfId="0" applyNumberFormat="1" applyFont="1" applyFill="1" applyBorder="1"/>
    <xf numFmtId="0" fontId="7" fillId="4" borderId="1" xfId="0" applyFont="1" applyFill="1" applyBorder="1" applyAlignment="1">
      <alignment vertical="center"/>
    </xf>
    <xf numFmtId="0" fontId="9" fillId="22" borderId="1" xfId="0" applyFont="1" applyFill="1" applyBorder="1" applyAlignment="1">
      <alignment horizontal="center" wrapText="1"/>
    </xf>
    <xf numFmtId="0" fontId="11" fillId="23" borderId="1" xfId="0" applyFont="1" applyFill="1" applyBorder="1" applyAlignment="1">
      <alignment horizontal="center"/>
    </xf>
    <xf numFmtId="0" fontId="14" fillId="16" borderId="2" xfId="0" applyFont="1" applyFill="1" applyBorder="1" applyAlignment="1">
      <alignment horizontal="center"/>
    </xf>
    <xf numFmtId="0" fontId="11" fillId="13" borderId="1" xfId="0" applyFont="1" applyFill="1" applyBorder="1" applyAlignment="1">
      <alignment horizontal="center"/>
    </xf>
    <xf numFmtId="0" fontId="4" fillId="0" borderId="1" xfId="0" applyFont="1" applyBorder="1" applyAlignment="1">
      <alignment horizontal="center"/>
    </xf>
    <xf numFmtId="170" fontId="0" fillId="0" borderId="1" xfId="0" applyNumberFormat="1" applyBorder="1" applyAlignment="1">
      <alignment horizontal="center"/>
    </xf>
    <xf numFmtId="0" fontId="4" fillId="0" borderId="3" xfId="0" applyFont="1" applyBorder="1" applyAlignment="1">
      <alignment horizontal="center"/>
    </xf>
    <xf numFmtId="1" fontId="0" fillId="0" borderId="4" xfId="0" applyNumberFormat="1" applyBorder="1" applyAlignment="1">
      <alignment horizontal="center"/>
    </xf>
    <xf numFmtId="1" fontId="0" fillId="0" borderId="1" xfId="0" applyNumberFormat="1" applyBorder="1" applyAlignment="1">
      <alignment horizontal="center"/>
    </xf>
    <xf numFmtId="3" fontId="4" fillId="0" borderId="1" xfId="0" applyNumberFormat="1" applyFont="1" applyBorder="1" applyAlignment="1">
      <alignment horizontal="center"/>
    </xf>
    <xf numFmtId="0" fontId="16" fillId="17" borderId="1" xfId="0" applyFont="1" applyFill="1" applyBorder="1" applyAlignment="1">
      <alignment horizontal="left" wrapText="1"/>
    </xf>
    <xf numFmtId="0" fontId="13" fillId="17" borderId="1" xfId="0" applyFont="1" applyFill="1" applyBorder="1" applyAlignment="1">
      <alignment horizontal="center" wrapText="1"/>
    </xf>
    <xf numFmtId="164" fontId="3" fillId="0" borderId="1" xfId="0" applyNumberFormat="1" applyFont="1" applyBorder="1" applyAlignment="1">
      <alignment horizontal="center" wrapText="1"/>
    </xf>
    <xf numFmtId="3" fontId="3" fillId="0" borderId="1" xfId="0" applyNumberFormat="1" applyFont="1" applyBorder="1" applyAlignment="1">
      <alignment horizontal="center"/>
    </xf>
    <xf numFmtId="1" fontId="3" fillId="0" borderId="1" xfId="0" applyNumberFormat="1" applyFont="1" applyBorder="1" applyAlignment="1">
      <alignment horizontal="center"/>
    </xf>
    <xf numFmtId="0" fontId="3" fillId="0" borderId="1" xfId="0" applyFont="1" applyBorder="1" applyAlignment="1">
      <alignment horizontal="center" wrapText="1"/>
    </xf>
    <xf numFmtId="165" fontId="16" fillId="17" borderId="1" xfId="0" applyNumberFormat="1" applyFont="1" applyFill="1" applyBorder="1" applyAlignment="1">
      <alignment wrapText="1"/>
    </xf>
    <xf numFmtId="0" fontId="11" fillId="21" borderId="1" xfId="0" applyFont="1" applyFill="1" applyBorder="1" applyAlignment="1">
      <alignment horizontal="center"/>
    </xf>
    <xf numFmtId="170" fontId="3" fillId="0" borderId="1" xfId="0" applyNumberFormat="1" applyFont="1" applyBorder="1" applyAlignment="1">
      <alignment horizontal="center"/>
    </xf>
    <xf numFmtId="171" fontId="0" fillId="0" borderId="0" xfId="0" applyNumberFormat="1" applyAlignment="1">
      <alignment horizontal="center"/>
    </xf>
    <xf numFmtId="0" fontId="9" fillId="22" borderId="0" xfId="0" applyFont="1" applyFill="1" applyAlignment="1">
      <alignment horizontal="center" wrapText="1"/>
    </xf>
    <xf numFmtId="0" fontId="11" fillId="23" borderId="0" xfId="0" applyFont="1" applyFill="1" applyAlignment="1">
      <alignment horizontal="center"/>
    </xf>
    <xf numFmtId="0" fontId="22" fillId="24" borderId="0" xfId="0" applyFont="1" applyFill="1" applyAlignment="1">
      <alignment horizontal="center"/>
    </xf>
    <xf numFmtId="0" fontId="11" fillId="11" borderId="0" xfId="0" applyFont="1" applyFill="1" applyAlignment="1">
      <alignment horizontal="center"/>
    </xf>
    <xf numFmtId="0" fontId="11" fillId="18" borderId="0" xfId="0" applyFont="1" applyFill="1" applyAlignment="1">
      <alignment horizontal="center"/>
    </xf>
    <xf numFmtId="0" fontId="11" fillId="12" borderId="0" xfId="0" applyFont="1" applyFill="1" applyAlignment="1">
      <alignment horizontal="center"/>
    </xf>
    <xf numFmtId="0" fontId="11" fillId="8" borderId="0" xfId="0" applyFont="1" applyFill="1" applyAlignment="1">
      <alignment horizontal="center"/>
    </xf>
    <xf numFmtId="0" fontId="11" fillId="6" borderId="0" xfId="0" applyFont="1" applyFill="1" applyBorder="1" applyAlignment="1">
      <alignment horizontal="center"/>
    </xf>
    <xf numFmtId="0" fontId="9" fillId="3" borderId="0" xfId="0" applyFont="1" applyFill="1" applyBorder="1" applyAlignment="1">
      <alignment horizontal="center" wrapText="1"/>
    </xf>
    <xf numFmtId="0" fontId="11" fillId="15" borderId="0" xfId="0" applyFont="1" applyFill="1" applyBorder="1" applyAlignment="1">
      <alignment horizontal="center"/>
    </xf>
    <xf numFmtId="0" fontId="11" fillId="10" borderId="0" xfId="0" applyFont="1" applyFill="1" applyBorder="1" applyAlignment="1">
      <alignment horizontal="center"/>
    </xf>
    <xf numFmtId="0" fontId="11" fillId="8" borderId="0" xfId="0" applyFont="1" applyFill="1" applyBorder="1" applyAlignment="1">
      <alignment horizontal="center"/>
    </xf>
    <xf numFmtId="0" fontId="0" fillId="0" borderId="0" xfId="0" applyFill="1"/>
    <xf numFmtId="0" fontId="15" fillId="5" borderId="1" xfId="0" applyFont="1" applyFill="1" applyBorder="1" applyAlignment="1">
      <alignment vertical="center"/>
    </xf>
    <xf numFmtId="0" fontId="15" fillId="5" borderId="1" xfId="0" applyFont="1" applyFill="1" applyBorder="1" applyAlignment="1">
      <alignment vertical="center" wrapText="1"/>
    </xf>
    <xf numFmtId="0" fontId="14" fillId="19" borderId="0" xfId="0" applyFont="1" applyFill="1" applyBorder="1" applyAlignment="1">
      <alignment horizont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F75B5"/>
      <rgbColor rgb="FFADB9CA"/>
      <rgbColor rgb="FF808080"/>
      <rgbColor rgb="FF9999FF"/>
      <rgbColor rgb="FF7030A0"/>
      <rgbColor rgb="FFF2CEEF"/>
      <rgbColor rgb="FFC0E6F5"/>
      <rgbColor rgb="FF660066"/>
      <rgbColor rgb="FFF7C7AC"/>
      <rgbColor rgb="FF0563C1"/>
      <rgbColor rgb="FFD0D0D0"/>
      <rgbColor rgb="FF000080"/>
      <rgbColor rgb="FFFF00FF"/>
      <rgbColor rgb="FFFFFF00"/>
      <rgbColor rgb="FF00FFFF"/>
      <rgbColor rgb="FF800080"/>
      <rgbColor rgb="FF800000"/>
      <rgbColor rgb="FF008080"/>
      <rgbColor rgb="FF0000FF"/>
      <rgbColor rgb="FF00B0F0"/>
      <rgbColor rgb="FFD9D9D9"/>
      <rgbColor rgb="FFDBDBDB"/>
      <rgbColor rgb="FFFFE699"/>
      <rgbColor rgb="FF9CC3E6"/>
      <rgbColor rgb="FFF1ABE9"/>
      <rgbColor rgb="FFD0CECE"/>
      <rgbColor rgb="FFF8CBAD"/>
      <rgbColor rgb="FF2E75B6"/>
      <rgbColor rgb="FF33CCCC"/>
      <rgbColor rgb="FF70AD47"/>
      <rgbColor rgb="FFFFD966"/>
      <rgbColor rgb="FFFF9900"/>
      <rgbColor rgb="FFC55A11"/>
      <rgbColor rgb="FF467886"/>
      <rgbColor rgb="FF8497B0"/>
      <rgbColor rgb="FF003366"/>
      <rgbColor rgb="FF4EA72E"/>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11</xdr:col>
      <xdr:colOff>185400</xdr:colOff>
      <xdr:row>30</xdr:row>
      <xdr:rowOff>135720</xdr:rowOff>
    </xdr:to>
    <xdr:pic>
      <xdr:nvPicPr>
        <xdr:cNvPr id="2" name="Imagen 1">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0" y="181080"/>
          <a:ext cx="8445600" cy="538380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50"/>
  <sheetViews>
    <sheetView zoomScaleNormal="100" workbookViewId="0">
      <selection activeCell="O14" sqref="O14"/>
    </sheetView>
  </sheetViews>
  <sheetFormatPr baseColWidth="10" defaultColWidth="9.109375" defaultRowHeight="14.4" x14ac:dyDescent="0.3"/>
  <cols>
    <col min="1" max="1" width="26.109375" customWidth="1"/>
  </cols>
  <sheetData>
    <row r="1" spans="1:30" ht="14.25" customHeight="1" x14ac:dyDescent="0.3">
      <c r="A1" s="6" t="s">
        <v>0</v>
      </c>
      <c r="B1" s="7"/>
      <c r="C1" s="7"/>
      <c r="D1" s="7"/>
      <c r="E1" s="7"/>
      <c r="F1" s="7"/>
      <c r="G1" s="7"/>
      <c r="H1" s="7"/>
      <c r="I1" s="7"/>
      <c r="J1" s="7"/>
      <c r="K1" s="7"/>
      <c r="L1" s="7"/>
      <c r="M1" s="7"/>
      <c r="N1" s="7"/>
      <c r="O1" s="7"/>
      <c r="P1" s="7"/>
      <c r="Q1" s="7"/>
      <c r="R1" s="7"/>
      <c r="S1" s="7"/>
      <c r="T1" s="7"/>
      <c r="U1" s="7"/>
      <c r="V1" s="7"/>
      <c r="W1" s="7"/>
      <c r="X1" s="7"/>
      <c r="Y1" s="7"/>
      <c r="Z1" s="7"/>
      <c r="AA1" s="7"/>
      <c r="AB1" s="7"/>
      <c r="AC1" s="7"/>
      <c r="AD1" s="7"/>
    </row>
    <row r="2" spans="1:30" ht="14.25" customHeight="1" x14ac:dyDescent="0.3">
      <c r="B2" s="7"/>
      <c r="C2" s="7"/>
      <c r="D2" s="7"/>
      <c r="E2" s="7"/>
      <c r="F2" s="7"/>
      <c r="G2" s="7"/>
      <c r="H2" s="7"/>
      <c r="I2" s="7"/>
      <c r="J2" s="7"/>
      <c r="K2" s="7"/>
      <c r="L2" s="7"/>
      <c r="M2" s="7"/>
      <c r="N2" s="7"/>
      <c r="O2" s="7"/>
      <c r="P2" s="7"/>
      <c r="Q2" s="7"/>
      <c r="R2" s="7"/>
      <c r="S2" s="7"/>
      <c r="T2" s="7"/>
      <c r="U2" s="7"/>
      <c r="V2" s="7"/>
      <c r="W2" s="7"/>
      <c r="X2" s="7"/>
      <c r="Y2" s="7"/>
      <c r="Z2" s="7"/>
      <c r="AA2" s="7"/>
      <c r="AB2" s="7"/>
      <c r="AC2" s="7"/>
      <c r="AD2" s="7"/>
    </row>
    <row r="3" spans="1:30" ht="14.25" customHeight="1" x14ac:dyDescent="0.3">
      <c r="A3" s="7"/>
      <c r="B3" s="7"/>
      <c r="C3" s="7"/>
      <c r="D3" s="7"/>
      <c r="E3" s="7"/>
      <c r="F3" s="7"/>
      <c r="G3" s="7"/>
      <c r="H3" s="7"/>
      <c r="I3" s="7"/>
      <c r="J3" s="7"/>
      <c r="K3" s="7"/>
      <c r="L3" s="7"/>
      <c r="M3" s="7"/>
      <c r="N3" s="7"/>
      <c r="O3" s="7"/>
      <c r="P3" s="7"/>
      <c r="Q3" s="7"/>
      <c r="R3" s="7"/>
      <c r="S3" s="7"/>
      <c r="T3" s="7"/>
      <c r="U3" s="7"/>
      <c r="V3" s="7"/>
      <c r="W3" s="7"/>
      <c r="X3" s="7"/>
      <c r="Y3" s="7"/>
      <c r="Z3" s="7"/>
      <c r="AA3" s="7"/>
      <c r="AB3" s="7"/>
      <c r="AC3" s="7"/>
      <c r="AD3" s="7"/>
    </row>
    <row r="4" spans="1:30" ht="14.25" customHeight="1" x14ac:dyDescent="0.3">
      <c r="A4" s="7"/>
      <c r="B4" s="7"/>
      <c r="C4" s="7"/>
      <c r="D4" s="7"/>
      <c r="E4" s="7"/>
      <c r="F4" s="7"/>
      <c r="G4" s="7"/>
      <c r="H4" s="7"/>
      <c r="I4" s="7"/>
      <c r="J4" s="7"/>
      <c r="K4" s="7"/>
      <c r="L4" s="7"/>
      <c r="M4" s="7"/>
      <c r="N4" s="7"/>
      <c r="O4" s="7"/>
      <c r="P4" s="7"/>
      <c r="Q4" s="7"/>
      <c r="R4" s="7"/>
      <c r="S4" s="7"/>
      <c r="T4" s="7"/>
      <c r="U4" s="7"/>
      <c r="V4" s="7"/>
      <c r="W4" s="7"/>
      <c r="X4" s="7"/>
      <c r="Y4" s="7"/>
      <c r="Z4" s="7"/>
      <c r="AA4" s="7"/>
      <c r="AB4" s="7"/>
      <c r="AC4" s="7"/>
      <c r="AD4" s="7"/>
    </row>
    <row r="5" spans="1:30" ht="14.25" customHeight="1" x14ac:dyDescent="0.3">
      <c r="A5" s="7"/>
      <c r="B5" s="7"/>
      <c r="C5" s="7"/>
      <c r="D5" s="7"/>
      <c r="E5" s="7"/>
      <c r="F5" s="7"/>
      <c r="G5" s="7"/>
      <c r="H5" s="7"/>
      <c r="I5" s="7"/>
      <c r="J5" s="7"/>
      <c r="K5" s="7"/>
      <c r="L5" s="7"/>
      <c r="M5" s="7"/>
      <c r="N5" s="7"/>
      <c r="O5" s="7"/>
      <c r="P5" s="7"/>
      <c r="Q5" s="7"/>
      <c r="R5" s="7"/>
      <c r="S5" s="7"/>
      <c r="T5" s="7"/>
      <c r="U5" s="7"/>
      <c r="V5" s="7"/>
      <c r="W5" s="7"/>
      <c r="X5" s="7"/>
      <c r="Y5" s="7"/>
      <c r="Z5" s="7"/>
      <c r="AA5" s="7"/>
      <c r="AB5" s="7"/>
      <c r="AC5" s="7"/>
      <c r="AD5" s="7"/>
    </row>
    <row r="6" spans="1:30" ht="14.25" customHeight="1" x14ac:dyDescent="0.3">
      <c r="A6" s="7"/>
      <c r="B6" s="7"/>
      <c r="C6" s="7"/>
      <c r="D6" s="7"/>
      <c r="E6" s="7"/>
      <c r="F6" s="7"/>
      <c r="G6" s="7"/>
      <c r="H6" s="7"/>
      <c r="I6" s="7"/>
      <c r="J6" s="7"/>
      <c r="K6" s="7"/>
      <c r="L6" s="7"/>
      <c r="M6" s="7"/>
      <c r="N6" s="7"/>
      <c r="O6" s="7"/>
      <c r="P6" s="7"/>
      <c r="Q6" s="7"/>
      <c r="R6" s="7"/>
      <c r="S6" s="7"/>
      <c r="T6" s="7"/>
      <c r="U6" s="7"/>
      <c r="V6" s="7"/>
      <c r="W6" s="7"/>
      <c r="X6" s="7"/>
      <c r="Y6" s="7"/>
      <c r="Z6" s="7"/>
      <c r="AA6" s="7"/>
      <c r="AB6" s="7"/>
      <c r="AC6" s="7"/>
      <c r="AD6" s="7"/>
    </row>
    <row r="7" spans="1:30" ht="14.25" customHeight="1" x14ac:dyDescent="0.3">
      <c r="A7" s="7"/>
      <c r="B7" s="7"/>
      <c r="C7" s="7"/>
      <c r="D7" s="7"/>
      <c r="E7" s="7"/>
      <c r="F7" s="7"/>
      <c r="G7" s="7"/>
      <c r="H7" s="7"/>
      <c r="I7" s="7"/>
      <c r="J7" s="7"/>
      <c r="K7" s="7"/>
      <c r="L7" s="7"/>
      <c r="M7" s="7"/>
      <c r="N7" s="7"/>
      <c r="O7" s="7"/>
      <c r="P7" s="7"/>
      <c r="Q7" s="7"/>
      <c r="R7" s="7"/>
      <c r="S7" s="7"/>
      <c r="T7" s="7"/>
      <c r="U7" s="7"/>
      <c r="V7" s="7"/>
      <c r="W7" s="7"/>
      <c r="X7" s="7"/>
      <c r="Y7" s="7"/>
      <c r="Z7" s="7"/>
      <c r="AA7" s="7"/>
      <c r="AB7" s="7"/>
      <c r="AC7" s="7"/>
      <c r="AD7" s="7"/>
    </row>
    <row r="8" spans="1:30" ht="14.25" customHeight="1" x14ac:dyDescent="0.3">
      <c r="A8" s="7"/>
      <c r="B8" s="7"/>
      <c r="C8" s="7"/>
      <c r="D8" s="7"/>
      <c r="E8" s="7"/>
      <c r="F8" s="7"/>
      <c r="G8" s="7"/>
      <c r="H8" s="7"/>
      <c r="I8" s="7"/>
      <c r="J8" s="7"/>
      <c r="K8" s="7"/>
      <c r="L8" s="7"/>
      <c r="M8" s="7"/>
      <c r="N8" s="7"/>
      <c r="O8" s="7"/>
      <c r="P8" s="7"/>
      <c r="Q8" s="7"/>
      <c r="R8" s="7"/>
      <c r="S8" s="7"/>
      <c r="T8" s="7"/>
      <c r="U8" s="7"/>
      <c r="V8" s="7"/>
      <c r="W8" s="7"/>
      <c r="X8" s="7"/>
      <c r="Y8" s="7"/>
      <c r="Z8" s="7"/>
      <c r="AA8" s="7"/>
      <c r="AB8" s="7"/>
      <c r="AC8" s="7"/>
      <c r="AD8" s="7"/>
    </row>
    <row r="9" spans="1:30" ht="14.25" customHeight="1" x14ac:dyDescent="0.3">
      <c r="A9" s="7"/>
      <c r="B9" s="7"/>
      <c r="C9" s="7"/>
      <c r="D9" s="7"/>
      <c r="E9" s="7"/>
      <c r="F9" s="7"/>
      <c r="G9" s="7"/>
      <c r="H9" s="7"/>
      <c r="I9" s="7"/>
      <c r="J9" s="7"/>
      <c r="K9" s="7"/>
      <c r="L9" s="7"/>
      <c r="M9" s="7"/>
      <c r="N9" s="7"/>
      <c r="O9" s="7"/>
      <c r="P9" s="7"/>
      <c r="Q9" s="7"/>
      <c r="R9" s="7"/>
      <c r="S9" s="7"/>
      <c r="T9" s="7"/>
      <c r="U9" s="7"/>
      <c r="V9" s="7"/>
      <c r="W9" s="7"/>
      <c r="X9" s="7"/>
      <c r="Y9" s="7"/>
      <c r="Z9" s="7"/>
      <c r="AA9" s="7"/>
      <c r="AB9" s="7"/>
      <c r="AC9" s="7"/>
      <c r="AD9" s="7"/>
    </row>
    <row r="10" spans="1:30" ht="14.25" customHeight="1" x14ac:dyDescent="0.3">
      <c r="A10" s="7"/>
      <c r="B10" s="7"/>
      <c r="C10" s="7"/>
      <c r="D10" s="7"/>
      <c r="E10" s="7"/>
      <c r="F10" s="7"/>
      <c r="G10" s="7"/>
      <c r="H10" s="7"/>
      <c r="I10" s="7"/>
      <c r="J10" s="7"/>
      <c r="K10" s="7"/>
      <c r="L10" s="7"/>
      <c r="M10" s="7"/>
      <c r="N10" s="7"/>
      <c r="O10" s="7"/>
      <c r="P10" s="7"/>
      <c r="Q10" s="7"/>
      <c r="R10" s="7"/>
      <c r="S10" s="7"/>
      <c r="T10" s="7"/>
      <c r="U10" s="7"/>
      <c r="V10" s="7"/>
      <c r="W10" s="7"/>
      <c r="X10" s="7"/>
      <c r="Y10" s="7"/>
      <c r="Z10" s="7"/>
      <c r="AA10" s="7"/>
      <c r="AB10" s="7"/>
      <c r="AC10" s="7"/>
      <c r="AD10" s="7"/>
    </row>
    <row r="11" spans="1:30" ht="14.25" customHeight="1" x14ac:dyDescent="0.3">
      <c r="A11" s="7"/>
      <c r="B11" s="7"/>
      <c r="C11" s="7"/>
      <c r="D11" s="7"/>
      <c r="E11" s="7"/>
      <c r="F11" s="7"/>
      <c r="G11" s="7"/>
      <c r="H11" s="7"/>
      <c r="I11" s="7"/>
      <c r="J11" s="7"/>
      <c r="K11" s="7"/>
      <c r="L11" s="7"/>
      <c r="M11" s="7"/>
      <c r="N11" s="7"/>
      <c r="O11" s="7"/>
      <c r="P11" s="7"/>
      <c r="Q11" s="7"/>
      <c r="R11" s="7"/>
      <c r="S11" s="7"/>
      <c r="T11" s="7"/>
      <c r="U11" s="7"/>
      <c r="V11" s="7"/>
      <c r="W11" s="7"/>
      <c r="X11" s="7"/>
      <c r="Y11" s="7"/>
      <c r="Z11" s="7"/>
      <c r="AA11" s="7"/>
      <c r="AB11" s="7"/>
      <c r="AC11" s="7"/>
      <c r="AD11" s="7"/>
    </row>
    <row r="12" spans="1:30" ht="14.25" customHeight="1" x14ac:dyDescent="0.3">
      <c r="A12" s="7"/>
      <c r="B12" s="7"/>
      <c r="C12" s="7"/>
      <c r="D12" s="7"/>
      <c r="E12" s="7"/>
      <c r="F12" s="7"/>
      <c r="G12" s="7"/>
      <c r="H12" s="7"/>
      <c r="I12" s="7"/>
      <c r="J12" s="7"/>
      <c r="K12" s="7"/>
      <c r="L12" s="7"/>
      <c r="M12" s="7"/>
      <c r="N12" s="7"/>
      <c r="O12" s="7"/>
      <c r="P12" s="7"/>
      <c r="Q12" s="7"/>
      <c r="R12" s="7"/>
      <c r="S12" s="7"/>
      <c r="T12" s="7"/>
      <c r="U12" s="7"/>
      <c r="V12" s="7"/>
      <c r="W12" s="7"/>
      <c r="X12" s="7"/>
      <c r="Y12" s="7"/>
      <c r="Z12" s="7"/>
      <c r="AA12" s="7"/>
      <c r="AB12" s="7"/>
      <c r="AC12" s="7"/>
      <c r="AD12" s="7"/>
    </row>
    <row r="13" spans="1:30" ht="14.25" customHeight="1" x14ac:dyDescent="0.3">
      <c r="A13" s="7"/>
      <c r="B13" s="7"/>
      <c r="C13" s="7"/>
      <c r="D13" s="7"/>
      <c r="E13" s="7"/>
      <c r="F13" s="7"/>
      <c r="G13" s="7"/>
      <c r="H13" s="7"/>
      <c r="I13" s="7"/>
      <c r="J13" s="7"/>
      <c r="K13" s="7"/>
      <c r="L13" s="7"/>
      <c r="M13" s="7"/>
      <c r="N13" s="7"/>
      <c r="O13" s="7"/>
      <c r="P13" s="7"/>
      <c r="Q13" s="7"/>
      <c r="R13" s="7"/>
      <c r="S13" s="7"/>
      <c r="T13" s="7"/>
      <c r="U13" s="7"/>
      <c r="V13" s="7"/>
      <c r="W13" s="7"/>
      <c r="X13" s="7"/>
      <c r="Y13" s="7"/>
      <c r="Z13" s="7"/>
      <c r="AA13" s="7"/>
      <c r="AB13" s="7"/>
      <c r="AC13" s="7"/>
      <c r="AD13" s="7"/>
    </row>
    <row r="14" spans="1:30" ht="14.25" customHeight="1" x14ac:dyDescent="0.3">
      <c r="A14" s="7"/>
      <c r="B14" s="7"/>
      <c r="C14" s="7"/>
      <c r="D14" s="7"/>
      <c r="E14" s="7"/>
      <c r="F14" s="7"/>
      <c r="G14" s="7"/>
      <c r="H14" s="7"/>
      <c r="I14" s="7"/>
      <c r="J14" s="7"/>
      <c r="K14" s="7"/>
      <c r="L14" s="7"/>
      <c r="M14" s="7"/>
      <c r="N14" s="7"/>
      <c r="O14" s="7"/>
      <c r="P14" s="7"/>
      <c r="Q14" s="7"/>
      <c r="R14" s="7"/>
      <c r="S14" s="7"/>
      <c r="T14" s="7"/>
      <c r="U14" s="7"/>
      <c r="V14" s="7"/>
      <c r="W14" s="7"/>
      <c r="X14" s="7"/>
      <c r="Y14" s="7"/>
      <c r="Z14" s="7"/>
      <c r="AA14" s="7"/>
      <c r="AB14" s="7"/>
      <c r="AC14" s="7"/>
      <c r="AD14" s="7"/>
    </row>
    <row r="15" spans="1:30" ht="14.25" customHeight="1" x14ac:dyDescent="0.3">
      <c r="A15" s="7"/>
      <c r="B15" s="7"/>
      <c r="C15" s="7"/>
      <c r="D15" s="7"/>
      <c r="E15" s="7"/>
      <c r="F15" s="7"/>
      <c r="G15" s="7"/>
      <c r="H15" s="7"/>
      <c r="I15" s="7"/>
      <c r="J15" s="7"/>
      <c r="K15" s="7"/>
      <c r="L15" s="7"/>
      <c r="M15" s="7"/>
      <c r="N15" s="7"/>
      <c r="O15" s="7"/>
      <c r="P15" s="7"/>
      <c r="Q15" s="7"/>
      <c r="R15" s="7"/>
      <c r="S15" s="7"/>
      <c r="T15" s="7"/>
      <c r="U15" s="7"/>
      <c r="V15" s="7"/>
      <c r="W15" s="7"/>
      <c r="X15" s="7"/>
      <c r="Y15" s="7"/>
      <c r="Z15" s="7"/>
      <c r="AA15" s="7"/>
      <c r="AB15" s="7"/>
      <c r="AC15" s="7"/>
      <c r="AD15" s="7"/>
    </row>
    <row r="16" spans="1:30" ht="14.25" customHeight="1" x14ac:dyDescent="0.3">
      <c r="A16" s="7"/>
      <c r="B16" s="7"/>
      <c r="C16" s="7"/>
      <c r="D16" s="7"/>
      <c r="E16" s="7"/>
      <c r="F16" s="7"/>
      <c r="G16" s="7"/>
      <c r="H16" s="7"/>
      <c r="I16" s="7"/>
      <c r="J16" s="7"/>
      <c r="K16" s="7"/>
      <c r="L16" s="7"/>
      <c r="M16" s="7"/>
      <c r="N16" s="7"/>
      <c r="O16" s="7"/>
      <c r="P16" s="7"/>
      <c r="Q16" s="7"/>
      <c r="R16" s="7"/>
      <c r="S16" s="7"/>
      <c r="T16" s="7"/>
      <c r="U16" s="7"/>
      <c r="V16" s="7"/>
      <c r="W16" s="7"/>
      <c r="X16" s="7"/>
      <c r="Y16" s="7"/>
      <c r="Z16" s="7"/>
      <c r="AA16" s="7"/>
      <c r="AB16" s="7"/>
      <c r="AC16" s="7"/>
      <c r="AD16" s="7"/>
    </row>
    <row r="17" spans="1:30" ht="14.25" customHeight="1" x14ac:dyDescent="0.3">
      <c r="A17" s="7"/>
      <c r="B17" s="7"/>
      <c r="C17" s="7"/>
      <c r="D17" s="7"/>
      <c r="E17" s="7"/>
      <c r="F17" s="7"/>
      <c r="G17" s="7"/>
      <c r="H17" s="7"/>
      <c r="I17" s="7"/>
      <c r="J17" s="7"/>
      <c r="K17" s="7"/>
      <c r="L17" s="7"/>
      <c r="M17" s="7"/>
      <c r="N17" s="7"/>
      <c r="O17" s="7"/>
      <c r="P17" s="7"/>
      <c r="Q17" s="7"/>
      <c r="R17" s="7"/>
      <c r="S17" s="7"/>
      <c r="T17" s="7"/>
      <c r="U17" s="7"/>
      <c r="V17" s="7"/>
      <c r="W17" s="7"/>
      <c r="X17" s="7"/>
      <c r="Y17" s="7"/>
      <c r="Z17" s="7"/>
      <c r="AA17" s="7"/>
      <c r="AB17" s="7"/>
      <c r="AC17" s="7"/>
      <c r="AD17" s="7"/>
    </row>
    <row r="18" spans="1:30" ht="14.25" customHeight="1" x14ac:dyDescent="0.3">
      <c r="A18" s="7"/>
      <c r="B18" s="7"/>
      <c r="C18" s="7"/>
      <c r="D18" s="7"/>
      <c r="E18" s="7"/>
      <c r="F18" s="7"/>
      <c r="G18" s="7"/>
      <c r="H18" s="7"/>
      <c r="I18" s="7"/>
      <c r="J18" s="7"/>
      <c r="K18" s="7"/>
      <c r="L18" s="7"/>
      <c r="M18" s="7"/>
      <c r="N18" s="7"/>
      <c r="O18" s="7"/>
      <c r="P18" s="7"/>
      <c r="Q18" s="7"/>
      <c r="R18" s="7"/>
      <c r="S18" s="7"/>
      <c r="T18" s="7"/>
      <c r="U18" s="7"/>
      <c r="V18" s="7"/>
      <c r="W18" s="7"/>
      <c r="X18" s="7"/>
      <c r="Y18" s="7"/>
      <c r="Z18" s="7"/>
      <c r="AA18" s="7"/>
      <c r="AB18" s="7"/>
      <c r="AC18" s="7"/>
      <c r="AD18" s="7"/>
    </row>
    <row r="19" spans="1:30" ht="14.25" customHeight="1" x14ac:dyDescent="0.3">
      <c r="A19" s="7"/>
      <c r="B19" s="7"/>
      <c r="C19" s="7"/>
      <c r="D19" s="7"/>
      <c r="E19" s="7"/>
      <c r="F19" s="7"/>
      <c r="G19" s="7"/>
      <c r="H19" s="7"/>
      <c r="I19" s="7"/>
      <c r="J19" s="7"/>
      <c r="K19" s="7"/>
      <c r="L19" s="7"/>
      <c r="M19" s="7"/>
      <c r="N19" s="7"/>
      <c r="O19" s="7"/>
      <c r="P19" s="7"/>
      <c r="Q19" s="7"/>
      <c r="R19" s="7"/>
      <c r="S19" s="7"/>
      <c r="T19" s="7"/>
      <c r="U19" s="7"/>
      <c r="V19" s="7"/>
      <c r="W19" s="7"/>
      <c r="X19" s="7"/>
      <c r="Y19" s="7"/>
      <c r="Z19" s="7"/>
      <c r="AA19" s="7"/>
      <c r="AB19" s="7"/>
      <c r="AC19" s="7"/>
      <c r="AD19" s="7"/>
    </row>
    <row r="20" spans="1:30" ht="14.25" customHeight="1" x14ac:dyDescent="0.3">
      <c r="A20" s="7"/>
      <c r="B20" s="7"/>
      <c r="C20" s="7"/>
      <c r="D20" s="7"/>
      <c r="E20" s="7"/>
      <c r="F20" s="7"/>
      <c r="G20" s="7"/>
      <c r="H20" s="7"/>
      <c r="I20" s="7"/>
      <c r="J20" s="7"/>
      <c r="K20" s="7"/>
      <c r="L20" s="7"/>
      <c r="M20" s="7"/>
      <c r="N20" s="7"/>
      <c r="O20" s="7"/>
      <c r="P20" s="7"/>
      <c r="Q20" s="7"/>
      <c r="R20" s="7"/>
      <c r="S20" s="7"/>
      <c r="T20" s="7"/>
      <c r="U20" s="7"/>
      <c r="V20" s="7"/>
      <c r="W20" s="7"/>
      <c r="X20" s="7"/>
      <c r="Y20" s="7"/>
      <c r="Z20" s="7"/>
      <c r="AA20" s="7"/>
      <c r="AB20" s="7"/>
      <c r="AC20" s="7"/>
      <c r="AD20" s="7"/>
    </row>
    <row r="21" spans="1:30" ht="14.25" customHeight="1" x14ac:dyDescent="0.3">
      <c r="A21" s="7"/>
      <c r="B21" s="7"/>
      <c r="C21" s="7"/>
      <c r="D21" s="7"/>
      <c r="E21" s="7"/>
      <c r="F21" s="7"/>
      <c r="G21" s="7"/>
      <c r="H21" s="7"/>
      <c r="I21" s="7"/>
      <c r="J21" s="7"/>
      <c r="K21" s="7"/>
      <c r="L21" s="7"/>
      <c r="M21" s="7"/>
      <c r="N21" s="7"/>
      <c r="O21" s="7"/>
      <c r="P21" s="7"/>
      <c r="Q21" s="7"/>
      <c r="R21" s="7"/>
      <c r="S21" s="7"/>
      <c r="T21" s="7"/>
      <c r="U21" s="7"/>
      <c r="V21" s="7"/>
      <c r="W21" s="7"/>
      <c r="X21" s="7"/>
      <c r="Y21" s="7"/>
      <c r="Z21" s="7"/>
      <c r="AA21" s="7"/>
      <c r="AB21" s="7"/>
      <c r="AC21" s="7"/>
      <c r="AD21" s="7"/>
    </row>
    <row r="22" spans="1:30" ht="14.25" customHeight="1" x14ac:dyDescent="0.3">
      <c r="A22" s="7"/>
      <c r="B22" s="7"/>
      <c r="C22" s="7"/>
      <c r="D22" s="7"/>
      <c r="E22" s="7"/>
      <c r="F22" s="7"/>
      <c r="G22" s="7"/>
      <c r="H22" s="7"/>
      <c r="I22" s="7"/>
      <c r="J22" s="7"/>
      <c r="K22" s="7"/>
      <c r="L22" s="7"/>
      <c r="M22" s="7"/>
      <c r="N22" s="7"/>
      <c r="O22" s="7"/>
      <c r="P22" s="7"/>
      <c r="Q22" s="7"/>
      <c r="R22" s="7"/>
      <c r="S22" s="7"/>
      <c r="T22" s="7"/>
      <c r="U22" s="7"/>
      <c r="V22" s="7"/>
      <c r="W22" s="7"/>
      <c r="X22" s="7"/>
      <c r="Y22" s="7"/>
      <c r="Z22" s="7"/>
      <c r="AA22" s="7"/>
      <c r="AB22" s="7"/>
      <c r="AC22" s="7"/>
      <c r="AD22" s="7"/>
    </row>
    <row r="23" spans="1:30" ht="14.25" customHeight="1" x14ac:dyDescent="0.3">
      <c r="A23" s="7"/>
      <c r="B23" s="7"/>
      <c r="C23" s="7"/>
      <c r="D23" s="7"/>
      <c r="E23" s="7"/>
      <c r="F23" s="7"/>
      <c r="G23" s="7"/>
      <c r="H23" s="7"/>
      <c r="I23" s="7"/>
      <c r="J23" s="7"/>
      <c r="K23" s="7"/>
      <c r="L23" s="7"/>
      <c r="M23" s="7"/>
      <c r="N23" s="7"/>
      <c r="O23" s="7"/>
      <c r="P23" s="7"/>
      <c r="Q23" s="7"/>
      <c r="R23" s="7"/>
      <c r="S23" s="7"/>
      <c r="T23" s="7"/>
      <c r="U23" s="7"/>
      <c r="V23" s="7"/>
      <c r="W23" s="7"/>
      <c r="X23" s="7"/>
      <c r="Y23" s="7"/>
      <c r="Z23" s="7"/>
      <c r="AA23" s="7"/>
      <c r="AB23" s="7"/>
      <c r="AC23" s="7"/>
      <c r="AD23" s="7"/>
    </row>
    <row r="24" spans="1:30" ht="14.25" customHeight="1" x14ac:dyDescent="0.3">
      <c r="A24" s="7"/>
      <c r="B24" s="7"/>
      <c r="C24" s="7"/>
      <c r="D24" s="7"/>
      <c r="E24" s="7"/>
      <c r="F24" s="7"/>
      <c r="G24" s="7"/>
      <c r="H24" s="7"/>
      <c r="I24" s="7"/>
      <c r="J24" s="7"/>
      <c r="K24" s="7"/>
      <c r="L24" s="7"/>
      <c r="M24" s="7"/>
      <c r="N24" s="7"/>
      <c r="O24" s="7"/>
      <c r="P24" s="7"/>
      <c r="Q24" s="7"/>
      <c r="R24" s="7"/>
      <c r="S24" s="7"/>
      <c r="T24" s="7"/>
      <c r="U24" s="7"/>
      <c r="V24" s="7"/>
      <c r="W24" s="7"/>
      <c r="X24" s="7"/>
      <c r="Y24" s="7"/>
      <c r="Z24" s="7"/>
      <c r="AA24" s="7"/>
      <c r="AB24" s="7"/>
      <c r="AC24" s="7"/>
      <c r="AD24" s="7"/>
    </row>
    <row r="25" spans="1:30" ht="14.25" customHeight="1" x14ac:dyDescent="0.3">
      <c r="A25" s="7"/>
      <c r="B25" s="7"/>
      <c r="C25" s="7"/>
      <c r="D25" s="7"/>
      <c r="E25" s="7"/>
      <c r="F25" s="7"/>
      <c r="G25" s="7"/>
      <c r="H25" s="7"/>
      <c r="I25" s="7"/>
      <c r="J25" s="7"/>
      <c r="K25" s="7"/>
      <c r="L25" s="7"/>
      <c r="M25" s="7"/>
      <c r="N25" s="7"/>
      <c r="O25" s="7"/>
      <c r="P25" s="7"/>
      <c r="Q25" s="7"/>
      <c r="R25" s="7"/>
      <c r="S25" s="7"/>
      <c r="T25" s="7"/>
      <c r="U25" s="7"/>
      <c r="V25" s="7"/>
      <c r="W25" s="7"/>
      <c r="X25" s="7"/>
      <c r="Y25" s="7"/>
      <c r="Z25" s="7"/>
      <c r="AA25" s="7"/>
      <c r="AB25" s="7"/>
      <c r="AC25" s="7"/>
      <c r="AD25" s="7"/>
    </row>
    <row r="26" spans="1:30" ht="14.25" customHeight="1" x14ac:dyDescent="0.3">
      <c r="A26" s="7"/>
      <c r="B26" s="7"/>
      <c r="C26" s="7"/>
      <c r="D26" s="7"/>
      <c r="E26" s="7"/>
      <c r="F26" s="7"/>
      <c r="G26" s="7"/>
      <c r="H26" s="7"/>
      <c r="I26" s="7"/>
      <c r="J26" s="7"/>
      <c r="K26" s="7"/>
      <c r="L26" s="7"/>
      <c r="M26" s="7"/>
      <c r="N26" s="7"/>
      <c r="O26" s="7"/>
      <c r="P26" s="7"/>
      <c r="Q26" s="7"/>
      <c r="R26" s="7"/>
      <c r="S26" s="7"/>
      <c r="T26" s="7"/>
      <c r="U26" s="7"/>
      <c r="V26" s="7"/>
      <c r="W26" s="7"/>
      <c r="X26" s="7"/>
      <c r="Y26" s="7"/>
      <c r="Z26" s="7"/>
      <c r="AA26" s="7"/>
      <c r="AB26" s="7"/>
      <c r="AC26" s="7"/>
      <c r="AD26" s="7"/>
    </row>
    <row r="27" spans="1:30" ht="14.25" customHeight="1" x14ac:dyDescent="0.3">
      <c r="A27" s="7"/>
      <c r="B27" s="7"/>
      <c r="C27" s="7"/>
      <c r="D27" s="7"/>
      <c r="E27" s="7"/>
      <c r="F27" s="7"/>
      <c r="G27" s="7"/>
      <c r="H27" s="7"/>
      <c r="I27" s="7"/>
      <c r="J27" s="7"/>
      <c r="K27" s="7"/>
      <c r="L27" s="7"/>
      <c r="M27" s="7"/>
      <c r="N27" s="7"/>
      <c r="O27" s="7"/>
      <c r="P27" s="7"/>
      <c r="Q27" s="7"/>
      <c r="R27" s="7"/>
      <c r="S27" s="7"/>
      <c r="T27" s="7"/>
      <c r="U27" s="7"/>
      <c r="V27" s="7"/>
      <c r="W27" s="7"/>
      <c r="X27" s="7"/>
      <c r="Y27" s="7"/>
      <c r="Z27" s="7"/>
      <c r="AA27" s="7"/>
      <c r="AB27" s="7"/>
      <c r="AC27" s="7"/>
      <c r="AD27" s="7"/>
    </row>
    <row r="28" spans="1:30" ht="14.25" customHeight="1" x14ac:dyDescent="0.3">
      <c r="A28" s="7"/>
      <c r="B28" s="7"/>
      <c r="C28" s="7"/>
      <c r="D28" s="7"/>
      <c r="E28" s="7"/>
      <c r="F28" s="7"/>
      <c r="G28" s="7"/>
      <c r="H28" s="7"/>
      <c r="I28" s="7"/>
      <c r="J28" s="7"/>
      <c r="K28" s="7"/>
      <c r="L28" s="7"/>
      <c r="M28" s="7"/>
      <c r="N28" s="7"/>
      <c r="O28" s="7"/>
      <c r="P28" s="7"/>
      <c r="Q28" s="7"/>
      <c r="R28" s="7"/>
      <c r="S28" s="7"/>
      <c r="T28" s="7"/>
      <c r="U28" s="7"/>
      <c r="V28" s="7"/>
      <c r="W28" s="7"/>
      <c r="X28" s="7"/>
      <c r="Y28" s="7"/>
      <c r="Z28" s="7"/>
      <c r="AA28" s="7"/>
      <c r="AB28" s="7"/>
      <c r="AC28" s="7"/>
      <c r="AD28" s="7"/>
    </row>
    <row r="29" spans="1:30" ht="14.25" customHeight="1" x14ac:dyDescent="0.3">
      <c r="A29" s="7"/>
      <c r="B29" s="7"/>
      <c r="C29" s="7"/>
      <c r="D29" s="7"/>
      <c r="E29" s="7"/>
      <c r="F29" s="7"/>
      <c r="G29" s="7"/>
      <c r="H29" s="7"/>
      <c r="I29" s="7"/>
      <c r="J29" s="7"/>
      <c r="K29" s="7"/>
      <c r="L29" s="7"/>
      <c r="M29" s="7"/>
      <c r="N29" s="7"/>
      <c r="O29" s="7"/>
      <c r="P29" s="7"/>
      <c r="Q29" s="7"/>
      <c r="R29" s="7"/>
      <c r="S29" s="7"/>
      <c r="T29" s="7"/>
      <c r="U29" s="7"/>
      <c r="V29" s="7"/>
      <c r="W29" s="7"/>
      <c r="X29" s="7"/>
      <c r="Y29" s="7"/>
      <c r="Z29" s="7"/>
      <c r="AA29" s="7"/>
      <c r="AB29" s="7"/>
      <c r="AC29" s="7"/>
      <c r="AD29" s="7"/>
    </row>
    <row r="30" spans="1:30" ht="14.25" customHeight="1" x14ac:dyDescent="0.3">
      <c r="A30" s="7"/>
      <c r="B30" s="7"/>
      <c r="C30" s="7"/>
      <c r="D30" s="7"/>
      <c r="E30" s="7"/>
      <c r="F30" s="7"/>
      <c r="G30" s="7"/>
      <c r="H30" s="7"/>
      <c r="I30" s="7"/>
      <c r="J30" s="7"/>
      <c r="K30" s="7"/>
      <c r="L30" s="7"/>
      <c r="M30" s="7"/>
      <c r="N30" s="7"/>
      <c r="O30" s="7"/>
      <c r="P30" s="7"/>
      <c r="Q30" s="7"/>
      <c r="R30" s="7"/>
      <c r="S30" s="7"/>
      <c r="T30" s="7"/>
      <c r="U30" s="7"/>
      <c r="V30" s="7"/>
      <c r="W30" s="7"/>
      <c r="X30" s="7"/>
      <c r="Y30" s="7"/>
      <c r="Z30" s="7"/>
      <c r="AA30" s="7"/>
      <c r="AB30" s="7"/>
      <c r="AC30" s="7"/>
      <c r="AD30" s="7"/>
    </row>
    <row r="31" spans="1:30" ht="14.25" customHeight="1" x14ac:dyDescent="0.3">
      <c r="A31" s="7"/>
      <c r="B31" s="7"/>
      <c r="C31" s="7"/>
      <c r="D31" s="7"/>
      <c r="E31" s="7"/>
      <c r="F31" s="7"/>
      <c r="G31" s="7"/>
      <c r="H31" s="7"/>
      <c r="I31" s="7"/>
      <c r="J31" s="7"/>
      <c r="K31" s="7"/>
      <c r="L31" s="7"/>
      <c r="M31" s="7"/>
      <c r="N31" s="7"/>
      <c r="O31" s="7"/>
      <c r="P31" s="7"/>
      <c r="Q31" s="7"/>
      <c r="R31" s="7"/>
      <c r="S31" s="7"/>
      <c r="T31" s="7"/>
      <c r="U31" s="7"/>
      <c r="V31" s="7"/>
      <c r="W31" s="7"/>
      <c r="X31" s="7"/>
      <c r="Y31" s="7"/>
      <c r="Z31" s="7"/>
      <c r="AA31" s="7"/>
      <c r="AB31" s="7"/>
      <c r="AC31" s="7"/>
      <c r="AD31" s="7"/>
    </row>
    <row r="32" spans="1:30" ht="14.25" customHeight="1" x14ac:dyDescent="0.3">
      <c r="A32" s="7"/>
      <c r="B32" s="7"/>
      <c r="C32" s="7"/>
      <c r="D32" s="7"/>
      <c r="E32" s="7"/>
      <c r="F32" s="7"/>
      <c r="G32" s="7"/>
      <c r="H32" s="7"/>
      <c r="I32" s="7"/>
      <c r="J32" s="7"/>
      <c r="K32" s="7"/>
      <c r="L32" s="7"/>
      <c r="M32" s="7"/>
      <c r="N32" s="7"/>
      <c r="O32" s="7"/>
      <c r="P32" s="7"/>
      <c r="Q32" s="7"/>
      <c r="R32" s="7"/>
      <c r="S32" s="7"/>
      <c r="T32" s="7"/>
      <c r="U32" s="7"/>
      <c r="V32" s="7"/>
      <c r="W32" s="7"/>
      <c r="X32" s="7"/>
      <c r="Y32" s="7"/>
      <c r="Z32" s="7"/>
      <c r="AA32" s="7"/>
      <c r="AB32" s="7"/>
      <c r="AC32" s="7"/>
      <c r="AD32" s="7"/>
    </row>
    <row r="33" spans="1:30" ht="14.25" customHeight="1" x14ac:dyDescent="0.3">
      <c r="A33" s="7"/>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row>
    <row r="34" spans="1:30" ht="14.25" customHeight="1" x14ac:dyDescent="0.3">
      <c r="A34" s="7"/>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row>
    <row r="35" spans="1:30" ht="14.25" customHeight="1" x14ac:dyDescent="0.3">
      <c r="A35" s="7"/>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row>
    <row r="36" spans="1:30" ht="14.25" customHeight="1" x14ac:dyDescent="0.3">
      <c r="A36" s="7"/>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row>
    <row r="37" spans="1:30" ht="14.25" customHeight="1" x14ac:dyDescent="0.3">
      <c r="A37" s="7"/>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row>
    <row r="38" spans="1:30" ht="14.25" customHeight="1" x14ac:dyDescent="0.3">
      <c r="A38" s="7"/>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row>
    <row r="39" spans="1:30" ht="14.25" customHeight="1" x14ac:dyDescent="0.3">
      <c r="A39" s="7"/>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row>
    <row r="40" spans="1:30" ht="14.25" customHeight="1" x14ac:dyDescent="0.3">
      <c r="A40" s="7"/>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row>
    <row r="41" spans="1:30" ht="14.25" customHeight="1" x14ac:dyDescent="0.3">
      <c r="A41" s="7"/>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row>
    <row r="42" spans="1:30" ht="14.25" customHeight="1" x14ac:dyDescent="0.3">
      <c r="A42" s="7"/>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row>
    <row r="43" spans="1:30" ht="14.25" customHeight="1" x14ac:dyDescent="0.3">
      <c r="A43" s="7"/>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row>
    <row r="44" spans="1:30" ht="14.25" customHeight="1" x14ac:dyDescent="0.3">
      <c r="A44" s="7"/>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row>
    <row r="45" spans="1:30" ht="14.25" customHeight="1" x14ac:dyDescent="0.3">
      <c r="A45" s="7"/>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row>
    <row r="46" spans="1:30" ht="14.25" customHeight="1" x14ac:dyDescent="0.3">
      <c r="A46" s="7"/>
      <c r="B46" s="7"/>
      <c r="C46" s="7"/>
      <c r="D46" s="7"/>
      <c r="E46" s="7"/>
      <c r="F46" s="7"/>
      <c r="G46" s="7"/>
      <c r="H46" s="7"/>
      <c r="I46" s="7"/>
      <c r="J46" s="7"/>
      <c r="K46" s="7"/>
      <c r="L46" s="7"/>
      <c r="M46" s="7"/>
      <c r="N46" s="7"/>
      <c r="O46" s="7"/>
      <c r="P46" s="7"/>
      <c r="Q46" s="7"/>
      <c r="R46" s="7"/>
      <c r="S46" s="7"/>
      <c r="T46" s="7"/>
      <c r="U46" s="7"/>
      <c r="V46" s="7"/>
      <c r="W46" s="7"/>
      <c r="X46" s="7"/>
      <c r="Y46" s="7"/>
      <c r="Z46" s="7"/>
      <c r="AA46" s="7"/>
      <c r="AB46" s="7"/>
      <c r="AC46" s="7"/>
      <c r="AD46" s="7"/>
    </row>
    <row r="47" spans="1:30" ht="14.25" customHeight="1" x14ac:dyDescent="0.3">
      <c r="A47" s="7"/>
      <c r="B47" s="7"/>
      <c r="C47" s="7"/>
      <c r="D47" s="7"/>
      <c r="E47" s="7"/>
      <c r="F47" s="7"/>
      <c r="G47" s="7"/>
      <c r="H47" s="7"/>
      <c r="I47" s="7"/>
      <c r="J47" s="7"/>
      <c r="K47" s="7"/>
      <c r="L47" s="7"/>
      <c r="M47" s="7"/>
      <c r="N47" s="7"/>
      <c r="O47" s="7"/>
      <c r="P47" s="7"/>
      <c r="Q47" s="7"/>
      <c r="R47" s="7"/>
      <c r="S47" s="7"/>
      <c r="T47" s="7"/>
      <c r="U47" s="7"/>
      <c r="V47" s="7"/>
      <c r="W47" s="7"/>
      <c r="X47" s="7"/>
      <c r="Y47" s="7"/>
      <c r="Z47" s="7"/>
      <c r="AA47" s="7"/>
      <c r="AB47" s="7"/>
      <c r="AC47" s="7"/>
      <c r="AD47" s="7"/>
    </row>
    <row r="48" spans="1:30" ht="14.25" customHeight="1" x14ac:dyDescent="0.3">
      <c r="A48" s="7"/>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row>
    <row r="49" spans="1:30" ht="14.25" customHeight="1" x14ac:dyDescent="0.3">
      <c r="A49" s="7"/>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row>
    <row r="50" spans="1:30" ht="14.25" customHeight="1" x14ac:dyDescent="0.3">
      <c r="A50" s="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row>
  </sheetData>
  <hyperlinks>
    <hyperlink ref="A1" location="'Objetos de Dominio'!A1" display="Ir a objetos de dominio &gt;&gt;&gt;&gt;" xr:uid="{00000000-0004-0000-0000-000000000000}"/>
  </hyperlinks>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9"/>
  <sheetViews>
    <sheetView zoomScaleNormal="100" workbookViewId="0">
      <selection activeCell="D4" sqref="D4"/>
    </sheetView>
  </sheetViews>
  <sheetFormatPr baseColWidth="10" defaultColWidth="10.6640625" defaultRowHeight="14.4" x14ac:dyDescent="0.3"/>
  <cols>
    <col min="1" max="1" width="27" customWidth="1"/>
    <col min="2" max="2" width="48.33203125" customWidth="1"/>
    <col min="3" max="3" width="12.5546875" customWidth="1"/>
    <col min="4" max="4" width="13.33203125" customWidth="1"/>
    <col min="5" max="5" width="19.44140625" customWidth="1"/>
  </cols>
  <sheetData>
    <row r="1" spans="1:6" ht="14.25" customHeight="1" x14ac:dyDescent="0.3">
      <c r="A1" s="6" t="s">
        <v>1</v>
      </c>
    </row>
    <row r="2" spans="1:6" ht="14.25" customHeight="1" x14ac:dyDescent="0.3">
      <c r="A2" s="8" t="s">
        <v>2</v>
      </c>
      <c r="B2" s="8" t="s">
        <v>3</v>
      </c>
      <c r="C2" s="8" t="s">
        <v>4</v>
      </c>
      <c r="D2" s="8" t="s">
        <v>5</v>
      </c>
      <c r="E2" s="8" t="s">
        <v>6</v>
      </c>
      <c r="F2" s="9"/>
    </row>
    <row r="3" spans="1:6" ht="45" customHeight="1" x14ac:dyDescent="0.3">
      <c r="A3" s="10" t="s">
        <v>7</v>
      </c>
      <c r="B3" s="11" t="s">
        <v>8</v>
      </c>
      <c r="C3" s="12">
        <v>1</v>
      </c>
      <c r="D3" s="13" t="s">
        <v>9</v>
      </c>
      <c r="E3" s="13" t="s">
        <v>10</v>
      </c>
    </row>
    <row r="4" spans="1:6" ht="60" customHeight="1" x14ac:dyDescent="0.3">
      <c r="A4" s="10" t="s">
        <v>11</v>
      </c>
      <c r="B4" s="14" t="s">
        <v>12</v>
      </c>
      <c r="C4" s="10">
        <v>1</v>
      </c>
      <c r="D4" s="13" t="s">
        <v>9</v>
      </c>
      <c r="E4" s="13" t="s">
        <v>10</v>
      </c>
    </row>
    <row r="5" spans="1:6" ht="45" customHeight="1" x14ac:dyDescent="0.3">
      <c r="A5" s="10" t="s">
        <v>13</v>
      </c>
      <c r="B5" s="14" t="s">
        <v>14</v>
      </c>
      <c r="C5" s="10">
        <v>1</v>
      </c>
      <c r="D5" s="13" t="s">
        <v>9</v>
      </c>
      <c r="E5" s="13" t="s">
        <v>10</v>
      </c>
    </row>
    <row r="6" spans="1:6" ht="75" customHeight="1" x14ac:dyDescent="0.3">
      <c r="A6" s="10" t="s">
        <v>15</v>
      </c>
      <c r="B6" s="14" t="s">
        <v>16</v>
      </c>
      <c r="C6" s="10">
        <v>1</v>
      </c>
      <c r="D6" s="13" t="s">
        <v>9</v>
      </c>
      <c r="E6" s="13" t="s">
        <v>10</v>
      </c>
    </row>
    <row r="7" spans="1:6" ht="45" customHeight="1" x14ac:dyDescent="0.3">
      <c r="A7" s="10" t="s">
        <v>17</v>
      </c>
      <c r="B7" s="14" t="s">
        <v>18</v>
      </c>
      <c r="C7" s="10">
        <v>1</v>
      </c>
      <c r="D7" s="13" t="s">
        <v>9</v>
      </c>
      <c r="E7" s="13" t="s">
        <v>10</v>
      </c>
    </row>
    <row r="8" spans="1:6" ht="30" customHeight="1" x14ac:dyDescent="0.3">
      <c r="A8" s="10" t="s">
        <v>19</v>
      </c>
      <c r="B8" s="14" t="s">
        <v>20</v>
      </c>
      <c r="C8" s="10">
        <v>1</v>
      </c>
      <c r="D8" s="13" t="s">
        <v>9</v>
      </c>
      <c r="E8" s="13" t="s">
        <v>10</v>
      </c>
    </row>
    <row r="9" spans="1:6" ht="43.2" x14ac:dyDescent="0.3">
      <c r="A9" s="181" t="s">
        <v>21</v>
      </c>
      <c r="B9" s="14" t="s">
        <v>22</v>
      </c>
      <c r="C9" s="10">
        <v>1</v>
      </c>
      <c r="D9" s="15" t="s">
        <v>9</v>
      </c>
      <c r="E9" s="15" t="s">
        <v>10</v>
      </c>
    </row>
    <row r="10" spans="1:6" ht="49.5" customHeight="1" x14ac:dyDescent="0.3">
      <c r="A10" s="10" t="s">
        <v>23</v>
      </c>
      <c r="B10" s="14" t="s">
        <v>24</v>
      </c>
      <c r="C10" s="10">
        <v>2</v>
      </c>
      <c r="D10" s="13" t="s">
        <v>9</v>
      </c>
      <c r="E10" s="13" t="s">
        <v>10</v>
      </c>
    </row>
    <row r="11" spans="1:6" ht="45" customHeight="1" x14ac:dyDescent="0.3">
      <c r="A11" s="10" t="s">
        <v>25</v>
      </c>
      <c r="B11" s="14" t="s">
        <v>26</v>
      </c>
      <c r="C11" s="10">
        <v>2</v>
      </c>
      <c r="D11" s="13" t="s">
        <v>9</v>
      </c>
      <c r="E11" s="13" t="s">
        <v>10</v>
      </c>
    </row>
    <row r="12" spans="1:6" ht="45" customHeight="1" x14ac:dyDescent="0.3">
      <c r="A12" s="10" t="s">
        <v>27</v>
      </c>
      <c r="B12" s="14" t="s">
        <v>28</v>
      </c>
      <c r="C12" s="10">
        <v>2</v>
      </c>
      <c r="D12" s="13" t="s">
        <v>9</v>
      </c>
      <c r="E12" s="13" t="s">
        <v>10</v>
      </c>
    </row>
    <row r="13" spans="1:6" ht="60" customHeight="1" x14ac:dyDescent="0.3">
      <c r="A13" s="10" t="s">
        <v>29</v>
      </c>
      <c r="B13" s="14" t="s">
        <v>30</v>
      </c>
      <c r="C13" s="10">
        <v>3</v>
      </c>
      <c r="D13" s="13" t="s">
        <v>9</v>
      </c>
      <c r="E13" s="13" t="s">
        <v>10</v>
      </c>
    </row>
    <row r="14" spans="1:6" ht="45" customHeight="1" x14ac:dyDescent="0.3">
      <c r="A14" s="10" t="s">
        <v>31</v>
      </c>
      <c r="B14" s="14" t="s">
        <v>32</v>
      </c>
      <c r="C14" s="10">
        <v>3</v>
      </c>
      <c r="D14" s="13" t="s">
        <v>9</v>
      </c>
      <c r="E14" s="13" t="s">
        <v>10</v>
      </c>
    </row>
    <row r="15" spans="1:6" ht="60" customHeight="1" x14ac:dyDescent="0.3">
      <c r="A15" s="10" t="s">
        <v>33</v>
      </c>
      <c r="B15" s="14" t="s">
        <v>34</v>
      </c>
      <c r="C15" s="10">
        <v>4</v>
      </c>
      <c r="D15" s="13" t="s">
        <v>9</v>
      </c>
      <c r="E15" s="13" t="s">
        <v>10</v>
      </c>
    </row>
    <row r="16" spans="1:6" ht="60" customHeight="1" x14ac:dyDescent="0.3">
      <c r="A16" s="10" t="s">
        <v>35</v>
      </c>
      <c r="B16" s="14" t="s">
        <v>36</v>
      </c>
      <c r="C16" s="10">
        <v>4</v>
      </c>
      <c r="D16" s="16" t="s">
        <v>9</v>
      </c>
      <c r="E16" s="16" t="s">
        <v>10</v>
      </c>
    </row>
    <row r="17" spans="1:5" ht="60" customHeight="1" x14ac:dyDescent="0.3">
      <c r="A17" s="10" t="s">
        <v>37</v>
      </c>
      <c r="B17" s="14" t="s">
        <v>38</v>
      </c>
      <c r="C17" s="10">
        <v>5</v>
      </c>
      <c r="D17" s="13" t="s">
        <v>9</v>
      </c>
      <c r="E17" s="13" t="s">
        <v>10</v>
      </c>
    </row>
    <row r="18" spans="1:5" ht="75" customHeight="1" x14ac:dyDescent="0.3">
      <c r="A18" s="10" t="s">
        <v>39</v>
      </c>
      <c r="B18" s="14" t="s">
        <v>40</v>
      </c>
      <c r="C18" s="10">
        <v>6</v>
      </c>
      <c r="D18" s="13" t="s">
        <v>9</v>
      </c>
      <c r="E18" s="13" t="s">
        <v>10</v>
      </c>
    </row>
    <row r="19" spans="1:5" ht="60" customHeight="1" x14ac:dyDescent="0.3">
      <c r="A19" s="10" t="s">
        <v>41</v>
      </c>
      <c r="B19" s="14" t="s">
        <v>42</v>
      </c>
      <c r="C19" s="10">
        <v>6</v>
      </c>
      <c r="D19" s="13" t="s">
        <v>9</v>
      </c>
      <c r="E19" s="13" t="s">
        <v>10</v>
      </c>
    </row>
  </sheetData>
  <hyperlinks>
    <hyperlink ref="A1" location="'Modelo de Dominio'!A1" display="&lt;&lt;&lt;&lt; Ir al modulo de dominio" xr:uid="{00000000-0004-0000-0100-000000000000}"/>
    <hyperlink ref="D3" location="'M-DiaSemana'!A3" display="Ir al muestreo" xr:uid="{00000000-0004-0000-0100-000001000000}"/>
    <hyperlink ref="E3" location="'C-DiaSemana'!A3" display="Ir a la caracterización" xr:uid="{00000000-0004-0000-0100-000002000000}"/>
    <hyperlink ref="D4" location="'M-Estado'!A3" display="Ir al muestreo" xr:uid="{00000000-0004-0000-0100-000003000000}"/>
    <hyperlink ref="E4" location="'C-Estado'!A3" display="Ir a la caracterización" xr:uid="{00000000-0004-0000-0100-000004000000}"/>
    <hyperlink ref="D5" location="'M-Servicio'!A3" display="Ir al muestreo" xr:uid="{00000000-0004-0000-0100-000005000000}"/>
    <hyperlink ref="E5" location="'C-Servicio'!A3" display="Ir a la caracterización" xr:uid="{00000000-0004-0000-0100-000006000000}"/>
    <hyperlink ref="D6" location="'M-Regla'!A3" display="Ir al muestreo" xr:uid="{00000000-0004-0000-0100-000007000000}"/>
    <hyperlink ref="E6" location="'C-Regla'!A3" display="Ir a la caracterización" xr:uid="{00000000-0004-0000-0100-000008000000}"/>
    <hyperlink ref="D7" location="'M-PrefijoCelular'!A3" display="Ir al muestreo" xr:uid="{00000000-0004-0000-0100-000009000000}"/>
    <hyperlink ref="E7" location="'C-PrefijoCelular'!A3" display="Ir a la caracterización" xr:uid="{00000000-0004-0000-0100-00000A000000}"/>
    <hyperlink ref="D8" location="'M-TipoMulta'!A3" display="Ir al muestreo" xr:uid="{00000000-0004-0000-0100-00000B000000}"/>
    <hyperlink ref="E8" location="'C-TipoMulta'!A3" display="Ir a la caracterización" xr:uid="{00000000-0004-0000-0100-00000C000000}"/>
    <hyperlink ref="D9" location="'M-TipoBloqueo'!A3" display="Ir al muestreo" xr:uid="{00000000-0004-0000-0100-00000E000000}"/>
    <hyperlink ref="E9" location="'C-TipoBloqueo'!A3" display="Ir a la caracterización" xr:uid="{00000000-0004-0000-0100-00000F000000}"/>
    <hyperlink ref="D10" location="'M-Barbero'!A3" display="Ir al muestreo" xr:uid="{00000000-0004-0000-0100-000010000000}"/>
    <hyperlink ref="E10" location="'C-Barbero'!A3" display="Ir a la caracterización" xr:uid="{00000000-0004-0000-0100-000011000000}"/>
    <hyperlink ref="D11" location="'M-Cliente'!A3" display="Ir al muestreo" xr:uid="{00000000-0004-0000-0100-000012000000}"/>
    <hyperlink ref="E11" location="'C-Cliente'!A3" display="Ir a la caracterización" xr:uid="{00000000-0004-0000-0100-000013000000}"/>
    <hyperlink ref="D12" location="'M-HorarioBarberia'!A3" display="Ir al muestreo" xr:uid="{00000000-0004-0000-0100-000014000000}"/>
    <hyperlink ref="E12" location="'C-HorarioBarberia'!A3" display="Ir a la caracterización" xr:uid="{00000000-0004-0000-0100-000015000000}"/>
    <hyperlink ref="D13" location="'M-BarberoServicio'!A3" display="Ir al muestreo" xr:uid="{00000000-0004-0000-0100-000016000000}"/>
    <hyperlink ref="E13" location="'C-BarberoServicio'!A3" display="Ir a la caracterización" xr:uid="{00000000-0004-0000-0100-000017000000}"/>
    <hyperlink ref="D14" location="'M-HorarioBarbero'!A3" display="Ir al muestreo" xr:uid="{00000000-0004-0000-0100-000018000000}"/>
    <hyperlink ref="E14" location="'C-HorarioBarbero'!A3" display="Ir a la caracterización" xr:uid="{00000000-0004-0000-0100-000019000000}"/>
    <hyperlink ref="D15" location="'M-Agenda'!A3" display="Ir al muestreo" xr:uid="{00000000-0004-0000-0100-00001A000000}"/>
    <hyperlink ref="E15" location="'C-Agenda'!A3" display="Ir a la caracterización" xr:uid="{00000000-0004-0000-0100-00001B000000}"/>
    <hyperlink ref="D16" location="'M-Bloqueo'!A3" display="Ir al muestreo" xr:uid="{00000000-0004-0000-0100-00001C000000}"/>
    <hyperlink ref="E16" location="'C-Bloqueo'!A3" display="Ir a la caracterización" xr:uid="{00000000-0004-0000-0100-00001D000000}"/>
    <hyperlink ref="D17" location="'M-Cita'!A3" display="Ir al muestreo" xr:uid="{00000000-0004-0000-0100-00001E000000}"/>
    <hyperlink ref="E17" location="'C-Cita'!A3" display="Ir a la caracterización" xr:uid="{00000000-0004-0000-0100-00001F000000}"/>
    <hyperlink ref="D18" location="'M-CitaServicio'!A3" display="Ir al muestreo" xr:uid="{00000000-0004-0000-0100-000020000000}"/>
    <hyperlink ref="E18" location="'C-CitaServicio'!A3" display="Ir a la caracterización" xr:uid="{00000000-0004-0000-0100-000021000000}"/>
    <hyperlink ref="D19" location="'M-Multa'!A3" display="Ir al muestreo" xr:uid="{00000000-0004-0000-0100-000022000000}"/>
    <hyperlink ref="E19" location="'C-Multa'!A3" display="Ir a la caracterización" xr:uid="{00000000-0004-0000-0100-000023000000}"/>
  </hyperlink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7"/>
  <sheetViews>
    <sheetView zoomScaleNormal="100" workbookViewId="0">
      <selection activeCell="E6" sqref="E6"/>
    </sheetView>
  </sheetViews>
  <sheetFormatPr baseColWidth="10" defaultColWidth="8.6640625" defaultRowHeight="14.4" x14ac:dyDescent="0.3"/>
  <cols>
    <col min="1" max="1" width="26.6640625" customWidth="1"/>
    <col min="2" max="2" width="45" customWidth="1"/>
    <col min="3" max="3" width="33.332031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5" customHeight="1" x14ac:dyDescent="0.3">
      <c r="A1" s="6" t="s">
        <v>1</v>
      </c>
      <c r="B1" s="6" t="s">
        <v>43</v>
      </c>
    </row>
    <row r="2" spans="1:21" s="19" customFormat="1" ht="15" customHeight="1" x14ac:dyDescent="0.3">
      <c r="A2" s="17" t="s">
        <v>44</v>
      </c>
      <c r="B2" s="18" t="s">
        <v>45</v>
      </c>
      <c r="C2" s="17" t="s">
        <v>46</v>
      </c>
      <c r="D2" s="17" t="s">
        <v>47</v>
      </c>
      <c r="E2" s="17" t="s">
        <v>48</v>
      </c>
      <c r="F2" s="17" t="s">
        <v>49</v>
      </c>
      <c r="G2" s="17" t="s">
        <v>50</v>
      </c>
      <c r="H2" s="17" t="s">
        <v>51</v>
      </c>
      <c r="I2" s="17" t="s">
        <v>52</v>
      </c>
      <c r="J2" s="17" t="s">
        <v>53</v>
      </c>
      <c r="K2" s="17" t="s">
        <v>54</v>
      </c>
      <c r="L2" s="17" t="s">
        <v>55</v>
      </c>
      <c r="M2" s="18" t="s">
        <v>56</v>
      </c>
      <c r="N2" s="17" t="s">
        <v>57</v>
      </c>
      <c r="O2" s="17" t="s">
        <v>58</v>
      </c>
      <c r="P2" s="17" t="s">
        <v>59</v>
      </c>
      <c r="Q2" s="17" t="s">
        <v>60</v>
      </c>
      <c r="R2" s="17" t="s">
        <v>61</v>
      </c>
      <c r="S2" s="17" t="s">
        <v>62</v>
      </c>
      <c r="T2" s="17" t="s">
        <v>63</v>
      </c>
      <c r="U2" s="17" t="s">
        <v>64</v>
      </c>
    </row>
    <row r="3" spans="1:21" ht="45" customHeight="1" x14ac:dyDescent="0.3">
      <c r="A3" s="20" t="str">
        <f>'M-DiaSemana'!A3</f>
        <v>id</v>
      </c>
      <c r="B3" s="21" t="str">
        <f>'M-DiaSemana'!A2</f>
        <v>Representa un identificador que hará unico cada objeto de dominio de este tipo, no se puede repetir</v>
      </c>
      <c r="C3" s="20" t="s">
        <v>65</v>
      </c>
      <c r="D3" s="20" t="s">
        <v>66</v>
      </c>
      <c r="E3" s="20" t="s">
        <v>65</v>
      </c>
      <c r="F3" s="20" t="s">
        <v>67</v>
      </c>
      <c r="G3" s="20" t="s">
        <v>67</v>
      </c>
      <c r="H3" s="20" t="s">
        <v>67</v>
      </c>
      <c r="I3" s="20" t="s">
        <v>67</v>
      </c>
      <c r="J3" s="20" t="s">
        <v>67</v>
      </c>
      <c r="K3" s="20" t="s">
        <v>67</v>
      </c>
      <c r="L3" s="20" t="s">
        <v>67</v>
      </c>
      <c r="M3" s="20" t="s">
        <v>67</v>
      </c>
      <c r="N3" s="20" t="s">
        <v>68</v>
      </c>
      <c r="O3" s="20" t="s">
        <v>67</v>
      </c>
      <c r="P3" s="20" t="s">
        <v>67</v>
      </c>
      <c r="Q3" s="20" t="s">
        <v>67</v>
      </c>
      <c r="R3" s="20" t="s">
        <v>67</v>
      </c>
      <c r="S3" s="20" t="s">
        <v>68</v>
      </c>
      <c r="T3" s="20" t="s">
        <v>69</v>
      </c>
      <c r="U3" s="20" t="s">
        <v>65</v>
      </c>
    </row>
    <row r="4" spans="1:21" ht="45" customHeight="1" x14ac:dyDescent="0.3">
      <c r="A4" s="20" t="str">
        <f>'M-DiaSemana'!B3</f>
        <v>nombre</v>
      </c>
      <c r="B4" s="21" t="str">
        <f>'M-DiaSemana'!B2</f>
        <v>Representa como se llama el dia de la semana, para los horarios</v>
      </c>
      <c r="C4" s="20" t="s">
        <v>68</v>
      </c>
      <c r="D4" s="20" t="s">
        <v>70</v>
      </c>
      <c r="E4" s="20" t="s">
        <v>65</v>
      </c>
      <c r="F4" s="20">
        <v>5</v>
      </c>
      <c r="G4" s="20">
        <v>9</v>
      </c>
      <c r="H4" s="20" t="s">
        <v>67</v>
      </c>
      <c r="I4" s="20" t="s">
        <v>67</v>
      </c>
      <c r="J4" s="20" t="s">
        <v>67</v>
      </c>
      <c r="K4" s="20" t="s">
        <v>67</v>
      </c>
      <c r="L4" s="20" t="s">
        <v>67</v>
      </c>
      <c r="M4" s="21" t="s">
        <v>71</v>
      </c>
      <c r="N4" s="20" t="s">
        <v>68</v>
      </c>
      <c r="O4" s="20" t="s">
        <v>67</v>
      </c>
      <c r="P4" s="20" t="s">
        <v>67</v>
      </c>
      <c r="Q4" s="20" t="s">
        <v>65</v>
      </c>
      <c r="R4" s="20" t="s">
        <v>65</v>
      </c>
      <c r="S4" s="20" t="s">
        <v>68</v>
      </c>
      <c r="T4" s="20" t="s">
        <v>72</v>
      </c>
      <c r="U4" s="20" t="s">
        <v>68</v>
      </c>
    </row>
    <row r="6" spans="1:21" ht="15" customHeight="1" x14ac:dyDescent="0.3">
      <c r="A6" s="22" t="s">
        <v>73</v>
      </c>
      <c r="B6" s="22" t="s">
        <v>74</v>
      </c>
      <c r="C6" s="22" t="s">
        <v>75</v>
      </c>
    </row>
    <row r="7" spans="1:21" ht="45" customHeight="1" x14ac:dyDescent="0.3">
      <c r="A7" s="23" t="str">
        <f>'M-DiaSemana'!C3</f>
        <v xml:space="preserve">Combinación única </v>
      </c>
      <c r="B7" s="24" t="str">
        <f>'M-DiaSemana'!C2</f>
        <v>Combinacion única que indica que no puede existir más un dia de la semana con el mismo nombre</v>
      </c>
      <c r="C7" s="25" t="s">
        <v>76</v>
      </c>
    </row>
  </sheetData>
  <hyperlinks>
    <hyperlink ref="A1" location="'Modelo de Dominio'!A1" display="&lt;&lt;&lt;&lt; Ir al modulo de dominio" xr:uid="{00000000-0004-0000-0200-000000000000}"/>
    <hyperlink ref="B1" location="'Objetos de Dominio'!A1" display="&lt;&lt;&lt;&lt; Ir a objetos de dominio" xr:uid="{00000000-0004-0000-0200-000001000000}"/>
    <hyperlink ref="A3" location="'M-DiaSemana'!A3" display="#'M-DiaSemana'.A3" xr:uid="{00000000-0004-0000-0200-000002000000}"/>
    <hyperlink ref="B3" location="'M-DiaSemana'!A2" display="#'M-DiaSemana'.A2" xr:uid="{00000000-0004-0000-0200-000003000000}"/>
    <hyperlink ref="A4" location="'M-DiaSemana'!A3" display="#'M-DiaSemana'.A3" xr:uid="{00000000-0004-0000-0200-000004000000}"/>
    <hyperlink ref="B4" location="'M-DiaSemana'!A2" display="#'M-DiaSemana'.A2" xr:uid="{00000000-0004-0000-0200-000005000000}"/>
    <hyperlink ref="A7" location="'M-DiaSemana'!A3" display="#'M-DiaSemana'.A3" xr:uid="{00000000-0004-0000-0200-000006000000}"/>
    <hyperlink ref="B7" location="'M-DiaSemana'!A2" display="#'M-DiaSemana'.A2" xr:uid="{00000000-0004-0000-0200-000007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0"/>
  <sheetViews>
    <sheetView zoomScale="130" zoomScaleNormal="130" workbookViewId="0">
      <selection activeCell="B1" sqref="B1"/>
    </sheetView>
  </sheetViews>
  <sheetFormatPr baseColWidth="10" defaultColWidth="10.6640625" defaultRowHeight="14.4" x14ac:dyDescent="0.3"/>
  <cols>
    <col min="1" max="1" width="27" customWidth="1"/>
    <col min="2" max="2" width="26.109375" customWidth="1"/>
    <col min="3" max="3" width="21.6640625" customWidth="1"/>
  </cols>
  <sheetData>
    <row r="1" spans="1:3" ht="14.25" customHeight="1" x14ac:dyDescent="0.3">
      <c r="A1" s="6" t="s">
        <v>1</v>
      </c>
      <c r="B1" s="6" t="s">
        <v>43</v>
      </c>
    </row>
    <row r="2" spans="1:3" ht="32.25" customHeight="1" x14ac:dyDescent="0.3">
      <c r="A2" s="26" t="s">
        <v>77</v>
      </c>
      <c r="B2" s="26" t="s">
        <v>78</v>
      </c>
      <c r="C2" s="27" t="s">
        <v>79</v>
      </c>
    </row>
    <row r="3" spans="1:3" ht="14.25" customHeight="1" x14ac:dyDescent="0.3">
      <c r="A3" s="28" t="s">
        <v>80</v>
      </c>
      <c r="B3" s="29" t="s">
        <v>76</v>
      </c>
      <c r="C3" s="30" t="s">
        <v>81</v>
      </c>
    </row>
    <row r="4" spans="1:3" ht="14.25" customHeight="1" x14ac:dyDescent="0.3">
      <c r="A4" s="31">
        <v>1</v>
      </c>
      <c r="B4" s="32" t="s">
        <v>82</v>
      </c>
      <c r="C4" s="32" t="str">
        <f t="shared" ref="C4:C11" si="0">B4</f>
        <v>Lunes</v>
      </c>
    </row>
    <row r="5" spans="1:3" ht="14.25" customHeight="1" x14ac:dyDescent="0.3">
      <c r="A5" s="31">
        <v>2</v>
      </c>
      <c r="B5" s="31" t="s">
        <v>83</v>
      </c>
      <c r="C5" s="32" t="str">
        <f t="shared" si="0"/>
        <v>Martes</v>
      </c>
    </row>
    <row r="6" spans="1:3" ht="14.25" customHeight="1" x14ac:dyDescent="0.3">
      <c r="A6" s="31">
        <v>3</v>
      </c>
      <c r="B6" s="32" t="s">
        <v>84</v>
      </c>
      <c r="C6" s="32" t="str">
        <f t="shared" si="0"/>
        <v>Miércoles</v>
      </c>
    </row>
    <row r="7" spans="1:3" ht="14.25" customHeight="1" x14ac:dyDescent="0.3">
      <c r="A7" s="31">
        <v>4</v>
      </c>
      <c r="B7" s="31" t="s">
        <v>85</v>
      </c>
      <c r="C7" s="32" t="str">
        <f t="shared" si="0"/>
        <v>Jueves</v>
      </c>
    </row>
    <row r="8" spans="1:3" ht="14.25" customHeight="1" x14ac:dyDescent="0.3">
      <c r="A8" s="31">
        <v>5</v>
      </c>
      <c r="B8" s="32" t="s">
        <v>86</v>
      </c>
      <c r="C8" s="32" t="str">
        <f t="shared" si="0"/>
        <v>Viernes</v>
      </c>
    </row>
    <row r="9" spans="1:3" ht="14.25" customHeight="1" x14ac:dyDescent="0.3">
      <c r="A9" s="31">
        <v>6</v>
      </c>
      <c r="B9" s="31" t="s">
        <v>87</v>
      </c>
      <c r="C9" s="32" t="str">
        <f t="shared" si="0"/>
        <v>Sábado</v>
      </c>
    </row>
    <row r="10" spans="1:3" ht="14.25" customHeight="1" x14ac:dyDescent="0.3">
      <c r="A10" s="31">
        <v>7</v>
      </c>
      <c r="B10" s="32" t="s">
        <v>88</v>
      </c>
      <c r="C10" s="32" t="str">
        <f t="shared" si="0"/>
        <v>Domingo</v>
      </c>
    </row>
    <row r="11" spans="1:3" ht="14.25" customHeight="1" x14ac:dyDescent="0.3">
      <c r="A11" s="31">
        <v>8</v>
      </c>
      <c r="B11" s="31" t="s">
        <v>89</v>
      </c>
      <c r="C11" s="32" t="str">
        <f t="shared" si="0"/>
        <v>Festivo</v>
      </c>
    </row>
    <row r="12" spans="1:3" ht="14.25" customHeight="1" x14ac:dyDescent="0.3">
      <c r="A12" s="33"/>
      <c r="B12" s="33"/>
    </row>
    <row r="13" spans="1:3" ht="14.25" customHeight="1" x14ac:dyDescent="0.3">
      <c r="A13" s="33"/>
      <c r="B13" s="33"/>
    </row>
    <row r="14" spans="1:3" ht="14.25" customHeight="1" x14ac:dyDescent="0.3">
      <c r="A14" s="33"/>
      <c r="B14" s="33"/>
    </row>
    <row r="15" spans="1:3" ht="14.25" customHeight="1" x14ac:dyDescent="0.3">
      <c r="A15" s="33"/>
      <c r="B15" s="33"/>
    </row>
    <row r="17" spans="1:2" ht="28.5" customHeight="1" x14ac:dyDescent="0.3">
      <c r="A17" s="34"/>
      <c r="B17" s="35" t="s">
        <v>90</v>
      </c>
    </row>
    <row r="18" spans="1:2" ht="28.5" customHeight="1" x14ac:dyDescent="0.3">
      <c r="A18" s="36"/>
      <c r="B18" s="35" t="s">
        <v>91</v>
      </c>
    </row>
    <row r="19" spans="1:2" ht="28.5" customHeight="1" x14ac:dyDescent="0.3">
      <c r="A19" s="37"/>
      <c r="B19" s="35" t="s">
        <v>92</v>
      </c>
    </row>
    <row r="20" spans="1:2" ht="28.5" customHeight="1" x14ac:dyDescent="0.3">
      <c r="A20" s="38"/>
      <c r="B20" s="35" t="s">
        <v>93</v>
      </c>
    </row>
  </sheetData>
  <hyperlinks>
    <hyperlink ref="A1" location="'Modelo de Dominio'!A1" display="&lt;&lt;&lt;&lt; Ir al modulo de dominio" xr:uid="{00000000-0004-0000-0300-000000000000}"/>
    <hyperlink ref="B1" location="'Objetos de Dominio'!A1" display="&lt;&lt;&lt;&lt; Ir a objetos de dominio" xr:uid="{00000000-0004-0000-0300-000001000000}"/>
  </hyperlink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8"/>
  <sheetViews>
    <sheetView tabSelected="1" topLeftCell="E1" zoomScaleNormal="100" workbookViewId="0">
      <selection activeCell="M5" sqref="M5"/>
    </sheetView>
  </sheetViews>
  <sheetFormatPr baseColWidth="10" defaultColWidth="8.6640625" defaultRowHeight="14.4" x14ac:dyDescent="0.3"/>
  <cols>
    <col min="1" max="1" width="26.6640625" customWidth="1"/>
    <col min="2" max="2" width="45" customWidth="1"/>
    <col min="3" max="3" width="33.332031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8"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5" customHeight="1" x14ac:dyDescent="0.3">
      <c r="A1" s="6" t="s">
        <v>1</v>
      </c>
      <c r="B1" s="6" t="s">
        <v>43</v>
      </c>
    </row>
    <row r="2" spans="1:21" s="19" customFormat="1" ht="15" customHeight="1" x14ac:dyDescent="0.3">
      <c r="A2" s="17" t="s">
        <v>44</v>
      </c>
      <c r="B2" s="18" t="s">
        <v>45</v>
      </c>
      <c r="C2" s="17" t="s">
        <v>46</v>
      </c>
      <c r="D2" s="17" t="s">
        <v>47</v>
      </c>
      <c r="E2" s="17" t="s">
        <v>48</v>
      </c>
      <c r="F2" s="17" t="s">
        <v>49</v>
      </c>
      <c r="G2" s="17" t="s">
        <v>50</v>
      </c>
      <c r="H2" s="17" t="s">
        <v>51</v>
      </c>
      <c r="I2" s="17" t="s">
        <v>52</v>
      </c>
      <c r="J2" s="17" t="s">
        <v>53</v>
      </c>
      <c r="K2" s="17" t="s">
        <v>54</v>
      </c>
      <c r="L2" s="17" t="s">
        <v>55</v>
      </c>
      <c r="M2" s="18" t="s">
        <v>56</v>
      </c>
      <c r="N2" s="17" t="s">
        <v>57</v>
      </c>
      <c r="O2" s="17" t="s">
        <v>58</v>
      </c>
      <c r="P2" s="17" t="s">
        <v>59</v>
      </c>
      <c r="Q2" s="17" t="s">
        <v>60</v>
      </c>
      <c r="R2" s="17" t="s">
        <v>61</v>
      </c>
      <c r="S2" s="17" t="s">
        <v>62</v>
      </c>
      <c r="T2" s="17" t="s">
        <v>63</v>
      </c>
      <c r="U2" s="17" t="s">
        <v>64</v>
      </c>
    </row>
    <row r="3" spans="1:21" ht="45" customHeight="1" x14ac:dyDescent="0.3">
      <c r="A3" s="20" t="str">
        <f>'M-Estado'!A3</f>
        <v>id</v>
      </c>
      <c r="B3" s="21" t="str">
        <f>'M-Estado'!A2</f>
        <v>Representa un identificador que hará unico cada objeto de dominio de este tipo, no se puede repetir</v>
      </c>
      <c r="C3" s="20" t="s">
        <v>65</v>
      </c>
      <c r="D3" s="20" t="s">
        <v>66</v>
      </c>
      <c r="E3" s="20" t="s">
        <v>65</v>
      </c>
      <c r="F3" s="20" t="s">
        <v>67</v>
      </c>
      <c r="G3" s="20" t="s">
        <v>67</v>
      </c>
      <c r="H3" s="20" t="s">
        <v>67</v>
      </c>
      <c r="I3" s="20" t="s">
        <v>67</v>
      </c>
      <c r="J3" s="20" t="s">
        <v>67</v>
      </c>
      <c r="K3" s="20" t="s">
        <v>67</v>
      </c>
      <c r="L3" s="20" t="s">
        <v>67</v>
      </c>
      <c r="M3" s="20" t="s">
        <v>67</v>
      </c>
      <c r="N3" s="20" t="s">
        <v>68</v>
      </c>
      <c r="O3" s="20" t="s">
        <v>67</v>
      </c>
      <c r="P3" s="20" t="s">
        <v>67</v>
      </c>
      <c r="Q3" s="20" t="s">
        <v>67</v>
      </c>
      <c r="R3" s="20" t="s">
        <v>67</v>
      </c>
      <c r="S3" s="20" t="s">
        <v>67</v>
      </c>
      <c r="T3" s="20" t="s">
        <v>69</v>
      </c>
      <c r="U3" s="20" t="s">
        <v>65</v>
      </c>
    </row>
    <row r="4" spans="1:21" ht="45" customHeight="1" x14ac:dyDescent="0.3">
      <c r="A4" s="20" t="str">
        <f>'M-Estado'!B3</f>
        <v>nombre</v>
      </c>
      <c r="B4" s="21" t="str">
        <f>'M-Estado'!B2</f>
        <v>Representa como se llama el estado en el que se encuentra una cita puntual</v>
      </c>
      <c r="C4" s="20" t="s">
        <v>68</v>
      </c>
      <c r="D4" s="20" t="s">
        <v>70</v>
      </c>
      <c r="E4" s="20" t="s">
        <v>65</v>
      </c>
      <c r="F4" s="20">
        <v>4</v>
      </c>
      <c r="G4" s="20">
        <v>50</v>
      </c>
      <c r="H4" s="20" t="s">
        <v>67</v>
      </c>
      <c r="I4" s="20" t="s">
        <v>67</v>
      </c>
      <c r="J4" s="20" t="s">
        <v>67</v>
      </c>
      <c r="K4" s="20" t="s">
        <v>67</v>
      </c>
      <c r="L4" s="20" t="s">
        <v>67</v>
      </c>
      <c r="M4" s="21" t="s">
        <v>422</v>
      </c>
      <c r="N4" s="20" t="s">
        <v>68</v>
      </c>
      <c r="O4" s="20" t="s">
        <v>67</v>
      </c>
      <c r="P4" s="20" t="s">
        <v>67</v>
      </c>
      <c r="Q4" s="20" t="s">
        <v>65</v>
      </c>
      <c r="R4" s="20" t="s">
        <v>65</v>
      </c>
      <c r="S4" s="20" t="s">
        <v>68</v>
      </c>
      <c r="T4" s="20" t="s">
        <v>72</v>
      </c>
      <c r="U4" s="20" t="s">
        <v>68</v>
      </c>
    </row>
    <row r="5" spans="1:21" ht="60" customHeight="1" x14ac:dyDescent="0.3">
      <c r="A5" s="20" t="str">
        <f>'M-Estado'!C3</f>
        <v>descripcion</v>
      </c>
      <c r="B5" s="21" t="str">
        <f>'M-Estado'!C2</f>
        <v>Representa el significado de que representa cada estado para la cita</v>
      </c>
      <c r="C5" s="20" t="s">
        <v>68</v>
      </c>
      <c r="D5" s="20" t="s">
        <v>70</v>
      </c>
      <c r="E5" s="20" t="s">
        <v>65</v>
      </c>
      <c r="F5" s="20">
        <v>10</v>
      </c>
      <c r="G5" s="20">
        <v>300</v>
      </c>
      <c r="H5" s="20" t="s">
        <v>67</v>
      </c>
      <c r="I5" s="20" t="s">
        <v>67</v>
      </c>
      <c r="J5" s="20" t="s">
        <v>67</v>
      </c>
      <c r="K5" s="20" t="s">
        <v>67</v>
      </c>
      <c r="L5" s="20" t="s">
        <v>67</v>
      </c>
      <c r="M5" s="21" t="s">
        <v>95</v>
      </c>
      <c r="N5" s="20" t="s">
        <v>68</v>
      </c>
      <c r="O5" s="20" t="s">
        <v>67</v>
      </c>
      <c r="P5" s="20" t="s">
        <v>67</v>
      </c>
      <c r="Q5" s="20" t="s">
        <v>65</v>
      </c>
      <c r="R5" s="20" t="s">
        <v>65</v>
      </c>
      <c r="S5" s="20" t="s">
        <v>68</v>
      </c>
      <c r="T5" s="20" t="s">
        <v>72</v>
      </c>
      <c r="U5" s="20" t="s">
        <v>68</v>
      </c>
    </row>
    <row r="7" spans="1:21" ht="15" customHeight="1" x14ac:dyDescent="0.3">
      <c r="A7" s="22" t="s">
        <v>73</v>
      </c>
      <c r="B7" s="22" t="s">
        <v>74</v>
      </c>
      <c r="C7" s="22" t="s">
        <v>75</v>
      </c>
    </row>
    <row r="8" spans="1:21" ht="45" customHeight="1" x14ac:dyDescent="0.3">
      <c r="A8" s="23" t="str">
        <f>'M-Estado'!D3</f>
        <v xml:space="preserve">Combinación única </v>
      </c>
      <c r="B8" s="24" t="str">
        <f>'M-Estado'!D2</f>
        <v>Combinacion única que indica que no puede existir más un dia de la semana con el mismo nombre</v>
      </c>
      <c r="C8" s="25" t="s">
        <v>76</v>
      </c>
    </row>
  </sheetData>
  <hyperlinks>
    <hyperlink ref="A1" location="'Modelo de Dominio'!A1" display="&lt;&lt;&lt;&lt; Ir al modulo de dominio" xr:uid="{00000000-0004-0000-0400-000000000000}"/>
    <hyperlink ref="B1" location="'Objetos de Dominio'!A1" display="&lt;&lt;&lt;&lt; Ir a objetos de dominio" xr:uid="{00000000-0004-0000-0400-000001000000}"/>
    <hyperlink ref="A3" location="'M-Estado'!A3" display="#'M-Estado'.A3" xr:uid="{00000000-0004-0000-0400-000002000000}"/>
    <hyperlink ref="B3" location="'M-Estado'!A2" display="#'M-Estado'.A2" xr:uid="{00000000-0004-0000-0400-000003000000}"/>
    <hyperlink ref="A4" location="'M-Estado'!A3" display="#'M-Estado'.A3" xr:uid="{00000000-0004-0000-0400-000004000000}"/>
    <hyperlink ref="B4" location="'M-Estado'!A2" display="#'M-Estado'.A2" xr:uid="{00000000-0004-0000-0400-000005000000}"/>
    <hyperlink ref="A5" location="'M-Estado'!A3" display="#'M-Estado'.A3" xr:uid="{00000000-0004-0000-0400-000006000000}"/>
    <hyperlink ref="B5" location="'M-Estado'!A2" display="#'M-Estado'.A2" xr:uid="{00000000-0004-0000-0400-000007000000}"/>
    <hyperlink ref="A8" location="'M-Estado'!A3" display="#'M-Estado'.A3" xr:uid="{00000000-0004-0000-0400-000008000000}"/>
    <hyperlink ref="B8" location="'M-Estado'!A2" display="#'M-Estado'.A2" xr:uid="{00000000-0004-0000-0400-000009000000}"/>
  </hyperlink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20"/>
  <sheetViews>
    <sheetView zoomScale="130" zoomScaleNormal="130" workbookViewId="0">
      <selection activeCell="A3" sqref="A3"/>
    </sheetView>
  </sheetViews>
  <sheetFormatPr baseColWidth="10" defaultColWidth="10.6640625" defaultRowHeight="14.4" x14ac:dyDescent="0.3"/>
  <cols>
    <col min="1" max="1" width="27" customWidth="1"/>
    <col min="2" max="2" width="26.109375" customWidth="1"/>
    <col min="3" max="3" width="49.109375" customWidth="1"/>
    <col min="4" max="4" width="23.33203125" customWidth="1"/>
  </cols>
  <sheetData>
    <row r="1" spans="1:4" ht="14.25" customHeight="1" x14ac:dyDescent="0.3">
      <c r="A1" s="6" t="s">
        <v>1</v>
      </c>
      <c r="B1" s="6" t="s">
        <v>43</v>
      </c>
      <c r="C1" s="39"/>
    </row>
    <row r="2" spans="1:4" ht="39" customHeight="1" x14ac:dyDescent="0.3">
      <c r="A2" s="26" t="s">
        <v>77</v>
      </c>
      <c r="B2" s="26" t="s">
        <v>96</v>
      </c>
      <c r="C2" s="26" t="s">
        <v>97</v>
      </c>
      <c r="D2" s="27" t="s">
        <v>79</v>
      </c>
    </row>
    <row r="3" spans="1:4" ht="14.25" customHeight="1" x14ac:dyDescent="0.3">
      <c r="A3" s="28" t="s">
        <v>80</v>
      </c>
      <c r="B3" s="29" t="s">
        <v>76</v>
      </c>
      <c r="C3" s="29" t="s">
        <v>98</v>
      </c>
      <c r="D3" s="30" t="s">
        <v>81</v>
      </c>
    </row>
    <row r="4" spans="1:4" ht="28.5" customHeight="1" x14ac:dyDescent="0.3">
      <c r="A4" s="31">
        <v>1</v>
      </c>
      <c r="B4" s="32" t="s">
        <v>99</v>
      </c>
      <c r="C4" s="40" t="s">
        <v>100</v>
      </c>
      <c r="D4" s="32" t="str">
        <f t="shared" ref="D4:D11" si="0">B4</f>
        <v>Agendada</v>
      </c>
    </row>
    <row r="5" spans="1:4" ht="28.5" customHeight="1" x14ac:dyDescent="0.3">
      <c r="A5" s="31">
        <v>2</v>
      </c>
      <c r="B5" s="31" t="s">
        <v>101</v>
      </c>
      <c r="C5" s="41" t="s">
        <v>102</v>
      </c>
      <c r="D5" s="32" t="str">
        <f t="shared" si="0"/>
        <v>Finalizada</v>
      </c>
    </row>
    <row r="6" spans="1:4" ht="28.5" customHeight="1" x14ac:dyDescent="0.3">
      <c r="A6" s="31">
        <v>3</v>
      </c>
      <c r="B6" s="31" t="s">
        <v>103</v>
      </c>
      <c r="C6" s="41" t="s">
        <v>104</v>
      </c>
      <c r="D6" s="32" t="str">
        <f t="shared" si="0"/>
        <v>Cancelada por el cliente</v>
      </c>
    </row>
    <row r="7" spans="1:4" ht="28.5" customHeight="1" x14ac:dyDescent="0.3">
      <c r="A7" s="31">
        <v>4</v>
      </c>
      <c r="B7" s="31" t="s">
        <v>105</v>
      </c>
      <c r="C7" s="41" t="s">
        <v>106</v>
      </c>
      <c r="D7" s="32" t="str">
        <f t="shared" si="0"/>
        <v>Cancelada por el barbero</v>
      </c>
    </row>
    <row r="8" spans="1:4" ht="42.75" customHeight="1" x14ac:dyDescent="0.3">
      <c r="A8" s="31">
        <v>5</v>
      </c>
      <c r="B8" s="31" t="s">
        <v>107</v>
      </c>
      <c r="C8" s="41" t="s">
        <v>108</v>
      </c>
      <c r="D8" s="32" t="str">
        <f t="shared" si="0"/>
        <v>El cliente se demoro</v>
      </c>
    </row>
    <row r="9" spans="1:4" ht="42.75" customHeight="1" x14ac:dyDescent="0.3">
      <c r="A9" s="31">
        <v>6</v>
      </c>
      <c r="B9" s="31" t="s">
        <v>109</v>
      </c>
      <c r="C9" s="41" t="s">
        <v>110</v>
      </c>
      <c r="D9" s="32" t="str">
        <f t="shared" si="0"/>
        <v>El barbero se demoro</v>
      </c>
    </row>
    <row r="10" spans="1:4" ht="48" customHeight="1" x14ac:dyDescent="0.3">
      <c r="A10" s="31">
        <v>7</v>
      </c>
      <c r="B10" s="31" t="s">
        <v>111</v>
      </c>
      <c r="C10" s="41" t="s">
        <v>112</v>
      </c>
      <c r="D10" s="32" t="str">
        <f t="shared" si="0"/>
        <v>Inasistencia del cliente</v>
      </c>
    </row>
    <row r="11" spans="1:4" ht="63.75" customHeight="1" x14ac:dyDescent="0.3">
      <c r="A11" s="31">
        <v>8</v>
      </c>
      <c r="B11" s="31" t="s">
        <v>113</v>
      </c>
      <c r="C11" s="14" t="s">
        <v>114</v>
      </c>
      <c r="D11" s="32" t="str">
        <f t="shared" si="0"/>
        <v>Inasistencia del barbero</v>
      </c>
    </row>
    <row r="13" spans="1:4" ht="15" customHeight="1" x14ac:dyDescent="0.3">
      <c r="C13" s="42"/>
    </row>
    <row r="17" spans="1:2" ht="28.5" customHeight="1" x14ac:dyDescent="0.3">
      <c r="A17" s="34"/>
      <c r="B17" s="35" t="s">
        <v>90</v>
      </c>
    </row>
    <row r="18" spans="1:2" ht="28.5" customHeight="1" x14ac:dyDescent="0.3">
      <c r="A18" s="36"/>
      <c r="B18" s="35" t="s">
        <v>91</v>
      </c>
    </row>
    <row r="19" spans="1:2" ht="28.5" customHeight="1" x14ac:dyDescent="0.3">
      <c r="A19" s="37"/>
      <c r="B19" s="35" t="s">
        <v>92</v>
      </c>
    </row>
    <row r="20" spans="1:2" ht="28.5" customHeight="1" x14ac:dyDescent="0.3">
      <c r="A20" s="38"/>
      <c r="B20" s="35" t="s">
        <v>93</v>
      </c>
    </row>
  </sheetData>
  <hyperlinks>
    <hyperlink ref="A1" location="'Modelo de Dominio'!A1" display="&lt;&lt;&lt;&lt; Ir al modulo de dominio" xr:uid="{00000000-0004-0000-0500-000000000000}"/>
    <hyperlink ref="B1" location="'Objetos de Dominio'!A1" display="&lt;&lt;&lt;&lt; Ir a objetos de dominio" xr:uid="{00000000-0004-0000-0500-000001000000}"/>
  </hyperlink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19"/>
  <sheetViews>
    <sheetView topLeftCell="B1" zoomScaleNormal="100" workbookViewId="0">
      <selection activeCell="B1" sqref="B1"/>
    </sheetView>
  </sheetViews>
  <sheetFormatPr baseColWidth="10" defaultColWidth="8.6640625" defaultRowHeight="14.4" x14ac:dyDescent="0.3"/>
  <cols>
    <col min="1" max="1" width="26.6640625" customWidth="1"/>
    <col min="2" max="2" width="45" customWidth="1"/>
    <col min="3" max="3" width="33.332031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8"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5" customHeight="1" x14ac:dyDescent="0.3">
      <c r="A1" s="6" t="s">
        <v>1</v>
      </c>
      <c r="B1" s="6" t="s">
        <v>43</v>
      </c>
    </row>
    <row r="2" spans="1:21" ht="15" customHeight="1" x14ac:dyDescent="0.3">
      <c r="A2" s="43" t="s">
        <v>44</v>
      </c>
      <c r="B2" s="43" t="s">
        <v>45</v>
      </c>
      <c r="C2" s="43" t="s">
        <v>46</v>
      </c>
      <c r="D2" s="43" t="s">
        <v>47</v>
      </c>
      <c r="E2" s="43" t="s">
        <v>48</v>
      </c>
      <c r="F2" s="43" t="s">
        <v>49</v>
      </c>
      <c r="G2" s="43" t="s">
        <v>50</v>
      </c>
      <c r="H2" s="43" t="s">
        <v>51</v>
      </c>
      <c r="I2" s="43" t="s">
        <v>52</v>
      </c>
      <c r="J2" s="43" t="s">
        <v>53</v>
      </c>
      <c r="K2" s="43" t="s">
        <v>54</v>
      </c>
      <c r="L2" s="43" t="s">
        <v>55</v>
      </c>
      <c r="M2" s="43" t="s">
        <v>56</v>
      </c>
      <c r="N2" s="43" t="s">
        <v>57</v>
      </c>
      <c r="O2" s="43" t="s">
        <v>58</v>
      </c>
      <c r="P2" s="43" t="s">
        <v>59</v>
      </c>
      <c r="Q2" s="43" t="s">
        <v>60</v>
      </c>
      <c r="R2" s="43" t="s">
        <v>61</v>
      </c>
      <c r="S2" s="43" t="s">
        <v>62</v>
      </c>
      <c r="T2" s="43" t="s">
        <v>63</v>
      </c>
      <c r="U2" s="43" t="s">
        <v>64</v>
      </c>
    </row>
    <row r="3" spans="1:21" ht="45" customHeight="1" x14ac:dyDescent="0.3">
      <c r="A3" s="20" t="str">
        <f>'M-Servicio'!A3</f>
        <v>id</v>
      </c>
      <c r="B3" s="21" t="str">
        <f>'M-Servicio'!A2</f>
        <v>Representa un identificador que hará unico cada objeto de dominio de este tipo, no se puede repetir</v>
      </c>
      <c r="C3" s="20" t="s">
        <v>65</v>
      </c>
      <c r="D3" s="20" t="s">
        <v>66</v>
      </c>
      <c r="E3" s="20" t="s">
        <v>65</v>
      </c>
      <c r="F3" s="20" t="s">
        <v>67</v>
      </c>
      <c r="G3" s="20" t="s">
        <v>67</v>
      </c>
      <c r="H3" s="20" t="s">
        <v>67</v>
      </c>
      <c r="I3" s="20" t="s">
        <v>67</v>
      </c>
      <c r="J3" s="20" t="s">
        <v>67</v>
      </c>
      <c r="K3" s="20" t="s">
        <v>67</v>
      </c>
      <c r="L3" s="20" t="s">
        <v>67</v>
      </c>
      <c r="M3" s="20" t="s">
        <v>67</v>
      </c>
      <c r="N3" s="20" t="s">
        <v>68</v>
      </c>
      <c r="O3" s="20" t="s">
        <v>67</v>
      </c>
      <c r="P3" s="20" t="s">
        <v>67</v>
      </c>
      <c r="Q3" s="20" t="s">
        <v>67</v>
      </c>
      <c r="R3" s="20" t="s">
        <v>67</v>
      </c>
      <c r="S3" s="20" t="s">
        <v>68</v>
      </c>
      <c r="T3" s="20" t="s">
        <v>69</v>
      </c>
      <c r="U3" s="20" t="s">
        <v>65</v>
      </c>
    </row>
    <row r="4" spans="1:21" ht="45" customHeight="1" x14ac:dyDescent="0.3">
      <c r="A4" s="20" t="str">
        <f>'M-Servicio'!B3</f>
        <v>nombre</v>
      </c>
      <c r="B4" s="21" t="str">
        <f>'M-Servicio'!B2</f>
        <v>Representa el nombre del servicio que va estar en la barberia, para que el barbero elija los servicios que el sabe hacer</v>
      </c>
      <c r="C4" s="20" t="s">
        <v>68</v>
      </c>
      <c r="D4" s="20" t="s">
        <v>70</v>
      </c>
      <c r="E4" s="20" t="s">
        <v>65</v>
      </c>
      <c r="F4" s="20">
        <v>3</v>
      </c>
      <c r="G4" s="20">
        <v>50</v>
      </c>
      <c r="H4" s="20" t="s">
        <v>67</v>
      </c>
      <c r="I4" s="20" t="s">
        <v>67</v>
      </c>
      <c r="J4" s="20" t="s">
        <v>67</v>
      </c>
      <c r="K4" s="20" t="s">
        <v>67</v>
      </c>
      <c r="L4" s="20" t="s">
        <v>67</v>
      </c>
      <c r="M4" s="21" t="s">
        <v>94</v>
      </c>
      <c r="N4" s="20" t="s">
        <v>68</v>
      </c>
      <c r="O4" s="20" t="s">
        <v>67</v>
      </c>
      <c r="P4" s="20" t="s">
        <v>67</v>
      </c>
      <c r="Q4" s="20" t="s">
        <v>65</v>
      </c>
      <c r="R4" s="20" t="s">
        <v>65</v>
      </c>
      <c r="S4" s="20" t="s">
        <v>68</v>
      </c>
      <c r="T4" s="20" t="s">
        <v>72</v>
      </c>
      <c r="U4" s="20" t="s">
        <v>68</v>
      </c>
    </row>
    <row r="5" spans="1:21" ht="45" customHeight="1" x14ac:dyDescent="0.3">
      <c r="A5" s="20" t="str">
        <f>'M-Servicio'!C3</f>
        <v>descripcion</v>
      </c>
      <c r="B5" s="21" t="str">
        <f>'M-Servicio'!C2</f>
        <v>Representa una descripcion de que va a hacer cada servicio en la barberia, para que el barbero sepa que hace el servicio</v>
      </c>
      <c r="C5" s="20" t="s">
        <v>68</v>
      </c>
      <c r="D5" s="20" t="s">
        <v>70</v>
      </c>
      <c r="E5" s="20" t="s">
        <v>65</v>
      </c>
      <c r="F5" s="20">
        <v>10</v>
      </c>
      <c r="G5" s="20">
        <v>200</v>
      </c>
      <c r="H5" s="20" t="s">
        <v>67</v>
      </c>
      <c r="I5" s="20" t="s">
        <v>67</v>
      </c>
      <c r="J5" s="20" t="s">
        <v>67</v>
      </c>
      <c r="K5" s="20" t="s">
        <v>67</v>
      </c>
      <c r="L5" s="20" t="s">
        <v>67</v>
      </c>
      <c r="M5" s="21" t="s">
        <v>95</v>
      </c>
      <c r="N5" s="20" t="s">
        <v>68</v>
      </c>
      <c r="O5" s="20" t="s">
        <v>67</v>
      </c>
      <c r="P5" s="20" t="s">
        <v>67</v>
      </c>
      <c r="Q5" s="20" t="s">
        <v>65</v>
      </c>
      <c r="R5" s="20" t="s">
        <v>65</v>
      </c>
      <c r="S5" s="20" t="s">
        <v>68</v>
      </c>
      <c r="T5" s="20" t="s">
        <v>72</v>
      </c>
      <c r="U5" s="20" t="s">
        <v>68</v>
      </c>
    </row>
    <row r="6" spans="1:21" ht="30" customHeight="1" x14ac:dyDescent="0.3">
      <c r="A6" s="20" t="str">
        <f>'M-Servicio'!D3</f>
        <v>precio</v>
      </c>
      <c r="B6" s="21" t="str">
        <f>'M-Servicio'!D2</f>
        <v>Representa cuanto va a valer el servicio en pesos colombianos</v>
      </c>
      <c r="C6" s="20" t="s">
        <v>68</v>
      </c>
      <c r="D6" s="20" t="s">
        <v>115</v>
      </c>
      <c r="E6" s="20" t="s">
        <v>65</v>
      </c>
      <c r="F6" s="20" t="s">
        <v>67</v>
      </c>
      <c r="G6" s="20" t="s">
        <v>67</v>
      </c>
      <c r="H6" s="20" t="s">
        <v>67</v>
      </c>
      <c r="I6" s="20" t="s">
        <v>67</v>
      </c>
      <c r="J6" s="20">
        <v>0</v>
      </c>
      <c r="K6" s="44">
        <v>2000000</v>
      </c>
      <c r="L6" s="20" t="s">
        <v>67</v>
      </c>
      <c r="M6" s="20" t="s">
        <v>67</v>
      </c>
      <c r="N6" s="20" t="s">
        <v>68</v>
      </c>
      <c r="O6" s="20" t="s">
        <v>67</v>
      </c>
      <c r="P6" s="20" t="s">
        <v>67</v>
      </c>
      <c r="Q6" s="20" t="s">
        <v>67</v>
      </c>
      <c r="R6" s="20" t="s">
        <v>67</v>
      </c>
      <c r="S6" s="20" t="s">
        <v>68</v>
      </c>
      <c r="T6" s="20">
        <v>0</v>
      </c>
      <c r="U6" s="20" t="s">
        <v>68</v>
      </c>
    </row>
    <row r="7" spans="1:21" ht="30" customHeight="1" x14ac:dyDescent="0.3">
      <c r="A7" s="20" t="str">
        <f>'M-Servicio'!E3</f>
        <v>disponible</v>
      </c>
      <c r="B7" s="21" t="str">
        <f>'M-Servicio'!E2</f>
        <v>Representa si el servicio sigue o no disponible en la barberia</v>
      </c>
      <c r="C7" s="20" t="s">
        <v>68</v>
      </c>
      <c r="D7" s="20" t="s">
        <v>116</v>
      </c>
      <c r="E7" s="20" t="s">
        <v>68</v>
      </c>
      <c r="F7" s="20" t="s">
        <v>67</v>
      </c>
      <c r="G7" s="20" t="s">
        <v>67</v>
      </c>
      <c r="H7" s="20" t="s">
        <v>67</v>
      </c>
      <c r="I7" s="20" t="s">
        <v>67</v>
      </c>
      <c r="J7" s="20" t="s">
        <v>67</v>
      </c>
      <c r="K7" s="20" t="s">
        <v>67</v>
      </c>
      <c r="L7" s="20" t="s">
        <v>67</v>
      </c>
      <c r="M7" s="20" t="s">
        <v>67</v>
      </c>
      <c r="N7" s="20" t="s">
        <v>68</v>
      </c>
      <c r="O7" s="20" t="s">
        <v>67</v>
      </c>
      <c r="P7" s="20" t="s">
        <v>67</v>
      </c>
      <c r="Q7" s="20" t="s">
        <v>67</v>
      </c>
      <c r="R7" s="20" t="s">
        <v>67</v>
      </c>
      <c r="S7" s="20" t="s">
        <v>68</v>
      </c>
      <c r="T7" s="20" t="s">
        <v>65</v>
      </c>
      <c r="U7" s="20" t="s">
        <v>68</v>
      </c>
    </row>
    <row r="8" spans="1:21" ht="15" customHeight="1" x14ac:dyDescent="0.3">
      <c r="A8" s="7"/>
      <c r="B8" s="7"/>
      <c r="C8" s="7"/>
      <c r="D8" s="7"/>
      <c r="E8" s="7"/>
      <c r="F8" s="7"/>
      <c r="G8" s="7"/>
      <c r="H8" s="7"/>
      <c r="I8" s="7"/>
      <c r="J8" s="7"/>
      <c r="K8" s="7"/>
      <c r="L8" s="7"/>
      <c r="M8" s="7"/>
      <c r="N8" s="7"/>
      <c r="O8" s="7"/>
      <c r="P8" s="7"/>
      <c r="Q8" s="7"/>
      <c r="R8" s="7"/>
      <c r="S8" s="7"/>
      <c r="T8" s="7"/>
      <c r="U8" s="7"/>
    </row>
    <row r="9" spans="1:21" ht="15" customHeight="1" x14ac:dyDescent="0.3">
      <c r="A9" s="22" t="s">
        <v>73</v>
      </c>
      <c r="B9" s="22" t="s">
        <v>74</v>
      </c>
      <c r="C9" s="22" t="s">
        <v>75</v>
      </c>
      <c r="D9" s="45"/>
      <c r="E9" s="45"/>
      <c r="F9" s="45"/>
      <c r="G9" s="45"/>
      <c r="H9" s="45"/>
      <c r="I9" s="45"/>
      <c r="J9" s="45"/>
      <c r="K9" s="45"/>
      <c r="L9" s="45"/>
      <c r="M9" s="45"/>
      <c r="N9" s="45"/>
      <c r="O9" s="45"/>
      <c r="P9" s="45"/>
      <c r="Q9" s="45"/>
      <c r="R9" s="45"/>
      <c r="S9" s="45"/>
      <c r="T9" s="45"/>
      <c r="U9" s="45"/>
    </row>
    <row r="10" spans="1:21" ht="30" customHeight="1" x14ac:dyDescent="0.3">
      <c r="A10" s="23" t="str">
        <f>'M-Servicio'!F3</f>
        <v xml:space="preserve">Combinacion única </v>
      </c>
      <c r="B10" s="24" t="str">
        <f>'M-Servicio'!F2</f>
        <v>Combinacion única que indica que no puede existir más de un servicio con el mismo nombre</v>
      </c>
      <c r="C10" s="25" t="str">
        <f>A4</f>
        <v>nombre</v>
      </c>
      <c r="D10" s="7"/>
      <c r="E10" s="7"/>
      <c r="F10" s="7"/>
      <c r="G10" s="7"/>
      <c r="H10" s="7"/>
      <c r="I10" s="7"/>
      <c r="J10" s="7"/>
      <c r="K10" s="7"/>
      <c r="L10" s="7"/>
      <c r="M10" s="7"/>
      <c r="N10" s="7"/>
      <c r="O10" s="7"/>
      <c r="P10" s="7"/>
      <c r="Q10" s="7"/>
      <c r="R10" s="7"/>
      <c r="S10" s="7"/>
      <c r="T10" s="7"/>
      <c r="U10" s="7"/>
    </row>
    <row r="11" spans="1:21" ht="15" customHeight="1" x14ac:dyDescent="0.3">
      <c r="A11" s="46"/>
      <c r="B11" s="46"/>
      <c r="C11" s="46"/>
      <c r="D11" s="46"/>
      <c r="E11" s="46"/>
      <c r="F11" s="46"/>
      <c r="G11" s="46"/>
      <c r="H11" s="46"/>
      <c r="I11" s="46"/>
      <c r="J11" s="46"/>
      <c r="K11" s="46"/>
      <c r="L11" s="46"/>
      <c r="M11" s="46"/>
      <c r="N11" s="46"/>
      <c r="O11" s="46"/>
      <c r="P11" s="46"/>
      <c r="Q11" s="46"/>
      <c r="R11" s="46"/>
      <c r="S11" s="46"/>
      <c r="T11" s="46"/>
      <c r="U11" s="46"/>
    </row>
    <row r="12" spans="1:21" ht="15" customHeight="1" x14ac:dyDescent="0.3">
      <c r="A12" s="39"/>
      <c r="B12" s="39"/>
    </row>
    <row r="13" spans="1:21" ht="15" customHeight="1" x14ac:dyDescent="0.3">
      <c r="A13" s="39"/>
      <c r="B13" s="39"/>
    </row>
    <row r="14" spans="1:21" ht="15" customHeight="1" x14ac:dyDescent="0.3">
      <c r="A14" s="39"/>
      <c r="B14" s="39"/>
    </row>
    <row r="15" spans="1:21" ht="15" customHeight="1" x14ac:dyDescent="0.3">
      <c r="A15" s="39"/>
      <c r="B15" s="39"/>
    </row>
    <row r="16" spans="1:21" ht="15" customHeight="1" x14ac:dyDescent="0.3">
      <c r="A16" s="39"/>
      <c r="B16" s="39"/>
    </row>
    <row r="18" spans="1:3" ht="15" customHeight="1" x14ac:dyDescent="0.3">
      <c r="A18" s="47"/>
      <c r="B18" s="47"/>
      <c r="C18" s="47"/>
    </row>
    <row r="19" spans="1:3" ht="15" customHeight="1" x14ac:dyDescent="0.3">
      <c r="A19" s="39"/>
      <c r="B19" s="39"/>
    </row>
  </sheetData>
  <hyperlinks>
    <hyperlink ref="A1" location="'Modelo de Dominio'!A1" display="&lt;&lt;&lt;&lt; Ir al modulo de dominio" xr:uid="{00000000-0004-0000-0600-000000000000}"/>
    <hyperlink ref="B1" location="'Objetos de Dominio'!A1" display="&lt;&lt;&lt;&lt; Ir a objetos de dominio" xr:uid="{00000000-0004-0000-0600-000001000000}"/>
  </hyperlink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9"/>
  <sheetViews>
    <sheetView zoomScale="130" zoomScaleNormal="130" workbookViewId="0">
      <selection activeCell="B1" sqref="B1"/>
    </sheetView>
  </sheetViews>
  <sheetFormatPr baseColWidth="10" defaultColWidth="10.6640625" defaultRowHeight="14.4" x14ac:dyDescent="0.3"/>
  <cols>
    <col min="1" max="1" width="27" customWidth="1"/>
    <col min="2" max="2" width="26.109375" customWidth="1"/>
    <col min="3" max="3" width="20.88671875" customWidth="1"/>
    <col min="4" max="4" width="22.88671875" customWidth="1"/>
    <col min="6" max="6" width="18.33203125" customWidth="1"/>
  </cols>
  <sheetData>
    <row r="1" spans="1:6" ht="14.25" customHeight="1" x14ac:dyDescent="0.3">
      <c r="A1" s="6" t="s">
        <v>1</v>
      </c>
      <c r="B1" s="6" t="s">
        <v>43</v>
      </c>
      <c r="C1" s="48"/>
      <c r="D1" s="49"/>
      <c r="E1" s="49"/>
      <c r="F1" s="33"/>
    </row>
    <row r="2" spans="1:6" ht="42.75" customHeight="1" x14ac:dyDescent="0.3">
      <c r="A2" s="50" t="s">
        <v>77</v>
      </c>
      <c r="B2" s="50" t="s">
        <v>117</v>
      </c>
      <c r="C2" s="50" t="s">
        <v>118</v>
      </c>
      <c r="D2" s="50" t="s">
        <v>119</v>
      </c>
      <c r="E2" s="50" t="s">
        <v>120</v>
      </c>
      <c r="F2" s="51" t="s">
        <v>121</v>
      </c>
    </row>
    <row r="3" spans="1:6" ht="14.25" customHeight="1" x14ac:dyDescent="0.3">
      <c r="A3" s="52" t="s">
        <v>80</v>
      </c>
      <c r="B3" s="53" t="s">
        <v>76</v>
      </c>
      <c r="C3" s="53" t="s">
        <v>98</v>
      </c>
      <c r="D3" s="54" t="s">
        <v>122</v>
      </c>
      <c r="E3" s="55" t="s">
        <v>123</v>
      </c>
      <c r="F3" s="56" t="s">
        <v>124</v>
      </c>
    </row>
    <row r="4" spans="1:6" ht="57" customHeight="1" x14ac:dyDescent="0.3">
      <c r="A4" s="57">
        <v>1</v>
      </c>
      <c r="B4" s="57" t="s">
        <v>125</v>
      </c>
      <c r="C4" s="58" t="s">
        <v>126</v>
      </c>
      <c r="D4" s="59">
        <v>22000</v>
      </c>
      <c r="E4" s="59" t="s">
        <v>127</v>
      </c>
      <c r="F4" s="31" t="str">
        <f>B4</f>
        <v>Motilada</v>
      </c>
    </row>
    <row r="5" spans="1:6" ht="57" customHeight="1" x14ac:dyDescent="0.3">
      <c r="A5" s="57">
        <v>2</v>
      </c>
      <c r="B5" s="57" t="s">
        <v>128</v>
      </c>
      <c r="C5" s="58" t="s">
        <v>129</v>
      </c>
      <c r="D5" s="59">
        <v>12000</v>
      </c>
      <c r="E5" s="59" t="s">
        <v>127</v>
      </c>
      <c r="F5" s="31" t="str">
        <f>B5</f>
        <v>Corte de barba</v>
      </c>
    </row>
    <row r="6" spans="1:6" ht="57" customHeight="1" x14ac:dyDescent="0.3">
      <c r="A6" s="57">
        <v>3</v>
      </c>
      <c r="B6" s="57" t="s">
        <v>130</v>
      </c>
      <c r="C6" s="58" t="s">
        <v>131</v>
      </c>
      <c r="D6" s="59">
        <v>15000</v>
      </c>
      <c r="E6" s="59" t="s">
        <v>127</v>
      </c>
      <c r="F6" s="31" t="str">
        <f>B6</f>
        <v>Perfilada de barba</v>
      </c>
    </row>
    <row r="7" spans="1:6" ht="57" customHeight="1" x14ac:dyDescent="0.3">
      <c r="A7" s="57">
        <v>4</v>
      </c>
      <c r="B7" s="58" t="s">
        <v>132</v>
      </c>
      <c r="C7" s="58" t="s">
        <v>133</v>
      </c>
      <c r="D7" s="59">
        <v>35000</v>
      </c>
      <c r="E7" s="59" t="s">
        <v>127</v>
      </c>
      <c r="F7" s="41" t="str">
        <f>B7</f>
        <v>Arreglo completo de barba con toalla caliente</v>
      </c>
    </row>
    <row r="13" spans="1:6" ht="28.5" customHeight="1" x14ac:dyDescent="0.3">
      <c r="A13" s="34"/>
      <c r="B13" s="35" t="s">
        <v>90</v>
      </c>
    </row>
    <row r="14" spans="1:6" ht="28.5" customHeight="1" x14ac:dyDescent="0.3">
      <c r="A14" s="36"/>
      <c r="B14" s="35" t="s">
        <v>91</v>
      </c>
    </row>
    <row r="15" spans="1:6" ht="42.75" customHeight="1" x14ac:dyDescent="0.3">
      <c r="A15" s="60"/>
      <c r="B15" s="35" t="s">
        <v>134</v>
      </c>
    </row>
    <row r="16" spans="1:6" ht="28.5" customHeight="1" x14ac:dyDescent="0.3">
      <c r="A16" s="61"/>
      <c r="B16" s="35" t="s">
        <v>92</v>
      </c>
    </row>
    <row r="17" spans="1:2" ht="28.5" customHeight="1" x14ac:dyDescent="0.3">
      <c r="A17" s="62"/>
      <c r="B17" s="35" t="s">
        <v>135</v>
      </c>
    </row>
    <row r="18" spans="1:2" ht="28.5" customHeight="1" x14ac:dyDescent="0.3">
      <c r="A18" s="63"/>
      <c r="B18" s="35" t="s">
        <v>136</v>
      </c>
    </row>
    <row r="19" spans="1:2" ht="28.5" customHeight="1" x14ac:dyDescent="0.3">
      <c r="A19" s="64"/>
      <c r="B19" s="35" t="s">
        <v>93</v>
      </c>
    </row>
  </sheetData>
  <hyperlinks>
    <hyperlink ref="A1" location="'Modelo de Dominio'!A1" display="&lt;&lt;&lt;&lt; Ir al modulo de dominio" xr:uid="{00000000-0004-0000-0700-000000000000}"/>
    <hyperlink ref="B1" location="'Objetos de Dominio'!A1" display="&lt;&lt;&lt;&lt; Ir a objetos de dominio" xr:uid="{00000000-0004-0000-0700-000001000000}"/>
  </hyperlink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19"/>
  <sheetViews>
    <sheetView topLeftCell="A7" zoomScaleNormal="100" workbookViewId="0">
      <selection activeCell="B1" sqref="B1"/>
    </sheetView>
  </sheetViews>
  <sheetFormatPr baseColWidth="10" defaultColWidth="8.6640625" defaultRowHeight="14.4" x14ac:dyDescent="0.3"/>
  <cols>
    <col min="1" max="1" width="57.6640625" customWidth="1"/>
    <col min="2" max="2" width="60.33203125" customWidth="1"/>
    <col min="3" max="3" width="33.332031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8"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5" ht="15" customHeight="1" x14ac:dyDescent="0.3">
      <c r="A1" s="6" t="s">
        <v>1</v>
      </c>
      <c r="B1" s="6" t="s">
        <v>43</v>
      </c>
    </row>
    <row r="2" spans="1:25" ht="15" customHeight="1" x14ac:dyDescent="0.3">
      <c r="A2" s="43" t="s">
        <v>44</v>
      </c>
      <c r="B2" s="43" t="s">
        <v>45</v>
      </c>
      <c r="C2" s="43" t="s">
        <v>46</v>
      </c>
      <c r="D2" s="43" t="s">
        <v>47</v>
      </c>
      <c r="E2" s="43" t="s">
        <v>48</v>
      </c>
      <c r="F2" s="43" t="s">
        <v>49</v>
      </c>
      <c r="G2" s="43" t="s">
        <v>50</v>
      </c>
      <c r="H2" s="43" t="s">
        <v>51</v>
      </c>
      <c r="I2" s="43" t="s">
        <v>52</v>
      </c>
      <c r="J2" s="43" t="s">
        <v>53</v>
      </c>
      <c r="K2" s="43" t="s">
        <v>54</v>
      </c>
      <c r="L2" s="43" t="s">
        <v>55</v>
      </c>
      <c r="M2" s="43" t="s">
        <v>56</v>
      </c>
      <c r="N2" s="43" t="s">
        <v>57</v>
      </c>
      <c r="O2" s="43" t="s">
        <v>58</v>
      </c>
      <c r="P2" s="43" t="s">
        <v>59</v>
      </c>
      <c r="Q2" s="43" t="s">
        <v>60</v>
      </c>
      <c r="R2" s="43" t="s">
        <v>61</v>
      </c>
      <c r="S2" s="43" t="s">
        <v>62</v>
      </c>
      <c r="T2" s="43" t="s">
        <v>63</v>
      </c>
      <c r="U2" s="43" t="s">
        <v>64</v>
      </c>
    </row>
    <row r="3" spans="1:25" ht="45" customHeight="1" x14ac:dyDescent="0.3">
      <c r="A3" s="20" t="str">
        <f>'M-Regla'!A3</f>
        <v>id</v>
      </c>
      <c r="B3" s="21" t="str">
        <f>'M-Regla'!A2</f>
        <v>Representa un identificador que hará unico cada objeto de dominio de este tipo, no se puede repetir</v>
      </c>
      <c r="C3" s="20" t="s">
        <v>65</v>
      </c>
      <c r="D3" s="20" t="s">
        <v>66</v>
      </c>
      <c r="E3" s="20" t="s">
        <v>65</v>
      </c>
      <c r="F3" s="20" t="s">
        <v>67</v>
      </c>
      <c r="G3" s="20" t="s">
        <v>67</v>
      </c>
      <c r="H3" s="20" t="s">
        <v>67</v>
      </c>
      <c r="I3" s="20" t="s">
        <v>67</v>
      </c>
      <c r="J3" s="20" t="s">
        <v>67</v>
      </c>
      <c r="K3" s="20" t="s">
        <v>67</v>
      </c>
      <c r="L3" s="20" t="s">
        <v>67</v>
      </c>
      <c r="M3" s="21" t="s">
        <v>67</v>
      </c>
      <c r="N3" s="20" t="s">
        <v>68</v>
      </c>
      <c r="O3" s="20" t="s">
        <v>67</v>
      </c>
      <c r="P3" s="20" t="s">
        <v>67</v>
      </c>
      <c r="Q3" s="20" t="s">
        <v>68</v>
      </c>
      <c r="R3" s="20" t="s">
        <v>68</v>
      </c>
      <c r="S3" s="20" t="s">
        <v>68</v>
      </c>
      <c r="T3" s="20" t="s">
        <v>69</v>
      </c>
      <c r="U3" s="20" t="s">
        <v>65</v>
      </c>
    </row>
    <row r="4" spans="1:25" ht="30" customHeight="1" x14ac:dyDescent="0.3">
      <c r="A4" s="20" t="str">
        <f>'M-Regla'!B3</f>
        <v>toleranciaTardanzaCliente</v>
      </c>
      <c r="B4" s="21" t="str">
        <f>'M-Regla'!B2</f>
        <v>Representa la cantidad de minutos maxima que un cliente puede llegar tarde</v>
      </c>
      <c r="C4" s="20" t="s">
        <v>68</v>
      </c>
      <c r="D4" s="20" t="s">
        <v>115</v>
      </c>
      <c r="E4" s="20" t="s">
        <v>68</v>
      </c>
      <c r="F4" s="20" t="s">
        <v>67</v>
      </c>
      <c r="G4" s="20" t="s">
        <v>67</v>
      </c>
      <c r="H4" s="20" t="s">
        <v>67</v>
      </c>
      <c r="I4" s="20" t="s">
        <v>67</v>
      </c>
      <c r="J4" s="20">
        <v>0</v>
      </c>
      <c r="K4" s="20">
        <v>59</v>
      </c>
      <c r="L4" s="20" t="s">
        <v>67</v>
      </c>
      <c r="M4" s="21" t="s">
        <v>67</v>
      </c>
      <c r="N4" s="20" t="s">
        <v>68</v>
      </c>
      <c r="O4" s="20" t="s">
        <v>67</v>
      </c>
      <c r="P4" s="20" t="s">
        <v>67</v>
      </c>
      <c r="Q4" s="20" t="s">
        <v>67</v>
      </c>
      <c r="R4" s="20" t="s">
        <v>67</v>
      </c>
      <c r="S4" s="20" t="s">
        <v>68</v>
      </c>
      <c r="T4" s="20">
        <v>0</v>
      </c>
      <c r="U4" s="20" t="s">
        <v>68</v>
      </c>
    </row>
    <row r="5" spans="1:25" ht="45" customHeight="1" x14ac:dyDescent="0.3">
      <c r="A5" s="20" t="str">
        <f>'M-Regla'!C3</f>
        <v>montoMultaTardanzaCliente</v>
      </c>
      <c r="B5" s="21" t="str">
        <f>'M-Regla'!C2</f>
        <v>Representa la cantidad de dinero que el cliente debe de pagar en pesos colombianos, por superar la toleranciaTardanza</v>
      </c>
      <c r="C5" s="20" t="s">
        <v>68</v>
      </c>
      <c r="D5" s="20" t="s">
        <v>115</v>
      </c>
      <c r="E5" s="20" t="s">
        <v>68</v>
      </c>
      <c r="F5" s="20" t="s">
        <v>67</v>
      </c>
      <c r="G5" s="20" t="s">
        <v>67</v>
      </c>
      <c r="H5" s="20" t="s">
        <v>67</v>
      </c>
      <c r="I5" s="20" t="s">
        <v>67</v>
      </c>
      <c r="J5" s="20">
        <v>0</v>
      </c>
      <c r="K5" s="65">
        <v>1000000</v>
      </c>
      <c r="L5" s="20" t="s">
        <v>67</v>
      </c>
      <c r="M5" s="21" t="s">
        <v>67</v>
      </c>
      <c r="N5" s="20" t="s">
        <v>68</v>
      </c>
      <c r="O5" s="20" t="s">
        <v>67</v>
      </c>
      <c r="P5" s="20" t="s">
        <v>67</v>
      </c>
      <c r="Q5" s="20" t="s">
        <v>67</v>
      </c>
      <c r="R5" s="20" t="s">
        <v>67</v>
      </c>
      <c r="S5" s="20" t="s">
        <v>68</v>
      </c>
      <c r="T5" s="20">
        <v>0</v>
      </c>
      <c r="U5" s="20" t="s">
        <v>68</v>
      </c>
    </row>
    <row r="6" spans="1:25" ht="45" customHeight="1" x14ac:dyDescent="0.3">
      <c r="A6" s="20" t="str">
        <f>'M-Regla'!D3</f>
        <v>numeroMultasMaxima</v>
      </c>
      <c r="B6" s="21" t="str">
        <f>'M-Regla'!D2</f>
        <v>Representa la maxima de multas que pueda tener un cliente sin pagar, a partir de esta cantidad se le hace un veto al cliente</v>
      </c>
      <c r="C6" s="20" t="s">
        <v>68</v>
      </c>
      <c r="D6" s="20" t="s">
        <v>115</v>
      </c>
      <c r="E6" s="20" t="s">
        <v>68</v>
      </c>
      <c r="F6" s="20" t="s">
        <v>67</v>
      </c>
      <c r="G6" s="20" t="s">
        <v>67</v>
      </c>
      <c r="H6" s="20" t="s">
        <v>67</v>
      </c>
      <c r="I6" s="20" t="s">
        <v>67</v>
      </c>
      <c r="J6" s="20">
        <v>0</v>
      </c>
      <c r="K6" s="20">
        <v>100</v>
      </c>
      <c r="L6" s="20" t="s">
        <v>67</v>
      </c>
      <c r="M6" s="21" t="s">
        <v>67</v>
      </c>
      <c r="N6" s="20" t="s">
        <v>68</v>
      </c>
      <c r="O6" s="20" t="s">
        <v>67</v>
      </c>
      <c r="P6" s="20" t="s">
        <v>67</v>
      </c>
      <c r="Q6" s="20" t="s">
        <v>67</v>
      </c>
      <c r="R6" s="20" t="s">
        <v>67</v>
      </c>
      <c r="S6" s="20" t="s">
        <v>68</v>
      </c>
      <c r="T6" s="20">
        <v>0</v>
      </c>
      <c r="U6" s="20" t="s">
        <v>68</v>
      </c>
    </row>
    <row r="7" spans="1:25" ht="60" customHeight="1" x14ac:dyDescent="0.3">
      <c r="A7" s="20" t="str">
        <f>'M-Regla'!E3</f>
        <v>toleranciaTardanzaBarbero</v>
      </c>
      <c r="B7" s="21" t="str">
        <f>'M-Regla'!E2</f>
        <v>Representa la cantidad de minutos que un barbero puede demorarse en atender a un cliente, en caso de que el barbero se demore mas de lo previsto en su cita anterior</v>
      </c>
      <c r="C7" s="20" t="s">
        <v>68</v>
      </c>
      <c r="D7" s="20" t="s">
        <v>115</v>
      </c>
      <c r="E7" s="20" t="s">
        <v>68</v>
      </c>
      <c r="F7" s="20" t="s">
        <v>67</v>
      </c>
      <c r="G7" s="20" t="s">
        <v>67</v>
      </c>
      <c r="H7" s="20" t="s">
        <v>67</v>
      </c>
      <c r="I7" s="20" t="s">
        <v>67</v>
      </c>
      <c r="J7" s="20">
        <v>0</v>
      </c>
      <c r="K7" s="20">
        <v>59</v>
      </c>
      <c r="L7" s="20" t="s">
        <v>67</v>
      </c>
      <c r="M7" s="21" t="s">
        <v>67</v>
      </c>
      <c r="N7" s="20" t="s">
        <v>68</v>
      </c>
      <c r="O7" s="20" t="s">
        <v>67</v>
      </c>
      <c r="P7" s="20" t="s">
        <v>67</v>
      </c>
      <c r="Q7" s="20" t="s">
        <v>67</v>
      </c>
      <c r="R7" s="20" t="s">
        <v>67</v>
      </c>
      <c r="S7" s="20" t="s">
        <v>68</v>
      </c>
      <c r="T7" s="20">
        <v>0</v>
      </c>
      <c r="U7" s="20" t="s">
        <v>68</v>
      </c>
    </row>
    <row r="8" spans="1:25" ht="60" customHeight="1" x14ac:dyDescent="0.3">
      <c r="A8" s="20" t="str">
        <f>'M-Regla'!F3</f>
        <v>porcentajeDescuentoCita</v>
      </c>
      <c r="B8" s="21" t="str">
        <f>'M-Regla'!F2</f>
        <v>Representa la cantidad cuanto descuento va a tener un cliente en la cita con el barbero, como recompesa por esperar al barbero mas de la tolerancia permitida</v>
      </c>
      <c r="C8" s="20" t="s">
        <v>68</v>
      </c>
      <c r="D8" s="20" t="s">
        <v>115</v>
      </c>
      <c r="E8" s="20" t="s">
        <v>68</v>
      </c>
      <c r="F8" s="20" t="s">
        <v>67</v>
      </c>
      <c r="G8" s="20" t="s">
        <v>67</v>
      </c>
      <c r="H8" s="20" t="s">
        <v>67</v>
      </c>
      <c r="I8" s="20" t="s">
        <v>67</v>
      </c>
      <c r="J8" s="20">
        <v>0</v>
      </c>
      <c r="K8" s="20">
        <v>100</v>
      </c>
      <c r="L8" s="20" t="s">
        <v>67</v>
      </c>
      <c r="M8" s="21" t="s">
        <v>67</v>
      </c>
      <c r="N8" s="20" t="s">
        <v>68</v>
      </c>
      <c r="O8" s="20" t="s">
        <v>67</v>
      </c>
      <c r="P8" s="20" t="s">
        <v>67</v>
      </c>
      <c r="Q8" s="20" t="s">
        <v>67</v>
      </c>
      <c r="R8" s="20" t="s">
        <v>67</v>
      </c>
      <c r="S8" s="20" t="s">
        <v>68</v>
      </c>
      <c r="T8" s="20">
        <v>0</v>
      </c>
      <c r="U8" s="20" t="s">
        <v>68</v>
      </c>
    </row>
    <row r="9" spans="1:25" s="70" customFormat="1" ht="60" customHeight="1" x14ac:dyDescent="0.3">
      <c r="A9" s="66" t="str">
        <f>'M-Regla'!G3</f>
        <v>tiempoEnHorasAnticipacionDelBarberoParaCancelarUnaCita</v>
      </c>
      <c r="B9" s="67" t="str">
        <f>'M-Regla'!G2</f>
        <v>Representa la parte en horas del tiempo mínimo de anticipación con el que un barbero pueda cancelar una cita con el cliente. El barbero no podrá cancelar la cita cuando falte menos del tiempo indicado</v>
      </c>
      <c r="C9" s="20" t="s">
        <v>68</v>
      </c>
      <c r="D9" s="20" t="s">
        <v>115</v>
      </c>
      <c r="E9" s="20" t="s">
        <v>68</v>
      </c>
      <c r="F9" s="20" t="s">
        <v>67</v>
      </c>
      <c r="G9" s="20" t="s">
        <v>67</v>
      </c>
      <c r="H9" s="20" t="s">
        <v>67</v>
      </c>
      <c r="I9" s="20" t="s">
        <v>67</v>
      </c>
      <c r="J9" s="20">
        <v>0</v>
      </c>
      <c r="K9" s="68">
        <v>720</v>
      </c>
      <c r="L9" s="20" t="s">
        <v>67</v>
      </c>
      <c r="M9" s="21" t="s">
        <v>67</v>
      </c>
      <c r="N9" s="20" t="s">
        <v>68</v>
      </c>
      <c r="O9" s="20" t="s">
        <v>67</v>
      </c>
      <c r="P9" s="20" t="s">
        <v>67</v>
      </c>
      <c r="Q9" s="20" t="s">
        <v>67</v>
      </c>
      <c r="R9" s="20" t="s">
        <v>67</v>
      </c>
      <c r="S9" s="20" t="s">
        <v>68</v>
      </c>
      <c r="T9" s="20">
        <v>0</v>
      </c>
      <c r="U9" s="20" t="s">
        <v>68</v>
      </c>
      <c r="V9" s="69"/>
      <c r="W9" s="69"/>
      <c r="X9" s="69"/>
      <c r="Y9" s="69"/>
    </row>
    <row r="10" spans="1:25" s="70" customFormat="1" ht="60" customHeight="1" x14ac:dyDescent="0.3">
      <c r="A10" s="66" t="str">
        <f>'M-Regla'!H3</f>
        <v>tiempoEnMinutosAnticipacionDelBarberoParaCancelarUnaCita</v>
      </c>
      <c r="B10" s="67" t="str">
        <f>'M-Regla'!H2</f>
        <v>Representa la parte en minutos del tiempo mínimo de anticipación con el que un barbero puede cancelar una cita con el cliente. El barbero no podrá cancelar la cita cuando falte menos del tiempo indicado</v>
      </c>
      <c r="C10" s="20" t="s">
        <v>68</v>
      </c>
      <c r="D10" s="20" t="s">
        <v>115</v>
      </c>
      <c r="E10" s="20" t="s">
        <v>68</v>
      </c>
      <c r="F10" s="20" t="s">
        <v>67</v>
      </c>
      <c r="G10" s="20" t="s">
        <v>67</v>
      </c>
      <c r="H10" s="20" t="s">
        <v>67</v>
      </c>
      <c r="I10" s="20" t="s">
        <v>67</v>
      </c>
      <c r="J10" s="20">
        <v>0</v>
      </c>
      <c r="K10" s="68">
        <v>59</v>
      </c>
      <c r="L10" s="20" t="s">
        <v>67</v>
      </c>
      <c r="M10" s="21" t="s">
        <v>67</v>
      </c>
      <c r="N10" s="20" t="s">
        <v>68</v>
      </c>
      <c r="O10" s="20" t="s">
        <v>67</v>
      </c>
      <c r="P10" s="20" t="s">
        <v>67</v>
      </c>
      <c r="Q10" s="20" t="s">
        <v>67</v>
      </c>
      <c r="R10" s="20" t="s">
        <v>67</v>
      </c>
      <c r="S10" s="20" t="s">
        <v>68</v>
      </c>
      <c r="T10" s="20">
        <v>0</v>
      </c>
      <c r="U10" s="20" t="s">
        <v>68</v>
      </c>
      <c r="V10" s="69"/>
      <c r="W10" s="69"/>
      <c r="X10" s="69"/>
      <c r="Y10" s="69"/>
    </row>
    <row r="11" spans="1:25" s="70" customFormat="1" ht="60" customHeight="1" x14ac:dyDescent="0.3">
      <c r="A11" s="71" t="str">
        <f>'M-Regla'!I3</f>
        <v>tiempoEnHorasAnticipacionDelClienteParaCancelarUnaCita</v>
      </c>
      <c r="B11" s="72" t="str">
        <f>'M-Regla'!I2</f>
        <v>Representa la parte en horas del tiempo mínimo de anticipación con el que un cliente puede cancelar una cita con el barbero. El cliente no podrá cancelar la cita cuando falte menos del tiempo indicado</v>
      </c>
      <c r="C11" s="20" t="s">
        <v>68</v>
      </c>
      <c r="D11" s="20" t="s">
        <v>115</v>
      </c>
      <c r="E11" s="20" t="s">
        <v>68</v>
      </c>
      <c r="F11" s="20" t="s">
        <v>67</v>
      </c>
      <c r="G11" s="20" t="s">
        <v>67</v>
      </c>
      <c r="H11" s="20" t="s">
        <v>67</v>
      </c>
      <c r="I11" s="20" t="s">
        <v>67</v>
      </c>
      <c r="J11" s="20">
        <v>0</v>
      </c>
      <c r="K11" s="68">
        <v>720</v>
      </c>
      <c r="L11" s="20" t="s">
        <v>67</v>
      </c>
      <c r="M11" s="21" t="s">
        <v>67</v>
      </c>
      <c r="N11" s="20" t="s">
        <v>68</v>
      </c>
      <c r="O11" s="20" t="s">
        <v>67</v>
      </c>
      <c r="P11" s="20" t="s">
        <v>67</v>
      </c>
      <c r="Q11" s="20" t="s">
        <v>67</v>
      </c>
      <c r="R11" s="20" t="s">
        <v>67</v>
      </c>
      <c r="S11" s="20" t="s">
        <v>68</v>
      </c>
      <c r="T11" s="20">
        <v>0</v>
      </c>
      <c r="U11" s="20" t="s">
        <v>68</v>
      </c>
      <c r="V11" s="69"/>
      <c r="W11" s="69"/>
      <c r="X11" s="69"/>
      <c r="Y11" s="69"/>
    </row>
    <row r="12" spans="1:25" s="70" customFormat="1" ht="60" customHeight="1" x14ac:dyDescent="0.3">
      <c r="A12" s="66" t="str">
        <f>'M-Regla'!J3</f>
        <v>tiempoEnMinutosAnticipacionDelClienteParaCancelarUnaCita</v>
      </c>
      <c r="B12" s="67" t="str">
        <f>'M-Regla'!J2</f>
        <v>Representa la parte en minutos del tiempo mínimo de anticipación con el que un cliente puede cancelar una cita con el barbero. El cliente no podrá cancelar la cita cuando falte menos del tiempo indicado</v>
      </c>
      <c r="C12" s="20" t="s">
        <v>68</v>
      </c>
      <c r="D12" s="20" t="s">
        <v>115</v>
      </c>
      <c r="E12" s="20" t="s">
        <v>68</v>
      </c>
      <c r="F12" s="20" t="s">
        <v>67</v>
      </c>
      <c r="G12" s="20" t="s">
        <v>67</v>
      </c>
      <c r="H12" s="20" t="s">
        <v>67</v>
      </c>
      <c r="I12" s="20" t="s">
        <v>67</v>
      </c>
      <c r="J12" s="20">
        <v>0</v>
      </c>
      <c r="K12" s="68">
        <v>59</v>
      </c>
      <c r="L12" s="20" t="s">
        <v>67</v>
      </c>
      <c r="M12" s="21" t="s">
        <v>67</v>
      </c>
      <c r="N12" s="20" t="s">
        <v>68</v>
      </c>
      <c r="O12" s="20" t="s">
        <v>67</v>
      </c>
      <c r="P12" s="20" t="s">
        <v>67</v>
      </c>
      <c r="Q12" s="20" t="s">
        <v>67</v>
      </c>
      <c r="R12" s="20" t="s">
        <v>67</v>
      </c>
      <c r="S12" s="20" t="s">
        <v>68</v>
      </c>
      <c r="T12" s="20">
        <v>0</v>
      </c>
      <c r="U12" s="20" t="s">
        <v>68</v>
      </c>
      <c r="V12" s="69"/>
      <c r="W12" s="69"/>
      <c r="X12" s="69"/>
      <c r="Y12" s="69"/>
    </row>
    <row r="13" spans="1:25" ht="15" customHeight="1" x14ac:dyDescent="0.3">
      <c r="A13" s="73"/>
      <c r="B13" s="73"/>
      <c r="C13" s="74"/>
      <c r="D13" s="74"/>
      <c r="E13" s="74"/>
      <c r="F13" s="74"/>
      <c r="G13" s="74"/>
      <c r="H13" s="74"/>
      <c r="I13" s="74"/>
      <c r="J13" s="74"/>
      <c r="K13" s="74"/>
      <c r="L13" s="74"/>
      <c r="M13" s="74"/>
      <c r="N13" s="74"/>
      <c r="O13" s="74"/>
      <c r="P13" s="74"/>
      <c r="Q13" s="74"/>
      <c r="R13" s="74"/>
      <c r="S13" s="74"/>
      <c r="T13" s="74"/>
      <c r="U13" s="74"/>
      <c r="V13" s="74"/>
      <c r="W13" s="74"/>
      <c r="X13" s="74"/>
      <c r="Y13" s="74"/>
    </row>
    <row r="14" spans="1:25" ht="15" customHeight="1" x14ac:dyDescent="0.3">
      <c r="A14" s="73"/>
      <c r="B14" s="73"/>
      <c r="C14" s="74"/>
      <c r="D14" s="74"/>
      <c r="E14" s="74"/>
      <c r="F14" s="74"/>
      <c r="G14" s="74"/>
      <c r="H14" s="74"/>
      <c r="I14" s="74"/>
      <c r="J14" s="74"/>
      <c r="K14" s="74"/>
      <c r="L14" s="74"/>
      <c r="M14" s="74"/>
      <c r="N14" s="74"/>
      <c r="O14" s="74"/>
      <c r="P14" s="74"/>
      <c r="Q14" s="74"/>
      <c r="R14" s="74"/>
      <c r="S14" s="74"/>
      <c r="T14" s="74"/>
      <c r="U14" s="74"/>
      <c r="V14" s="74"/>
      <c r="W14" s="74"/>
      <c r="X14" s="74"/>
      <c r="Y14" s="74"/>
    </row>
    <row r="15" spans="1:25" ht="15" customHeight="1" x14ac:dyDescent="0.3">
      <c r="A15" s="73"/>
      <c r="B15" s="73"/>
      <c r="C15" s="74"/>
      <c r="D15" s="74"/>
      <c r="E15" s="74"/>
      <c r="F15" s="74"/>
      <c r="G15" s="74"/>
      <c r="H15" s="74"/>
      <c r="I15" s="74"/>
      <c r="J15" s="74"/>
      <c r="K15" s="74"/>
      <c r="L15" s="74"/>
      <c r="M15" s="74"/>
      <c r="N15" s="74"/>
      <c r="O15" s="74"/>
      <c r="P15" s="74"/>
      <c r="Q15" s="74"/>
      <c r="R15" s="74"/>
      <c r="S15" s="74"/>
      <c r="T15" s="74"/>
      <c r="U15" s="74"/>
      <c r="V15" s="74"/>
      <c r="W15" s="74"/>
      <c r="X15" s="74"/>
      <c r="Y15" s="74"/>
    </row>
    <row r="16" spans="1:25" ht="15" customHeight="1" x14ac:dyDescent="0.3">
      <c r="A16" s="73"/>
      <c r="B16" s="73"/>
      <c r="C16" s="74"/>
      <c r="D16" s="74"/>
      <c r="E16" s="74"/>
      <c r="F16" s="74"/>
      <c r="G16" s="74"/>
      <c r="H16" s="74"/>
      <c r="I16" s="74"/>
      <c r="J16" s="74"/>
      <c r="K16" s="74"/>
      <c r="L16" s="74"/>
      <c r="M16" s="74"/>
      <c r="N16" s="74"/>
      <c r="O16" s="74"/>
      <c r="P16" s="74"/>
      <c r="Q16" s="74"/>
      <c r="R16" s="74"/>
      <c r="S16" s="74"/>
      <c r="T16" s="74"/>
      <c r="U16" s="74"/>
      <c r="V16" s="74"/>
      <c r="W16" s="74"/>
      <c r="X16" s="74"/>
      <c r="Y16" s="74"/>
    </row>
    <row r="17" spans="1:25" ht="15" customHeight="1" x14ac:dyDescent="0.3">
      <c r="A17" s="74"/>
      <c r="B17" s="74"/>
      <c r="C17" s="74"/>
      <c r="D17" s="74"/>
      <c r="E17" s="74"/>
      <c r="F17" s="74"/>
      <c r="G17" s="74"/>
      <c r="H17" s="74"/>
      <c r="I17" s="74"/>
      <c r="J17" s="74"/>
      <c r="K17" s="74"/>
      <c r="L17" s="74"/>
      <c r="M17" s="74"/>
      <c r="N17" s="74"/>
      <c r="O17" s="74"/>
      <c r="P17" s="74"/>
      <c r="Q17" s="74"/>
      <c r="R17" s="74"/>
      <c r="S17" s="74"/>
      <c r="T17" s="74"/>
      <c r="U17" s="74"/>
      <c r="V17" s="74"/>
      <c r="W17" s="74"/>
      <c r="X17" s="74"/>
      <c r="Y17" s="74"/>
    </row>
    <row r="18" spans="1:25" ht="15" customHeight="1" x14ac:dyDescent="0.3">
      <c r="A18" s="75"/>
      <c r="B18" s="75"/>
      <c r="C18" s="75"/>
      <c r="D18" s="74"/>
      <c r="E18" s="74"/>
      <c r="F18" s="74"/>
      <c r="G18" s="74"/>
      <c r="H18" s="74"/>
      <c r="I18" s="74"/>
      <c r="J18" s="74"/>
      <c r="K18" s="74"/>
      <c r="L18" s="74"/>
      <c r="M18" s="74"/>
      <c r="N18" s="74"/>
      <c r="O18" s="74"/>
      <c r="P18" s="74"/>
      <c r="Q18" s="74"/>
      <c r="R18" s="74"/>
      <c r="S18" s="74"/>
      <c r="T18" s="74"/>
      <c r="U18" s="74"/>
      <c r="V18" s="74"/>
      <c r="W18" s="74"/>
      <c r="X18" s="74"/>
      <c r="Y18" s="74"/>
    </row>
    <row r="19" spans="1:25" ht="15" customHeight="1" x14ac:dyDescent="0.3">
      <c r="A19" s="74"/>
      <c r="B19" s="74"/>
      <c r="C19" s="74"/>
      <c r="D19" s="74"/>
      <c r="E19" s="74"/>
      <c r="F19" s="74"/>
      <c r="G19" s="74"/>
      <c r="H19" s="74"/>
      <c r="I19" s="74"/>
      <c r="J19" s="74"/>
      <c r="K19" s="74"/>
      <c r="L19" s="74"/>
      <c r="M19" s="74"/>
      <c r="N19" s="74"/>
      <c r="O19" s="74"/>
      <c r="P19" s="74"/>
      <c r="Q19" s="74"/>
      <c r="R19" s="74"/>
      <c r="S19" s="74"/>
      <c r="T19" s="74"/>
      <c r="U19" s="74"/>
      <c r="V19" s="74"/>
      <c r="W19" s="74"/>
      <c r="X19" s="74"/>
      <c r="Y19" s="74"/>
    </row>
  </sheetData>
  <hyperlinks>
    <hyperlink ref="A1" location="'Modelo de Dominio'!A1" display="&lt;&lt;&lt;&lt; Ir al modulo de dominio" xr:uid="{00000000-0004-0000-0800-000000000000}"/>
    <hyperlink ref="B1" location="'Objetos de Dominio'!A1" display="&lt;&lt;&lt;&lt; Ir a objetos de dominio" xr:uid="{00000000-0004-0000-0800-000001000000}"/>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2"/>
  <sheetViews>
    <sheetView zoomScale="130" zoomScaleNormal="130" workbookViewId="0">
      <selection activeCell="A4" sqref="A4"/>
    </sheetView>
  </sheetViews>
  <sheetFormatPr baseColWidth="10" defaultColWidth="10.6640625" defaultRowHeight="14.4" x14ac:dyDescent="0.3"/>
  <cols>
    <col min="1" max="1" width="25.77734375" bestFit="1" customWidth="1"/>
    <col min="2" max="2" width="26.88671875" customWidth="1"/>
    <col min="3" max="3" width="31.44140625" customWidth="1"/>
    <col min="4" max="4" width="34.44140625" customWidth="1"/>
    <col min="5" max="5" width="28.44140625" customWidth="1"/>
    <col min="6" max="6" width="29.88671875" customWidth="1"/>
    <col min="7" max="7" width="55.109375" customWidth="1"/>
    <col min="8" max="8" width="57.6640625" customWidth="1"/>
    <col min="9" max="9" width="55.109375" customWidth="1"/>
    <col min="10" max="10" width="57.6640625" customWidth="1"/>
  </cols>
  <sheetData>
    <row r="1" spans="1:10" ht="14.25" customHeight="1" x14ac:dyDescent="0.3">
      <c r="A1" s="6" t="s">
        <v>1</v>
      </c>
      <c r="B1" s="6" t="s">
        <v>43</v>
      </c>
    </row>
    <row r="2" spans="1:10" ht="48.75" customHeight="1" x14ac:dyDescent="0.3">
      <c r="A2" s="50" t="s">
        <v>77</v>
      </c>
      <c r="B2" s="51" t="s">
        <v>137</v>
      </c>
      <c r="C2" s="51" t="s">
        <v>138</v>
      </c>
      <c r="D2" s="51" t="s">
        <v>139</v>
      </c>
      <c r="E2" s="51" t="s">
        <v>140</v>
      </c>
      <c r="F2" s="51" t="s">
        <v>141</v>
      </c>
      <c r="G2" s="51" t="s">
        <v>142</v>
      </c>
      <c r="H2" s="51" t="s">
        <v>143</v>
      </c>
      <c r="I2" s="51" t="s">
        <v>144</v>
      </c>
      <c r="J2" s="51" t="s">
        <v>145</v>
      </c>
    </row>
    <row r="3" spans="1:10" ht="14.25" customHeight="1" x14ac:dyDescent="0.3">
      <c r="A3" s="76" t="s">
        <v>80</v>
      </c>
      <c r="B3" s="77" t="s">
        <v>146</v>
      </c>
      <c r="C3" s="77" t="s">
        <v>147</v>
      </c>
      <c r="D3" s="77" t="s">
        <v>148</v>
      </c>
      <c r="E3" s="77" t="s">
        <v>149</v>
      </c>
      <c r="F3" s="77" t="s">
        <v>150</v>
      </c>
      <c r="G3" s="77" t="s">
        <v>151</v>
      </c>
      <c r="H3" s="77" t="s">
        <v>152</v>
      </c>
      <c r="I3" s="77" t="s">
        <v>153</v>
      </c>
      <c r="J3" s="77" t="s">
        <v>154</v>
      </c>
    </row>
    <row r="4" spans="1:10" ht="14.25" customHeight="1" x14ac:dyDescent="0.3">
      <c r="A4" s="31">
        <v>1</v>
      </c>
      <c r="B4" s="31">
        <v>10</v>
      </c>
      <c r="C4" s="78">
        <v>10000</v>
      </c>
      <c r="D4" s="31">
        <v>3</v>
      </c>
      <c r="E4" s="31">
        <v>15</v>
      </c>
      <c r="F4" s="31">
        <v>10</v>
      </c>
      <c r="G4" s="31">
        <v>1</v>
      </c>
      <c r="H4" s="31">
        <v>0</v>
      </c>
      <c r="I4" s="31">
        <v>1</v>
      </c>
      <c r="J4" s="31">
        <v>0</v>
      </c>
    </row>
    <row r="10" spans="1:10" ht="28.5" customHeight="1" x14ac:dyDescent="0.3">
      <c r="A10" s="34"/>
      <c r="B10" s="35" t="s">
        <v>90</v>
      </c>
    </row>
    <row r="11" spans="1:10" ht="28.5" customHeight="1" x14ac:dyDescent="0.3">
      <c r="A11" s="36"/>
      <c r="B11" s="35" t="s">
        <v>91</v>
      </c>
    </row>
    <row r="12" spans="1:10" ht="28.5" customHeight="1" x14ac:dyDescent="0.3">
      <c r="A12" s="79"/>
      <c r="B12" s="35" t="s">
        <v>135</v>
      </c>
    </row>
  </sheetData>
  <hyperlinks>
    <hyperlink ref="A1" location="'Modelo de Dominio'!A1" display="&lt;&lt;&lt;&lt; Ir al modulo de dominio" xr:uid="{00000000-0004-0000-0900-000000000000}"/>
    <hyperlink ref="B1" location="'Objetos de Dominio'!A1" display="&lt;&lt;&lt;&lt; Ir a objetos de dominio" xr:uid="{00000000-0004-0000-0900-000001000000}"/>
  </hyperlinks>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7"/>
  <sheetViews>
    <sheetView zoomScaleNormal="100" workbookViewId="0">
      <selection activeCell="T5" sqref="T5"/>
    </sheetView>
  </sheetViews>
  <sheetFormatPr baseColWidth="10" defaultColWidth="8.6640625" defaultRowHeight="14.4" x14ac:dyDescent="0.3"/>
  <cols>
    <col min="1" max="1" width="26.6640625" customWidth="1"/>
    <col min="2" max="2" width="45" customWidth="1"/>
    <col min="3" max="3" width="33.332031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30.109375"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5" customHeight="1" x14ac:dyDescent="0.3">
      <c r="A1" s="6" t="s">
        <v>1</v>
      </c>
      <c r="B1" s="6" t="s">
        <v>43</v>
      </c>
    </row>
    <row r="2" spans="1:21" s="19" customFormat="1" ht="15" customHeight="1" x14ac:dyDescent="0.3">
      <c r="A2" s="17" t="s">
        <v>44</v>
      </c>
      <c r="B2" s="18" t="s">
        <v>45</v>
      </c>
      <c r="C2" s="17" t="s">
        <v>46</v>
      </c>
      <c r="D2" s="17" t="s">
        <v>47</v>
      </c>
      <c r="E2" s="17" t="s">
        <v>48</v>
      </c>
      <c r="F2" s="17" t="s">
        <v>49</v>
      </c>
      <c r="G2" s="17" t="s">
        <v>50</v>
      </c>
      <c r="H2" s="17" t="s">
        <v>51</v>
      </c>
      <c r="I2" s="17" t="s">
        <v>52</v>
      </c>
      <c r="J2" s="17" t="s">
        <v>53</v>
      </c>
      <c r="K2" s="17" t="s">
        <v>54</v>
      </c>
      <c r="L2" s="17" t="s">
        <v>55</v>
      </c>
      <c r="M2" s="18" t="s">
        <v>56</v>
      </c>
      <c r="N2" s="17" t="s">
        <v>57</v>
      </c>
      <c r="O2" s="17" t="s">
        <v>58</v>
      </c>
      <c r="P2" s="17" t="s">
        <v>59</v>
      </c>
      <c r="Q2" s="17" t="s">
        <v>60</v>
      </c>
      <c r="R2" s="17" t="s">
        <v>61</v>
      </c>
      <c r="S2" s="17" t="s">
        <v>62</v>
      </c>
      <c r="T2" s="17" t="s">
        <v>63</v>
      </c>
      <c r="U2" s="17" t="s">
        <v>64</v>
      </c>
    </row>
    <row r="3" spans="1:21" ht="45" customHeight="1" x14ac:dyDescent="0.3">
      <c r="A3" s="20" t="str">
        <f>'M-PrefijoCelular'!A3</f>
        <v>id</v>
      </c>
      <c r="B3" s="21" t="str">
        <f>'M-PrefijoCelular'!A2</f>
        <v>Representa un identificador que hará unico cada objeto de dominio de este tipo, no se puede repetir</v>
      </c>
      <c r="C3" s="20" t="s">
        <v>65</v>
      </c>
      <c r="D3" s="20" t="s">
        <v>66</v>
      </c>
      <c r="E3" s="20" t="s">
        <v>65</v>
      </c>
      <c r="F3" s="20" t="s">
        <v>67</v>
      </c>
      <c r="G3" s="20" t="s">
        <v>67</v>
      </c>
      <c r="H3" s="20" t="s">
        <v>67</v>
      </c>
      <c r="I3" s="20" t="s">
        <v>67</v>
      </c>
      <c r="J3" s="20" t="s">
        <v>67</v>
      </c>
      <c r="K3" s="20" t="s">
        <v>67</v>
      </c>
      <c r="L3" s="20" t="s">
        <v>67</v>
      </c>
      <c r="M3" s="21" t="s">
        <v>67</v>
      </c>
      <c r="N3" s="20" t="s">
        <v>68</v>
      </c>
      <c r="O3" s="20" t="s">
        <v>68</v>
      </c>
      <c r="P3" s="20" t="s">
        <v>67</v>
      </c>
      <c r="Q3" s="20" t="s">
        <v>68</v>
      </c>
      <c r="R3" s="20" t="s">
        <v>68</v>
      </c>
      <c r="S3" s="20" t="s">
        <v>68</v>
      </c>
      <c r="T3" s="20" t="s">
        <v>67</v>
      </c>
      <c r="U3" s="20" t="s">
        <v>65</v>
      </c>
    </row>
    <row r="4" spans="1:21" ht="75" customHeight="1" x14ac:dyDescent="0.3">
      <c r="A4" s="20" t="str">
        <f>'M-PrefijoCelular'!B3</f>
        <v>prefijo</v>
      </c>
      <c r="B4" s="21" t="str">
        <f>'M-PrefijoCelular'!B2</f>
        <v>Representa el primer nombre del barbero que trabaja en barbería</v>
      </c>
      <c r="C4" s="20" t="s">
        <v>68</v>
      </c>
      <c r="D4" s="20" t="s">
        <v>70</v>
      </c>
      <c r="E4" s="20" t="s">
        <v>65</v>
      </c>
      <c r="F4" s="20">
        <v>2</v>
      </c>
      <c r="G4" s="20">
        <v>6</v>
      </c>
      <c r="H4" s="20" t="s">
        <v>67</v>
      </c>
      <c r="I4" s="20" t="s">
        <v>67</v>
      </c>
      <c r="J4" s="20" t="s">
        <v>67</v>
      </c>
      <c r="K4" s="20" t="s">
        <v>67</v>
      </c>
      <c r="L4" s="21" t="s">
        <v>155</v>
      </c>
      <c r="M4" s="21" t="s">
        <v>156</v>
      </c>
      <c r="N4" s="20" t="s">
        <v>68</v>
      </c>
      <c r="O4" s="20" t="s">
        <v>68</v>
      </c>
      <c r="P4" s="20" t="s">
        <v>67</v>
      </c>
      <c r="Q4" s="20" t="s">
        <v>65</v>
      </c>
      <c r="R4" s="20" t="s">
        <v>65</v>
      </c>
      <c r="S4" s="20" t="s">
        <v>68</v>
      </c>
      <c r="T4" s="20" t="s">
        <v>157</v>
      </c>
      <c r="U4" s="20" t="s">
        <v>68</v>
      </c>
    </row>
    <row r="6" spans="1:21" ht="15" customHeight="1" x14ac:dyDescent="0.3">
      <c r="A6" s="22" t="s">
        <v>73</v>
      </c>
      <c r="B6" s="22" t="s">
        <v>74</v>
      </c>
      <c r="C6" s="22" t="s">
        <v>75</v>
      </c>
    </row>
    <row r="7" spans="1:21" ht="30" customHeight="1" x14ac:dyDescent="0.3">
      <c r="A7" s="23" t="str">
        <f>'M-PrefijoCelular'!C3</f>
        <v xml:space="preserve">Combinación única </v>
      </c>
      <c r="B7" s="24" t="str">
        <f>'M-PrefijoCelular'!C2</f>
        <v>Combinacion única que indica que no puede existir más un mismo prefijo</v>
      </c>
      <c r="C7" s="25" t="s">
        <v>158</v>
      </c>
    </row>
  </sheetData>
  <hyperlinks>
    <hyperlink ref="A1" location="'Modelo de Dominio'!A1" display="&lt;&lt;&lt;&lt; Ir al modulo de dominio" xr:uid="{00000000-0004-0000-0A00-000000000000}"/>
    <hyperlink ref="B1" location="'Objetos de Dominio'!A1" display="&lt;&lt;&lt;&lt; Ir a objetos de dominio" xr:uid="{00000000-0004-0000-0A00-000001000000}"/>
    <hyperlink ref="A3" location="'M-PrefijoCelular'!A3" display="#'M-PrefijoCelular'.A3" xr:uid="{00000000-0004-0000-0A00-000002000000}"/>
    <hyperlink ref="B3" location="'M-PrefijoCelular'!A2" display="#'M-PrefijoCelular'.A2" xr:uid="{00000000-0004-0000-0A00-000003000000}"/>
    <hyperlink ref="A4" location="'M-PrefijoCelular'!A3" display="#'M-PrefijoCelular'.A3" xr:uid="{00000000-0004-0000-0A00-000004000000}"/>
    <hyperlink ref="B4" location="'M-PrefijoCelular'!A2" display="#'M-PrefijoCelular'.A2" xr:uid="{00000000-0004-0000-0A00-000005000000}"/>
    <hyperlink ref="A7" location="'M-PrefijoCelular'!A3" display="#'M-PrefijoCelular'.A3" xr:uid="{00000000-0004-0000-0A00-000006000000}"/>
    <hyperlink ref="B7" location="'M-PrefijoCelular'!A2" display="#'M-PrefijoCelular'.A2" xr:uid="{00000000-0004-0000-0A00-000007000000}"/>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16"/>
  <sheetViews>
    <sheetView zoomScale="115" zoomScaleNormal="115" workbookViewId="0">
      <selection activeCell="B1" sqref="B1"/>
    </sheetView>
  </sheetViews>
  <sheetFormatPr baseColWidth="10" defaultColWidth="10.6640625" defaultRowHeight="14.4" x14ac:dyDescent="0.3"/>
  <cols>
    <col min="1" max="1" width="27" customWidth="1"/>
    <col min="2" max="2" width="26.109375" customWidth="1"/>
    <col min="3" max="3" width="19.6640625" customWidth="1"/>
  </cols>
  <sheetData>
    <row r="1" spans="1:3" ht="14.25" customHeight="1" x14ac:dyDescent="0.3">
      <c r="A1" s="6" t="s">
        <v>1</v>
      </c>
      <c r="B1" s="6" t="s">
        <v>43</v>
      </c>
    </row>
    <row r="2" spans="1:3" ht="31.5" customHeight="1" x14ac:dyDescent="0.3">
      <c r="A2" s="26" t="s">
        <v>77</v>
      </c>
      <c r="B2" s="26" t="s">
        <v>159</v>
      </c>
      <c r="C2" s="27" t="s">
        <v>160</v>
      </c>
    </row>
    <row r="3" spans="1:3" ht="14.25" customHeight="1" x14ac:dyDescent="0.3">
      <c r="A3" s="28" t="s">
        <v>80</v>
      </c>
      <c r="B3" s="29" t="s">
        <v>158</v>
      </c>
      <c r="C3" s="30" t="s">
        <v>81</v>
      </c>
    </row>
    <row r="4" spans="1:3" ht="14.25" customHeight="1" x14ac:dyDescent="0.3">
      <c r="A4" s="31">
        <v>1</v>
      </c>
      <c r="B4" s="31" t="s">
        <v>161</v>
      </c>
      <c r="C4" s="31" t="str">
        <f>B4</f>
        <v>+57</v>
      </c>
    </row>
    <row r="5" spans="1:3" ht="14.25" customHeight="1" x14ac:dyDescent="0.3">
      <c r="A5" s="31">
        <v>2</v>
      </c>
      <c r="B5" s="31" t="s">
        <v>162</v>
      </c>
      <c r="C5" s="31" t="str">
        <f>B5</f>
        <v>+91</v>
      </c>
    </row>
    <row r="6" spans="1:3" ht="14.25" customHeight="1" x14ac:dyDescent="0.3">
      <c r="A6" s="31">
        <v>3</v>
      </c>
      <c r="B6" s="31" t="s">
        <v>163</v>
      </c>
      <c r="C6" s="31" t="str">
        <f>B6</f>
        <v>+593</v>
      </c>
    </row>
    <row r="7" spans="1:3" ht="14.25" customHeight="1" x14ac:dyDescent="0.3">
      <c r="A7" s="31">
        <v>4</v>
      </c>
      <c r="B7" s="31" t="s">
        <v>164</v>
      </c>
      <c r="C7" s="31" t="str">
        <f>B7</f>
        <v>+58</v>
      </c>
    </row>
    <row r="8" spans="1:3" ht="14.25" customHeight="1" x14ac:dyDescent="0.3">
      <c r="A8" s="33"/>
      <c r="B8" s="33"/>
    </row>
    <row r="9" spans="1:3" ht="14.25" customHeight="1" x14ac:dyDescent="0.3">
      <c r="A9" s="33"/>
      <c r="B9" s="33"/>
    </row>
    <row r="13" spans="1:3" ht="28.5" customHeight="1" x14ac:dyDescent="0.3">
      <c r="A13" s="34"/>
      <c r="B13" s="35" t="s">
        <v>90</v>
      </c>
    </row>
    <row r="14" spans="1:3" ht="28.5" customHeight="1" x14ac:dyDescent="0.3">
      <c r="A14" s="36"/>
      <c r="B14" s="35" t="s">
        <v>91</v>
      </c>
    </row>
    <row r="15" spans="1:3" ht="28.5" customHeight="1" x14ac:dyDescent="0.3">
      <c r="A15" s="37"/>
      <c r="B15" s="35" t="s">
        <v>92</v>
      </c>
    </row>
    <row r="16" spans="1:3" ht="28.5" customHeight="1" x14ac:dyDescent="0.3">
      <c r="A16" s="38"/>
      <c r="B16" s="35" t="s">
        <v>93</v>
      </c>
    </row>
  </sheetData>
  <hyperlinks>
    <hyperlink ref="A1" location="'Modelo de Dominio'!A1" display="&lt;&lt;&lt;&lt; Ir al modulo de dominio" xr:uid="{00000000-0004-0000-0B00-000000000000}"/>
    <hyperlink ref="B1" location="'Objetos de Dominio'!A1" display="&lt;&lt;&lt;&lt; Ir a objetos de dominio" xr:uid="{00000000-0004-0000-0B00-000001000000}"/>
  </hyperlinks>
  <pageMargins left="0.7" right="0.7" top="0.75" bottom="0.75"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8"/>
  <sheetViews>
    <sheetView zoomScaleNormal="100" workbookViewId="0">
      <selection activeCell="T5" sqref="T5"/>
    </sheetView>
  </sheetViews>
  <sheetFormatPr baseColWidth="10" defaultColWidth="8.6640625" defaultRowHeight="14.4" x14ac:dyDescent="0.3"/>
  <cols>
    <col min="1" max="1" width="26.6640625" customWidth="1"/>
    <col min="2" max="2" width="45" customWidth="1"/>
    <col min="3" max="3" width="30.441406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8"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8" customWidth="1"/>
  </cols>
  <sheetData>
    <row r="1" spans="1:21" ht="15" customHeight="1" x14ac:dyDescent="0.3">
      <c r="A1" s="6" t="s">
        <v>1</v>
      </c>
      <c r="B1" s="6" t="s">
        <v>43</v>
      </c>
    </row>
    <row r="2" spans="1:21" s="19" customFormat="1" ht="15" customHeight="1" x14ac:dyDescent="0.3">
      <c r="A2" s="17" t="s">
        <v>44</v>
      </c>
      <c r="B2" s="18" t="s">
        <v>45</v>
      </c>
      <c r="C2" s="17" t="s">
        <v>46</v>
      </c>
      <c r="D2" s="17" t="s">
        <v>47</v>
      </c>
      <c r="E2" s="17" t="s">
        <v>48</v>
      </c>
      <c r="F2" s="17" t="s">
        <v>49</v>
      </c>
      <c r="G2" s="17" t="s">
        <v>50</v>
      </c>
      <c r="H2" s="17" t="s">
        <v>51</v>
      </c>
      <c r="I2" s="17" t="s">
        <v>52</v>
      </c>
      <c r="J2" s="17" t="s">
        <v>53</v>
      </c>
      <c r="K2" s="17" t="s">
        <v>54</v>
      </c>
      <c r="L2" s="17" t="s">
        <v>55</v>
      </c>
      <c r="M2" s="18" t="s">
        <v>56</v>
      </c>
      <c r="N2" s="17" t="s">
        <v>57</v>
      </c>
      <c r="O2" s="17" t="s">
        <v>58</v>
      </c>
      <c r="P2" s="17" t="s">
        <v>59</v>
      </c>
      <c r="Q2" s="17" t="s">
        <v>60</v>
      </c>
      <c r="R2" s="17" t="s">
        <v>61</v>
      </c>
      <c r="S2" s="17" t="s">
        <v>62</v>
      </c>
      <c r="T2" s="17" t="s">
        <v>63</v>
      </c>
      <c r="U2" s="17" t="s">
        <v>64</v>
      </c>
    </row>
    <row r="3" spans="1:21" ht="45" customHeight="1" x14ac:dyDescent="0.3">
      <c r="A3" s="20" t="str">
        <f>'M-TipoMulta'!A3</f>
        <v>id</v>
      </c>
      <c r="B3" s="21" t="str">
        <f>'M-TipoMulta'!A2</f>
        <v>Representa un identificador que hará unico cada objeto de dominio de este tipo, no se puede repetir</v>
      </c>
      <c r="C3" s="20" t="s">
        <v>65</v>
      </c>
      <c r="D3" s="20" t="s">
        <v>66</v>
      </c>
      <c r="E3" s="20" t="s">
        <v>65</v>
      </c>
      <c r="F3" s="20" t="s">
        <v>67</v>
      </c>
      <c r="G3" s="20" t="s">
        <v>67</v>
      </c>
      <c r="H3" s="20" t="s">
        <v>67</v>
      </c>
      <c r="I3" s="20" t="s">
        <v>67</v>
      </c>
      <c r="J3" s="20" t="s">
        <v>67</v>
      </c>
      <c r="K3" s="20" t="s">
        <v>67</v>
      </c>
      <c r="L3" s="20" t="s">
        <v>67</v>
      </c>
      <c r="M3" s="20" t="s">
        <v>67</v>
      </c>
      <c r="N3" s="20" t="s">
        <v>68</v>
      </c>
      <c r="O3" s="20" t="s">
        <v>68</v>
      </c>
      <c r="P3" s="20" t="s">
        <v>67</v>
      </c>
      <c r="Q3" s="20" t="s">
        <v>68</v>
      </c>
      <c r="R3" s="20" t="s">
        <v>68</v>
      </c>
      <c r="S3" s="20" t="s">
        <v>68</v>
      </c>
      <c r="T3" s="20" t="s">
        <v>69</v>
      </c>
      <c r="U3" s="20" t="s">
        <v>65</v>
      </c>
    </row>
    <row r="4" spans="1:21" ht="15" customHeight="1" x14ac:dyDescent="0.3">
      <c r="A4" s="20" t="str">
        <f>'M-TipoMulta'!B3</f>
        <v>nombre</v>
      </c>
      <c r="B4" s="21" t="str">
        <f>'M-TipoMulta'!B2</f>
        <v>Representa el nombre del tipo de multa</v>
      </c>
      <c r="C4" s="20" t="s">
        <v>68</v>
      </c>
      <c r="D4" s="20" t="s">
        <v>70</v>
      </c>
      <c r="E4" s="20" t="s">
        <v>65</v>
      </c>
      <c r="F4" s="20">
        <v>4</v>
      </c>
      <c r="G4" s="20">
        <v>50</v>
      </c>
      <c r="H4" s="20" t="s">
        <v>67</v>
      </c>
      <c r="I4" s="20" t="s">
        <v>67</v>
      </c>
      <c r="J4" s="20" t="s">
        <v>67</v>
      </c>
      <c r="K4" s="20" t="s">
        <v>67</v>
      </c>
      <c r="L4" s="20" t="s">
        <v>67</v>
      </c>
      <c r="M4" s="20" t="s">
        <v>67</v>
      </c>
      <c r="N4" s="20" t="s">
        <v>68</v>
      </c>
      <c r="O4" s="20" t="s">
        <v>68</v>
      </c>
      <c r="P4" s="20" t="s">
        <v>67</v>
      </c>
      <c r="Q4" s="20" t="s">
        <v>65</v>
      </c>
      <c r="R4" s="20" t="s">
        <v>65</v>
      </c>
      <c r="S4" s="20" t="s">
        <v>68</v>
      </c>
      <c r="T4" s="20" t="s">
        <v>72</v>
      </c>
      <c r="U4" s="20" t="s">
        <v>68</v>
      </c>
    </row>
    <row r="5" spans="1:21" ht="15" customHeight="1" x14ac:dyDescent="0.3">
      <c r="A5" s="20" t="str">
        <f>'M-TipoMulta'!C3</f>
        <v>descripcion</v>
      </c>
      <c r="B5" s="21" t="str">
        <f>'M-TipoMulta'!C2</f>
        <v>Representa que hace cada tipo de multa</v>
      </c>
      <c r="C5" s="20" t="s">
        <v>68</v>
      </c>
      <c r="D5" s="20" t="s">
        <v>70</v>
      </c>
      <c r="E5" s="20" t="s">
        <v>65</v>
      </c>
      <c r="F5" s="20">
        <v>10</v>
      </c>
      <c r="G5" s="20">
        <v>300</v>
      </c>
      <c r="H5" s="20" t="s">
        <v>67</v>
      </c>
      <c r="I5" s="20" t="s">
        <v>67</v>
      </c>
      <c r="J5" s="20" t="s">
        <v>67</v>
      </c>
      <c r="K5" s="20" t="s">
        <v>67</v>
      </c>
      <c r="L5" s="20" t="s">
        <v>67</v>
      </c>
      <c r="M5" s="20" t="s">
        <v>67</v>
      </c>
      <c r="N5" s="20" t="s">
        <v>68</v>
      </c>
      <c r="O5" s="20" t="s">
        <v>68</v>
      </c>
      <c r="P5" s="20" t="s">
        <v>67</v>
      </c>
      <c r="Q5" s="20" t="s">
        <v>65</v>
      </c>
      <c r="R5" s="20" t="s">
        <v>65</v>
      </c>
      <c r="S5" s="20" t="s">
        <v>68</v>
      </c>
      <c r="T5" s="20" t="s">
        <v>72</v>
      </c>
      <c r="U5" s="20" t="s">
        <v>68</v>
      </c>
    </row>
    <row r="7" spans="1:21" ht="15" customHeight="1" x14ac:dyDescent="0.3">
      <c r="A7" s="22" t="s">
        <v>73</v>
      </c>
      <c r="B7" s="22" t="s">
        <v>74</v>
      </c>
      <c r="C7" s="22" t="s">
        <v>75</v>
      </c>
    </row>
    <row r="8" spans="1:21" ht="30" customHeight="1" x14ac:dyDescent="0.3">
      <c r="A8" s="23" t="str">
        <f>'M-TipoMulta'!D3</f>
        <v>Combinación única</v>
      </c>
      <c r="B8" s="24" t="str">
        <f>'M-TipoMulta'!D2</f>
        <v xml:space="preserve">Combinación única indica que no puede existir más de un tipo de multa con el mismo nombre </v>
      </c>
      <c r="C8" s="25" t="s">
        <v>76</v>
      </c>
    </row>
  </sheetData>
  <hyperlinks>
    <hyperlink ref="A1" location="'Modelo de Dominio'!A1" display="&lt;&lt;&lt;&lt; Ir al modulo de dominio" xr:uid="{00000000-0004-0000-0C00-000000000000}"/>
    <hyperlink ref="B1" location="'Objetos de Dominio'!A1" display="&lt;&lt;&lt;&lt; Ir a objetos de dominio" xr:uid="{00000000-0004-0000-0C00-000001000000}"/>
    <hyperlink ref="A3" location="'M-TipoMulta'!A3" display="#'M-TipoMulta'.A3" xr:uid="{00000000-0004-0000-0C00-000002000000}"/>
    <hyperlink ref="B3" location="'M-TipoMulta'!A2" display="#'M-TipoMulta'.A2" xr:uid="{00000000-0004-0000-0C00-000003000000}"/>
    <hyperlink ref="A4" location="'M-TipoMulta'!A3" display="#'M-TipoMulta'.A3" xr:uid="{00000000-0004-0000-0C00-000004000000}"/>
    <hyperlink ref="B4" location="'M-TipoMulta'!A2" display="#'M-TipoMulta'.A2" xr:uid="{00000000-0004-0000-0C00-000005000000}"/>
    <hyperlink ref="A5" location="'M-TipoMulta'!A3" display="#'M-TipoMulta'.A3" xr:uid="{00000000-0004-0000-0C00-000006000000}"/>
    <hyperlink ref="B5" location="'M-TipoMulta'!A2" display="#'M-TipoMulta'.A2" xr:uid="{00000000-0004-0000-0C00-000007000000}"/>
    <hyperlink ref="A8" location="'M-TipoMulta'!A3" display="#'M-TipoMulta'.A3" xr:uid="{00000000-0004-0000-0C00-000008000000}"/>
    <hyperlink ref="B8" location="'M-TipoMulta'!A2" display="#'M-TipoMulta'.A2" xr:uid="{00000000-0004-0000-0C00-000009000000}"/>
  </hyperlink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7"/>
  <sheetViews>
    <sheetView zoomScale="115" zoomScaleNormal="115" workbookViewId="0">
      <selection activeCell="C11" sqref="C11"/>
    </sheetView>
  </sheetViews>
  <sheetFormatPr baseColWidth="10" defaultColWidth="10.6640625" defaultRowHeight="14.4" x14ac:dyDescent="0.3"/>
  <cols>
    <col min="1" max="1" width="25" customWidth="1"/>
    <col min="2" max="2" width="24.44140625" customWidth="1"/>
    <col min="3" max="3" width="40.109375" customWidth="1"/>
    <col min="4" max="4" width="17.6640625" customWidth="1"/>
  </cols>
  <sheetData>
    <row r="1" spans="1:4" ht="14.25" customHeight="1" x14ac:dyDescent="0.3">
      <c r="A1" s="6" t="s">
        <v>1</v>
      </c>
      <c r="B1" s="6" t="s">
        <v>43</v>
      </c>
      <c r="C1" s="6"/>
    </row>
    <row r="2" spans="1:4" ht="39" customHeight="1" x14ac:dyDescent="0.3">
      <c r="A2" s="26" t="s">
        <v>77</v>
      </c>
      <c r="B2" s="26" t="s">
        <v>165</v>
      </c>
      <c r="C2" s="26" t="s">
        <v>166</v>
      </c>
      <c r="D2" s="27" t="s">
        <v>167</v>
      </c>
    </row>
    <row r="3" spans="1:4" ht="14.25" customHeight="1" x14ac:dyDescent="0.3">
      <c r="A3" s="28" t="s">
        <v>80</v>
      </c>
      <c r="B3" s="80" t="s">
        <v>76</v>
      </c>
      <c r="C3" s="81" t="s">
        <v>98</v>
      </c>
      <c r="D3" s="30" t="s">
        <v>168</v>
      </c>
    </row>
    <row r="4" spans="1:4" ht="43.2" x14ac:dyDescent="0.3">
      <c r="A4" s="31">
        <v>1</v>
      </c>
      <c r="B4" s="31" t="s">
        <v>169</v>
      </c>
      <c r="C4" s="41" t="s">
        <v>170</v>
      </c>
      <c r="D4" s="31" t="str">
        <f>B4</f>
        <v>Tardanza</v>
      </c>
    </row>
    <row r="5" spans="1:4" ht="45" customHeight="1" x14ac:dyDescent="0.3">
      <c r="A5" s="31">
        <v>2</v>
      </c>
      <c r="B5" s="31" t="s">
        <v>171</v>
      </c>
      <c r="C5" s="41" t="s">
        <v>172</v>
      </c>
      <c r="D5" s="31" t="str">
        <f>B5</f>
        <v>Inasistencia</v>
      </c>
    </row>
    <row r="6" spans="1:4" ht="14.25" customHeight="1" x14ac:dyDescent="0.3">
      <c r="A6" s="33"/>
      <c r="B6" s="33"/>
      <c r="C6" s="33"/>
      <c r="D6" s="33"/>
    </row>
    <row r="7" spans="1:4" ht="14.25" customHeight="1" x14ac:dyDescent="0.3">
      <c r="A7" s="33"/>
      <c r="B7" s="33"/>
      <c r="C7" s="33"/>
      <c r="D7" s="33"/>
    </row>
    <row r="8" spans="1:4" ht="14.25" customHeight="1" x14ac:dyDescent="0.3">
      <c r="A8" s="33"/>
      <c r="B8" s="33"/>
      <c r="C8" s="33"/>
    </row>
    <row r="9" spans="1:4" ht="14.25" customHeight="1" x14ac:dyDescent="0.3">
      <c r="A9" s="33"/>
      <c r="B9" s="33"/>
      <c r="C9" s="33"/>
    </row>
    <row r="11" spans="1:4" ht="28.5" customHeight="1" x14ac:dyDescent="0.3">
      <c r="A11" s="34"/>
      <c r="B11" s="35" t="s">
        <v>90</v>
      </c>
    </row>
    <row r="12" spans="1:4" ht="28.5" customHeight="1" x14ac:dyDescent="0.3">
      <c r="A12" s="36"/>
      <c r="B12" s="35" t="s">
        <v>91</v>
      </c>
    </row>
    <row r="13" spans="1:4" ht="28.5" customHeight="1" x14ac:dyDescent="0.3">
      <c r="A13" s="82"/>
      <c r="B13" s="35" t="s">
        <v>173</v>
      </c>
      <c r="C13" s="35"/>
    </row>
    <row r="14" spans="1:4" ht="28.5" customHeight="1" x14ac:dyDescent="0.3">
      <c r="A14" s="37"/>
      <c r="B14" s="35" t="s">
        <v>92</v>
      </c>
      <c r="C14" s="35"/>
    </row>
    <row r="15" spans="1:4" ht="28.5" customHeight="1" x14ac:dyDescent="0.3">
      <c r="A15" s="38"/>
      <c r="B15" s="35" t="s">
        <v>93</v>
      </c>
      <c r="C15" s="35"/>
    </row>
    <row r="16" spans="1:4" ht="14.25" customHeight="1" x14ac:dyDescent="0.3">
      <c r="C16" s="35"/>
    </row>
    <row r="17" spans="3:3" ht="14.25" customHeight="1" x14ac:dyDescent="0.3">
      <c r="C17" s="35"/>
    </row>
  </sheetData>
  <hyperlinks>
    <hyperlink ref="A1" location="'Modelo de Dominio'!A1" display="&lt;&lt;&lt;&lt; Ir al modulo de dominio" xr:uid="{00000000-0004-0000-0D00-000000000000}"/>
    <hyperlink ref="B1" location="'Objetos de Dominio'!A1" display="&lt;&lt;&lt;&lt; Ir a objetos de dominio" xr:uid="{00000000-0004-0000-0D00-000001000000}"/>
  </hyperlinks>
  <pageMargins left="0.7" right="0.7" top="0.75" bottom="0.75"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8"/>
  <sheetViews>
    <sheetView zoomScaleNormal="100" workbookViewId="0">
      <selection activeCell="B12" sqref="B12"/>
    </sheetView>
  </sheetViews>
  <sheetFormatPr baseColWidth="10" defaultColWidth="8.6640625" defaultRowHeight="14.4" x14ac:dyDescent="0.3"/>
  <cols>
    <col min="1" max="1" width="26.6640625" customWidth="1"/>
    <col min="2" max="2" width="45" customWidth="1"/>
    <col min="3" max="3" width="30.441406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8"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8" customWidth="1"/>
  </cols>
  <sheetData>
    <row r="1" spans="1:21" ht="15" customHeight="1" x14ac:dyDescent="0.3">
      <c r="A1" s="6" t="s">
        <v>1</v>
      </c>
      <c r="B1" s="6" t="s">
        <v>43</v>
      </c>
    </row>
    <row r="2" spans="1:21" ht="15" customHeight="1" x14ac:dyDescent="0.3">
      <c r="A2" s="17" t="s">
        <v>44</v>
      </c>
      <c r="B2" s="18" t="s">
        <v>45</v>
      </c>
      <c r="C2" s="17" t="s">
        <v>46</v>
      </c>
      <c r="D2" s="17" t="s">
        <v>47</v>
      </c>
      <c r="E2" s="17" t="s">
        <v>48</v>
      </c>
      <c r="F2" s="17" t="s">
        <v>49</v>
      </c>
      <c r="G2" s="17" t="s">
        <v>50</v>
      </c>
      <c r="H2" s="17" t="s">
        <v>51</v>
      </c>
      <c r="I2" s="17" t="s">
        <v>52</v>
      </c>
      <c r="J2" s="17" t="s">
        <v>53</v>
      </c>
      <c r="K2" s="17" t="s">
        <v>54</v>
      </c>
      <c r="L2" s="17" t="s">
        <v>55</v>
      </c>
      <c r="M2" s="18" t="s">
        <v>56</v>
      </c>
      <c r="N2" s="17" t="s">
        <v>57</v>
      </c>
      <c r="O2" s="17" t="s">
        <v>58</v>
      </c>
      <c r="P2" s="17" t="s">
        <v>59</v>
      </c>
      <c r="Q2" s="17" t="s">
        <v>60</v>
      </c>
      <c r="R2" s="17" t="s">
        <v>61</v>
      </c>
      <c r="S2" s="17" t="s">
        <v>62</v>
      </c>
      <c r="T2" s="17" t="s">
        <v>63</v>
      </c>
      <c r="U2" s="17" t="s">
        <v>64</v>
      </c>
    </row>
    <row r="3" spans="1:21" ht="41.25" customHeight="1" x14ac:dyDescent="0.3">
      <c r="A3" s="20" t="str">
        <f>'M-TipoBloqueo'!A3</f>
        <v>id</v>
      </c>
      <c r="B3" s="21" t="str">
        <f>'M-TipoBloqueo'!A2</f>
        <v>Representa un identificador que hará unico cada objeto de dominio de tipo de bloqueo</v>
      </c>
      <c r="C3" s="20" t="s">
        <v>65</v>
      </c>
      <c r="D3" s="20" t="s">
        <v>66</v>
      </c>
      <c r="E3" s="20" t="s">
        <v>65</v>
      </c>
      <c r="F3" s="20"/>
      <c r="G3" s="20"/>
      <c r="H3" s="20"/>
      <c r="I3" s="20"/>
      <c r="J3" s="20"/>
      <c r="K3" s="20"/>
      <c r="L3" s="20"/>
      <c r="M3" s="20"/>
      <c r="N3" s="20" t="s">
        <v>68</v>
      </c>
      <c r="O3" s="20" t="s">
        <v>68</v>
      </c>
      <c r="P3" s="20" t="s">
        <v>68</v>
      </c>
      <c r="Q3" s="20" t="s">
        <v>68</v>
      </c>
      <c r="R3" s="20" t="s">
        <v>68</v>
      </c>
      <c r="S3" s="20" t="s">
        <v>68</v>
      </c>
      <c r="T3" s="20" t="s">
        <v>69</v>
      </c>
      <c r="U3" s="20" t="s">
        <v>65</v>
      </c>
    </row>
    <row r="4" spans="1:21" ht="27.75" customHeight="1" x14ac:dyDescent="0.3">
      <c r="A4" s="20" t="str">
        <f>'M-TipoBloqueo'!B3</f>
        <v>nombre</v>
      </c>
      <c r="B4" s="21" t="str">
        <f>'M-TipoBloqueo'!B2</f>
        <v>Representa como se llama el tipo de bloqueo que puede registrar un barbero</v>
      </c>
      <c r="C4" s="20" t="s">
        <v>68</v>
      </c>
      <c r="D4" s="20" t="s">
        <v>70</v>
      </c>
      <c r="E4" s="20" t="s">
        <v>65</v>
      </c>
      <c r="F4" s="20">
        <v>4</v>
      </c>
      <c r="G4" s="20">
        <v>20</v>
      </c>
      <c r="H4" s="20"/>
      <c r="I4" s="20"/>
      <c r="J4" s="20"/>
      <c r="K4" s="20"/>
      <c r="L4" s="20"/>
      <c r="M4" s="20"/>
      <c r="N4" s="20" t="s">
        <v>68</v>
      </c>
      <c r="O4" s="20" t="s">
        <v>68</v>
      </c>
      <c r="P4" s="20" t="s">
        <v>68</v>
      </c>
      <c r="Q4" s="20" t="s">
        <v>65</v>
      </c>
      <c r="R4" s="20" t="s">
        <v>65</v>
      </c>
      <c r="S4" s="20" t="s">
        <v>68</v>
      </c>
      <c r="T4" s="20" t="s">
        <v>72</v>
      </c>
      <c r="U4" s="20" t="s">
        <v>68</v>
      </c>
    </row>
    <row r="5" spans="1:21" ht="27.75" customHeight="1" x14ac:dyDescent="0.3">
      <c r="A5" s="20" t="str">
        <f>'M-TipoBloqueo'!C3</f>
        <v>descripcion</v>
      </c>
      <c r="B5" s="21" t="str">
        <f>'M-TipoBloqueo'!C2</f>
        <v>Representa el significado de cada tipo de bloqueo y cuando se debe usar</v>
      </c>
      <c r="C5" s="20" t="s">
        <v>68</v>
      </c>
      <c r="D5" s="20" t="s">
        <v>70</v>
      </c>
      <c r="E5" s="20" t="s">
        <v>65</v>
      </c>
      <c r="F5" s="20">
        <v>10</v>
      </c>
      <c r="G5" s="20">
        <v>300</v>
      </c>
      <c r="H5" s="20"/>
      <c r="I5" s="20"/>
      <c r="J5" s="20"/>
      <c r="K5" s="20"/>
      <c r="L5" s="20"/>
      <c r="M5" s="20"/>
      <c r="N5" s="20" t="s">
        <v>68</v>
      </c>
      <c r="O5" s="20" t="s">
        <v>68</v>
      </c>
      <c r="P5" s="20" t="s">
        <v>68</v>
      </c>
      <c r="Q5" s="20" t="s">
        <v>65</v>
      </c>
      <c r="R5" s="20" t="s">
        <v>65</v>
      </c>
      <c r="S5" s="20" t="s">
        <v>68</v>
      </c>
      <c r="T5" s="20" t="s">
        <v>72</v>
      </c>
      <c r="U5" s="20" t="s">
        <v>68</v>
      </c>
    </row>
    <row r="7" spans="1:21" ht="15" customHeight="1" x14ac:dyDescent="0.3">
      <c r="A7" s="84" t="s">
        <v>73</v>
      </c>
      <c r="B7" s="84" t="s">
        <v>74</v>
      </c>
      <c r="C7" s="84" t="s">
        <v>75</v>
      </c>
    </row>
    <row r="8" spans="1:21" ht="41.25" customHeight="1" x14ac:dyDescent="0.3">
      <c r="A8" s="182" t="str">
        <f>'M-TipoBloqueo'!D3</f>
        <v xml:space="preserve">Combinación única </v>
      </c>
      <c r="B8" s="183" t="str">
        <f>'M-TipoBloqueo'!D2</f>
        <v>Combinación única que indica que no puede existir más de un tipo de bloqueo con el mismo nombre</v>
      </c>
      <c r="C8" s="25" t="s">
        <v>76</v>
      </c>
    </row>
  </sheetData>
  <hyperlinks>
    <hyperlink ref="A1" location="'Modelo de Dominio'!A1" display="&lt;&lt;&lt;&lt; Ir al modulo de dominio" xr:uid="{F513C2DF-03A7-4D13-AE71-245550CCF9E5}"/>
    <hyperlink ref="B1" location="'Objetos de Dominio'!A1" display="&lt;&lt;&lt;&lt; Ir a objetos de dominio" xr:uid="{3D10144A-C32D-4E06-A1A6-E66D74F0317F}"/>
  </hyperlink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15"/>
  <sheetViews>
    <sheetView zoomScaleNormal="100" workbookViewId="0">
      <selection activeCell="B1" sqref="B1"/>
    </sheetView>
  </sheetViews>
  <sheetFormatPr baseColWidth="10" defaultColWidth="8.6640625" defaultRowHeight="14.4" x14ac:dyDescent="0.3"/>
  <cols>
    <col min="1" max="1" width="25" bestFit="1" customWidth="1"/>
    <col min="2" max="2" width="48" bestFit="1" customWidth="1"/>
    <col min="3" max="3" width="70" customWidth="1"/>
    <col min="4" max="4" width="22" customWidth="1"/>
  </cols>
  <sheetData>
    <row r="1" spans="1:4" ht="15" customHeight="1" x14ac:dyDescent="0.3">
      <c r="A1" s="6" t="s">
        <v>1</v>
      </c>
      <c r="B1" s="6" t="s">
        <v>43</v>
      </c>
      <c r="C1" s="6"/>
    </row>
    <row r="2" spans="1:4" ht="35.4" customHeight="1" x14ac:dyDescent="0.3">
      <c r="A2" s="26" t="s">
        <v>174</v>
      </c>
      <c r="B2" s="26" t="s">
        <v>175</v>
      </c>
      <c r="C2" s="26" t="s">
        <v>176</v>
      </c>
      <c r="D2" s="27" t="s">
        <v>177</v>
      </c>
    </row>
    <row r="3" spans="1:4" ht="15" customHeight="1" x14ac:dyDescent="0.3">
      <c r="A3" s="28" t="s">
        <v>80</v>
      </c>
      <c r="B3" s="80" t="s">
        <v>76</v>
      </c>
      <c r="C3" s="81" t="s">
        <v>98</v>
      </c>
      <c r="D3" s="30" t="s">
        <v>81</v>
      </c>
    </row>
    <row r="4" spans="1:4" ht="28.8" x14ac:dyDescent="0.3">
      <c r="A4" s="10">
        <v>1</v>
      </c>
      <c r="B4" s="10" t="s">
        <v>178</v>
      </c>
      <c r="C4" s="14" t="s">
        <v>419</v>
      </c>
      <c r="D4" s="10" t="str">
        <f>B4</f>
        <v>Habitual</v>
      </c>
    </row>
    <row r="5" spans="1:4" ht="43.2" x14ac:dyDescent="0.3">
      <c r="A5" s="10">
        <v>2</v>
      </c>
      <c r="B5" s="10" t="s">
        <v>179</v>
      </c>
      <c r="C5" s="14" t="s">
        <v>420</v>
      </c>
      <c r="D5" s="10" t="str">
        <f>B5</f>
        <v>Puntual</v>
      </c>
    </row>
    <row r="11" spans="1:4" ht="15" customHeight="1" x14ac:dyDescent="0.3">
      <c r="A11" s="177"/>
      <c r="B11" t="s">
        <v>90</v>
      </c>
    </row>
    <row r="12" spans="1:4" ht="15" customHeight="1" x14ac:dyDescent="0.3">
      <c r="A12" s="176"/>
      <c r="B12" t="s">
        <v>91</v>
      </c>
    </row>
    <row r="13" spans="1:4" ht="15" customHeight="1" x14ac:dyDescent="0.3">
      <c r="A13" s="178"/>
      <c r="B13" t="s">
        <v>173</v>
      </c>
    </row>
    <row r="14" spans="1:4" ht="15" customHeight="1" x14ac:dyDescent="0.3">
      <c r="A14" s="179"/>
      <c r="B14" t="s">
        <v>92</v>
      </c>
    </row>
    <row r="15" spans="1:4" ht="15" customHeight="1" x14ac:dyDescent="0.3">
      <c r="A15" s="180"/>
      <c r="B15" t="s">
        <v>93</v>
      </c>
    </row>
  </sheetData>
  <hyperlinks>
    <hyperlink ref="A1" location="'Modelo de Dominio'!A1" display="&lt;&lt;&lt;&lt; Ir al modulo de dominio" xr:uid="{4D5FD6BF-D30B-4D4B-A710-2D3EEB8140CC}"/>
    <hyperlink ref="B1" location="'Objetos de Dominio'!A1" display="&lt;&lt;&lt;&lt; Ir a objetos de dominio" xr:uid="{3B59932B-5E73-40B2-93FC-9A523B2E7851}"/>
  </hyperlink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16"/>
  <sheetViews>
    <sheetView topLeftCell="A10" zoomScaleNormal="100" workbookViewId="0">
      <selection activeCell="B1" sqref="B1"/>
    </sheetView>
  </sheetViews>
  <sheetFormatPr baseColWidth="10" defaultColWidth="8.6640625" defaultRowHeight="14.4" x14ac:dyDescent="0.3"/>
  <cols>
    <col min="1" max="1" width="37" customWidth="1"/>
    <col min="2" max="2" width="45" customWidth="1"/>
    <col min="3" max="3" width="30.44140625" customWidth="1"/>
    <col min="4" max="4" width="26.6640625" customWidth="1"/>
    <col min="5" max="5" width="18" customWidth="1"/>
    <col min="6" max="6" width="23.6640625" customWidth="1"/>
    <col min="7" max="7" width="24.109375" customWidth="1"/>
    <col min="8" max="8" width="18" customWidth="1"/>
    <col min="9" max="9" width="20.6640625" customWidth="1"/>
    <col min="10" max="10" width="21.88671875" customWidth="1"/>
    <col min="11" max="11" width="20.33203125" customWidth="1"/>
    <col min="12" max="12" width="18"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8" customWidth="1"/>
  </cols>
  <sheetData>
    <row r="1" spans="1:21" ht="15" customHeight="1" x14ac:dyDescent="0.3">
      <c r="A1" s="6" t="s">
        <v>1</v>
      </c>
      <c r="B1" s="6" t="s">
        <v>43</v>
      </c>
    </row>
    <row r="2" spans="1:21" s="19" customFormat="1" ht="15" customHeight="1" x14ac:dyDescent="0.3">
      <c r="A2" s="17" t="s">
        <v>44</v>
      </c>
      <c r="B2" s="18" t="s">
        <v>45</v>
      </c>
      <c r="C2" s="17" t="s">
        <v>46</v>
      </c>
      <c r="D2" s="17" t="s">
        <v>47</v>
      </c>
      <c r="E2" s="17" t="s">
        <v>48</v>
      </c>
      <c r="F2" s="17" t="s">
        <v>49</v>
      </c>
      <c r="G2" s="17" t="s">
        <v>50</v>
      </c>
      <c r="H2" s="17" t="s">
        <v>51</v>
      </c>
      <c r="I2" s="17" t="s">
        <v>52</v>
      </c>
      <c r="J2" s="17" t="s">
        <v>53</v>
      </c>
      <c r="K2" s="17" t="s">
        <v>54</v>
      </c>
      <c r="L2" s="17" t="s">
        <v>55</v>
      </c>
      <c r="M2" s="18" t="s">
        <v>56</v>
      </c>
      <c r="N2" s="17" t="s">
        <v>57</v>
      </c>
      <c r="O2" s="17" t="s">
        <v>58</v>
      </c>
      <c r="P2" s="17" t="s">
        <v>59</v>
      </c>
      <c r="Q2" s="17" t="s">
        <v>60</v>
      </c>
      <c r="R2" s="17" t="s">
        <v>61</v>
      </c>
      <c r="S2" s="17" t="s">
        <v>62</v>
      </c>
      <c r="T2" s="17" t="s">
        <v>63</v>
      </c>
      <c r="U2" s="17" t="s">
        <v>64</v>
      </c>
    </row>
    <row r="3" spans="1:21" ht="45" customHeight="1" x14ac:dyDescent="0.3">
      <c r="A3" s="20" t="str">
        <f>'M-Barbero'!A3</f>
        <v>id</v>
      </c>
      <c r="B3" s="21" t="str">
        <f>'M-Barbero'!A2</f>
        <v>Representa un identificador que hará unico cada objeto de dominio de este tipo, no se puede repetir</v>
      </c>
      <c r="C3" s="20" t="s">
        <v>65</v>
      </c>
      <c r="D3" s="20" t="s">
        <v>66</v>
      </c>
      <c r="E3" s="20" t="s">
        <v>65</v>
      </c>
      <c r="F3" s="20" t="s">
        <v>67</v>
      </c>
      <c r="G3" s="20" t="s">
        <v>67</v>
      </c>
      <c r="H3" s="20" t="s">
        <v>67</v>
      </c>
      <c r="I3" s="20" t="s">
        <v>67</v>
      </c>
      <c r="J3" s="20" t="s">
        <v>67</v>
      </c>
      <c r="K3" s="20" t="s">
        <v>67</v>
      </c>
      <c r="L3" s="20" t="s">
        <v>67</v>
      </c>
      <c r="M3" s="20" t="s">
        <v>67</v>
      </c>
      <c r="N3" s="20" t="s">
        <v>68</v>
      </c>
      <c r="O3" s="20" t="s">
        <v>67</v>
      </c>
      <c r="P3" s="20" t="s">
        <v>67</v>
      </c>
      <c r="Q3" s="20" t="s">
        <v>68</v>
      </c>
      <c r="R3" s="20" t="s">
        <v>68</v>
      </c>
      <c r="S3" s="20" t="s">
        <v>68</v>
      </c>
      <c r="T3" s="20" t="s">
        <v>69</v>
      </c>
      <c r="U3" s="20" t="s">
        <v>65</v>
      </c>
    </row>
    <row r="4" spans="1:21" ht="45" customHeight="1" x14ac:dyDescent="0.3">
      <c r="A4" s="20" t="str">
        <f>'M-Barbero'!B3</f>
        <v>primerNombre</v>
      </c>
      <c r="B4" s="21" t="str">
        <f>'M-Barbero'!B2</f>
        <v>Representa el primer nombre del barbero que trabaja en barbería</v>
      </c>
      <c r="C4" s="20" t="s">
        <v>68</v>
      </c>
      <c r="D4" s="20" t="s">
        <v>70</v>
      </c>
      <c r="E4" s="20" t="s">
        <v>65</v>
      </c>
      <c r="F4" s="20">
        <v>3</v>
      </c>
      <c r="G4" s="20">
        <v>100</v>
      </c>
      <c r="H4" s="20" t="s">
        <v>67</v>
      </c>
      <c r="I4" s="20" t="s">
        <v>67</v>
      </c>
      <c r="J4" s="20" t="s">
        <v>67</v>
      </c>
      <c r="K4" s="20" t="s">
        <v>67</v>
      </c>
      <c r="L4" s="20" t="s">
        <v>67</v>
      </c>
      <c r="M4" s="21" t="s">
        <v>180</v>
      </c>
      <c r="N4" s="20" t="s">
        <v>68</v>
      </c>
      <c r="O4" s="20" t="s">
        <v>68</v>
      </c>
      <c r="P4" s="20" t="s">
        <v>68</v>
      </c>
      <c r="Q4" s="20" t="s">
        <v>65</v>
      </c>
      <c r="R4" s="20" t="s">
        <v>65</v>
      </c>
      <c r="S4" s="20" t="s">
        <v>68</v>
      </c>
      <c r="T4" s="20" t="s">
        <v>181</v>
      </c>
      <c r="U4" s="20" t="s">
        <v>68</v>
      </c>
    </row>
    <row r="5" spans="1:21" ht="45" customHeight="1" x14ac:dyDescent="0.3">
      <c r="A5" s="20" t="str">
        <f>'M-Barbero'!C3</f>
        <v>segundoNombre</v>
      </c>
      <c r="B5" s="21" t="str">
        <f>'M-Barbero'!C2</f>
        <v>Representa el segundo nombre del barbero que trabaja en barbería</v>
      </c>
      <c r="C5" s="20" t="s">
        <v>68</v>
      </c>
      <c r="D5" s="20" t="s">
        <v>70</v>
      </c>
      <c r="E5" s="20" t="s">
        <v>68</v>
      </c>
      <c r="F5" s="20">
        <v>3</v>
      </c>
      <c r="G5" s="20">
        <v>100</v>
      </c>
      <c r="H5" s="20" t="s">
        <v>67</v>
      </c>
      <c r="I5" s="20" t="s">
        <v>67</v>
      </c>
      <c r="J5" s="20" t="s">
        <v>67</v>
      </c>
      <c r="K5" s="20" t="s">
        <v>67</v>
      </c>
      <c r="L5" s="20" t="s">
        <v>67</v>
      </c>
      <c r="M5" s="21" t="s">
        <v>180</v>
      </c>
      <c r="N5" s="20" t="s">
        <v>68</v>
      </c>
      <c r="O5" s="20" t="s">
        <v>68</v>
      </c>
      <c r="P5" s="20" t="s">
        <v>68</v>
      </c>
      <c r="Q5" s="20" t="s">
        <v>65</v>
      </c>
      <c r="R5" s="20" t="s">
        <v>65</v>
      </c>
      <c r="S5" s="20" t="s">
        <v>68</v>
      </c>
      <c r="T5" s="20" t="s">
        <v>181</v>
      </c>
      <c r="U5" s="20" t="s">
        <v>68</v>
      </c>
    </row>
    <row r="6" spans="1:21" ht="45" customHeight="1" x14ac:dyDescent="0.3">
      <c r="A6" s="20" t="str">
        <f>'M-Barbero'!D3</f>
        <v>primerApellido</v>
      </c>
      <c r="B6" s="21" t="str">
        <f>'M-Barbero'!D2</f>
        <v>Representa el primer apellido del barbero que trabaja en la barbería</v>
      </c>
      <c r="C6" s="20" t="s">
        <v>68</v>
      </c>
      <c r="D6" s="20" t="s">
        <v>70</v>
      </c>
      <c r="E6" s="20" t="s">
        <v>65</v>
      </c>
      <c r="F6" s="20">
        <v>3</v>
      </c>
      <c r="G6" s="20">
        <v>100</v>
      </c>
      <c r="H6" s="20" t="s">
        <v>67</v>
      </c>
      <c r="I6" s="20" t="s">
        <v>67</v>
      </c>
      <c r="J6" s="20" t="s">
        <v>67</v>
      </c>
      <c r="K6" s="20" t="s">
        <v>67</v>
      </c>
      <c r="L6" s="20" t="s">
        <v>67</v>
      </c>
      <c r="M6" s="21" t="s">
        <v>182</v>
      </c>
      <c r="N6" s="20" t="s">
        <v>68</v>
      </c>
      <c r="O6" s="20" t="s">
        <v>68</v>
      </c>
      <c r="P6" s="20" t="s">
        <v>68</v>
      </c>
      <c r="Q6" s="20" t="s">
        <v>65</v>
      </c>
      <c r="R6" s="20" t="s">
        <v>65</v>
      </c>
      <c r="S6" s="20" t="s">
        <v>68</v>
      </c>
      <c r="T6" s="20" t="s">
        <v>181</v>
      </c>
      <c r="U6" s="20" t="s">
        <v>68</v>
      </c>
    </row>
    <row r="7" spans="1:21" ht="45" customHeight="1" x14ac:dyDescent="0.3">
      <c r="A7" s="20" t="str">
        <f>'M-Barbero'!E3</f>
        <v>segundoApellido</v>
      </c>
      <c r="B7" s="21" t="str">
        <f>'M-Barbero'!E2</f>
        <v>Representa el segundo apellido del barbero que trabaja en la barbería</v>
      </c>
      <c r="C7" s="20" t="s">
        <v>68</v>
      </c>
      <c r="D7" s="20" t="s">
        <v>70</v>
      </c>
      <c r="E7" s="20" t="s">
        <v>68</v>
      </c>
      <c r="F7" s="20">
        <v>3</v>
      </c>
      <c r="G7" s="20">
        <v>100</v>
      </c>
      <c r="H7" s="20" t="s">
        <v>67</v>
      </c>
      <c r="I7" s="20" t="s">
        <v>67</v>
      </c>
      <c r="J7" s="20" t="s">
        <v>67</v>
      </c>
      <c r="K7" s="20" t="s">
        <v>67</v>
      </c>
      <c r="L7" s="20" t="s">
        <v>67</v>
      </c>
      <c r="M7" s="21" t="s">
        <v>182</v>
      </c>
      <c r="N7" s="20" t="s">
        <v>68</v>
      </c>
      <c r="O7" s="20" t="s">
        <v>68</v>
      </c>
      <c r="P7" s="20" t="s">
        <v>68</v>
      </c>
      <c r="Q7" s="20" t="s">
        <v>65</v>
      </c>
      <c r="R7" s="20" t="s">
        <v>65</v>
      </c>
      <c r="S7" s="20" t="s">
        <v>68</v>
      </c>
      <c r="T7" s="20" t="s">
        <v>181</v>
      </c>
      <c r="U7" s="20" t="s">
        <v>68</v>
      </c>
    </row>
    <row r="8" spans="1:21" ht="30" customHeight="1" x14ac:dyDescent="0.3">
      <c r="A8" s="20" t="str">
        <f>'M-Barbero'!F3</f>
        <v>prefijo</v>
      </c>
      <c r="B8" s="21" t="str">
        <f>'M-Barbero'!F2</f>
        <v>Representa cual es el prefijo del numero de celular del barbero</v>
      </c>
      <c r="C8" s="20" t="s">
        <v>68</v>
      </c>
      <c r="D8" s="85" t="s">
        <v>17</v>
      </c>
      <c r="E8" s="20" t="s">
        <v>65</v>
      </c>
      <c r="F8" s="20" t="s">
        <v>67</v>
      </c>
      <c r="G8" s="20" t="s">
        <v>67</v>
      </c>
      <c r="H8" s="20" t="s">
        <v>67</v>
      </c>
      <c r="I8" s="20" t="s">
        <v>67</v>
      </c>
      <c r="J8" s="20" t="s">
        <v>67</v>
      </c>
      <c r="K8" s="20" t="s">
        <v>67</v>
      </c>
      <c r="L8" s="20" t="s">
        <v>67</v>
      </c>
      <c r="M8" s="20" t="s">
        <v>67</v>
      </c>
      <c r="N8" s="20" t="s">
        <v>68</v>
      </c>
      <c r="O8" s="20" t="s">
        <v>67</v>
      </c>
      <c r="P8" s="20" t="s">
        <v>67</v>
      </c>
      <c r="Q8" s="20" t="s">
        <v>67</v>
      </c>
      <c r="R8" s="20" t="s">
        <v>67</v>
      </c>
      <c r="S8" s="20" t="s">
        <v>68</v>
      </c>
      <c r="T8" s="20" t="s">
        <v>69</v>
      </c>
      <c r="U8" s="20" t="s">
        <v>68</v>
      </c>
    </row>
    <row r="9" spans="1:21" ht="45" customHeight="1" x14ac:dyDescent="0.3">
      <c r="A9" s="20" t="str">
        <f>'M-Barbero'!G3</f>
        <v>celular</v>
      </c>
      <c r="B9" s="21" t="str">
        <f>'M-Barbero'!G2</f>
        <v>Representa el número de celular del barbero, es el dato que el cliente necesita en caso de que tenga que contactarse con el</v>
      </c>
      <c r="C9" s="20" t="s">
        <v>68</v>
      </c>
      <c r="D9" s="20" t="s">
        <v>115</v>
      </c>
      <c r="E9" s="20" t="s">
        <v>65</v>
      </c>
      <c r="F9" s="20" t="s">
        <v>67</v>
      </c>
      <c r="G9" s="20" t="s">
        <v>67</v>
      </c>
      <c r="H9" s="20" t="s">
        <v>67</v>
      </c>
      <c r="I9" s="20" t="s">
        <v>67</v>
      </c>
      <c r="J9" s="20">
        <v>1000000</v>
      </c>
      <c r="K9" s="20">
        <v>9999999999</v>
      </c>
      <c r="L9" s="21" t="s">
        <v>183</v>
      </c>
      <c r="M9" s="20" t="s">
        <v>67</v>
      </c>
      <c r="N9" s="20" t="s">
        <v>68</v>
      </c>
      <c r="O9" s="20" t="s">
        <v>67</v>
      </c>
      <c r="P9" s="20" t="s">
        <v>67</v>
      </c>
      <c r="Q9" s="20" t="s">
        <v>67</v>
      </c>
      <c r="R9" s="20" t="s">
        <v>67</v>
      </c>
      <c r="S9" s="20" t="s">
        <v>65</v>
      </c>
      <c r="T9" s="20" t="s">
        <v>184</v>
      </c>
      <c r="U9" s="20" t="s">
        <v>68</v>
      </c>
    </row>
    <row r="10" spans="1:21" ht="60" customHeight="1" x14ac:dyDescent="0.3">
      <c r="A10" s="20" t="str">
        <f>'M-Barbero'!H3</f>
        <v>vigente</v>
      </c>
      <c r="B10" s="21" t="str">
        <f>'M-Barbero'!H2</f>
        <v>Representa si el barbero sigue o no trabajando en la barberia</v>
      </c>
      <c r="C10" s="20" t="s">
        <v>68</v>
      </c>
      <c r="D10" s="20" t="s">
        <v>116</v>
      </c>
      <c r="E10" s="20" t="s">
        <v>68</v>
      </c>
      <c r="F10" s="20" t="s">
        <v>67</v>
      </c>
      <c r="G10" s="20" t="s">
        <v>67</v>
      </c>
      <c r="H10" s="20" t="s">
        <v>67</v>
      </c>
      <c r="I10" s="20" t="s">
        <v>67</v>
      </c>
      <c r="J10" s="20" t="s">
        <v>67</v>
      </c>
      <c r="K10" s="20" t="s">
        <v>67</v>
      </c>
      <c r="L10" s="20" t="s">
        <v>67</v>
      </c>
      <c r="M10" s="21" t="s">
        <v>67</v>
      </c>
      <c r="N10" s="20" t="s">
        <v>65</v>
      </c>
      <c r="O10" s="20" t="s">
        <v>67</v>
      </c>
      <c r="P10" s="20" t="s">
        <v>67</v>
      </c>
      <c r="Q10" s="20" t="s">
        <v>67</v>
      </c>
      <c r="R10" s="20" t="s">
        <v>67</v>
      </c>
      <c r="S10" s="20" t="s">
        <v>68</v>
      </c>
      <c r="T10" s="20" t="s">
        <v>65</v>
      </c>
      <c r="U10" s="20" t="s">
        <v>68</v>
      </c>
    </row>
    <row r="11" spans="1:21" ht="75" customHeight="1" x14ac:dyDescent="0.3">
      <c r="A11" s="20" t="str">
        <f>'M-Barbero'!I3</f>
        <v>anticipacionEnHorasParaAgendarCita</v>
      </c>
      <c r="B11" s="21" t="str">
        <f>'M-Barbero'!I2</f>
        <v>Representa la parte en horas del tiempo mínimo de anticipación con el que un cliente debe pedirle una cita a este barbero. Junto con anticipacionEnMinutosParaAgendarCita forma el tiempo total de anticipación que exige el barbero</v>
      </c>
      <c r="C11" s="20" t="s">
        <v>68</v>
      </c>
      <c r="D11" s="20" t="s">
        <v>115</v>
      </c>
      <c r="E11" s="20" t="s">
        <v>68</v>
      </c>
      <c r="F11" s="20" t="s">
        <v>67</v>
      </c>
      <c r="G11" s="20" t="s">
        <v>67</v>
      </c>
      <c r="H11" s="20" t="s">
        <v>67</v>
      </c>
      <c r="I11" s="20" t="s">
        <v>67</v>
      </c>
      <c r="J11" s="20">
        <v>0</v>
      </c>
      <c r="K11" s="20">
        <v>720</v>
      </c>
      <c r="L11" s="20" t="s">
        <v>185</v>
      </c>
      <c r="M11" s="20" t="s">
        <v>67</v>
      </c>
      <c r="N11" s="20" t="s">
        <v>68</v>
      </c>
      <c r="O11" s="20" t="s">
        <v>67</v>
      </c>
      <c r="P11" s="20" t="s">
        <v>67</v>
      </c>
      <c r="Q11" s="20" t="s">
        <v>67</v>
      </c>
      <c r="R11" s="20" t="s">
        <v>67</v>
      </c>
      <c r="S11" s="20" t="s">
        <v>68</v>
      </c>
      <c r="T11" s="86">
        <v>0</v>
      </c>
      <c r="U11" s="20" t="s">
        <v>68</v>
      </c>
    </row>
    <row r="12" spans="1:21" ht="75" customHeight="1" x14ac:dyDescent="0.3">
      <c r="A12" s="20" t="str">
        <f>'M-Barbero'!J3</f>
        <v>anticipacionEnMinutosParaAgendarCita</v>
      </c>
      <c r="B12" s="21" t="str">
        <f>'M-Barbero'!J2</f>
        <v>Representa la parte en minutos del tiempo mínimo de anticipación con el que un cliente debe pedirle una cita a este barbero. Junto con anticipacionEnHorasParaAgendarCita forma el tiempo total de anticipación que exige el barbero</v>
      </c>
      <c r="C12" s="20" t="s">
        <v>68</v>
      </c>
      <c r="D12" s="20" t="s">
        <v>115</v>
      </c>
      <c r="E12" s="20" t="s">
        <v>68</v>
      </c>
      <c r="F12" s="20" t="s">
        <v>67</v>
      </c>
      <c r="G12" s="20" t="s">
        <v>67</v>
      </c>
      <c r="H12" s="20" t="s">
        <v>67</v>
      </c>
      <c r="I12" s="20" t="s">
        <v>67</v>
      </c>
      <c r="J12" s="20">
        <v>0</v>
      </c>
      <c r="K12" s="20">
        <v>59</v>
      </c>
      <c r="L12" s="20" t="s">
        <v>186</v>
      </c>
      <c r="M12" s="20" t="s">
        <v>67</v>
      </c>
      <c r="N12" s="20" t="s">
        <v>68</v>
      </c>
      <c r="O12" s="20" t="s">
        <v>67</v>
      </c>
      <c r="P12" s="20" t="s">
        <v>67</v>
      </c>
      <c r="Q12" s="20" t="s">
        <v>67</v>
      </c>
      <c r="R12" s="20" t="s">
        <v>67</v>
      </c>
      <c r="S12" s="20" t="s">
        <v>68</v>
      </c>
      <c r="T12" s="86">
        <v>0</v>
      </c>
      <c r="U12" s="20" t="s">
        <v>68</v>
      </c>
    </row>
    <row r="14" spans="1:21" ht="15" customHeight="1" x14ac:dyDescent="0.3">
      <c r="A14" s="22" t="s">
        <v>73</v>
      </c>
      <c r="B14" s="22" t="s">
        <v>74</v>
      </c>
      <c r="C14" s="22" t="s">
        <v>75</v>
      </c>
    </row>
    <row r="15" spans="1:21" ht="23.25" customHeight="1" x14ac:dyDescent="0.3">
      <c r="A15" s="5" t="str">
        <f>'M-Barbero'!K3</f>
        <v>Combinación única  1</v>
      </c>
      <c r="B15" s="4" t="str">
        <f>'M-Barbero'!K2</f>
        <v>Combinacion única que indica que no puede existir más de un barbero con el mismo prefijo de celular y número de celular</v>
      </c>
      <c r="C15" s="25" t="str">
        <f>A8</f>
        <v>prefijo</v>
      </c>
    </row>
    <row r="16" spans="1:21" ht="21" customHeight="1" x14ac:dyDescent="0.3">
      <c r="A16" s="5"/>
      <c r="B16" s="5"/>
      <c r="C16" s="25" t="str">
        <f>A9</f>
        <v>celular</v>
      </c>
    </row>
  </sheetData>
  <mergeCells count="2">
    <mergeCell ref="A15:A16"/>
    <mergeCell ref="B15:B16"/>
  </mergeCells>
  <hyperlinks>
    <hyperlink ref="A1" location="'Modelo de Dominio'!A1" display="&lt;&lt;&lt;&lt; Ir al modulo de dominio" xr:uid="{00000000-0004-0000-1000-000000000000}"/>
    <hyperlink ref="B1" location="'Objetos de Dominio'!A1" display="&lt;&lt;&lt;&lt; Ir a objetos de dominio" xr:uid="{00000000-0004-0000-1000-000001000000}"/>
    <hyperlink ref="A3" location="'M-Barbero'!A3" display="#'M-Barbero'.A3" xr:uid="{00000000-0004-0000-1000-000002000000}"/>
    <hyperlink ref="B3" location="'M-Barbero'!A2" display="#'M-Barbero'.A2" xr:uid="{00000000-0004-0000-1000-000003000000}"/>
    <hyperlink ref="A4" location="'M-Barbero'!A3" display="#'M-Barbero'.A3" xr:uid="{00000000-0004-0000-1000-000004000000}"/>
    <hyperlink ref="B4" location="'M-Barbero'!A2" display="#'M-Barbero'.A2" xr:uid="{00000000-0004-0000-1000-000005000000}"/>
    <hyperlink ref="A5" location="'M-Barbero'!A3" display="#'M-Barbero'.A3" xr:uid="{00000000-0004-0000-1000-000006000000}"/>
    <hyperlink ref="B5" location="'M-Barbero'!A2" display="#'M-Barbero'.A2" xr:uid="{00000000-0004-0000-1000-000007000000}"/>
    <hyperlink ref="A6" location="'M-Barbero'!A3" display="#'M-Barbero'.A3" xr:uid="{00000000-0004-0000-1000-000008000000}"/>
    <hyperlink ref="B6" location="'M-Barbero'!A2" display="#'M-Barbero'.A2" xr:uid="{00000000-0004-0000-1000-000009000000}"/>
    <hyperlink ref="A7" location="'M-Barbero'!A3" display="#'M-Barbero'.A3" xr:uid="{00000000-0004-0000-1000-00000A000000}"/>
    <hyperlink ref="B7" location="'M-Barbero'!A2" display="#'M-Barbero'.A2" xr:uid="{00000000-0004-0000-1000-00000B000000}"/>
    <hyperlink ref="A8" location="'M-Barbero'!A3" display="#'M-Barbero'.A3" xr:uid="{00000000-0004-0000-1000-00000C000000}"/>
    <hyperlink ref="B8" location="'M-Barbero'!A2" display="#'M-Barbero'.A2" xr:uid="{00000000-0004-0000-1000-00000D000000}"/>
    <hyperlink ref="D8" location="'C-PrefijoCelular'!A1" display="PrefijoCelular" xr:uid="{00000000-0004-0000-1000-00000E000000}"/>
    <hyperlink ref="A9" location="'M-Barbero'!A3" display="#'M-Barbero'.A3" xr:uid="{00000000-0004-0000-1000-00000F000000}"/>
    <hyperlink ref="B9" location="'M-Barbero'!A2" display="#'M-Barbero'.A2" xr:uid="{00000000-0004-0000-1000-000010000000}"/>
    <hyperlink ref="A10" location="'M-Barbero'!A3" display="#'M-Barbero'.A3" xr:uid="{00000000-0004-0000-1000-000011000000}"/>
    <hyperlink ref="B10" location="'M-Barbero'!A2" display="#'M-Barbero'.A2" xr:uid="{00000000-0004-0000-1000-000012000000}"/>
    <hyperlink ref="A15" location="'M-Barbero'!A3" display="#'M-Barbero'.A3" xr:uid="{00000000-0004-0000-1000-000013000000}"/>
    <hyperlink ref="B15" location="'M-Barbero'!A2" display="#'M-Barbero'.A2" xr:uid="{00000000-0004-0000-1000-000014000000}"/>
  </hyperlink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K20"/>
  <sheetViews>
    <sheetView zoomScale="115" zoomScaleNormal="115" workbookViewId="0">
      <selection activeCell="A2" sqref="A2"/>
    </sheetView>
  </sheetViews>
  <sheetFormatPr baseColWidth="10" defaultColWidth="10.6640625" defaultRowHeight="14.4" x14ac:dyDescent="0.3"/>
  <cols>
    <col min="1" max="1" width="27" customWidth="1"/>
    <col min="2" max="2" width="26.109375" customWidth="1"/>
    <col min="3" max="3" width="21.44140625" customWidth="1"/>
    <col min="4" max="4" width="19.44140625" customWidth="1"/>
    <col min="5" max="5" width="20.44140625" customWidth="1"/>
    <col min="6" max="6" width="20.5546875" customWidth="1"/>
    <col min="7" max="7" width="21" customWidth="1"/>
    <col min="8" max="8" width="33" customWidth="1"/>
    <col min="9" max="9" width="37.5546875" customWidth="1"/>
    <col min="10" max="10" width="36.6640625" customWidth="1"/>
    <col min="11" max="11" width="42" customWidth="1"/>
  </cols>
  <sheetData>
    <row r="1" spans="1:11" ht="14.25" customHeight="1" x14ac:dyDescent="0.3">
      <c r="A1" s="6" t="s">
        <v>1</v>
      </c>
      <c r="B1" s="6" t="s">
        <v>43</v>
      </c>
      <c r="C1" s="39"/>
      <c r="D1" s="39"/>
      <c r="E1" s="39"/>
      <c r="F1" s="39"/>
    </row>
    <row r="2" spans="1:11" ht="39" customHeight="1" x14ac:dyDescent="0.3">
      <c r="A2" s="26" t="s">
        <v>77</v>
      </c>
      <c r="B2" s="26" t="s">
        <v>159</v>
      </c>
      <c r="C2" s="26" t="s">
        <v>187</v>
      </c>
      <c r="D2" s="26" t="s">
        <v>188</v>
      </c>
      <c r="E2" s="26" t="s">
        <v>189</v>
      </c>
      <c r="F2" s="26" t="s">
        <v>190</v>
      </c>
      <c r="G2" s="26" t="s">
        <v>191</v>
      </c>
      <c r="H2" s="26" t="s">
        <v>192</v>
      </c>
      <c r="I2" s="26" t="s">
        <v>193</v>
      </c>
      <c r="J2" s="26" t="s">
        <v>194</v>
      </c>
      <c r="K2" s="27" t="s">
        <v>195</v>
      </c>
    </row>
    <row r="3" spans="1:11" ht="14.25" customHeight="1" x14ac:dyDescent="0.3">
      <c r="A3" s="28" t="s">
        <v>80</v>
      </c>
      <c r="B3" s="29" t="s">
        <v>196</v>
      </c>
      <c r="C3" s="29" t="s">
        <v>197</v>
      </c>
      <c r="D3" s="29" t="s">
        <v>198</v>
      </c>
      <c r="E3" s="29" t="s">
        <v>199</v>
      </c>
      <c r="F3" s="89" t="s">
        <v>158</v>
      </c>
      <c r="G3" s="29" t="s">
        <v>200</v>
      </c>
      <c r="H3" s="90" t="s">
        <v>201</v>
      </c>
      <c r="I3" s="91" t="s">
        <v>202</v>
      </c>
      <c r="J3" s="91" t="s">
        <v>203</v>
      </c>
      <c r="K3" s="30" t="s">
        <v>204</v>
      </c>
    </row>
    <row r="4" spans="1:11" ht="14.25" customHeight="1" x14ac:dyDescent="0.3">
      <c r="A4" s="31">
        <v>1</v>
      </c>
      <c r="B4" s="31" t="s">
        <v>205</v>
      </c>
      <c r="C4" s="31" t="s">
        <v>206</v>
      </c>
      <c r="D4" s="31" t="s">
        <v>207</v>
      </c>
      <c r="E4" s="31" t="s">
        <v>208</v>
      </c>
      <c r="F4" s="92" t="str">
        <f>'M-PrefijoCelular'!C4</f>
        <v>+57</v>
      </c>
      <c r="G4" s="31">
        <v>3245627890</v>
      </c>
      <c r="H4" s="31" t="s">
        <v>127</v>
      </c>
      <c r="I4" s="31">
        <v>24</v>
      </c>
      <c r="J4" s="31">
        <v>0</v>
      </c>
      <c r="K4" s="31" t="str">
        <f>_xlfn.CONCAT(F4,"-",G4)</f>
        <v>+57-3245627890</v>
      </c>
    </row>
    <row r="5" spans="1:11" ht="14.25" customHeight="1" x14ac:dyDescent="0.3">
      <c r="A5" s="31">
        <v>2</v>
      </c>
      <c r="B5" s="31" t="s">
        <v>205</v>
      </c>
      <c r="C5" s="31" t="s">
        <v>209</v>
      </c>
      <c r="D5" s="31" t="s">
        <v>210</v>
      </c>
      <c r="E5" s="31" t="s">
        <v>211</v>
      </c>
      <c r="F5" s="92" t="str">
        <f>'M-PrefijoCelular'!C4</f>
        <v>+57</v>
      </c>
      <c r="G5" s="31">
        <v>3124518923</v>
      </c>
      <c r="H5" s="31" t="s">
        <v>127</v>
      </c>
      <c r="I5" s="31">
        <v>0</v>
      </c>
      <c r="J5" s="31">
        <v>30</v>
      </c>
      <c r="K5" s="31" t="str">
        <f>_xlfn.CONCAT(F5,"-",G5)</f>
        <v>+57-3124518923</v>
      </c>
    </row>
    <row r="6" spans="1:11" ht="14.25" customHeight="1" x14ac:dyDescent="0.3">
      <c r="A6" s="31">
        <v>3</v>
      </c>
      <c r="B6" s="31" t="s">
        <v>212</v>
      </c>
      <c r="C6" s="31"/>
      <c r="D6" s="31" t="s">
        <v>213</v>
      </c>
      <c r="E6" s="31"/>
      <c r="F6" s="92" t="str">
        <f>'M-PrefijoCelular'!C4</f>
        <v>+57</v>
      </c>
      <c r="G6" s="31">
        <v>3214533321</v>
      </c>
      <c r="H6" s="31" t="s">
        <v>127</v>
      </c>
      <c r="I6" s="31">
        <v>1</v>
      </c>
      <c r="J6" s="31">
        <v>0</v>
      </c>
      <c r="K6" s="31" t="str">
        <f>_xlfn.CONCAT(F6,"-",G6)</f>
        <v>+57-3214533321</v>
      </c>
    </row>
    <row r="7" spans="1:11" ht="14.25" customHeight="1" x14ac:dyDescent="0.3">
      <c r="A7" s="31">
        <v>4</v>
      </c>
      <c r="B7" s="31" t="s">
        <v>214</v>
      </c>
      <c r="C7" s="31"/>
      <c r="D7" s="31" t="s">
        <v>215</v>
      </c>
      <c r="E7" s="31" t="s">
        <v>216</v>
      </c>
      <c r="F7" s="92" t="str">
        <f>'M-PrefijoCelular'!C5</f>
        <v>+91</v>
      </c>
      <c r="G7" s="31">
        <v>9876543210</v>
      </c>
      <c r="H7" s="31" t="s">
        <v>217</v>
      </c>
      <c r="I7" s="31">
        <v>0</v>
      </c>
      <c r="J7" s="31">
        <v>0</v>
      </c>
      <c r="K7" s="31" t="str">
        <f>_xlfn.CONCAT(F7,"-",G7)</f>
        <v>+91-9876543210</v>
      </c>
    </row>
    <row r="8" spans="1:11" ht="14.25" customHeight="1" x14ac:dyDescent="0.3">
      <c r="A8" s="31">
        <v>5</v>
      </c>
      <c r="B8" s="31" t="s">
        <v>205</v>
      </c>
      <c r="C8" s="31" t="s">
        <v>212</v>
      </c>
      <c r="D8" s="31" t="s">
        <v>218</v>
      </c>
      <c r="E8" s="31" t="s">
        <v>219</v>
      </c>
      <c r="F8" s="92" t="str">
        <f>'M-PrefijoCelular'!C6</f>
        <v>+593</v>
      </c>
      <c r="G8" s="31">
        <v>998765432</v>
      </c>
      <c r="H8" s="31" t="s">
        <v>217</v>
      </c>
      <c r="I8" s="31">
        <v>2</v>
      </c>
      <c r="J8" s="31">
        <v>0</v>
      </c>
      <c r="K8" s="31" t="str">
        <f>_xlfn.CONCAT(F8,"-",G8)</f>
        <v>+593-998765432</v>
      </c>
    </row>
    <row r="14" spans="1:11" ht="28.5" customHeight="1" x14ac:dyDescent="0.3">
      <c r="A14" s="34"/>
      <c r="B14" s="35" t="s">
        <v>90</v>
      </c>
    </row>
    <row r="15" spans="1:11" ht="28.5" customHeight="1" x14ac:dyDescent="0.3">
      <c r="A15" s="36"/>
      <c r="B15" s="35" t="s">
        <v>91</v>
      </c>
    </row>
    <row r="16" spans="1:11" ht="28.5" customHeight="1" x14ac:dyDescent="0.3">
      <c r="A16" s="37"/>
      <c r="B16" s="35" t="s">
        <v>92</v>
      </c>
    </row>
    <row r="17" spans="1:2" ht="28.5" customHeight="1" x14ac:dyDescent="0.3">
      <c r="A17" s="60"/>
      <c r="B17" s="35" t="s">
        <v>220</v>
      </c>
    </row>
    <row r="18" spans="1:2" ht="28.5" customHeight="1" x14ac:dyDescent="0.3">
      <c r="A18" s="62"/>
      <c r="B18" s="35" t="s">
        <v>135</v>
      </c>
    </row>
    <row r="19" spans="1:2" ht="28.5" customHeight="1" x14ac:dyDescent="0.3">
      <c r="A19" s="63"/>
      <c r="B19" s="35" t="s">
        <v>221</v>
      </c>
    </row>
    <row r="20" spans="1:2" ht="28.5" customHeight="1" x14ac:dyDescent="0.3">
      <c r="A20" s="38"/>
      <c r="B20" s="35" t="s">
        <v>222</v>
      </c>
    </row>
  </sheetData>
  <hyperlinks>
    <hyperlink ref="A1" location="'Modelo de Dominio'!A1" display="&lt;&lt;&lt;&lt; Ir al modulo de dominio" xr:uid="{00000000-0004-0000-1100-000000000000}"/>
    <hyperlink ref="B1" location="'Objetos de Dominio'!A1" display="&lt;&lt;&lt;&lt; Ir a objetos de dominio" xr:uid="{00000000-0004-0000-1100-000001000000}"/>
    <hyperlink ref="F4" location="'M-PrefijoCelular'!A4" display="#'M-PrefijoCelular'.A4" xr:uid="{00000000-0004-0000-1100-000002000000}"/>
    <hyperlink ref="F5" location="'M-PrefijoCelular'!A4" display="#'M-PrefijoCelular'.A4" xr:uid="{00000000-0004-0000-1100-000003000000}"/>
    <hyperlink ref="F6" location="'M-PrefijoCelular'!A4" display="#'M-PrefijoCelular'.A4" xr:uid="{00000000-0004-0000-1100-000004000000}"/>
    <hyperlink ref="F7" location="'M-PrefijoCelular'!A5" display="#'M-PrefijoCelular'.A5" xr:uid="{00000000-0004-0000-1100-000005000000}"/>
    <hyperlink ref="F8" location="'M-PrefijoCelular'!A6" display="#'M-PrefijoCelular'.A6" xr:uid="{00000000-0004-0000-1100-000006000000}"/>
  </hyperlinks>
  <pageMargins left="0.7" right="0.7" top="0.75" bottom="0.75"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41"/>
  <sheetViews>
    <sheetView zoomScaleNormal="100" workbookViewId="0">
      <selection activeCell="B1" sqref="B1"/>
    </sheetView>
  </sheetViews>
  <sheetFormatPr baseColWidth="10" defaultColWidth="8.6640625" defaultRowHeight="14.4" x14ac:dyDescent="0.3"/>
  <cols>
    <col min="1" max="1" width="27" customWidth="1"/>
    <col min="2" max="2" width="45" customWidth="1"/>
    <col min="3" max="3" width="30.44140625" customWidth="1"/>
    <col min="4" max="4" width="24.332031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8" customWidth="1"/>
    <col min="13" max="13" width="40" customWidth="1"/>
    <col min="14" max="14" width="18" customWidth="1"/>
    <col min="15" max="15" width="29.6640625" customWidth="1"/>
    <col min="16" max="16" width="25" customWidth="1"/>
    <col min="17" max="17" width="38.44140625" customWidth="1"/>
    <col min="18" max="18" width="35.6640625" customWidth="1"/>
    <col min="19" max="19" width="21" customWidth="1"/>
    <col min="20" max="20" width="24" customWidth="1"/>
    <col min="21" max="21" width="18" customWidth="1"/>
  </cols>
  <sheetData>
    <row r="1" spans="1:21" ht="15" customHeight="1" x14ac:dyDescent="0.3">
      <c r="A1" s="6" t="s">
        <v>1</v>
      </c>
      <c r="B1" s="6" t="s">
        <v>43</v>
      </c>
    </row>
    <row r="2" spans="1:21" ht="15" customHeight="1" x14ac:dyDescent="0.3">
      <c r="A2" s="43" t="s">
        <v>44</v>
      </c>
      <c r="B2" s="43" t="s">
        <v>45</v>
      </c>
      <c r="C2" s="43" t="s">
        <v>46</v>
      </c>
      <c r="D2" s="43" t="s">
        <v>47</v>
      </c>
      <c r="E2" s="43" t="s">
        <v>48</v>
      </c>
      <c r="F2" s="43" t="s">
        <v>49</v>
      </c>
      <c r="G2" s="43" t="s">
        <v>50</v>
      </c>
      <c r="H2" s="43" t="s">
        <v>51</v>
      </c>
      <c r="I2" s="43" t="s">
        <v>52</v>
      </c>
      <c r="J2" s="43" t="s">
        <v>53</v>
      </c>
      <c r="K2" s="43" t="s">
        <v>54</v>
      </c>
      <c r="L2" s="43" t="s">
        <v>55</v>
      </c>
      <c r="M2" s="43" t="s">
        <v>56</v>
      </c>
      <c r="N2" s="43" t="s">
        <v>57</v>
      </c>
      <c r="O2" s="43" t="s">
        <v>58</v>
      </c>
      <c r="P2" s="43" t="s">
        <v>59</v>
      </c>
      <c r="Q2" s="43" t="s">
        <v>60</v>
      </c>
      <c r="R2" s="43" t="s">
        <v>61</v>
      </c>
      <c r="S2" s="43" t="s">
        <v>62</v>
      </c>
      <c r="T2" s="43" t="s">
        <v>63</v>
      </c>
      <c r="U2" s="43" t="s">
        <v>64</v>
      </c>
    </row>
    <row r="3" spans="1:21" ht="45" customHeight="1" x14ac:dyDescent="0.3">
      <c r="A3" s="20" t="str">
        <f>'M-Cliente'!A3</f>
        <v>id</v>
      </c>
      <c r="B3" s="21" t="str">
        <f>'M-Cliente'!A2</f>
        <v>Representa un identificador que hará unico cada objeto de dominio de este tipo, no se puede repetir</v>
      </c>
      <c r="C3" s="20" t="s">
        <v>65</v>
      </c>
      <c r="D3" s="20" t="s">
        <v>66</v>
      </c>
      <c r="E3" s="20" t="s">
        <v>65</v>
      </c>
      <c r="F3" s="20" t="s">
        <v>67</v>
      </c>
      <c r="G3" s="20" t="s">
        <v>67</v>
      </c>
      <c r="H3" s="20" t="s">
        <v>67</v>
      </c>
      <c r="I3" s="20" t="s">
        <v>67</v>
      </c>
      <c r="J3" s="20" t="s">
        <v>67</v>
      </c>
      <c r="K3" s="20" t="s">
        <v>67</v>
      </c>
      <c r="L3" s="20" t="s">
        <v>67</v>
      </c>
      <c r="M3" s="21" t="s">
        <v>67</v>
      </c>
      <c r="N3" s="20" t="s">
        <v>65</v>
      </c>
      <c r="O3" s="20" t="s">
        <v>68</v>
      </c>
      <c r="P3" s="20" t="s">
        <v>67</v>
      </c>
      <c r="Q3" s="20" t="s">
        <v>67</v>
      </c>
      <c r="R3" s="20" t="s">
        <v>67</v>
      </c>
      <c r="S3" s="20" t="s">
        <v>68</v>
      </c>
      <c r="T3" s="20" t="s">
        <v>69</v>
      </c>
      <c r="U3" s="20" t="s">
        <v>65</v>
      </c>
    </row>
    <row r="4" spans="1:21" ht="45" customHeight="1" x14ac:dyDescent="0.3">
      <c r="A4" s="20" t="str">
        <f>'M-Cliente'!B3</f>
        <v>primerNombre</v>
      </c>
      <c r="B4" s="21" t="str">
        <f>'M-Cliente'!B2</f>
        <v>Representa el primer nombre de la persona, que va a estar llendo a la barberia para las citas</v>
      </c>
      <c r="C4" s="20" t="s">
        <v>68</v>
      </c>
      <c r="D4" s="20" t="s">
        <v>70</v>
      </c>
      <c r="E4" s="20" t="s">
        <v>65</v>
      </c>
      <c r="F4" s="20">
        <v>2</v>
      </c>
      <c r="G4" s="20">
        <v>50</v>
      </c>
      <c r="H4" s="20" t="s">
        <v>67</v>
      </c>
      <c r="I4" s="20" t="s">
        <v>67</v>
      </c>
      <c r="J4" s="20" t="s">
        <v>67</v>
      </c>
      <c r="K4" s="20" t="s">
        <v>67</v>
      </c>
      <c r="L4" s="20" t="s">
        <v>67</v>
      </c>
      <c r="M4" s="21" t="s">
        <v>180</v>
      </c>
      <c r="N4" s="20" t="s">
        <v>68</v>
      </c>
      <c r="O4" s="20" t="s">
        <v>68</v>
      </c>
      <c r="P4" s="20" t="s">
        <v>68</v>
      </c>
      <c r="Q4" s="20" t="s">
        <v>65</v>
      </c>
      <c r="R4" s="20" t="s">
        <v>65</v>
      </c>
      <c r="S4" s="20" t="s">
        <v>68</v>
      </c>
      <c r="T4" s="20" t="s">
        <v>72</v>
      </c>
      <c r="U4" s="20" t="s">
        <v>68</v>
      </c>
    </row>
    <row r="5" spans="1:21" ht="45" customHeight="1" x14ac:dyDescent="0.3">
      <c r="A5" s="20" t="str">
        <f>'M-Cliente'!C3</f>
        <v>segundoNombre</v>
      </c>
      <c r="B5" s="21" t="str">
        <f>'M-Cliente'!C2</f>
        <v>Representa el segundo nombre de la persona, que va a estar llendo a la barberia para las citas</v>
      </c>
      <c r="C5" s="20" t="s">
        <v>68</v>
      </c>
      <c r="D5" s="20" t="s">
        <v>70</v>
      </c>
      <c r="E5" s="20" t="s">
        <v>68</v>
      </c>
      <c r="F5" s="20">
        <v>2</v>
      </c>
      <c r="G5" s="20">
        <v>50</v>
      </c>
      <c r="H5" s="20" t="s">
        <v>67</v>
      </c>
      <c r="I5" s="20" t="s">
        <v>67</v>
      </c>
      <c r="J5" s="20" t="s">
        <v>67</v>
      </c>
      <c r="K5" s="20" t="s">
        <v>67</v>
      </c>
      <c r="L5" s="20" t="s">
        <v>67</v>
      </c>
      <c r="M5" s="21" t="s">
        <v>180</v>
      </c>
      <c r="N5" s="20" t="s">
        <v>68</v>
      </c>
      <c r="O5" s="20" t="s">
        <v>68</v>
      </c>
      <c r="P5" s="20" t="s">
        <v>68</v>
      </c>
      <c r="Q5" s="20" t="s">
        <v>65</v>
      </c>
      <c r="R5" s="20" t="s">
        <v>65</v>
      </c>
      <c r="S5" s="20" t="s">
        <v>68</v>
      </c>
      <c r="T5" s="20" t="s">
        <v>72</v>
      </c>
      <c r="U5" s="20" t="s">
        <v>68</v>
      </c>
    </row>
    <row r="6" spans="1:21" ht="45" customHeight="1" x14ac:dyDescent="0.3">
      <c r="A6" s="20" t="str">
        <f>'M-Cliente'!D3</f>
        <v>primerApellido</v>
      </c>
      <c r="B6" s="21" t="str">
        <f>'M-Cliente'!D2</f>
        <v>Representa el primer apellido de la persona, que va a estar llendo a la barberia para las citas</v>
      </c>
      <c r="C6" s="20" t="s">
        <v>68</v>
      </c>
      <c r="D6" s="20" t="s">
        <v>70</v>
      </c>
      <c r="E6" s="20" t="s">
        <v>65</v>
      </c>
      <c r="F6" s="20">
        <v>2</v>
      </c>
      <c r="G6" s="20">
        <v>50</v>
      </c>
      <c r="H6" s="20" t="s">
        <v>67</v>
      </c>
      <c r="I6" s="20" t="s">
        <v>67</v>
      </c>
      <c r="J6" s="20" t="s">
        <v>67</v>
      </c>
      <c r="K6" s="20" t="s">
        <v>67</v>
      </c>
      <c r="L6" s="20" t="s">
        <v>67</v>
      </c>
      <c r="M6" s="21" t="s">
        <v>180</v>
      </c>
      <c r="N6" s="20" t="s">
        <v>68</v>
      </c>
      <c r="O6" s="20" t="s">
        <v>68</v>
      </c>
      <c r="P6" s="20" t="s">
        <v>68</v>
      </c>
      <c r="Q6" s="20" t="s">
        <v>65</v>
      </c>
      <c r="R6" s="20" t="s">
        <v>65</v>
      </c>
      <c r="S6" s="20" t="s">
        <v>68</v>
      </c>
      <c r="T6" s="20" t="s">
        <v>72</v>
      </c>
      <c r="U6" s="20" t="s">
        <v>68</v>
      </c>
    </row>
    <row r="7" spans="1:21" ht="45" customHeight="1" x14ac:dyDescent="0.3">
      <c r="A7" s="20" t="str">
        <f>'M-Cliente'!E3</f>
        <v>segundoApellido</v>
      </c>
      <c r="B7" s="21" t="str">
        <f>'M-Cliente'!E2</f>
        <v>Representa el segundo apellido de la persona, que va a estar llendo a la barberia para las citas</v>
      </c>
      <c r="C7" s="20" t="s">
        <v>68</v>
      </c>
      <c r="D7" s="20" t="s">
        <v>70</v>
      </c>
      <c r="E7" s="20" t="s">
        <v>68</v>
      </c>
      <c r="F7" s="20">
        <v>2</v>
      </c>
      <c r="G7" s="20">
        <v>50</v>
      </c>
      <c r="H7" s="20" t="s">
        <v>67</v>
      </c>
      <c r="I7" s="20" t="s">
        <v>67</v>
      </c>
      <c r="J7" s="20" t="s">
        <v>67</v>
      </c>
      <c r="K7" s="20" t="s">
        <v>67</v>
      </c>
      <c r="L7" s="20" t="s">
        <v>67</v>
      </c>
      <c r="M7" s="21" t="s">
        <v>180</v>
      </c>
      <c r="N7" s="20" t="s">
        <v>68</v>
      </c>
      <c r="O7" s="20" t="s">
        <v>68</v>
      </c>
      <c r="P7" s="20" t="s">
        <v>68</v>
      </c>
      <c r="Q7" s="20" t="s">
        <v>65</v>
      </c>
      <c r="R7" s="20" t="s">
        <v>65</v>
      </c>
      <c r="S7" s="20" t="s">
        <v>68</v>
      </c>
      <c r="T7" s="20" t="s">
        <v>72</v>
      </c>
      <c r="U7" s="20" t="s">
        <v>68</v>
      </c>
    </row>
    <row r="8" spans="1:21" ht="45" customHeight="1" x14ac:dyDescent="0.3">
      <c r="A8" s="20" t="str">
        <f>'M-Cliente'!F3</f>
        <v>prefijoCelular</v>
      </c>
      <c r="B8" s="21" t="str">
        <f>'M-Cliente'!F2</f>
        <v>Representa cual es el prefijo del numero de celular del cliente</v>
      </c>
      <c r="C8" s="20" t="s">
        <v>68</v>
      </c>
      <c r="D8" s="85" t="s">
        <v>17</v>
      </c>
      <c r="E8" s="20" t="s">
        <v>65</v>
      </c>
      <c r="F8" s="20">
        <v>2</v>
      </c>
      <c r="G8" s="20">
        <v>4</v>
      </c>
      <c r="H8" s="20" t="s">
        <v>67</v>
      </c>
      <c r="I8" s="20" t="s">
        <v>67</v>
      </c>
      <c r="J8" s="20" t="s">
        <v>67</v>
      </c>
      <c r="K8" s="20" t="s">
        <v>67</v>
      </c>
      <c r="L8" s="21" t="s">
        <v>223</v>
      </c>
      <c r="M8" s="21" t="s">
        <v>224</v>
      </c>
      <c r="N8" s="20" t="s">
        <v>68</v>
      </c>
      <c r="O8" s="20" t="s">
        <v>68</v>
      </c>
      <c r="P8" s="20" t="s">
        <v>67</v>
      </c>
      <c r="Q8" s="20" t="s">
        <v>68</v>
      </c>
      <c r="R8" s="20" t="s">
        <v>68</v>
      </c>
      <c r="S8" s="20" t="s">
        <v>65</v>
      </c>
      <c r="T8" s="20" t="s">
        <v>69</v>
      </c>
      <c r="U8" s="20" t="s">
        <v>68</v>
      </c>
    </row>
    <row r="9" spans="1:21" ht="57" customHeight="1" x14ac:dyDescent="0.3">
      <c r="A9" s="20" t="str">
        <f>'M-Cliente'!G3</f>
        <v>celular</v>
      </c>
      <c r="B9" s="21" t="str">
        <f>'M-Cliente'!G2</f>
        <v>Representa el numero de celular del cliente, es el dato que el barbero necesita en caso de que tenga que contactarse con el</v>
      </c>
      <c r="C9" s="20" t="s">
        <v>68</v>
      </c>
      <c r="D9" s="20" t="s">
        <v>70</v>
      </c>
      <c r="E9" s="20" t="s">
        <v>65</v>
      </c>
      <c r="F9" s="20">
        <v>4</v>
      </c>
      <c r="G9" s="20">
        <v>15</v>
      </c>
      <c r="H9" s="20" t="s">
        <v>67</v>
      </c>
      <c r="I9" s="20" t="s">
        <v>67</v>
      </c>
      <c r="J9" s="20" t="s">
        <v>67</v>
      </c>
      <c r="K9" s="20" t="s">
        <v>67</v>
      </c>
      <c r="L9" s="21" t="s">
        <v>225</v>
      </c>
      <c r="M9" s="21" t="s">
        <v>67</v>
      </c>
      <c r="N9" s="20" t="s">
        <v>68</v>
      </c>
      <c r="O9" s="20" t="s">
        <v>68</v>
      </c>
      <c r="P9" s="20" t="s">
        <v>68</v>
      </c>
      <c r="Q9" s="20" t="s">
        <v>65</v>
      </c>
      <c r="R9" s="20" t="s">
        <v>65</v>
      </c>
      <c r="S9" s="20" t="s">
        <v>65</v>
      </c>
      <c r="T9" s="20">
        <v>0</v>
      </c>
      <c r="U9" s="20" t="s">
        <v>68</v>
      </c>
    </row>
    <row r="10" spans="1:21" ht="45" customHeight="1" x14ac:dyDescent="0.3">
      <c r="A10" s="20" t="str">
        <f>'M-Cliente'!I3</f>
        <v>multasSinPagar</v>
      </c>
      <c r="B10" s="21" t="str">
        <f>'M-Cliente'!I2</f>
        <v>Representa la cantidad de multas que tiene sin pagar en las citas que ha tenido, ya sea multa por tardanza o por no llegar</v>
      </c>
      <c r="C10" s="20" t="s">
        <v>68</v>
      </c>
      <c r="D10" s="20" t="s">
        <v>115</v>
      </c>
      <c r="E10" s="20" t="s">
        <v>65</v>
      </c>
      <c r="F10" s="20" t="s">
        <v>67</v>
      </c>
      <c r="G10" s="20" t="s">
        <v>67</v>
      </c>
      <c r="H10" s="20" t="s">
        <v>67</v>
      </c>
      <c r="I10" s="20" t="s">
        <v>67</v>
      </c>
      <c r="J10" s="20">
        <v>0</v>
      </c>
      <c r="K10" s="20">
        <v>3</v>
      </c>
      <c r="L10" s="20" t="s">
        <v>67</v>
      </c>
      <c r="M10" s="21" t="s">
        <v>226</v>
      </c>
      <c r="N10" s="20" t="s">
        <v>65</v>
      </c>
      <c r="O10" s="20" t="s">
        <v>68</v>
      </c>
      <c r="P10" s="20" t="s">
        <v>67</v>
      </c>
      <c r="Q10" s="20" t="s">
        <v>67</v>
      </c>
      <c r="R10" s="20" t="s">
        <v>67</v>
      </c>
      <c r="S10" s="20" t="s">
        <v>68</v>
      </c>
      <c r="T10" s="20">
        <v>0</v>
      </c>
      <c r="U10" s="20" t="s">
        <v>68</v>
      </c>
    </row>
    <row r="11" spans="1:21" ht="60" customHeight="1" x14ac:dyDescent="0.3">
      <c r="A11" s="20" t="str">
        <f>'M-Cliente'!J3</f>
        <v>estaVetado</v>
      </c>
      <c r="B11" s="21" t="str">
        <f>'M-Cliente'!J2</f>
        <v>Representa si el cliente esta en estado de veto o no, cuando el cliente esta vetado el sistema no va a permitir agendar citas con este cliente con ningun barbero</v>
      </c>
      <c r="C11" s="20" t="s">
        <v>68</v>
      </c>
      <c r="D11" s="20" t="s">
        <v>116</v>
      </c>
      <c r="E11" s="20" t="s">
        <v>65</v>
      </c>
      <c r="F11" s="20" t="s">
        <v>67</v>
      </c>
      <c r="G11" s="20" t="s">
        <v>67</v>
      </c>
      <c r="H11" s="20" t="s">
        <v>67</v>
      </c>
      <c r="I11" s="20" t="s">
        <v>67</v>
      </c>
      <c r="J11" s="20" t="s">
        <v>67</v>
      </c>
      <c r="K11" s="20" t="s">
        <v>67</v>
      </c>
      <c r="L11" s="20" t="s">
        <v>67</v>
      </c>
      <c r="M11" s="21" t="s">
        <v>227</v>
      </c>
      <c r="N11" s="20" t="s">
        <v>65</v>
      </c>
      <c r="O11" s="20" t="s">
        <v>68</v>
      </c>
      <c r="P11" s="20" t="s">
        <v>67</v>
      </c>
      <c r="Q11" s="20" t="s">
        <v>67</v>
      </c>
      <c r="R11" s="20" t="s">
        <v>67</v>
      </c>
      <c r="S11" s="20" t="s">
        <v>68</v>
      </c>
      <c r="T11" s="20" t="s">
        <v>68</v>
      </c>
      <c r="U11" s="20" t="s">
        <v>68</v>
      </c>
    </row>
    <row r="12" spans="1:21" ht="60" customHeight="1" x14ac:dyDescent="0.3">
      <c r="A12" s="20" t="str">
        <f>'M-Cliente'!K3</f>
        <v>cantidadDeDescuentoCitas</v>
      </c>
      <c r="B12" s="21" t="str">
        <f>'M-Cliente'!K2</f>
        <v>Representa la cantidad de citas que un cliente va a tener con descuento, cada inasistencia que un barbero le haga al cliente se le suma un descuento a la proxima cita</v>
      </c>
      <c r="C12" s="20" t="s">
        <v>68</v>
      </c>
      <c r="D12" s="20" t="s">
        <v>115</v>
      </c>
      <c r="E12" s="20" t="s">
        <v>65</v>
      </c>
      <c r="F12" s="20" t="s">
        <v>67</v>
      </c>
      <c r="G12" s="20" t="s">
        <v>67</v>
      </c>
      <c r="H12" s="20" t="s">
        <v>67</v>
      </c>
      <c r="I12" s="20" t="s">
        <v>67</v>
      </c>
      <c r="J12" s="20">
        <v>0</v>
      </c>
      <c r="K12" s="20">
        <v>1000</v>
      </c>
      <c r="L12" s="20" t="s">
        <v>67</v>
      </c>
      <c r="M12" s="21" t="s">
        <v>228</v>
      </c>
      <c r="N12" s="20" t="s">
        <v>65</v>
      </c>
      <c r="O12" s="20" t="s">
        <v>68</v>
      </c>
      <c r="P12" s="20" t="s">
        <v>67</v>
      </c>
      <c r="Q12" s="20" t="s">
        <v>67</v>
      </c>
      <c r="R12" s="20" t="s">
        <v>67</v>
      </c>
      <c r="S12" s="20" t="s">
        <v>68</v>
      </c>
      <c r="T12" s="20">
        <v>0</v>
      </c>
      <c r="U12" s="20" t="s">
        <v>68</v>
      </c>
    </row>
    <row r="13" spans="1:21" ht="15" customHeight="1" x14ac:dyDescent="0.3">
      <c r="A13" s="7"/>
      <c r="B13" s="7"/>
      <c r="C13" s="7"/>
      <c r="D13" s="7"/>
      <c r="E13" s="7"/>
      <c r="F13" s="7"/>
      <c r="G13" s="7"/>
      <c r="H13" s="7"/>
      <c r="I13" s="7"/>
      <c r="J13" s="7"/>
      <c r="K13" s="7"/>
      <c r="L13" s="7"/>
      <c r="M13" s="7"/>
      <c r="N13" s="7"/>
      <c r="O13" s="7"/>
      <c r="P13" s="7"/>
      <c r="Q13" s="7"/>
      <c r="R13" s="7"/>
      <c r="S13" s="7"/>
      <c r="T13" s="7"/>
      <c r="U13" s="7"/>
    </row>
    <row r="14" spans="1:21" ht="15" customHeight="1" x14ac:dyDescent="0.3">
      <c r="A14" s="22" t="s">
        <v>73</v>
      </c>
      <c r="B14" s="22" t="s">
        <v>74</v>
      </c>
      <c r="C14" s="22" t="s">
        <v>75</v>
      </c>
      <c r="D14" s="45"/>
      <c r="E14" s="45"/>
      <c r="F14" s="45"/>
      <c r="G14" s="45"/>
      <c r="H14" s="45"/>
      <c r="I14" s="45"/>
      <c r="J14" s="45"/>
      <c r="K14" s="45"/>
      <c r="L14" s="45"/>
      <c r="M14" s="45"/>
      <c r="N14" s="45"/>
      <c r="O14" s="45"/>
      <c r="P14" s="45"/>
      <c r="Q14" s="45"/>
      <c r="R14" s="45"/>
      <c r="S14" s="45"/>
      <c r="T14" s="45"/>
      <c r="U14" s="45"/>
    </row>
    <row r="15" spans="1:21" ht="15" customHeight="1" x14ac:dyDescent="0.3">
      <c r="A15" s="3" t="str">
        <f>'M-Cliente'!L3</f>
        <v>Combinación única  1</v>
      </c>
      <c r="B15" s="2" t="str">
        <f>'M-Cliente'!L2</f>
        <v>Combinacion única que indica que no puede existir más de un cliente con el mismo prefijo de celular y número de celular</v>
      </c>
      <c r="C15" s="1" t="str">
        <f>A8</f>
        <v>prefijoCelular</v>
      </c>
      <c r="D15" s="7"/>
      <c r="E15" s="7"/>
      <c r="F15" s="7"/>
      <c r="G15" s="7"/>
      <c r="H15" s="7"/>
      <c r="I15" s="7"/>
      <c r="J15" s="7"/>
      <c r="K15" s="7"/>
      <c r="L15" s="7"/>
      <c r="M15" s="7"/>
      <c r="N15" s="7"/>
      <c r="O15" s="7"/>
      <c r="P15" s="7"/>
      <c r="Q15" s="7"/>
      <c r="R15" s="7"/>
      <c r="S15" s="7"/>
      <c r="T15" s="7"/>
      <c r="U15" s="7"/>
    </row>
    <row r="16" spans="1:21" ht="15" customHeight="1" x14ac:dyDescent="0.3">
      <c r="A16" s="3"/>
      <c r="B16" s="3"/>
      <c r="C16" s="3"/>
      <c r="D16" s="7"/>
      <c r="E16" s="7"/>
      <c r="F16" s="7"/>
      <c r="G16" s="7"/>
      <c r="H16" s="7"/>
      <c r="I16" s="7"/>
      <c r="J16" s="7"/>
      <c r="K16" s="7"/>
      <c r="L16" s="7"/>
      <c r="M16" s="7"/>
      <c r="N16" s="7"/>
      <c r="O16" s="7"/>
      <c r="P16" s="7"/>
      <c r="Q16" s="7"/>
      <c r="R16" s="7"/>
      <c r="S16" s="7"/>
      <c r="T16" s="7"/>
      <c r="U16" s="7"/>
    </row>
    <row r="17" spans="1:21" ht="15" customHeight="1" x14ac:dyDescent="0.3">
      <c r="A17" s="3"/>
      <c r="B17" s="3"/>
      <c r="C17" s="1"/>
      <c r="D17" s="7"/>
      <c r="E17" s="7"/>
      <c r="F17" s="7"/>
      <c r="G17" s="7"/>
      <c r="H17" s="7"/>
      <c r="I17" s="7"/>
      <c r="J17" s="7"/>
      <c r="K17" s="7"/>
      <c r="L17" s="7"/>
      <c r="M17" s="7"/>
      <c r="N17" s="7"/>
      <c r="O17" s="7"/>
      <c r="P17" s="7"/>
      <c r="Q17" s="7"/>
      <c r="R17" s="7"/>
      <c r="S17" s="7"/>
      <c r="T17" s="7"/>
      <c r="U17" s="7"/>
    </row>
    <row r="18" spans="1:21" ht="15" customHeight="1" x14ac:dyDescent="0.3">
      <c r="A18" s="3"/>
      <c r="B18" s="3"/>
      <c r="C18" s="1" t="str">
        <f>A9</f>
        <v>celular</v>
      </c>
      <c r="D18" s="7"/>
      <c r="E18" s="7"/>
      <c r="F18" s="7"/>
      <c r="G18" s="7"/>
      <c r="H18" s="7"/>
      <c r="I18" s="7"/>
      <c r="J18" s="7"/>
      <c r="K18" s="7"/>
      <c r="L18" s="7"/>
      <c r="M18" s="7"/>
      <c r="N18" s="7"/>
      <c r="O18" s="7"/>
      <c r="P18" s="7"/>
      <c r="Q18" s="7"/>
      <c r="R18" s="7"/>
      <c r="S18" s="7"/>
      <c r="T18" s="7"/>
      <c r="U18" s="7"/>
    </row>
    <row r="19" spans="1:21" ht="15" customHeight="1" x14ac:dyDescent="0.3">
      <c r="A19" s="3"/>
      <c r="B19" s="3"/>
      <c r="C19" s="3"/>
      <c r="D19" s="7"/>
      <c r="E19" s="7"/>
      <c r="F19" s="7"/>
      <c r="G19" s="7"/>
      <c r="H19" s="7"/>
      <c r="I19" s="7"/>
      <c r="J19" s="7"/>
      <c r="K19" s="7"/>
      <c r="L19" s="7"/>
      <c r="M19" s="7"/>
      <c r="N19" s="7"/>
      <c r="O19" s="7"/>
      <c r="P19" s="7"/>
      <c r="Q19" s="7"/>
      <c r="R19" s="7"/>
      <c r="S19" s="7"/>
      <c r="T19" s="7"/>
      <c r="U19" s="7"/>
    </row>
    <row r="20" spans="1:21" ht="15" customHeight="1" x14ac:dyDescent="0.3">
      <c r="A20" s="3"/>
      <c r="B20" s="3"/>
      <c r="C20" s="3"/>
      <c r="D20" s="7"/>
      <c r="E20" s="7"/>
      <c r="F20" s="7"/>
      <c r="G20" s="7"/>
      <c r="H20" s="7"/>
      <c r="I20" s="7"/>
      <c r="J20" s="7"/>
      <c r="K20" s="7"/>
      <c r="L20" s="7"/>
      <c r="M20" s="7"/>
      <c r="N20" s="7"/>
      <c r="O20" s="7"/>
      <c r="P20" s="7"/>
      <c r="Q20" s="7"/>
      <c r="R20" s="7"/>
      <c r="S20" s="7"/>
      <c r="T20" s="7"/>
      <c r="U20" s="7"/>
    </row>
    <row r="21" spans="1:21" ht="15" customHeight="1" x14ac:dyDescent="0.3">
      <c r="A21" s="39"/>
      <c r="B21" s="39"/>
    </row>
    <row r="22" spans="1:21" ht="15" customHeight="1" x14ac:dyDescent="0.3">
      <c r="A22" s="39"/>
      <c r="B22" s="39"/>
    </row>
    <row r="23" spans="1:21" ht="15" customHeight="1" x14ac:dyDescent="0.3">
      <c r="A23" s="39"/>
      <c r="B23" s="39"/>
    </row>
    <row r="24" spans="1:21" ht="15" customHeight="1" x14ac:dyDescent="0.3">
      <c r="A24" s="39"/>
      <c r="B24" s="39"/>
    </row>
    <row r="25" spans="1:21" ht="15" customHeight="1" x14ac:dyDescent="0.3">
      <c r="A25" s="39"/>
      <c r="B25" s="39"/>
    </row>
    <row r="26" spans="1:21" ht="15" customHeight="1" x14ac:dyDescent="0.3">
      <c r="A26" s="46"/>
      <c r="B26" s="46"/>
      <c r="C26" s="46"/>
      <c r="D26" s="46"/>
      <c r="E26" s="46"/>
      <c r="F26" s="46"/>
      <c r="G26" s="46"/>
      <c r="H26" s="46"/>
      <c r="I26" s="46"/>
      <c r="J26" s="46"/>
      <c r="K26" s="46"/>
      <c r="L26" s="46"/>
      <c r="M26" s="46"/>
      <c r="N26" s="46"/>
      <c r="O26" s="46"/>
      <c r="P26" s="46"/>
      <c r="Q26" s="46"/>
      <c r="R26" s="46"/>
      <c r="S26" s="46"/>
      <c r="T26" s="46"/>
      <c r="U26" s="46"/>
    </row>
    <row r="27" spans="1:21" ht="15" customHeight="1" x14ac:dyDescent="0.3">
      <c r="A27" s="39"/>
      <c r="B27" s="39"/>
    </row>
    <row r="28" spans="1:21" ht="15" customHeight="1" x14ac:dyDescent="0.3">
      <c r="A28" s="39"/>
      <c r="B28" s="39"/>
    </row>
    <row r="29" spans="1:21" ht="15" customHeight="1" x14ac:dyDescent="0.3">
      <c r="A29" s="39"/>
      <c r="B29" s="39"/>
    </row>
    <row r="30" spans="1:21" ht="15" customHeight="1" x14ac:dyDescent="0.3">
      <c r="A30" s="39"/>
      <c r="B30" s="39"/>
    </row>
    <row r="31" spans="1:21" ht="15" customHeight="1" x14ac:dyDescent="0.3">
      <c r="A31" s="39"/>
      <c r="B31" s="39"/>
    </row>
    <row r="32" spans="1:21" ht="15" customHeight="1" x14ac:dyDescent="0.3">
      <c r="A32" s="39"/>
      <c r="B32" s="39"/>
    </row>
    <row r="33" spans="1:3" ht="15" customHeight="1" x14ac:dyDescent="0.3">
      <c r="A33" s="39"/>
      <c r="B33" s="39"/>
    </row>
    <row r="34" spans="1:3" ht="15" customHeight="1" x14ac:dyDescent="0.3">
      <c r="A34" s="39"/>
      <c r="B34" s="39"/>
    </row>
    <row r="35" spans="1:3" ht="15" customHeight="1" x14ac:dyDescent="0.3">
      <c r="A35" s="39"/>
      <c r="B35" s="39"/>
    </row>
    <row r="36" spans="1:3" ht="15" customHeight="1" x14ac:dyDescent="0.3">
      <c r="A36" s="39"/>
      <c r="B36" s="39"/>
    </row>
    <row r="37" spans="1:3" ht="15" customHeight="1" x14ac:dyDescent="0.3">
      <c r="A37" s="39"/>
      <c r="B37" s="39"/>
    </row>
    <row r="39" spans="1:3" ht="15" customHeight="1" x14ac:dyDescent="0.3">
      <c r="A39" s="47"/>
      <c r="B39" s="47"/>
      <c r="C39" s="47"/>
    </row>
    <row r="40" spans="1:3" ht="15" customHeight="1" x14ac:dyDescent="0.3">
      <c r="A40" s="39"/>
      <c r="B40" s="39"/>
    </row>
    <row r="41" spans="1:3" ht="15" customHeight="1" x14ac:dyDescent="0.3">
      <c r="A41" s="39"/>
      <c r="B41" s="39"/>
    </row>
  </sheetData>
  <mergeCells count="4">
    <mergeCell ref="A15:A20"/>
    <mergeCell ref="B15:B20"/>
    <mergeCell ref="C15:C17"/>
    <mergeCell ref="C18:C20"/>
  </mergeCells>
  <hyperlinks>
    <hyperlink ref="A1" location="'Modelo de Dominio'!A1" display="&lt;&lt;&lt;&lt; Ir al modulo de dominio" xr:uid="{00000000-0004-0000-1200-000000000000}"/>
    <hyperlink ref="B1" location="'Objetos de Dominio'!A1" display="&lt;&lt;&lt;&lt; Ir a objetos de dominio" xr:uid="{00000000-0004-0000-1200-000001000000}"/>
    <hyperlink ref="D8" location="'C-PrefijoCelular'!A1" display="PrefijoCelular" xr:uid="{00000000-0004-0000-1200-000002000000}"/>
  </hyperlink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L19"/>
  <sheetViews>
    <sheetView zoomScale="130" zoomScaleNormal="130" workbookViewId="0">
      <selection activeCell="B1" sqref="B1"/>
    </sheetView>
  </sheetViews>
  <sheetFormatPr baseColWidth="10" defaultColWidth="10.6640625" defaultRowHeight="14.4" x14ac:dyDescent="0.3"/>
  <cols>
    <col min="1" max="1" width="27" customWidth="1"/>
    <col min="2" max="2" width="26.109375" customWidth="1"/>
    <col min="3" max="3" width="21.88671875" customWidth="1"/>
    <col min="4" max="4" width="22.109375" customWidth="1"/>
    <col min="5" max="5" width="22.44140625" customWidth="1"/>
    <col min="6" max="6" width="19.5546875" customWidth="1"/>
    <col min="7" max="7" width="28.33203125" customWidth="1"/>
    <col min="8" max="8" width="27.6640625" customWidth="1"/>
    <col min="9" max="9" width="41.88671875" customWidth="1"/>
    <col min="10" max="10" width="35.88671875" customWidth="1"/>
    <col min="11" max="11" width="40.6640625" customWidth="1"/>
    <col min="12" max="12" width="28.33203125" customWidth="1"/>
  </cols>
  <sheetData>
    <row r="1" spans="1:12" ht="14.25" customHeight="1" x14ac:dyDescent="0.3">
      <c r="A1" s="6" t="s">
        <v>1</v>
      </c>
      <c r="B1" s="6" t="s">
        <v>43</v>
      </c>
      <c r="C1" s="92"/>
      <c r="D1" s="92"/>
      <c r="E1" s="92"/>
      <c r="F1" s="92"/>
      <c r="G1" s="31"/>
      <c r="H1" s="31"/>
      <c r="I1" s="31"/>
      <c r="J1" s="31"/>
      <c r="K1" s="31"/>
      <c r="L1" s="31"/>
    </row>
    <row r="2" spans="1:12" ht="37.5" customHeight="1" x14ac:dyDescent="0.3">
      <c r="A2" s="50" t="s">
        <v>77</v>
      </c>
      <c r="B2" s="50" t="s">
        <v>229</v>
      </c>
      <c r="C2" s="50" t="s">
        <v>230</v>
      </c>
      <c r="D2" s="50" t="s">
        <v>231</v>
      </c>
      <c r="E2" s="50" t="s">
        <v>232</v>
      </c>
      <c r="F2" s="50" t="s">
        <v>233</v>
      </c>
      <c r="G2" s="93" t="s">
        <v>234</v>
      </c>
      <c r="H2" s="93" t="s">
        <v>235</v>
      </c>
      <c r="I2" s="93" t="s">
        <v>236</v>
      </c>
      <c r="J2" s="93" t="s">
        <v>237</v>
      </c>
      <c r="K2" s="93" t="s">
        <v>238</v>
      </c>
      <c r="L2" s="94" t="s">
        <v>239</v>
      </c>
    </row>
    <row r="3" spans="1:12" ht="14.25" customHeight="1" x14ac:dyDescent="0.3">
      <c r="A3" s="28" t="s">
        <v>80</v>
      </c>
      <c r="B3" s="29" t="s">
        <v>196</v>
      </c>
      <c r="C3" s="29" t="s">
        <v>197</v>
      </c>
      <c r="D3" s="29" t="s">
        <v>198</v>
      </c>
      <c r="E3" s="29" t="s">
        <v>199</v>
      </c>
      <c r="F3" s="95" t="s">
        <v>240</v>
      </c>
      <c r="G3" s="29" t="s">
        <v>200</v>
      </c>
      <c r="H3" s="96" t="s">
        <v>241</v>
      </c>
      <c r="I3" s="97" t="s">
        <v>242</v>
      </c>
      <c r="J3" s="97" t="s">
        <v>243</v>
      </c>
      <c r="K3" s="97" t="s">
        <v>244</v>
      </c>
      <c r="L3" s="30" t="s">
        <v>204</v>
      </c>
    </row>
    <row r="4" spans="1:12" ht="14.25" customHeight="1" x14ac:dyDescent="0.3">
      <c r="A4" s="31">
        <v>1</v>
      </c>
      <c r="B4" s="31" t="s">
        <v>205</v>
      </c>
      <c r="C4" s="31"/>
      <c r="D4" s="31" t="s">
        <v>245</v>
      </c>
      <c r="E4" s="31"/>
      <c r="F4" s="92" t="str">
        <f>'M-PrefijoCelular'!C4</f>
        <v>+57</v>
      </c>
      <c r="G4" s="31">
        <v>3234528921</v>
      </c>
      <c r="H4" s="31" t="s">
        <v>65</v>
      </c>
      <c r="I4" s="31">
        <v>0</v>
      </c>
      <c r="J4" s="31" t="s">
        <v>217</v>
      </c>
      <c r="K4" s="31">
        <v>0</v>
      </c>
      <c r="L4" s="31" t="str">
        <f>_xlfn.CONCAT(F4,"-",G4)</f>
        <v>+57-3234528921</v>
      </c>
    </row>
    <row r="5" spans="1:12" ht="14.25" customHeight="1" x14ac:dyDescent="0.3">
      <c r="A5" s="31">
        <v>2</v>
      </c>
      <c r="B5" s="31" t="s">
        <v>246</v>
      </c>
      <c r="C5" s="31" t="s">
        <v>247</v>
      </c>
      <c r="D5" s="31" t="s">
        <v>215</v>
      </c>
      <c r="E5" s="31" t="s">
        <v>219</v>
      </c>
      <c r="F5" s="92" t="str">
        <f>'M-PrefijoCelular'!C4</f>
        <v>+57</v>
      </c>
      <c r="G5" s="31">
        <v>3161657782</v>
      </c>
      <c r="H5" s="31" t="s">
        <v>65</v>
      </c>
      <c r="I5" s="31">
        <v>0</v>
      </c>
      <c r="J5" s="31" t="s">
        <v>217</v>
      </c>
      <c r="K5" s="31">
        <v>0</v>
      </c>
      <c r="L5" s="31" t="str">
        <f>_xlfn.CONCAT(F5,"-",G5)</f>
        <v>+57-3161657782</v>
      </c>
    </row>
    <row r="6" spans="1:12" ht="14.25" customHeight="1" x14ac:dyDescent="0.3">
      <c r="A6" s="31">
        <v>3</v>
      </c>
      <c r="B6" s="31" t="s">
        <v>248</v>
      </c>
      <c r="C6" s="31"/>
      <c r="D6" s="31" t="s">
        <v>249</v>
      </c>
      <c r="E6" s="31" t="s">
        <v>215</v>
      </c>
      <c r="F6" s="92" t="str">
        <f>'M-PrefijoCelular'!C4</f>
        <v>+57</v>
      </c>
      <c r="G6" s="31">
        <v>3119884321</v>
      </c>
      <c r="H6" s="31" t="s">
        <v>65</v>
      </c>
      <c r="I6" s="31">
        <v>0</v>
      </c>
      <c r="J6" s="31" t="s">
        <v>217</v>
      </c>
      <c r="K6" s="31">
        <v>0</v>
      </c>
      <c r="L6" s="31" t="str">
        <f>_xlfn.CONCAT(F6,"-",G6)</f>
        <v>+57-3119884321</v>
      </c>
    </row>
    <row r="7" spans="1:12" ht="14.25" customHeight="1" x14ac:dyDescent="0.3">
      <c r="A7" s="31">
        <v>4</v>
      </c>
      <c r="B7" s="31" t="s">
        <v>250</v>
      </c>
      <c r="C7" s="31"/>
      <c r="D7" s="31" t="s">
        <v>251</v>
      </c>
      <c r="E7" s="31"/>
      <c r="F7" s="92" t="str">
        <f>'M-PrefijoCelular'!C7</f>
        <v>+58</v>
      </c>
      <c r="G7" s="31">
        <v>4127359182</v>
      </c>
      <c r="H7" s="31" t="s">
        <v>65</v>
      </c>
      <c r="I7" s="31">
        <v>1</v>
      </c>
      <c r="J7" s="31" t="s">
        <v>217</v>
      </c>
      <c r="K7" s="31">
        <v>1</v>
      </c>
      <c r="L7" s="31" t="str">
        <f>_xlfn.CONCAT(F7,"-",G7)</f>
        <v>+58-4127359182</v>
      </c>
    </row>
    <row r="8" spans="1:12" ht="14.25" customHeight="1" x14ac:dyDescent="0.3">
      <c r="A8" s="31">
        <v>5</v>
      </c>
      <c r="B8" s="31" t="s">
        <v>252</v>
      </c>
      <c r="C8" s="31" t="s">
        <v>253</v>
      </c>
      <c r="D8" s="31" t="s">
        <v>254</v>
      </c>
      <c r="E8" s="31" t="s">
        <v>255</v>
      </c>
      <c r="F8" s="92" t="str">
        <f>'M-PrefijoCelular'!C4</f>
        <v>+57</v>
      </c>
      <c r="G8" s="31">
        <v>3005544332</v>
      </c>
      <c r="H8" s="31" t="s">
        <v>65</v>
      </c>
      <c r="I8" s="31">
        <v>3</v>
      </c>
      <c r="J8" s="31" t="s">
        <v>127</v>
      </c>
      <c r="K8" s="31">
        <v>0</v>
      </c>
      <c r="L8" s="31" t="str">
        <f>_xlfn.CONCAT(F8,"-",G8)</f>
        <v>+57-3005544332</v>
      </c>
    </row>
    <row r="13" spans="1:12" ht="14.25" customHeight="1" x14ac:dyDescent="0.3">
      <c r="B13" s="35"/>
    </row>
    <row r="14" spans="1:12" ht="28.5" customHeight="1" x14ac:dyDescent="0.3">
      <c r="A14" s="34"/>
      <c r="B14" s="35" t="s">
        <v>90</v>
      </c>
    </row>
    <row r="15" spans="1:12" ht="28.5" customHeight="1" x14ac:dyDescent="0.3">
      <c r="A15" s="36"/>
      <c r="B15" s="35" t="s">
        <v>91</v>
      </c>
    </row>
    <row r="16" spans="1:12" ht="28.5" customHeight="1" x14ac:dyDescent="0.3">
      <c r="A16" s="37"/>
      <c r="B16" s="35" t="s">
        <v>92</v>
      </c>
    </row>
    <row r="17" spans="1:2" ht="28.5" customHeight="1" x14ac:dyDescent="0.3">
      <c r="A17" s="60"/>
      <c r="B17" s="35" t="s">
        <v>220</v>
      </c>
    </row>
    <row r="18" spans="1:2" ht="28.5" customHeight="1" x14ac:dyDescent="0.3">
      <c r="A18" s="98"/>
      <c r="B18" s="35" t="s">
        <v>256</v>
      </c>
    </row>
    <row r="19" spans="1:2" ht="28.5" customHeight="1" x14ac:dyDescent="0.3">
      <c r="A19" s="38"/>
      <c r="B19" s="35" t="s">
        <v>93</v>
      </c>
    </row>
  </sheetData>
  <hyperlinks>
    <hyperlink ref="A1" location="'Modelo de Dominio'!A1" display="&lt;&lt;&lt;&lt; Ir al modulo de dominio" xr:uid="{00000000-0004-0000-1300-000000000000}"/>
    <hyperlink ref="B1" location="'Objetos de Dominio'!A1" display="&lt;&lt;&lt;&lt; Ir a objetos de dominio" xr:uid="{00000000-0004-0000-1300-000001000000}"/>
    <hyperlink ref="F3" location="'M-PrefijoCelular'!A1" display="prefijoCelular" xr:uid="{00000000-0004-0000-1300-000002000000}"/>
    <hyperlink ref="F4" location="'M-PrefijoCelular'!A4" display="#'M-PrefijoCelular'.A4" xr:uid="{00000000-0004-0000-1300-000003000000}"/>
    <hyperlink ref="F5" location="'M-PrefijoCelular'!A4" display="#'M-PrefijoCelular'.A4" xr:uid="{00000000-0004-0000-1300-000004000000}"/>
    <hyperlink ref="F6" location="'M-PrefijoCelular'!A4" display="#'M-PrefijoCelular'.A4" xr:uid="{00000000-0004-0000-1300-000005000000}"/>
    <hyperlink ref="F7" location="'M-PrefijoCelular'!A7" display="#'M-PrefijoCelular'.A7" xr:uid="{00000000-0004-0000-1300-000006000000}"/>
    <hyperlink ref="F8" location="'M-PrefijoCelular'!A4" display="#'M-PrefijoCelular'.A4" xr:uid="{00000000-0004-0000-1300-000007000000}"/>
  </hyperlinks>
  <pageMargins left="0.7" right="0.7" top="0.75" bottom="0.75"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4"/>
  <sheetViews>
    <sheetView zoomScaleNormal="100" workbookViewId="0">
      <selection activeCell="B1" sqref="B1"/>
    </sheetView>
  </sheetViews>
  <sheetFormatPr baseColWidth="10" defaultColWidth="8.6640625" defaultRowHeight="14.4" x14ac:dyDescent="0.3"/>
  <cols>
    <col min="1" max="1" width="26.6640625" customWidth="1"/>
    <col min="2" max="2" width="45" customWidth="1"/>
    <col min="3" max="3" width="35.6640625" customWidth="1"/>
    <col min="4" max="5" width="18" customWidth="1"/>
    <col min="6" max="6" width="25.44140625" customWidth="1"/>
    <col min="7" max="7" width="25.6640625" customWidth="1"/>
    <col min="8" max="12" width="18" customWidth="1"/>
    <col min="13" max="13" width="40" customWidth="1"/>
    <col min="14" max="14" width="18" customWidth="1"/>
    <col min="15" max="15" width="29.6640625" customWidth="1"/>
    <col min="16" max="16" width="27" customWidth="1"/>
    <col min="17" max="17" width="38.44140625" customWidth="1"/>
    <col min="18" max="18" width="38.88671875" customWidth="1"/>
    <col min="19" max="19" width="22.88671875" customWidth="1"/>
    <col min="20" max="20" width="25.88671875" customWidth="1"/>
    <col min="21" max="21" width="18" customWidth="1"/>
  </cols>
  <sheetData>
    <row r="1" spans="1:21" ht="15" customHeight="1" x14ac:dyDescent="0.3">
      <c r="A1" s="6" t="s">
        <v>1</v>
      </c>
      <c r="B1" s="6" t="s">
        <v>43</v>
      </c>
    </row>
    <row r="2" spans="1:21" ht="15" customHeight="1" x14ac:dyDescent="0.3">
      <c r="A2" s="43" t="s">
        <v>44</v>
      </c>
      <c r="B2" s="43" t="s">
        <v>45</v>
      </c>
      <c r="C2" s="43" t="s">
        <v>46</v>
      </c>
      <c r="D2" s="43" t="s">
        <v>47</v>
      </c>
      <c r="E2" s="43" t="s">
        <v>48</v>
      </c>
      <c r="F2" s="43" t="s">
        <v>49</v>
      </c>
      <c r="G2" s="43" t="s">
        <v>50</v>
      </c>
      <c r="H2" s="43" t="s">
        <v>51</v>
      </c>
      <c r="I2" s="43" t="s">
        <v>52</v>
      </c>
      <c r="J2" s="43" t="s">
        <v>53</v>
      </c>
      <c r="K2" s="43" t="s">
        <v>54</v>
      </c>
      <c r="L2" s="43" t="s">
        <v>55</v>
      </c>
      <c r="M2" s="43" t="s">
        <v>56</v>
      </c>
      <c r="N2" s="43" t="s">
        <v>57</v>
      </c>
      <c r="O2" s="43" t="s">
        <v>58</v>
      </c>
      <c r="P2" s="43" t="s">
        <v>59</v>
      </c>
      <c r="Q2" s="43" t="s">
        <v>60</v>
      </c>
      <c r="R2" s="43" t="s">
        <v>61</v>
      </c>
      <c r="S2" s="43" t="s">
        <v>62</v>
      </c>
      <c r="T2" s="43" t="s">
        <v>63</v>
      </c>
      <c r="U2" s="43" t="s">
        <v>64</v>
      </c>
    </row>
    <row r="3" spans="1:21" ht="45" customHeight="1" x14ac:dyDescent="0.3">
      <c r="A3" s="20" t="str">
        <f>'M-HorarioBarberia'!A3</f>
        <v>id</v>
      </c>
      <c r="B3" s="21" t="str">
        <f>'M-HorarioBarberia'!A2</f>
        <v>Representa un identificador que hará unico cada objeto de dominio de este tipo, no se puede repetir</v>
      </c>
      <c r="C3" s="20" t="s">
        <v>65</v>
      </c>
      <c r="D3" s="20" t="s">
        <v>66</v>
      </c>
      <c r="E3" s="20" t="s">
        <v>65</v>
      </c>
      <c r="F3" s="20" t="s">
        <v>67</v>
      </c>
      <c r="G3" s="20" t="s">
        <v>67</v>
      </c>
      <c r="H3" s="20" t="s">
        <v>67</v>
      </c>
      <c r="I3" s="20" t="s">
        <v>67</v>
      </c>
      <c r="J3" s="20" t="s">
        <v>67</v>
      </c>
      <c r="K3" s="20" t="s">
        <v>67</v>
      </c>
      <c r="L3" s="20" t="s">
        <v>67</v>
      </c>
      <c r="M3" s="21" t="s">
        <v>67</v>
      </c>
      <c r="N3" s="20" t="s">
        <v>68</v>
      </c>
      <c r="O3" s="20" t="s">
        <v>68</v>
      </c>
      <c r="P3" s="20" t="s">
        <v>67</v>
      </c>
      <c r="Q3" s="20" t="s">
        <v>67</v>
      </c>
      <c r="R3" s="20" t="s">
        <v>67</v>
      </c>
      <c r="S3" s="20" t="s">
        <v>68</v>
      </c>
      <c r="T3" s="20" t="s">
        <v>69</v>
      </c>
      <c r="U3" s="20" t="s">
        <v>65</v>
      </c>
    </row>
    <row r="4" spans="1:21" ht="30" customHeight="1" x14ac:dyDescent="0.3">
      <c r="A4" s="20" t="str">
        <f>'M-HorarioBarberia'!B3</f>
        <v>diaDeLaSemana</v>
      </c>
      <c r="B4" s="21" t="str">
        <f>'M-HorarioBarberia'!B2</f>
        <v>Representa el día de la semana en el que la barberia abre</v>
      </c>
      <c r="C4" s="20" t="s">
        <v>68</v>
      </c>
      <c r="D4" s="85" t="s">
        <v>7</v>
      </c>
      <c r="E4" s="20" t="s">
        <v>65</v>
      </c>
      <c r="F4" s="20" t="s">
        <v>67</v>
      </c>
      <c r="G4" s="20" t="s">
        <v>67</v>
      </c>
      <c r="H4" s="20" t="s">
        <v>67</v>
      </c>
      <c r="I4" s="20" t="s">
        <v>67</v>
      </c>
      <c r="J4" s="20" t="s">
        <v>67</v>
      </c>
      <c r="K4" s="20" t="s">
        <v>67</v>
      </c>
      <c r="L4" s="20" t="s">
        <v>67</v>
      </c>
      <c r="M4" s="21" t="s">
        <v>224</v>
      </c>
      <c r="N4" s="20" t="s">
        <v>68</v>
      </c>
      <c r="O4" s="20" t="s">
        <v>68</v>
      </c>
      <c r="P4" s="20" t="s">
        <v>67</v>
      </c>
      <c r="Q4" s="20" t="s">
        <v>67</v>
      </c>
      <c r="R4" s="20" t="s">
        <v>67</v>
      </c>
      <c r="S4" s="20" t="s">
        <v>68</v>
      </c>
      <c r="T4" s="20" t="s">
        <v>69</v>
      </c>
      <c r="U4" s="20" t="s">
        <v>68</v>
      </c>
    </row>
    <row r="5" spans="1:21" ht="27.75" customHeight="1" x14ac:dyDescent="0.3">
      <c r="A5" s="20" t="str">
        <f>'M-HorarioBarberia'!C3</f>
        <v>horaApertura</v>
      </c>
      <c r="B5" s="21" t="str">
        <f>'M-HorarioBarberia'!C2</f>
        <v>Representa la hora a la que abre la barbería</v>
      </c>
      <c r="C5" s="20" t="s">
        <v>68</v>
      </c>
      <c r="D5" s="20" t="s">
        <v>257</v>
      </c>
      <c r="E5" s="20" t="s">
        <v>68</v>
      </c>
      <c r="F5" s="20" t="s">
        <v>67</v>
      </c>
      <c r="G5" s="20" t="s">
        <v>67</v>
      </c>
      <c r="H5" s="20" t="s">
        <v>67</v>
      </c>
      <c r="I5" s="20" t="s">
        <v>67</v>
      </c>
      <c r="J5" s="20" t="s">
        <v>67</v>
      </c>
      <c r="K5" s="20" t="s">
        <v>67</v>
      </c>
      <c r="L5" s="20" t="s">
        <v>67</v>
      </c>
      <c r="M5" s="21" t="s">
        <v>67</v>
      </c>
      <c r="N5" s="20" t="s">
        <v>68</v>
      </c>
      <c r="O5" s="20" t="s">
        <v>68</v>
      </c>
      <c r="P5" s="20" t="s">
        <v>67</v>
      </c>
      <c r="Q5" s="20" t="s">
        <v>67</v>
      </c>
      <c r="R5" s="20" t="s">
        <v>67</v>
      </c>
      <c r="S5" s="20" t="s">
        <v>68</v>
      </c>
      <c r="T5" s="20" t="s">
        <v>258</v>
      </c>
      <c r="U5" s="20" t="s">
        <v>68</v>
      </c>
    </row>
    <row r="6" spans="1:21" ht="27.75" customHeight="1" x14ac:dyDescent="0.3">
      <c r="A6" s="20" t="str">
        <f>'M-HorarioBarberia'!D3</f>
        <v>horaCierre</v>
      </c>
      <c r="B6" s="21" t="str">
        <f>'M-HorarioBarberia'!D2</f>
        <v>Representa la hora a la que cierra la barbería</v>
      </c>
      <c r="C6" s="20" t="s">
        <v>68</v>
      </c>
      <c r="D6" s="20" t="s">
        <v>257</v>
      </c>
      <c r="E6" s="20" t="s">
        <v>65</v>
      </c>
      <c r="F6" s="20" t="s">
        <v>67</v>
      </c>
      <c r="G6" s="20" t="s">
        <v>67</v>
      </c>
      <c r="H6" s="20" t="s">
        <v>67</v>
      </c>
      <c r="I6" s="20" t="s">
        <v>67</v>
      </c>
      <c r="J6" s="20" t="s">
        <v>67</v>
      </c>
      <c r="K6" s="20" t="s">
        <v>67</v>
      </c>
      <c r="L6" s="20" t="s">
        <v>67</v>
      </c>
      <c r="M6" s="21" t="s">
        <v>259</v>
      </c>
      <c r="N6" s="20" t="s">
        <v>68</v>
      </c>
      <c r="O6" s="20" t="s">
        <v>68</v>
      </c>
      <c r="P6" s="20" t="s">
        <v>67</v>
      </c>
      <c r="Q6" s="20" t="s">
        <v>67</v>
      </c>
      <c r="R6" s="20" t="s">
        <v>67</v>
      </c>
      <c r="S6" s="20" t="s">
        <v>68</v>
      </c>
      <c r="T6" s="20" t="s">
        <v>258</v>
      </c>
      <c r="U6" s="20" t="s">
        <v>68</v>
      </c>
    </row>
    <row r="7" spans="1:21" ht="45" customHeight="1" x14ac:dyDescent="0.3">
      <c r="A7" s="20" t="str">
        <f>'M-HorarioBarberia'!E3</f>
        <v>fechaCreacion</v>
      </c>
      <c r="B7" s="21" t="str">
        <f>'M-HorarioBarberia'!E2</f>
        <v>Representa la fecha en el que el dueño definio el horario de la barberia. Es un dato calculado que toma la fecha del sistema en ese momento</v>
      </c>
      <c r="C7" s="20" t="s">
        <v>68</v>
      </c>
      <c r="D7" s="20" t="s">
        <v>260</v>
      </c>
      <c r="E7" s="20" t="s">
        <v>65</v>
      </c>
      <c r="F7" s="20" t="s">
        <v>67</v>
      </c>
      <c r="G7" s="20" t="s">
        <v>67</v>
      </c>
      <c r="H7" s="20" t="s">
        <v>67</v>
      </c>
      <c r="I7" s="20" t="s">
        <v>67</v>
      </c>
      <c r="J7" s="20" t="s">
        <v>67</v>
      </c>
      <c r="K7" s="20" t="s">
        <v>67</v>
      </c>
      <c r="L7" s="20" t="s">
        <v>67</v>
      </c>
      <c r="M7" s="21" t="s">
        <v>67</v>
      </c>
      <c r="N7" s="20" t="s">
        <v>65</v>
      </c>
      <c r="O7" s="20" t="s">
        <v>68</v>
      </c>
      <c r="P7" s="20" t="s">
        <v>67</v>
      </c>
      <c r="Q7" s="20" t="s">
        <v>67</v>
      </c>
      <c r="R7" s="20" t="s">
        <v>67</v>
      </c>
      <c r="S7" s="20" t="s">
        <v>68</v>
      </c>
      <c r="T7" s="20" t="s">
        <v>261</v>
      </c>
      <c r="U7" s="20" t="s">
        <v>68</v>
      </c>
    </row>
    <row r="8" spans="1:21" ht="45" customHeight="1" x14ac:dyDescent="0.3">
      <c r="A8" s="20" t="str">
        <f>'M-HorarioBarberia'!F3</f>
        <v>fechaDesactivacion</v>
      </c>
      <c r="B8" s="21" t="str">
        <f>'M-HorarioBarberia'!F2</f>
        <v>Representa la fecha en la que este horario dejó de estar vigente, dueño. Es un dato calculado que toma la fecha del sistema en ese momento</v>
      </c>
      <c r="C8" s="20" t="s">
        <v>68</v>
      </c>
      <c r="D8" s="20" t="s">
        <v>260</v>
      </c>
      <c r="E8" s="20" t="s">
        <v>68</v>
      </c>
      <c r="F8" s="20" t="s">
        <v>67</v>
      </c>
      <c r="G8" s="20" t="s">
        <v>67</v>
      </c>
      <c r="H8" s="20" t="s">
        <v>67</v>
      </c>
      <c r="I8" s="20" t="s">
        <v>67</v>
      </c>
      <c r="J8" s="20" t="s">
        <v>67</v>
      </c>
      <c r="K8" s="20" t="s">
        <v>67</v>
      </c>
      <c r="L8" s="20" t="s">
        <v>67</v>
      </c>
      <c r="M8" s="21" t="s">
        <v>67</v>
      </c>
      <c r="N8" s="20" t="s">
        <v>65</v>
      </c>
      <c r="O8" s="20" t="s">
        <v>68</v>
      </c>
      <c r="P8" s="20" t="s">
        <v>67</v>
      </c>
      <c r="Q8" s="20" t="s">
        <v>67</v>
      </c>
      <c r="R8" s="20" t="s">
        <v>67</v>
      </c>
      <c r="S8" s="20" t="s">
        <v>68</v>
      </c>
      <c r="T8" s="20" t="s">
        <v>261</v>
      </c>
      <c r="U8" s="20" t="s">
        <v>68</v>
      </c>
    </row>
    <row r="9" spans="1:21" ht="60" customHeight="1" x14ac:dyDescent="0.3">
      <c r="A9" s="20" t="str">
        <f>'M-HorarioBarberia'!G3</f>
        <v>vigente</v>
      </c>
      <c r="B9" s="21" t="str">
        <f>'M-HorarioBarberia'!G2</f>
        <v>Representa si este horario lo sigue o no vigente en la barberia. Una vez que el dueño desactive el horario de la barberia, no se puede volver a cambiar</v>
      </c>
      <c r="C9" s="20" t="s">
        <v>68</v>
      </c>
      <c r="D9" s="99" t="s">
        <v>116</v>
      </c>
      <c r="E9" s="20" t="s">
        <v>68</v>
      </c>
      <c r="F9" s="20" t="s">
        <v>67</v>
      </c>
      <c r="G9" s="20" t="s">
        <v>67</v>
      </c>
      <c r="H9" s="20" t="s">
        <v>67</v>
      </c>
      <c r="I9" s="20" t="s">
        <v>67</v>
      </c>
      <c r="J9" s="20" t="s">
        <v>67</v>
      </c>
      <c r="K9" s="20" t="s">
        <v>67</v>
      </c>
      <c r="L9" s="20" t="s">
        <v>67</v>
      </c>
      <c r="M9" s="21" t="s">
        <v>67</v>
      </c>
      <c r="N9" s="20" t="s">
        <v>68</v>
      </c>
      <c r="O9" s="20" t="s">
        <v>68</v>
      </c>
      <c r="P9" s="20" t="s">
        <v>67</v>
      </c>
      <c r="Q9" s="20" t="s">
        <v>67</v>
      </c>
      <c r="R9" s="20" t="s">
        <v>67</v>
      </c>
      <c r="S9" s="20" t="s">
        <v>68</v>
      </c>
      <c r="T9" s="20" t="s">
        <v>65</v>
      </c>
      <c r="U9" s="20" t="s">
        <v>68</v>
      </c>
    </row>
    <row r="10" spans="1:21" ht="15" customHeight="1" x14ac:dyDescent="0.3">
      <c r="A10" s="7"/>
      <c r="B10" s="7"/>
      <c r="C10" s="7"/>
      <c r="D10" s="7"/>
      <c r="E10" s="7"/>
      <c r="F10" s="7"/>
      <c r="G10" s="7"/>
      <c r="H10" s="7"/>
      <c r="I10" s="7"/>
      <c r="J10" s="7"/>
      <c r="K10" s="7"/>
      <c r="L10" s="7"/>
      <c r="M10" s="7"/>
      <c r="N10" s="7"/>
      <c r="O10" s="7"/>
      <c r="P10" s="7"/>
      <c r="Q10" s="7"/>
      <c r="R10" s="7"/>
      <c r="S10" s="7"/>
      <c r="T10" s="7"/>
      <c r="U10" s="7"/>
    </row>
    <row r="11" spans="1:21" ht="15" customHeight="1" x14ac:dyDescent="0.3">
      <c r="A11" s="22" t="s">
        <v>73</v>
      </c>
      <c r="B11" s="22" t="s">
        <v>74</v>
      </c>
      <c r="C11" s="22" t="s">
        <v>75</v>
      </c>
      <c r="D11" s="45"/>
      <c r="E11" s="45"/>
      <c r="F11" s="45"/>
      <c r="G11" s="45"/>
      <c r="H11" s="45"/>
      <c r="I11" s="45"/>
      <c r="J11" s="45"/>
      <c r="K11" s="45"/>
      <c r="L11" s="45"/>
      <c r="M11" s="45"/>
      <c r="N11" s="45"/>
      <c r="O11" s="45"/>
      <c r="P11" s="45"/>
      <c r="Q11" s="45"/>
      <c r="R11" s="45"/>
      <c r="S11" s="45"/>
      <c r="T11" s="45"/>
      <c r="U11" s="45"/>
    </row>
    <row r="12" spans="1:21" ht="15" customHeight="1" x14ac:dyDescent="0.3">
      <c r="A12" s="5" t="str">
        <f>'M-HorarioBarberia'!H3</f>
        <v>Combinación única</v>
      </c>
      <c r="B12" s="4" t="str">
        <f>'M-HorarioBarberia'!H2</f>
        <v>Combinacion única que indica que no puede existir más de un horario con la misma barberia, dia de la semana, hora de apertura y cierre</v>
      </c>
      <c r="C12" s="25" t="str">
        <f t="shared" ref="C12:C17" si="0">A4</f>
        <v>diaDeLaSemana</v>
      </c>
      <c r="D12" s="7"/>
      <c r="E12" s="7"/>
      <c r="F12" s="7"/>
      <c r="G12" s="7"/>
      <c r="H12" s="7"/>
      <c r="I12" s="7"/>
      <c r="J12" s="7"/>
      <c r="K12" s="7"/>
      <c r="L12" s="7"/>
      <c r="M12" s="7"/>
      <c r="N12" s="7"/>
      <c r="O12" s="7"/>
      <c r="P12" s="7"/>
      <c r="Q12" s="7"/>
      <c r="R12" s="7"/>
      <c r="S12" s="7"/>
      <c r="T12" s="7"/>
      <c r="U12" s="7"/>
    </row>
    <row r="13" spans="1:21" ht="15" customHeight="1" x14ac:dyDescent="0.3">
      <c r="A13" s="5"/>
      <c r="B13" s="5"/>
      <c r="C13" s="25" t="str">
        <f t="shared" si="0"/>
        <v>horaApertura</v>
      </c>
      <c r="D13" s="7"/>
      <c r="E13" s="7"/>
      <c r="F13" s="7"/>
      <c r="G13" s="7"/>
      <c r="H13" s="7"/>
      <c r="I13" s="7"/>
      <c r="J13" s="7"/>
      <c r="K13" s="7"/>
      <c r="L13" s="7"/>
      <c r="M13" s="7"/>
      <c r="N13" s="7"/>
      <c r="O13" s="7"/>
      <c r="P13" s="7"/>
      <c r="Q13" s="7"/>
      <c r="R13" s="7"/>
      <c r="S13" s="7"/>
      <c r="T13" s="7"/>
      <c r="U13" s="7"/>
    </row>
    <row r="14" spans="1:21" ht="15" customHeight="1" x14ac:dyDescent="0.3">
      <c r="A14" s="5"/>
      <c r="B14" s="5"/>
      <c r="C14" s="25" t="str">
        <f t="shared" si="0"/>
        <v>horaCierre</v>
      </c>
      <c r="D14" s="7"/>
      <c r="E14" s="7"/>
      <c r="F14" s="7"/>
      <c r="G14" s="7"/>
      <c r="H14" s="7"/>
      <c r="I14" s="7"/>
      <c r="J14" s="7"/>
      <c r="K14" s="7"/>
      <c r="L14" s="7"/>
      <c r="M14" s="7"/>
      <c r="N14" s="7"/>
      <c r="O14" s="7"/>
      <c r="P14" s="7"/>
      <c r="Q14" s="7"/>
      <c r="R14" s="7"/>
      <c r="S14" s="7"/>
      <c r="T14" s="7"/>
      <c r="U14" s="7"/>
    </row>
    <row r="15" spans="1:21" ht="15" customHeight="1" x14ac:dyDescent="0.3">
      <c r="A15" s="5"/>
      <c r="B15" s="5"/>
      <c r="C15" s="25" t="str">
        <f t="shared" si="0"/>
        <v>fechaCreacion</v>
      </c>
    </row>
    <row r="16" spans="1:21" ht="15" customHeight="1" x14ac:dyDescent="0.3">
      <c r="A16" s="5"/>
      <c r="B16" s="5"/>
      <c r="C16" s="25" t="str">
        <f t="shared" si="0"/>
        <v>fechaDesactivacion</v>
      </c>
    </row>
    <row r="17" spans="1:21" ht="15" customHeight="1" x14ac:dyDescent="0.3">
      <c r="A17" s="5"/>
      <c r="B17" s="5"/>
      <c r="C17" s="25" t="str">
        <f t="shared" si="0"/>
        <v>vigente</v>
      </c>
      <c r="D17" s="46"/>
      <c r="E17" s="46"/>
      <c r="F17" s="46"/>
      <c r="G17" s="46"/>
      <c r="H17" s="46"/>
      <c r="I17" s="46"/>
      <c r="J17" s="46"/>
      <c r="K17" s="46"/>
      <c r="L17" s="46"/>
      <c r="M17" s="46"/>
      <c r="N17" s="46"/>
      <c r="O17" s="46"/>
      <c r="P17" s="46"/>
      <c r="Q17" s="46"/>
      <c r="R17" s="46"/>
      <c r="S17" s="46"/>
      <c r="T17" s="46"/>
      <c r="U17" s="46"/>
    </row>
    <row r="18" spans="1:21" ht="15" customHeight="1" x14ac:dyDescent="0.3">
      <c r="A18" s="39"/>
      <c r="B18" s="39"/>
    </row>
    <row r="19" spans="1:21" ht="15" customHeight="1" x14ac:dyDescent="0.3">
      <c r="A19" s="39"/>
      <c r="B19" s="39"/>
    </row>
    <row r="20" spans="1:21" ht="15" customHeight="1" x14ac:dyDescent="0.3">
      <c r="A20" s="39"/>
      <c r="B20" s="39"/>
    </row>
    <row r="21" spans="1:21" ht="15" customHeight="1" x14ac:dyDescent="0.3">
      <c r="A21" s="39"/>
      <c r="B21" s="39"/>
    </row>
    <row r="23" spans="1:21" ht="15" customHeight="1" x14ac:dyDescent="0.3">
      <c r="A23" s="47"/>
      <c r="B23" s="47"/>
      <c r="C23" s="47"/>
    </row>
    <row r="24" spans="1:21" ht="15" customHeight="1" x14ac:dyDescent="0.3">
      <c r="A24" s="39"/>
      <c r="B24" s="39"/>
    </row>
  </sheetData>
  <mergeCells count="2">
    <mergeCell ref="A12:A17"/>
    <mergeCell ref="B12:B17"/>
  </mergeCells>
  <hyperlinks>
    <hyperlink ref="A1" location="'Modelo de Dominio'!A1" display="&lt;&lt;&lt;&lt; Ir al modulo de dominio" xr:uid="{00000000-0004-0000-1400-000000000000}"/>
    <hyperlink ref="B1" location="'Objetos de Dominio'!A1" display="&lt;&lt;&lt;&lt; Ir a objetos de dominio" xr:uid="{00000000-0004-0000-1400-000001000000}"/>
    <hyperlink ref="D4" location="'C-DiaSemana'!A1" display="DiaSemana" xr:uid="{00000000-0004-0000-1400-000002000000}"/>
  </hyperlink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22"/>
  <sheetViews>
    <sheetView topLeftCell="C1" zoomScale="130" zoomScaleNormal="130" workbookViewId="0">
      <selection activeCell="H12" sqref="H12"/>
    </sheetView>
  </sheetViews>
  <sheetFormatPr baseColWidth="10" defaultColWidth="10.6640625" defaultRowHeight="14.4" x14ac:dyDescent="0.3"/>
  <cols>
    <col min="1" max="1" width="27" customWidth="1"/>
    <col min="2" max="2" width="26.109375" customWidth="1"/>
    <col min="3" max="3" width="15.6640625" customWidth="1"/>
    <col min="4" max="4" width="17.44140625" customWidth="1"/>
    <col min="5" max="5" width="24.88671875" customWidth="1"/>
    <col min="6" max="6" width="38.6640625" customWidth="1"/>
    <col min="7" max="7" width="24.44140625" customWidth="1"/>
    <col min="8" max="8" width="38.44140625" customWidth="1"/>
  </cols>
  <sheetData>
    <row r="1" spans="1:8" ht="14.25" customHeight="1" x14ac:dyDescent="0.3">
      <c r="A1" s="6" t="s">
        <v>1</v>
      </c>
      <c r="B1" s="6" t="s">
        <v>43</v>
      </c>
    </row>
    <row r="2" spans="1:8" ht="42" customHeight="1" x14ac:dyDescent="0.3">
      <c r="A2" s="93" t="s">
        <v>77</v>
      </c>
      <c r="B2" s="93" t="s">
        <v>262</v>
      </c>
      <c r="C2" s="93" t="s">
        <v>263</v>
      </c>
      <c r="D2" s="93" t="s">
        <v>264</v>
      </c>
      <c r="E2" s="50" t="s">
        <v>265</v>
      </c>
      <c r="F2" s="50" t="s">
        <v>266</v>
      </c>
      <c r="G2" s="50" t="s">
        <v>267</v>
      </c>
      <c r="H2" s="93" t="s">
        <v>268</v>
      </c>
    </row>
    <row r="3" spans="1:8" ht="23.25" customHeight="1" x14ac:dyDescent="0.3">
      <c r="A3" s="28" t="s">
        <v>80</v>
      </c>
      <c r="B3" s="95" t="s">
        <v>269</v>
      </c>
      <c r="C3" s="100" t="s">
        <v>270</v>
      </c>
      <c r="D3" s="101" t="s">
        <v>271</v>
      </c>
      <c r="E3" s="102" t="s">
        <v>272</v>
      </c>
      <c r="F3" s="102" t="s">
        <v>273</v>
      </c>
      <c r="G3" s="96" t="s">
        <v>201</v>
      </c>
      <c r="H3" s="103" t="s">
        <v>168</v>
      </c>
    </row>
    <row r="4" spans="1:8" ht="14.25" customHeight="1" x14ac:dyDescent="0.3">
      <c r="A4" s="31">
        <v>1</v>
      </c>
      <c r="B4" s="104" t="str">
        <f>'M-DiaSemana'!C4</f>
        <v>Lunes</v>
      </c>
      <c r="C4" s="105">
        <v>0.375</v>
      </c>
      <c r="D4" s="105">
        <v>0.79166666666666696</v>
      </c>
      <c r="E4" s="106">
        <v>45242</v>
      </c>
      <c r="F4" s="105" t="s">
        <v>261</v>
      </c>
      <c r="G4" s="105" t="s">
        <v>65</v>
      </c>
      <c r="H4" s="31" t="str">
        <f t="shared" ref="H4:H10" si="0">_xlfn.CONCAT(B4,"-",TEXT(C4,"hh:mm"),"-",TEXT(D4,"hh:mm"),"-",TEXT(E4,"dd/mm/yyyy"),"-",TEXT(F4,"dd/mm/yyyy"))</f>
        <v>Lunes-09:00-19:00-12/11/2023-1/01/1000</v>
      </c>
    </row>
    <row r="5" spans="1:8" ht="14.25" customHeight="1" x14ac:dyDescent="0.3">
      <c r="A5" s="31">
        <v>2</v>
      </c>
      <c r="B5" s="104" t="str">
        <f>'M-DiaSemana'!C5</f>
        <v>Martes</v>
      </c>
      <c r="C5" s="105">
        <v>0.375</v>
      </c>
      <c r="D5" s="105">
        <v>0.79166666666666696</v>
      </c>
      <c r="E5" s="106">
        <v>45242</v>
      </c>
      <c r="F5" s="105" t="s">
        <v>261</v>
      </c>
      <c r="G5" s="105" t="s">
        <v>65</v>
      </c>
      <c r="H5" s="31" t="str">
        <f t="shared" si="0"/>
        <v>Martes-09:00-19:00-12/11/2023-1/01/1000</v>
      </c>
    </row>
    <row r="6" spans="1:8" ht="14.25" customHeight="1" x14ac:dyDescent="0.3">
      <c r="A6" s="31">
        <v>3</v>
      </c>
      <c r="B6" s="104" t="str">
        <f>'M-DiaSemana'!C6</f>
        <v>Miércoles</v>
      </c>
      <c r="C6" s="105">
        <v>0.375</v>
      </c>
      <c r="D6" s="105">
        <v>0.79166666666666696</v>
      </c>
      <c r="E6" s="106">
        <v>45242</v>
      </c>
      <c r="F6" s="105" t="s">
        <v>261</v>
      </c>
      <c r="G6" s="105" t="s">
        <v>65</v>
      </c>
      <c r="H6" s="31" t="str">
        <f t="shared" si="0"/>
        <v>Miércoles-09:00-19:00-12/11/2023-1/01/1000</v>
      </c>
    </row>
    <row r="7" spans="1:8" ht="14.25" customHeight="1" x14ac:dyDescent="0.3">
      <c r="A7" s="31">
        <v>4</v>
      </c>
      <c r="B7" s="104" t="str">
        <f>'M-DiaSemana'!C7</f>
        <v>Jueves</v>
      </c>
      <c r="C7" s="105">
        <v>0.375</v>
      </c>
      <c r="D7" s="105">
        <v>0.79166666666666696</v>
      </c>
      <c r="E7" s="106">
        <v>45242</v>
      </c>
      <c r="F7" s="105" t="s">
        <v>261</v>
      </c>
      <c r="G7" s="105" t="s">
        <v>65</v>
      </c>
      <c r="H7" s="31" t="str">
        <f t="shared" si="0"/>
        <v>Jueves-09:00-19:00-12/11/2023-1/01/1000</v>
      </c>
    </row>
    <row r="8" spans="1:8" ht="14.25" customHeight="1" x14ac:dyDescent="0.3">
      <c r="A8" s="31">
        <v>5</v>
      </c>
      <c r="B8" s="104" t="str">
        <f>'M-DiaSemana'!C8</f>
        <v>Viernes</v>
      </c>
      <c r="C8" s="105">
        <v>0.375</v>
      </c>
      <c r="D8" s="105">
        <v>0.79166666666666696</v>
      </c>
      <c r="E8" s="106">
        <v>45242</v>
      </c>
      <c r="F8" s="105" t="s">
        <v>261</v>
      </c>
      <c r="G8" s="105" t="s">
        <v>65</v>
      </c>
      <c r="H8" s="31" t="str">
        <f t="shared" si="0"/>
        <v>Viernes-09:00-19:00-12/11/2023-1/01/1000</v>
      </c>
    </row>
    <row r="9" spans="1:8" ht="14.25" customHeight="1" x14ac:dyDescent="0.3">
      <c r="A9" s="31">
        <v>6</v>
      </c>
      <c r="B9" s="104" t="str">
        <f>'M-DiaSemana'!C9</f>
        <v>Sábado</v>
      </c>
      <c r="C9" s="107">
        <v>0.33333333333333298</v>
      </c>
      <c r="D9" s="105">
        <v>0.875</v>
      </c>
      <c r="E9" s="106">
        <v>45638</v>
      </c>
      <c r="F9" s="105" t="s">
        <v>261</v>
      </c>
      <c r="G9" s="105" t="s">
        <v>65</v>
      </c>
      <c r="H9" s="31" t="str">
        <f t="shared" si="0"/>
        <v>Sábado-08:00-21:00-12/12/2024-1/01/1000</v>
      </c>
    </row>
    <row r="10" spans="1:8" ht="14.25" customHeight="1" x14ac:dyDescent="0.3">
      <c r="A10" s="31">
        <v>7</v>
      </c>
      <c r="B10" s="104" t="str">
        <f>'M-DiaSemana'!C11</f>
        <v>Festivo</v>
      </c>
      <c r="C10" s="105">
        <v>0.41666666666666702</v>
      </c>
      <c r="D10" s="105">
        <v>0.625</v>
      </c>
      <c r="E10" s="106">
        <v>45638</v>
      </c>
      <c r="F10" s="105" t="s">
        <v>261</v>
      </c>
      <c r="G10" s="105" t="s">
        <v>65</v>
      </c>
      <c r="H10" s="31" t="str">
        <f t="shared" si="0"/>
        <v>Festivo-10:00-15:00-12/12/2024-1/01/1000</v>
      </c>
    </row>
    <row r="16" spans="1:8" ht="28.5" customHeight="1" x14ac:dyDescent="0.3">
      <c r="A16" s="34"/>
      <c r="B16" s="35" t="s">
        <v>90</v>
      </c>
    </row>
    <row r="17" spans="1:2" ht="28.5" customHeight="1" x14ac:dyDescent="0.3">
      <c r="A17" s="36"/>
      <c r="B17" s="35" t="s">
        <v>91</v>
      </c>
    </row>
    <row r="18" spans="1:2" ht="28.5" customHeight="1" x14ac:dyDescent="0.3">
      <c r="A18" s="60"/>
      <c r="B18" s="35" t="s">
        <v>220</v>
      </c>
    </row>
    <row r="19" spans="1:2" ht="28.5" customHeight="1" x14ac:dyDescent="0.3">
      <c r="A19" s="108"/>
      <c r="B19" s="35" t="s">
        <v>274</v>
      </c>
    </row>
    <row r="20" spans="1:2" ht="28.5" customHeight="1" x14ac:dyDescent="0.3">
      <c r="A20" s="109"/>
      <c r="B20" s="35" t="s">
        <v>256</v>
      </c>
    </row>
    <row r="21" spans="1:2" ht="28.5" customHeight="1" x14ac:dyDescent="0.3">
      <c r="A21" s="110"/>
      <c r="B21" s="35" t="s">
        <v>275</v>
      </c>
    </row>
    <row r="22" spans="1:2" ht="28.5" customHeight="1" x14ac:dyDescent="0.3">
      <c r="A22" s="38"/>
      <c r="B22" s="35" t="s">
        <v>93</v>
      </c>
    </row>
  </sheetData>
  <hyperlinks>
    <hyperlink ref="A1" location="'Modelo de Dominio'!A1" display="&lt;&lt;&lt;&lt; Ir al modulo de dominio" xr:uid="{00000000-0004-0000-1500-000000000000}"/>
    <hyperlink ref="B1" location="'Objetos de Dominio'!A1" display="&lt;&lt;&lt;&lt; Ir a objetos de dominio" xr:uid="{00000000-0004-0000-1500-000001000000}"/>
    <hyperlink ref="B3" location="'M-DiaSemana'!A1" display="diaDeLaSemana" xr:uid="{00000000-0004-0000-1500-000002000000}"/>
    <hyperlink ref="B4" location="'M-DiaSemana'!A4" display="#'M-DiaSemana'.A4" xr:uid="{00000000-0004-0000-1500-000003000000}"/>
    <hyperlink ref="B5" location="'M-DiaSemana'!A5" display="#'M-DiaSemana'.A5" xr:uid="{00000000-0004-0000-1500-000004000000}"/>
    <hyperlink ref="B6" location="'M-DiaSemana'!A6" display="#'M-DiaSemana'.A6" xr:uid="{00000000-0004-0000-1500-000005000000}"/>
    <hyperlink ref="B7" location="'M-DiaSemana'!A7" display="#'M-DiaSemana'.A7" xr:uid="{00000000-0004-0000-1500-000006000000}"/>
    <hyperlink ref="B8" location="'M-DiaSemana'!A8" display="#'M-DiaSemana'.A8" xr:uid="{00000000-0004-0000-1500-000007000000}"/>
    <hyperlink ref="B9" location="'M-DiaSemana'!A9" display="#'M-DiaSemana'.A9" xr:uid="{00000000-0004-0000-1500-000008000000}"/>
    <hyperlink ref="B10" location="'M-DiaSemana'!A11" display="#'M-DiaSemana'.A11" xr:uid="{00000000-0004-0000-1500-000009000000}"/>
  </hyperlinks>
  <pageMargins left="0.7" right="0.7" top="0.75" bottom="0.75"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13"/>
  <sheetViews>
    <sheetView zoomScaleNormal="100" workbookViewId="0">
      <selection activeCell="E10" sqref="E10"/>
    </sheetView>
  </sheetViews>
  <sheetFormatPr baseColWidth="10" defaultColWidth="8.6640625" defaultRowHeight="14.4" x14ac:dyDescent="0.3"/>
  <cols>
    <col min="1" max="1" width="26.6640625" customWidth="1"/>
    <col min="2" max="2" width="45" customWidth="1"/>
    <col min="3" max="3" width="21.5546875" customWidth="1"/>
    <col min="4" max="4" width="26.6640625" customWidth="1"/>
    <col min="5" max="12" width="18" customWidth="1"/>
    <col min="13" max="13" width="40" customWidth="1"/>
    <col min="14" max="21" width="18" customWidth="1"/>
  </cols>
  <sheetData>
    <row r="1" spans="1:21" ht="15" customHeight="1" x14ac:dyDescent="0.3">
      <c r="A1" s="6" t="s">
        <v>1</v>
      </c>
      <c r="B1" s="6" t="s">
        <v>43</v>
      </c>
    </row>
    <row r="2" spans="1:21" ht="45" customHeight="1" x14ac:dyDescent="0.3">
      <c r="A2" s="111" t="s">
        <v>44</v>
      </c>
      <c r="B2" s="111" t="s">
        <v>45</v>
      </c>
      <c r="C2" s="111" t="s">
        <v>46</v>
      </c>
      <c r="D2" s="111" t="s">
        <v>47</v>
      </c>
      <c r="E2" s="111" t="s">
        <v>48</v>
      </c>
      <c r="F2" s="111" t="s">
        <v>49</v>
      </c>
      <c r="G2" s="111" t="s">
        <v>50</v>
      </c>
      <c r="H2" s="111" t="s">
        <v>51</v>
      </c>
      <c r="I2" s="111" t="s">
        <v>52</v>
      </c>
      <c r="J2" s="111" t="s">
        <v>53</v>
      </c>
      <c r="K2" s="111" t="s">
        <v>54</v>
      </c>
      <c r="L2" s="111" t="s">
        <v>55</v>
      </c>
      <c r="M2" s="111" t="s">
        <v>56</v>
      </c>
      <c r="N2" s="111" t="s">
        <v>57</v>
      </c>
      <c r="O2" s="111" t="s">
        <v>58</v>
      </c>
      <c r="P2" s="111" t="s">
        <v>59</v>
      </c>
      <c r="Q2" s="111" t="s">
        <v>60</v>
      </c>
      <c r="R2" s="111" t="s">
        <v>61</v>
      </c>
      <c r="S2" s="111" t="s">
        <v>62</v>
      </c>
      <c r="T2" s="111" t="s">
        <v>63</v>
      </c>
      <c r="U2" s="111" t="s">
        <v>64</v>
      </c>
    </row>
    <row r="3" spans="1:21" ht="45" customHeight="1" x14ac:dyDescent="0.3">
      <c r="A3" s="112" t="str">
        <f>'M-BarberoServicio'!A3</f>
        <v>id</v>
      </c>
      <c r="B3" s="113" t="str">
        <f>'M-BarberoServicio'!A2</f>
        <v>Representa un identificador que hará unico cada objeto de dominio de este tipo, no se puede repetir</v>
      </c>
      <c r="C3" s="112" t="s">
        <v>65</v>
      </c>
      <c r="D3" s="112" t="s">
        <v>66</v>
      </c>
      <c r="E3" s="112" t="s">
        <v>65</v>
      </c>
      <c r="F3" s="112" t="s">
        <v>67</v>
      </c>
      <c r="G3" s="112" t="s">
        <v>67</v>
      </c>
      <c r="H3" s="112" t="s">
        <v>67</v>
      </c>
      <c r="I3" s="112" t="s">
        <v>67</v>
      </c>
      <c r="J3" s="112" t="s">
        <v>67</v>
      </c>
      <c r="K3" s="112" t="s">
        <v>67</v>
      </c>
      <c r="L3" s="112" t="s">
        <v>67</v>
      </c>
      <c r="M3" s="112" t="s">
        <v>67</v>
      </c>
      <c r="N3" s="112" t="s">
        <v>68</v>
      </c>
      <c r="O3" s="112" t="s">
        <v>67</v>
      </c>
      <c r="P3" s="112" t="s">
        <v>67</v>
      </c>
      <c r="Q3" s="112" t="s">
        <v>67</v>
      </c>
      <c r="R3" s="112" t="s">
        <v>67</v>
      </c>
      <c r="S3" s="112" t="s">
        <v>68</v>
      </c>
      <c r="T3" s="112" t="s">
        <v>69</v>
      </c>
      <c r="U3" s="112" t="s">
        <v>65</v>
      </c>
    </row>
    <row r="4" spans="1:21" ht="27.75" customHeight="1" x14ac:dyDescent="0.3">
      <c r="A4" s="112" t="str">
        <f>'M-BarberoServicio'!B3</f>
        <v>barbero</v>
      </c>
      <c r="B4" s="113" t="str">
        <f>'M-BarberoServicio'!B2</f>
        <v>Representa el nombre y apellidos del barbero</v>
      </c>
      <c r="C4" s="112" t="s">
        <v>68</v>
      </c>
      <c r="D4" s="114" t="s">
        <v>23</v>
      </c>
      <c r="E4" s="112" t="s">
        <v>65</v>
      </c>
      <c r="F4" s="112" t="s">
        <v>67</v>
      </c>
      <c r="G4" s="112" t="s">
        <v>67</v>
      </c>
      <c r="H4" s="112" t="s">
        <v>67</v>
      </c>
      <c r="I4" s="112" t="s">
        <v>67</v>
      </c>
      <c r="J4" s="112" t="s">
        <v>67</v>
      </c>
      <c r="K4" s="112" t="s">
        <v>67</v>
      </c>
      <c r="L4" s="112" t="s">
        <v>67</v>
      </c>
      <c r="M4" s="21" t="s">
        <v>224</v>
      </c>
      <c r="N4" s="112" t="s">
        <v>68</v>
      </c>
      <c r="O4" s="112" t="s">
        <v>67</v>
      </c>
      <c r="P4" s="112" t="s">
        <v>67</v>
      </c>
      <c r="Q4" s="112" t="s">
        <v>67</v>
      </c>
      <c r="R4" s="112" t="s">
        <v>67</v>
      </c>
      <c r="S4" s="112" t="s">
        <v>68</v>
      </c>
      <c r="T4" s="112" t="s">
        <v>69</v>
      </c>
      <c r="U4" s="112" t="s">
        <v>68</v>
      </c>
    </row>
    <row r="5" spans="1:21" ht="27.75" customHeight="1" x14ac:dyDescent="0.3">
      <c r="A5" s="112" t="str">
        <f>'M-BarberoServicio'!C3</f>
        <v>servicio</v>
      </c>
      <c r="B5" s="113" t="str">
        <f>'M-BarberoServicio'!C2</f>
        <v xml:space="preserve">Representa el nombre del servicio de la barberia </v>
      </c>
      <c r="C5" s="112" t="s">
        <v>68</v>
      </c>
      <c r="D5" s="114" t="s">
        <v>13</v>
      </c>
      <c r="E5" s="112" t="s">
        <v>65</v>
      </c>
      <c r="F5" s="112" t="s">
        <v>67</v>
      </c>
      <c r="G5" s="112" t="s">
        <v>67</v>
      </c>
      <c r="H5" s="112" t="s">
        <v>67</v>
      </c>
      <c r="I5" s="112" t="s">
        <v>67</v>
      </c>
      <c r="J5" s="112" t="s">
        <v>67</v>
      </c>
      <c r="K5" s="112" t="s">
        <v>67</v>
      </c>
      <c r="L5" s="112" t="s">
        <v>67</v>
      </c>
      <c r="M5" s="21" t="s">
        <v>224</v>
      </c>
      <c r="N5" s="112" t="s">
        <v>68</v>
      </c>
      <c r="O5" s="112" t="s">
        <v>67</v>
      </c>
      <c r="P5" s="112" t="s">
        <v>67</v>
      </c>
      <c r="Q5" s="112" t="s">
        <v>67</v>
      </c>
      <c r="R5" s="112" t="s">
        <v>67</v>
      </c>
      <c r="S5" s="112" t="s">
        <v>68</v>
      </c>
      <c r="T5" s="112" t="s">
        <v>69</v>
      </c>
      <c r="U5" s="112" t="s">
        <v>68</v>
      </c>
    </row>
    <row r="6" spans="1:21" ht="60" customHeight="1" x14ac:dyDescent="0.3">
      <c r="A6" s="112" t="str">
        <f>'M-BarberoServicio'!D3</f>
        <v>duracionEnHoras</v>
      </c>
      <c r="B6" s="113" t="str">
        <f>'M-BarberoServicio'!D2</f>
        <v>Representa la cantidad de horas que un barbero tarda en realizar un servicio, esta duracion el barbero debe de ser consiente de cuanto se demora en realizarlo</v>
      </c>
      <c r="C6" s="112" t="s">
        <v>68</v>
      </c>
      <c r="D6" s="115" t="s">
        <v>115</v>
      </c>
      <c r="E6" s="112" t="s">
        <v>68</v>
      </c>
      <c r="F6" s="112" t="s">
        <v>67</v>
      </c>
      <c r="G6" s="112" t="s">
        <v>67</v>
      </c>
      <c r="H6" s="112" t="s">
        <v>67</v>
      </c>
      <c r="I6" s="112" t="s">
        <v>67</v>
      </c>
      <c r="J6" s="112">
        <v>0</v>
      </c>
      <c r="K6" s="112">
        <v>3</v>
      </c>
      <c r="L6" s="112" t="s">
        <v>67</v>
      </c>
      <c r="M6" s="112" t="s">
        <v>67</v>
      </c>
      <c r="N6" s="112" t="s">
        <v>68</v>
      </c>
      <c r="O6" s="112" t="s">
        <v>67</v>
      </c>
      <c r="P6" s="112" t="s">
        <v>67</v>
      </c>
      <c r="Q6" s="112" t="s">
        <v>67</v>
      </c>
      <c r="R6" s="112" t="s">
        <v>67</v>
      </c>
      <c r="S6" s="112" t="s">
        <v>68</v>
      </c>
      <c r="T6" s="116">
        <v>0</v>
      </c>
      <c r="U6" s="112" t="s">
        <v>68</v>
      </c>
    </row>
    <row r="7" spans="1:21" ht="60" customHeight="1" x14ac:dyDescent="0.3">
      <c r="A7" s="112" t="str">
        <f>'M-BarberoServicio'!E3</f>
        <v>duracionEnMinutos</v>
      </c>
      <c r="B7" s="113" t="str">
        <f>'M-BarberoServicio'!E2</f>
        <v>Representa la cantidad de minutos que un barbero tarda en realizar un servicio, esta duracion el barbero debe de ser consiente de cuanto se demora en realizarlo</v>
      </c>
      <c r="C7" s="112" t="s">
        <v>68</v>
      </c>
      <c r="D7" s="112" t="s">
        <v>115</v>
      </c>
      <c r="E7" s="112" t="s">
        <v>68</v>
      </c>
      <c r="F7" s="112" t="s">
        <v>67</v>
      </c>
      <c r="G7" s="112" t="s">
        <v>67</v>
      </c>
      <c r="H7" s="112" t="s">
        <v>67</v>
      </c>
      <c r="I7" s="112" t="s">
        <v>67</v>
      </c>
      <c r="J7" s="112">
        <v>0</v>
      </c>
      <c r="K7" s="112">
        <v>59</v>
      </c>
      <c r="L7" s="112" t="s">
        <v>67</v>
      </c>
      <c r="M7" s="112" t="s">
        <v>67</v>
      </c>
      <c r="N7" s="112" t="s">
        <v>68</v>
      </c>
      <c r="O7" s="112" t="s">
        <v>67</v>
      </c>
      <c r="P7" s="112" t="s">
        <v>67</v>
      </c>
      <c r="Q7" s="112" t="s">
        <v>67</v>
      </c>
      <c r="R7" s="112" t="s">
        <v>67</v>
      </c>
      <c r="S7" s="112" t="s">
        <v>68</v>
      </c>
      <c r="T7" s="112" t="s">
        <v>184</v>
      </c>
      <c r="U7" s="112" t="s">
        <v>68</v>
      </c>
    </row>
    <row r="8" spans="1:21" ht="90" customHeight="1" x14ac:dyDescent="0.3">
      <c r="A8" s="112" t="str">
        <f>'M-BarberoServicio'!F3</f>
        <v>tiempoExtra</v>
      </c>
      <c r="B8" s="113" t="str">
        <f>'M-BarberoServicio'!F2</f>
        <v>Representa la cantidad de minutos que un barbero pone de tiempo extra en las citas de su agenda, cada barbero usa este tiempo porque hay ocaciones que la cita se puede demorar más de lo previsto. Este tiempo les ayuda a evitar que se les retrase la agenda</v>
      </c>
      <c r="C8" s="112" t="s">
        <v>68</v>
      </c>
      <c r="D8" s="112" t="s">
        <v>115</v>
      </c>
      <c r="E8" s="112" t="s">
        <v>68</v>
      </c>
      <c r="F8" s="112" t="s">
        <v>67</v>
      </c>
      <c r="G8" s="112" t="s">
        <v>67</v>
      </c>
      <c r="H8" s="112" t="s">
        <v>67</v>
      </c>
      <c r="I8" s="112" t="s">
        <v>67</v>
      </c>
      <c r="J8" s="112">
        <v>0</v>
      </c>
      <c r="K8" s="112">
        <v>59</v>
      </c>
      <c r="L8" s="112" t="s">
        <v>67</v>
      </c>
      <c r="M8" s="112" t="s">
        <v>67</v>
      </c>
      <c r="N8" s="112" t="s">
        <v>68</v>
      </c>
      <c r="O8" s="112" t="s">
        <v>67</v>
      </c>
      <c r="P8" s="112" t="s">
        <v>67</v>
      </c>
      <c r="Q8" s="112" t="s">
        <v>67</v>
      </c>
      <c r="R8" s="112" t="s">
        <v>67</v>
      </c>
      <c r="S8" s="112" t="s">
        <v>68</v>
      </c>
      <c r="T8" s="112" t="s">
        <v>184</v>
      </c>
      <c r="U8" s="112" t="s">
        <v>68</v>
      </c>
    </row>
    <row r="9" spans="1:21" ht="30" customHeight="1" x14ac:dyDescent="0.3">
      <c r="A9" s="112" t="str">
        <f>'M-BarberoServicio'!G3</f>
        <v>vigente</v>
      </c>
      <c r="B9" s="113" t="str">
        <f>'M-BarberoServicio'!G2</f>
        <v>Representa si el barbero sigue o no presentando el servicio en la barbería</v>
      </c>
      <c r="C9" s="112" t="s">
        <v>68</v>
      </c>
      <c r="D9" s="112" t="s">
        <v>116</v>
      </c>
      <c r="E9" s="112" t="s">
        <v>68</v>
      </c>
      <c r="F9" s="112" t="s">
        <v>67</v>
      </c>
      <c r="G9" s="112" t="s">
        <v>67</v>
      </c>
      <c r="H9" s="112" t="s">
        <v>67</v>
      </c>
      <c r="I9" s="112" t="s">
        <v>67</v>
      </c>
      <c r="J9" s="112" t="s">
        <v>67</v>
      </c>
      <c r="K9" s="112" t="s">
        <v>67</v>
      </c>
      <c r="L9" s="112" t="s">
        <v>67</v>
      </c>
      <c r="M9" s="112" t="s">
        <v>67</v>
      </c>
      <c r="N9" s="112" t="s">
        <v>68</v>
      </c>
      <c r="O9" s="112" t="s">
        <v>67</v>
      </c>
      <c r="P9" s="112" t="s">
        <v>67</v>
      </c>
      <c r="Q9" s="112" t="s">
        <v>67</v>
      </c>
      <c r="R9" s="112" t="s">
        <v>67</v>
      </c>
      <c r="S9" s="112" t="s">
        <v>68</v>
      </c>
      <c r="T9" s="112" t="s">
        <v>65</v>
      </c>
      <c r="U9" s="112" t="s">
        <v>68</v>
      </c>
    </row>
    <row r="10" spans="1:21" ht="15" customHeight="1" x14ac:dyDescent="0.3"/>
    <row r="11" spans="1:21" ht="15" customHeight="1" x14ac:dyDescent="0.3">
      <c r="A11" s="22" t="s">
        <v>73</v>
      </c>
      <c r="B11" s="22" t="s">
        <v>74</v>
      </c>
      <c r="C11" s="22" t="s">
        <v>75</v>
      </c>
    </row>
    <row r="12" spans="1:21" ht="15" customHeight="1" x14ac:dyDescent="0.3">
      <c r="A12" s="5" t="str">
        <f>'M-BarberoServicio'!H3</f>
        <v>Combinación única</v>
      </c>
      <c r="B12" s="4" t="str">
        <f>'M-BarberoServicio'!H2</f>
        <v>Combinación única que indica que un mismo barbero no puede aparecer dos veces ofreciendo el mismo servicio</v>
      </c>
      <c r="C12" s="23" t="s">
        <v>276</v>
      </c>
    </row>
    <row r="13" spans="1:21" ht="15" customHeight="1" x14ac:dyDescent="0.3">
      <c r="A13" s="5"/>
      <c r="B13" s="5"/>
      <c r="C13" s="23" t="s">
        <v>277</v>
      </c>
    </row>
  </sheetData>
  <mergeCells count="2">
    <mergeCell ref="A12:A13"/>
    <mergeCell ref="B12:B13"/>
  </mergeCells>
  <hyperlinks>
    <hyperlink ref="A1" location="'Modelo de Dominio'!A1" display="&lt;&lt;&lt;&lt; Ir al modulo de dominio" xr:uid="{00000000-0004-0000-1600-000000000000}"/>
    <hyperlink ref="B1" location="'Objetos de Dominio'!A1" display="&lt;&lt;&lt;&lt; Ir a objetos de dominio" xr:uid="{00000000-0004-0000-1600-000001000000}"/>
    <hyperlink ref="D4" location="'C-Barbero'!A1" display="Barbero" xr:uid="{00000000-0004-0000-1600-000002000000}"/>
    <hyperlink ref="D5" location="'C-Servicio'!A1" display="Servicio" xr:uid="{00000000-0004-0000-1600-000003000000}"/>
  </hyperlinks>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H12"/>
  <sheetViews>
    <sheetView zoomScale="130" zoomScaleNormal="130" workbookViewId="0"/>
  </sheetViews>
  <sheetFormatPr baseColWidth="10" defaultColWidth="10.6640625" defaultRowHeight="14.4" x14ac:dyDescent="0.3"/>
  <cols>
    <col min="1" max="1" width="27" customWidth="1"/>
    <col min="2" max="2" width="26.109375" customWidth="1"/>
    <col min="3" max="3" width="42" customWidth="1"/>
    <col min="4" max="4" width="42" style="70" customWidth="1"/>
    <col min="5" max="5" width="40.33203125" customWidth="1"/>
    <col min="6" max="7" width="35.6640625" customWidth="1"/>
    <col min="8" max="8" width="56.88671875" customWidth="1"/>
  </cols>
  <sheetData>
    <row r="1" spans="1:8" ht="14.25" customHeight="1" x14ac:dyDescent="0.3">
      <c r="A1" s="6" t="s">
        <v>1</v>
      </c>
      <c r="B1" s="6" t="s">
        <v>43</v>
      </c>
    </row>
    <row r="2" spans="1:8" ht="51.75" customHeight="1" x14ac:dyDescent="0.3">
      <c r="A2" s="50" t="s">
        <v>77</v>
      </c>
      <c r="B2" s="117" t="s">
        <v>278</v>
      </c>
      <c r="C2" s="50" t="s">
        <v>279</v>
      </c>
      <c r="D2" s="50" t="s">
        <v>280</v>
      </c>
      <c r="E2" s="50" t="s">
        <v>281</v>
      </c>
      <c r="F2" s="50" t="s">
        <v>282</v>
      </c>
      <c r="G2" s="50" t="s">
        <v>283</v>
      </c>
      <c r="H2" s="51" t="s">
        <v>284</v>
      </c>
    </row>
    <row r="3" spans="1:8" ht="14.25" customHeight="1" x14ac:dyDescent="0.3">
      <c r="A3" s="76" t="s">
        <v>80</v>
      </c>
      <c r="B3" s="118" t="s">
        <v>276</v>
      </c>
      <c r="C3" s="118" t="s">
        <v>277</v>
      </c>
      <c r="D3" s="119" t="s">
        <v>285</v>
      </c>
      <c r="E3" s="119" t="s">
        <v>286</v>
      </c>
      <c r="F3" s="119" t="s">
        <v>287</v>
      </c>
      <c r="G3" s="96" t="s">
        <v>201</v>
      </c>
      <c r="H3" s="120" t="s">
        <v>168</v>
      </c>
    </row>
    <row r="4" spans="1:8" ht="14.25" customHeight="1" x14ac:dyDescent="0.3">
      <c r="A4" s="31">
        <v>1</v>
      </c>
      <c r="B4" s="92" t="str">
        <f>_xlfn.CONCAT('M-Barbero'!B4," ",'M-Barbero'!D4)</f>
        <v>Juan García</v>
      </c>
      <c r="C4" s="92" t="str">
        <f>'M-Servicio'!B4</f>
        <v>Motilada</v>
      </c>
      <c r="D4" s="121">
        <v>0</v>
      </c>
      <c r="E4" s="121">
        <v>45</v>
      </c>
      <c r="F4" s="121">
        <v>15</v>
      </c>
      <c r="G4" s="121" t="s">
        <v>127</v>
      </c>
      <c r="H4" s="31" t="str">
        <f t="shared" ref="H4:H12" si="0">_xlfn.CONCAT(B4,"-",C4)</f>
        <v>Juan García-Motilada</v>
      </c>
    </row>
    <row r="5" spans="1:8" ht="14.25" customHeight="1" x14ac:dyDescent="0.3">
      <c r="A5" s="31">
        <v>2</v>
      </c>
      <c r="B5" s="92" t="str">
        <f>_xlfn.CONCAT('M-Barbero'!B5," ",'M-Barbero'!D5)</f>
        <v>Juan Ortiz</v>
      </c>
      <c r="C5" s="92" t="str">
        <f>'M-Servicio'!B5</f>
        <v>Corte de barba</v>
      </c>
      <c r="D5" s="121">
        <v>0</v>
      </c>
      <c r="E5" s="121">
        <v>10</v>
      </c>
      <c r="F5" s="121">
        <v>5</v>
      </c>
      <c r="G5" s="121" t="s">
        <v>127</v>
      </c>
      <c r="H5" s="31" t="str">
        <f t="shared" si="0"/>
        <v>Juan Ortiz-Corte de barba</v>
      </c>
    </row>
    <row r="6" spans="1:8" ht="14.25" customHeight="1" x14ac:dyDescent="0.3">
      <c r="A6" s="31">
        <v>3</v>
      </c>
      <c r="B6" s="92" t="str">
        <f>_xlfn.CONCAT('M-Barbero'!B6," ",'M-Barbero'!D6)</f>
        <v>Carlos Arbeladez</v>
      </c>
      <c r="C6" s="92" t="str">
        <f>'M-Servicio'!B6</f>
        <v>Perfilada de barba</v>
      </c>
      <c r="D6" s="121">
        <v>0</v>
      </c>
      <c r="E6" s="121">
        <v>15</v>
      </c>
      <c r="F6" s="121">
        <v>5</v>
      </c>
      <c r="G6" s="121" t="s">
        <v>127</v>
      </c>
      <c r="H6" s="31" t="str">
        <f t="shared" si="0"/>
        <v>Carlos Arbeladez-Perfilada de barba</v>
      </c>
    </row>
    <row r="7" spans="1:8" ht="14.25" customHeight="1" x14ac:dyDescent="0.3">
      <c r="A7" s="31">
        <v>4</v>
      </c>
      <c r="B7" s="92" t="str">
        <f>_xlfn.CONCAT('M-Barbero'!B7," ",'M-Barbero'!D7)</f>
        <v>Andres Ramirez</v>
      </c>
      <c r="C7" s="92" t="str">
        <f>'M-Servicio'!B7</f>
        <v>Arreglo completo de barba con toalla caliente</v>
      </c>
      <c r="D7" s="121">
        <v>0</v>
      </c>
      <c r="E7" s="121">
        <v>40</v>
      </c>
      <c r="F7" s="121">
        <v>10</v>
      </c>
      <c r="G7" s="121" t="s">
        <v>127</v>
      </c>
      <c r="H7" s="31" t="str">
        <f t="shared" si="0"/>
        <v>Andres Ramirez-Arreglo completo de barba con toalla caliente</v>
      </c>
    </row>
    <row r="8" spans="1:8" ht="14.25" customHeight="1" x14ac:dyDescent="0.3">
      <c r="A8" s="31">
        <v>5</v>
      </c>
      <c r="B8" s="92" t="str">
        <f>_xlfn.CONCAT('M-Barbero'!B5," ",'M-Barbero'!D5)</f>
        <v>Juan Ortiz</v>
      </c>
      <c r="C8" s="92" t="str">
        <f>'M-Servicio'!B4</f>
        <v>Motilada</v>
      </c>
      <c r="D8" s="121">
        <v>0</v>
      </c>
      <c r="E8" s="121">
        <v>40</v>
      </c>
      <c r="F8" s="121">
        <v>10</v>
      </c>
      <c r="G8" s="121" t="s">
        <v>127</v>
      </c>
      <c r="H8" s="31" t="str">
        <f t="shared" si="0"/>
        <v>Juan Ortiz-Motilada</v>
      </c>
    </row>
    <row r="9" spans="1:8" ht="14.25" customHeight="1" x14ac:dyDescent="0.3">
      <c r="A9" s="31">
        <v>6</v>
      </c>
      <c r="B9" s="92" t="str">
        <f>_xlfn.CONCAT('M-Barbero'!B6," ",'M-Barbero'!D6)</f>
        <v>Carlos Arbeladez</v>
      </c>
      <c r="C9" s="92" t="str">
        <f>'M-Servicio'!B5</f>
        <v>Corte de barba</v>
      </c>
      <c r="D9" s="121">
        <v>0</v>
      </c>
      <c r="E9" s="121">
        <v>15</v>
      </c>
      <c r="F9" s="121">
        <v>5</v>
      </c>
      <c r="G9" s="121" t="s">
        <v>127</v>
      </c>
      <c r="H9" s="31" t="str">
        <f t="shared" si="0"/>
        <v>Carlos Arbeladez-Corte de barba</v>
      </c>
    </row>
    <row r="10" spans="1:8" ht="14.25" customHeight="1" x14ac:dyDescent="0.3">
      <c r="A10" s="31">
        <v>7</v>
      </c>
      <c r="B10" s="92" t="str">
        <f>_xlfn.CONCAT('M-Barbero'!B4," ",'M-Barbero'!D4)</f>
        <v>Juan García</v>
      </c>
      <c r="C10" s="92" t="str">
        <f>'M-Servicio'!B6</f>
        <v>Perfilada de barba</v>
      </c>
      <c r="D10" s="121">
        <v>0</v>
      </c>
      <c r="E10" s="121">
        <v>20</v>
      </c>
      <c r="F10" s="121">
        <v>5</v>
      </c>
      <c r="G10" s="121" t="s">
        <v>127</v>
      </c>
      <c r="H10" s="31" t="str">
        <f t="shared" si="0"/>
        <v>Juan García-Perfilada de barba</v>
      </c>
    </row>
    <row r="11" spans="1:8" ht="14.25" customHeight="1" x14ac:dyDescent="0.3">
      <c r="A11" s="31">
        <v>8</v>
      </c>
      <c r="B11" s="92" t="str">
        <f>_xlfn.CONCAT('M-Barbero'!B7," ",'M-Barbero'!D7)</f>
        <v>Andres Ramirez</v>
      </c>
      <c r="C11" s="92" t="str">
        <f>'M-Servicio'!B4</f>
        <v>Motilada</v>
      </c>
      <c r="D11" s="121">
        <v>0</v>
      </c>
      <c r="E11" s="121">
        <v>50</v>
      </c>
      <c r="F11" s="121">
        <v>15</v>
      </c>
      <c r="G11" s="121" t="s">
        <v>127</v>
      </c>
      <c r="H11" s="31" t="str">
        <f t="shared" si="0"/>
        <v>Andres Ramirez-Motilada</v>
      </c>
    </row>
    <row r="12" spans="1:8" ht="14.25" customHeight="1" x14ac:dyDescent="0.3">
      <c r="A12" s="31">
        <v>9</v>
      </c>
      <c r="B12" s="92" t="str">
        <f>_xlfn.CONCAT('M-Barbero'!B8," ",'M-Barbero'!D8)</f>
        <v>Juan Zambrano</v>
      </c>
      <c r="C12" s="92" t="str">
        <f>'M-Servicio'!B5</f>
        <v>Corte de barba</v>
      </c>
      <c r="D12" s="121">
        <v>0</v>
      </c>
      <c r="E12" s="121">
        <v>12</v>
      </c>
      <c r="F12" s="121">
        <v>5</v>
      </c>
      <c r="G12" s="121" t="s">
        <v>127</v>
      </c>
      <c r="H12" s="31" t="str">
        <f t="shared" si="0"/>
        <v>Juan Zambrano-Corte de barba</v>
      </c>
    </row>
  </sheetData>
  <hyperlinks>
    <hyperlink ref="A1" location="'Modelo de Dominio'!A1" display="&lt;&lt;&lt;&lt; Ir al modulo de dominio" xr:uid="{00000000-0004-0000-1700-000000000000}"/>
    <hyperlink ref="B1" location="'Objetos de Dominio'!A1" display="&lt;&lt;&lt;&lt; Ir a objetos de dominio" xr:uid="{00000000-0004-0000-1700-000001000000}"/>
    <hyperlink ref="B3" location="'M-Barbero'!A1" display="barbero" xr:uid="{00000000-0004-0000-1700-000002000000}"/>
    <hyperlink ref="C3" location="'M-Servicio'!A1" display="servicio" xr:uid="{00000000-0004-0000-1700-000003000000}"/>
    <hyperlink ref="B4" location="'M-Barbero'!A4" display="#'M-Barbero'.A4" xr:uid="{00000000-0004-0000-1700-000004000000}"/>
    <hyperlink ref="C4" location="'M-Servicio'!A4" display="#'M-Servicio'.A4" xr:uid="{00000000-0004-0000-1700-000005000000}"/>
    <hyperlink ref="B5" location="'M-Barbero'!A5" display="#'M-Barbero'.A5" xr:uid="{00000000-0004-0000-1700-000006000000}"/>
    <hyperlink ref="C5" location="'M-Servicio'!A5" display="#'M-Servicio'.A5" xr:uid="{00000000-0004-0000-1700-000007000000}"/>
    <hyperlink ref="B6" location="'M-Barbero'!A6" display="#'M-Barbero'.A6" xr:uid="{00000000-0004-0000-1700-000008000000}"/>
    <hyperlink ref="C6" location="'M-Servicio'!A6" display="#'M-Servicio'.A6" xr:uid="{00000000-0004-0000-1700-000009000000}"/>
    <hyperlink ref="B7" location="'M-Barbero'!A7" display="#'M-Barbero'.A7" xr:uid="{00000000-0004-0000-1700-00000A000000}"/>
    <hyperlink ref="C7" location="'M-Servicio'!A7" display="#'M-Servicio'.A7" xr:uid="{00000000-0004-0000-1700-00000B000000}"/>
    <hyperlink ref="B8" location="'M-Barbero'!A5" display="#'M-Barbero'.A5" xr:uid="{00000000-0004-0000-1700-00000C000000}"/>
    <hyperlink ref="C8" location="'M-Servicio'!A4" display="#'M-Servicio'.A4" xr:uid="{00000000-0004-0000-1700-00000D000000}"/>
    <hyperlink ref="B9" location="'M-Barbero'!A6" display="#'M-Barbero'.A6" xr:uid="{00000000-0004-0000-1700-00000E000000}"/>
    <hyperlink ref="C9" location="'M-Servicio'!A5" display="#'M-Servicio'.A5" xr:uid="{00000000-0004-0000-1700-00000F000000}"/>
    <hyperlink ref="B10" location="'M-Barbero'!A4" display="#'M-Barbero'.A4" xr:uid="{00000000-0004-0000-1700-000010000000}"/>
    <hyperlink ref="C10" location="'M-Servicio'!A6" display="#'M-Servicio'.A6" xr:uid="{00000000-0004-0000-1700-000011000000}"/>
    <hyperlink ref="B11" location="'M-Barbero'!A7" display="#'M-Barbero'.A7" xr:uid="{00000000-0004-0000-1700-000012000000}"/>
    <hyperlink ref="C11" location="'M-Servicio'!A4" display="#'M-Servicio'.A4" xr:uid="{00000000-0004-0000-1700-000013000000}"/>
    <hyperlink ref="B12" location="'M-Barbero'!A8" display="#'M-Barbero'.A8" xr:uid="{00000000-0004-0000-1700-000014000000}"/>
    <hyperlink ref="C12" location="'M-Servicio'!A5" display="#'M-Servicio'.A5" xr:uid="{00000000-0004-0000-1700-000015000000}"/>
  </hyperlinks>
  <pageMargins left="0.7" right="0.7" top="0.75" bottom="0.75"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17"/>
  <sheetViews>
    <sheetView topLeftCell="A6" zoomScaleNormal="100" workbookViewId="0">
      <selection activeCell="B1" sqref="B1"/>
    </sheetView>
  </sheetViews>
  <sheetFormatPr baseColWidth="10" defaultColWidth="8.6640625" defaultRowHeight="14.4" x14ac:dyDescent="0.3"/>
  <cols>
    <col min="1" max="1" width="26.6640625" customWidth="1"/>
    <col min="2" max="2" width="51.88671875" customWidth="1"/>
    <col min="3" max="3" width="43" customWidth="1"/>
    <col min="4" max="4" width="25" customWidth="1"/>
    <col min="5" max="12" width="18" customWidth="1"/>
    <col min="13" max="13" width="40" customWidth="1"/>
    <col min="14" max="21" width="18" customWidth="1"/>
  </cols>
  <sheetData>
    <row r="1" spans="1:21" ht="15" customHeight="1" x14ac:dyDescent="0.3">
      <c r="A1" s="6" t="s">
        <v>1</v>
      </c>
      <c r="B1" s="6" t="s">
        <v>43</v>
      </c>
    </row>
    <row r="2" spans="1:21" ht="45" customHeight="1" x14ac:dyDescent="0.3">
      <c r="A2" s="111" t="s">
        <v>44</v>
      </c>
      <c r="B2" s="111" t="s">
        <v>45</v>
      </c>
      <c r="C2" s="111" t="s">
        <v>46</v>
      </c>
      <c r="D2" s="111" t="s">
        <v>47</v>
      </c>
      <c r="E2" s="111" t="s">
        <v>48</v>
      </c>
      <c r="F2" s="111" t="s">
        <v>49</v>
      </c>
      <c r="G2" s="111" t="s">
        <v>50</v>
      </c>
      <c r="H2" s="111" t="s">
        <v>51</v>
      </c>
      <c r="I2" s="111" t="s">
        <v>52</v>
      </c>
      <c r="J2" s="111" t="s">
        <v>53</v>
      </c>
      <c r="K2" s="111" t="s">
        <v>54</v>
      </c>
      <c r="L2" s="111" t="s">
        <v>55</v>
      </c>
      <c r="M2" s="111" t="s">
        <v>56</v>
      </c>
      <c r="N2" s="111" t="s">
        <v>57</v>
      </c>
      <c r="O2" s="111" t="s">
        <v>58</v>
      </c>
      <c r="P2" s="111" t="s">
        <v>59</v>
      </c>
      <c r="Q2" s="111" t="s">
        <v>60</v>
      </c>
      <c r="R2" s="111" t="s">
        <v>61</v>
      </c>
      <c r="S2" s="111" t="s">
        <v>62</v>
      </c>
      <c r="T2" s="111" t="s">
        <v>63</v>
      </c>
      <c r="U2" s="111" t="s">
        <v>64</v>
      </c>
    </row>
    <row r="3" spans="1:21" ht="30" customHeight="1" x14ac:dyDescent="0.3">
      <c r="A3" s="112" t="str">
        <f>'M-HorarioBarbero'!A3</f>
        <v>id</v>
      </c>
      <c r="B3" s="113" t="str">
        <f>'M-HorarioBarbero'!A2</f>
        <v>Representa un identificador que hará unico cada objeto de dominio de este tipo, no se puede repetir</v>
      </c>
      <c r="C3" s="112" t="s">
        <v>65</v>
      </c>
      <c r="D3" s="112" t="s">
        <v>66</v>
      </c>
      <c r="E3" s="112" t="s">
        <v>65</v>
      </c>
      <c r="F3" s="112" t="s">
        <v>67</v>
      </c>
      <c r="G3" s="112" t="s">
        <v>67</v>
      </c>
      <c r="H3" s="112" t="s">
        <v>67</v>
      </c>
      <c r="I3" s="112" t="s">
        <v>67</v>
      </c>
      <c r="J3" s="112" t="s">
        <v>67</v>
      </c>
      <c r="K3" s="112" t="s">
        <v>67</v>
      </c>
      <c r="L3" s="112" t="s">
        <v>67</v>
      </c>
      <c r="M3" s="112" t="s">
        <v>67</v>
      </c>
      <c r="N3" s="112" t="s">
        <v>68</v>
      </c>
      <c r="O3" s="112" t="s">
        <v>68</v>
      </c>
      <c r="P3" s="112" t="s">
        <v>67</v>
      </c>
      <c r="Q3" s="112" t="s">
        <v>68</v>
      </c>
      <c r="R3" s="112" t="s">
        <v>68</v>
      </c>
      <c r="S3" s="112" t="s">
        <v>68</v>
      </c>
      <c r="T3" s="112" t="s">
        <v>69</v>
      </c>
      <c r="U3" s="112" t="s">
        <v>65</v>
      </c>
    </row>
    <row r="4" spans="1:21" ht="27.75" customHeight="1" x14ac:dyDescent="0.3">
      <c r="A4" s="112" t="str">
        <f>'M-HorarioBarbero'!B3</f>
        <v>barbero</v>
      </c>
      <c r="B4" s="113" t="str">
        <f>'M-HorarioBarbero'!B2</f>
        <v>Referencia a que barbero va a ser dueño de este horario</v>
      </c>
      <c r="C4" s="112" t="s">
        <v>68</v>
      </c>
      <c r="D4" s="114" t="s">
        <v>23</v>
      </c>
      <c r="E4" s="112" t="s">
        <v>65</v>
      </c>
      <c r="F4" s="112" t="s">
        <v>67</v>
      </c>
      <c r="G4" s="112" t="s">
        <v>67</v>
      </c>
      <c r="H4" s="112" t="s">
        <v>67</v>
      </c>
      <c r="I4" s="112" t="s">
        <v>67</v>
      </c>
      <c r="J4" s="112" t="s">
        <v>67</v>
      </c>
      <c r="K4" s="112" t="s">
        <v>67</v>
      </c>
      <c r="L4" s="112" t="s">
        <v>67</v>
      </c>
      <c r="M4" s="21" t="s">
        <v>224</v>
      </c>
      <c r="N4" s="112" t="s">
        <v>68</v>
      </c>
      <c r="O4" s="112" t="s">
        <v>67</v>
      </c>
      <c r="P4" s="112" t="s">
        <v>67</v>
      </c>
      <c r="Q4" s="112" t="s">
        <v>67</v>
      </c>
      <c r="R4" s="112" t="s">
        <v>67</v>
      </c>
      <c r="S4" s="112" t="s">
        <v>68</v>
      </c>
      <c r="T4" s="112" t="s">
        <v>69</v>
      </c>
      <c r="U4" s="112" t="s">
        <v>68</v>
      </c>
    </row>
    <row r="5" spans="1:21" ht="30" customHeight="1" x14ac:dyDescent="0.3">
      <c r="A5" s="112" t="str">
        <f>'M-HorarioBarbero'!C3</f>
        <v>horarioDeLaBarberia</v>
      </c>
      <c r="B5" s="113" t="str">
        <f>'M-HorarioBarbero'!C2</f>
        <v>Hace referencia a la agenda del barbero en la que queda guardado este horario de trabajo</v>
      </c>
      <c r="C5" s="112" t="s">
        <v>68</v>
      </c>
      <c r="D5" s="114" t="s">
        <v>27</v>
      </c>
      <c r="E5" s="112" t="s">
        <v>65</v>
      </c>
      <c r="F5" s="112" t="s">
        <v>67</v>
      </c>
      <c r="G5" s="112" t="s">
        <v>67</v>
      </c>
      <c r="H5" s="112" t="s">
        <v>67</v>
      </c>
      <c r="I5" s="112" t="s">
        <v>67</v>
      </c>
      <c r="J5" s="112" t="s">
        <v>67</v>
      </c>
      <c r="K5" s="112" t="s">
        <v>67</v>
      </c>
      <c r="L5" s="112" t="s">
        <v>67</v>
      </c>
      <c r="M5" s="21" t="s">
        <v>224</v>
      </c>
      <c r="N5" s="112" t="s">
        <v>68</v>
      </c>
      <c r="O5" s="112" t="s">
        <v>67</v>
      </c>
      <c r="P5" s="112" t="s">
        <v>67</v>
      </c>
      <c r="Q5" s="112" t="s">
        <v>67</v>
      </c>
      <c r="R5" s="112" t="s">
        <v>67</v>
      </c>
      <c r="S5" s="112" t="s">
        <v>68</v>
      </c>
      <c r="T5" s="112" t="s">
        <v>69</v>
      </c>
      <c r="U5" s="112" t="s">
        <v>68</v>
      </c>
    </row>
    <row r="6" spans="1:21" ht="30" customHeight="1" x14ac:dyDescent="0.3">
      <c r="A6" s="112" t="str">
        <f>'M-HorarioBarbero'!D3</f>
        <v>horaInicio</v>
      </c>
      <c r="B6" s="113" t="str">
        <f>'M-HorarioBarbero'!D2</f>
        <v>Representa la hora en la que el barbero empieza a estar disponible ese dia</v>
      </c>
      <c r="C6" s="112" t="s">
        <v>68</v>
      </c>
      <c r="D6" s="112" t="s">
        <v>257</v>
      </c>
      <c r="E6" s="112" t="s">
        <v>65</v>
      </c>
      <c r="F6" s="112" t="s">
        <v>67</v>
      </c>
      <c r="G6" s="112" t="s">
        <v>67</v>
      </c>
      <c r="H6" s="112" t="s">
        <v>67</v>
      </c>
      <c r="I6" s="112" t="s">
        <v>67</v>
      </c>
      <c r="J6" s="112" t="s">
        <v>67</v>
      </c>
      <c r="K6" s="112" t="s">
        <v>67</v>
      </c>
      <c r="L6" s="112" t="s">
        <v>288</v>
      </c>
      <c r="M6" s="113" t="s">
        <v>289</v>
      </c>
      <c r="N6" s="112" t="s">
        <v>68</v>
      </c>
      <c r="O6" s="112" t="s">
        <v>67</v>
      </c>
      <c r="P6" s="112" t="s">
        <v>67</v>
      </c>
      <c r="Q6" s="112" t="s">
        <v>67</v>
      </c>
      <c r="R6" s="112" t="s">
        <v>67</v>
      </c>
      <c r="S6" s="112" t="s">
        <v>68</v>
      </c>
      <c r="T6" s="112" t="s">
        <v>258</v>
      </c>
      <c r="U6" s="112" t="s">
        <v>68</v>
      </c>
    </row>
    <row r="7" spans="1:21" ht="60" customHeight="1" x14ac:dyDescent="0.3">
      <c r="A7" s="112" t="str">
        <f>'M-HorarioBarbero'!E3</f>
        <v>horaFinal</v>
      </c>
      <c r="B7" s="113" t="str">
        <f>'M-HorarioBarbero'!E2</f>
        <v>Representa la hora en la que el barbero deja de estar disponible ese día.</v>
      </c>
      <c r="C7" s="112" t="s">
        <v>68</v>
      </c>
      <c r="D7" s="112" t="s">
        <v>257</v>
      </c>
      <c r="E7" s="112" t="s">
        <v>65</v>
      </c>
      <c r="F7" s="112" t="s">
        <v>67</v>
      </c>
      <c r="G7" s="112" t="s">
        <v>67</v>
      </c>
      <c r="H7" s="112" t="s">
        <v>67</v>
      </c>
      <c r="I7" s="112" t="s">
        <v>67</v>
      </c>
      <c r="J7" s="112" t="s">
        <v>67</v>
      </c>
      <c r="K7" s="112" t="s">
        <v>67</v>
      </c>
      <c r="L7" s="112" t="s">
        <v>288</v>
      </c>
      <c r="M7" s="113" t="s">
        <v>290</v>
      </c>
      <c r="N7" s="112" t="s">
        <v>68</v>
      </c>
      <c r="O7" s="112" t="s">
        <v>67</v>
      </c>
      <c r="P7" s="112" t="s">
        <v>67</v>
      </c>
      <c r="Q7" s="112" t="s">
        <v>67</v>
      </c>
      <c r="R7" s="112" t="s">
        <v>67</v>
      </c>
      <c r="S7" s="112" t="s">
        <v>68</v>
      </c>
      <c r="T7" s="112" t="s">
        <v>258</v>
      </c>
      <c r="U7" s="112" t="s">
        <v>68</v>
      </c>
    </row>
    <row r="8" spans="1:21" ht="45" customHeight="1" x14ac:dyDescent="0.3">
      <c r="A8" s="112" t="str">
        <f>'M-HorarioBarbero'!F3</f>
        <v>fechaCreacion</v>
      </c>
      <c r="B8" s="113" t="str">
        <f>'M-HorarioBarbero'!F2</f>
        <v>Representa la fecha en el que el barbero creo su horario. Es un dato calculado que toma la fecha de hoy cuando el barbero la crea</v>
      </c>
      <c r="C8" s="112" t="s">
        <v>68</v>
      </c>
      <c r="D8" s="112" t="s">
        <v>260</v>
      </c>
      <c r="E8" s="112" t="s">
        <v>65</v>
      </c>
      <c r="F8" s="112" t="s">
        <v>67</v>
      </c>
      <c r="G8" s="112" t="s">
        <v>67</v>
      </c>
      <c r="H8" s="112" t="s">
        <v>67</v>
      </c>
      <c r="I8" s="112" t="s">
        <v>67</v>
      </c>
      <c r="J8" s="112" t="s">
        <v>67</v>
      </c>
      <c r="K8" s="112" t="s">
        <v>67</v>
      </c>
      <c r="L8" s="112" t="s">
        <v>291</v>
      </c>
      <c r="M8" s="113" t="s">
        <v>292</v>
      </c>
      <c r="N8" s="112" t="s">
        <v>65</v>
      </c>
      <c r="O8" s="112" t="s">
        <v>67</v>
      </c>
      <c r="P8" s="112" t="s">
        <v>67</v>
      </c>
      <c r="Q8" s="112" t="s">
        <v>67</v>
      </c>
      <c r="R8" s="112" t="s">
        <v>67</v>
      </c>
      <c r="S8" s="112" t="s">
        <v>68</v>
      </c>
      <c r="T8" s="112" t="s">
        <v>293</v>
      </c>
      <c r="U8" s="112" t="s">
        <v>68</v>
      </c>
    </row>
    <row r="9" spans="1:21" ht="60" customHeight="1" x14ac:dyDescent="0.3">
      <c r="A9" s="112" t="str">
        <f>'M-HorarioBarbero'!G3</f>
        <v>fechaDesactivacion</v>
      </c>
      <c r="B9" s="113" t="str">
        <f>'M-HorarioBarbero'!G2</f>
        <v>Representa la fecha en la que este horario dejó de estar vigente, ya sea porque el barbero lo retiró o porque se desactivó el horario de la barbería del que depende. Es un dato calculado que toma la fecha del sistema en ese momento.</v>
      </c>
      <c r="C9" s="122" t="s">
        <v>68</v>
      </c>
      <c r="D9" s="122" t="s">
        <v>260</v>
      </c>
      <c r="E9" s="122" t="s">
        <v>68</v>
      </c>
      <c r="F9" s="122" t="s">
        <v>67</v>
      </c>
      <c r="G9" s="122" t="s">
        <v>67</v>
      </c>
      <c r="H9" s="122" t="s">
        <v>67</v>
      </c>
      <c r="I9" s="122" t="s">
        <v>67</v>
      </c>
      <c r="J9" s="122" t="s">
        <v>67</v>
      </c>
      <c r="K9" s="122" t="s">
        <v>67</v>
      </c>
      <c r="L9" s="122" t="s">
        <v>291</v>
      </c>
      <c r="M9" s="122" t="s">
        <v>294</v>
      </c>
      <c r="N9" s="122" t="s">
        <v>65</v>
      </c>
      <c r="O9" s="122" t="s">
        <v>67</v>
      </c>
      <c r="P9" s="122" t="s">
        <v>67</v>
      </c>
      <c r="Q9" s="122" t="s">
        <v>67</v>
      </c>
      <c r="R9" s="122" t="s">
        <v>67</v>
      </c>
      <c r="S9" s="122" t="s">
        <v>68</v>
      </c>
      <c r="T9" s="122" t="s">
        <v>293</v>
      </c>
      <c r="U9" s="122" t="s">
        <v>68</v>
      </c>
    </row>
    <row r="10" spans="1:21" ht="45" customHeight="1" x14ac:dyDescent="0.3">
      <c r="A10" s="112" t="str">
        <f>'M-HorarioBarbero'!H3</f>
        <v>vigente</v>
      </c>
      <c r="B10" s="113" t="str">
        <f>'M-HorarioBarbero'!H2</f>
        <v>Representa si este horario lo sigue o no usando el barbero. Una vez que el barbero cambie este estado a no vigente, no se puede volver a cambiar</v>
      </c>
      <c r="C10" s="112" t="s">
        <v>68</v>
      </c>
      <c r="D10" s="112" t="s">
        <v>116</v>
      </c>
      <c r="E10" s="112" t="s">
        <v>65</v>
      </c>
      <c r="F10" s="112" t="s">
        <v>67</v>
      </c>
      <c r="G10" s="112" t="s">
        <v>67</v>
      </c>
      <c r="H10" s="112" t="s">
        <v>67</v>
      </c>
      <c r="I10" s="112" t="s">
        <v>67</v>
      </c>
      <c r="J10" s="112" t="s">
        <v>67</v>
      </c>
      <c r="K10" s="112" t="s">
        <v>67</v>
      </c>
      <c r="L10" s="112" t="s">
        <v>67</v>
      </c>
      <c r="M10" s="113" t="s">
        <v>295</v>
      </c>
      <c r="N10" s="112" t="s">
        <v>68</v>
      </c>
      <c r="O10" s="112" t="s">
        <v>67</v>
      </c>
      <c r="P10" s="112" t="s">
        <v>67</v>
      </c>
      <c r="Q10" s="112" t="s">
        <v>67</v>
      </c>
      <c r="R10" s="112" t="s">
        <v>67</v>
      </c>
      <c r="S10" s="112" t="s">
        <v>68</v>
      </c>
      <c r="T10" s="112" t="s">
        <v>65</v>
      </c>
      <c r="U10" s="112" t="s">
        <v>68</v>
      </c>
    </row>
    <row r="12" spans="1:21" ht="15" customHeight="1" x14ac:dyDescent="0.3">
      <c r="A12" s="22" t="s">
        <v>73</v>
      </c>
      <c r="B12" s="22" t="s">
        <v>74</v>
      </c>
      <c r="C12" s="22" t="s">
        <v>75</v>
      </c>
    </row>
    <row r="13" spans="1:21" ht="15" customHeight="1" x14ac:dyDescent="0.3">
      <c r="A13" s="5" t="str">
        <f>'M-HorarioBarbero'!I3</f>
        <v>Combinación única</v>
      </c>
      <c r="B13" s="4" t="str">
        <f>'M-HorarioBarbero'!I2</f>
        <v>Combinación única que indica que un mismo barbero no puede tener dos horarios con el mismo día de la barbería, la misma hora de inicio y la misma hora final. No incluye vigente porque la identidad de un horario no puede cambiar cuando se desactiva</v>
      </c>
      <c r="C13" s="23" t="str">
        <f>A4</f>
        <v>barbero</v>
      </c>
    </row>
    <row r="14" spans="1:21" ht="15" customHeight="1" x14ac:dyDescent="0.3">
      <c r="A14" s="5"/>
      <c r="B14" s="5"/>
      <c r="C14" s="23" t="str">
        <f>A5</f>
        <v>horarioDeLaBarberia</v>
      </c>
    </row>
    <row r="15" spans="1:21" ht="15" customHeight="1" x14ac:dyDescent="0.3">
      <c r="A15" s="5"/>
      <c r="B15" s="5"/>
      <c r="C15" s="23" t="str">
        <f>A6</f>
        <v>horaInicio</v>
      </c>
    </row>
    <row r="16" spans="1:21" ht="15" customHeight="1" x14ac:dyDescent="0.3">
      <c r="A16" s="5"/>
      <c r="B16" s="5"/>
      <c r="C16" s="23" t="str">
        <f>A7</f>
        <v>horaFinal</v>
      </c>
    </row>
    <row r="17" spans="1:3" ht="15" customHeight="1" x14ac:dyDescent="0.3">
      <c r="A17" s="5"/>
      <c r="B17" s="5"/>
      <c r="C17" s="23" t="str">
        <f>A10</f>
        <v>vigente</v>
      </c>
    </row>
  </sheetData>
  <mergeCells count="2">
    <mergeCell ref="A13:A17"/>
    <mergeCell ref="B13:B17"/>
  </mergeCells>
  <hyperlinks>
    <hyperlink ref="A1" location="'Modelo de Dominio'!A1" display="&lt;&lt;&lt;&lt; Ir al modulo de dominio" xr:uid="{00000000-0004-0000-1800-000000000000}"/>
    <hyperlink ref="B1" location="'Objetos de Dominio'!A1" display="&lt;&lt;&lt;&lt; Ir a objetos de dominio" xr:uid="{00000000-0004-0000-1800-000001000000}"/>
    <hyperlink ref="D4" location="'C-Barbero'!A1" display="Barbero" xr:uid="{00000000-0004-0000-1800-000002000000}"/>
    <hyperlink ref="D5" location="'C-HorarioBarberia'!A1" display="HorarioBarberia" xr:uid="{00000000-0004-0000-1800-000003000000}"/>
    <hyperlink ref="A13" location="'M-HorarioBarbero'!A3" display="#'M-HorarioBarbero'.A3" xr:uid="{00000000-0004-0000-1800-000004000000}"/>
    <hyperlink ref="B13" location="'M-HorarioBarbero'!A2" display="#'M-HorarioBarbero'.A2" xr:uid="{00000000-0004-0000-1800-000005000000}"/>
  </hyperlinks>
  <pageMargins left="0.75" right="0.75" top="1" bottom="1"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21"/>
  <sheetViews>
    <sheetView zoomScaleNormal="100" workbookViewId="0">
      <selection activeCell="F16" sqref="F16"/>
    </sheetView>
  </sheetViews>
  <sheetFormatPr baseColWidth="10" defaultColWidth="10.6640625" defaultRowHeight="14.4" x14ac:dyDescent="0.3"/>
  <cols>
    <col min="1" max="1" width="27" customWidth="1"/>
    <col min="2" max="2" width="26.109375" customWidth="1"/>
    <col min="3" max="3" width="20.5546875" customWidth="1"/>
    <col min="4" max="4" width="24.44140625" customWidth="1"/>
    <col min="5" max="5" width="38.44140625" customWidth="1"/>
    <col min="6" max="6" width="26.44140625" customWidth="1"/>
    <col min="7" max="7" width="29.109375" customWidth="1"/>
    <col min="8" max="8" width="26" customWidth="1"/>
    <col min="9" max="9" width="41.44140625" customWidth="1"/>
  </cols>
  <sheetData>
    <row r="1" spans="1:9" ht="14.25" customHeight="1" x14ac:dyDescent="0.3">
      <c r="A1" s="83" t="s">
        <v>1</v>
      </c>
      <c r="B1" s="83" t="s">
        <v>43</v>
      </c>
      <c r="C1" s="6"/>
      <c r="D1" s="6"/>
      <c r="E1" s="6"/>
      <c r="F1" s="6"/>
      <c r="G1" s="6"/>
      <c r="H1" s="6"/>
    </row>
    <row r="2" spans="1:9" ht="51.75" customHeight="1" x14ac:dyDescent="0.3">
      <c r="A2" s="50" t="s">
        <v>77</v>
      </c>
      <c r="B2" s="50" t="s">
        <v>296</v>
      </c>
      <c r="C2" s="50" t="s">
        <v>297</v>
      </c>
      <c r="D2" s="50" t="s">
        <v>298</v>
      </c>
      <c r="E2" s="50" t="s">
        <v>299</v>
      </c>
      <c r="F2" s="50" t="s">
        <v>300</v>
      </c>
      <c r="G2" s="50" t="s">
        <v>301</v>
      </c>
      <c r="H2" s="50" t="s">
        <v>302</v>
      </c>
      <c r="I2" s="51" t="s">
        <v>303</v>
      </c>
    </row>
    <row r="3" spans="1:9" ht="14.25" customHeight="1" x14ac:dyDescent="0.3">
      <c r="A3" s="76" t="s">
        <v>80</v>
      </c>
      <c r="B3" s="118" t="s">
        <v>276</v>
      </c>
      <c r="C3" s="118" t="s">
        <v>304</v>
      </c>
      <c r="D3" s="123" t="s">
        <v>305</v>
      </c>
      <c r="E3" s="123" t="s">
        <v>306</v>
      </c>
      <c r="F3" s="102" t="s">
        <v>272</v>
      </c>
      <c r="G3" s="102" t="s">
        <v>273</v>
      </c>
      <c r="H3" s="96" t="s">
        <v>201</v>
      </c>
      <c r="I3" s="56" t="s">
        <v>168</v>
      </c>
    </row>
    <row r="4" spans="1:9" ht="28.5" customHeight="1" x14ac:dyDescent="0.3">
      <c r="A4" s="31">
        <v>1</v>
      </c>
      <c r="B4" s="124" t="str">
        <f>'M-Barbero'!K4</f>
        <v>+57-3245627890</v>
      </c>
      <c r="C4" s="124" t="str">
        <f>'M-HorarioBarberia'!H4</f>
        <v>Lunes-09:00-19:00-12/11/2023-1/01/1000</v>
      </c>
      <c r="D4" s="105">
        <v>0.41666666666666702</v>
      </c>
      <c r="E4" s="105">
        <v>0.66666666666666696</v>
      </c>
      <c r="F4" s="106">
        <v>45780</v>
      </c>
      <c r="G4" s="106" t="s">
        <v>261</v>
      </c>
      <c r="H4" s="105" t="s">
        <v>127</v>
      </c>
      <c r="I4" s="41" t="str">
        <f>_xlfn.CONCAT(B4,"-",C4,"-",TEXT(D4,"hh:mm"),"-",TEXT(E4,"hh:mm"))</f>
        <v>+57-3245627890-Lunes-09:00-19:00-12/11/2023-1/01/1000-10:00-16:00</v>
      </c>
    </row>
    <row r="5" spans="1:9" ht="28.5" customHeight="1" x14ac:dyDescent="0.3">
      <c r="A5" s="31">
        <v>2</v>
      </c>
      <c r="B5" s="124" t="str">
        <f>'M-Barbero'!K5</f>
        <v>+57-3124518923</v>
      </c>
      <c r="C5" s="124" t="str">
        <f>'M-HorarioBarberia'!H5</f>
        <v>Martes-09:00-19:00-12/11/2023-1/01/1000</v>
      </c>
      <c r="D5" s="105">
        <v>0.375</v>
      </c>
      <c r="E5" s="105">
        <v>0.625</v>
      </c>
      <c r="F5" s="106">
        <v>45718</v>
      </c>
      <c r="G5" s="106" t="s">
        <v>261</v>
      </c>
      <c r="H5" s="105" t="s">
        <v>127</v>
      </c>
      <c r="I5" s="41" t="str">
        <f>_xlfn.CONCAT(B5,"-",C5,"-",TEXT(D5,"hh:mm"),"-",TEXT(E5,"hh:mm"))</f>
        <v>+57-3124518923-Martes-09:00-19:00-12/11/2023-1/01/1000-09:00-15:00</v>
      </c>
    </row>
    <row r="6" spans="1:9" ht="28.5" customHeight="1" x14ac:dyDescent="0.3">
      <c r="A6" s="31">
        <v>3</v>
      </c>
      <c r="B6" s="124" t="str">
        <f>'M-Barbero'!K6</f>
        <v>+57-3214533321</v>
      </c>
      <c r="C6" s="124" t="str">
        <f>'M-HorarioBarberia'!H7</f>
        <v>Jueves-09:00-19:00-12/11/2023-1/01/1000</v>
      </c>
      <c r="D6" s="105">
        <v>0.54166666666666696</v>
      </c>
      <c r="E6" s="105">
        <v>0.79166666666666696</v>
      </c>
      <c r="F6" s="106">
        <v>44917</v>
      </c>
      <c r="G6" s="125" t="s">
        <v>261</v>
      </c>
      <c r="H6" s="105" t="s">
        <v>127</v>
      </c>
      <c r="I6" s="41" t="str">
        <f>_xlfn.CONCAT(B6,"-",C6,"-",TEXT(D6,"hh:mm"),"-",TEXT(E6,"hh:mm"))</f>
        <v>+57-3214533321-Jueves-09:00-19:00-12/11/2023-1/01/1000-13:00-19:00</v>
      </c>
    </row>
    <row r="7" spans="1:9" ht="28.5" customHeight="1" x14ac:dyDescent="0.3">
      <c r="A7" s="31">
        <v>4</v>
      </c>
      <c r="B7" s="124" t="str">
        <f>'M-Barbero'!K7</f>
        <v>+91-9876543210</v>
      </c>
      <c r="C7" s="124" t="str">
        <f>'M-HorarioBarberia'!H9</f>
        <v>Sábado-08:00-21:00-12/12/2024-1/01/1000</v>
      </c>
      <c r="D7" s="105">
        <v>0.33333333333333298</v>
      </c>
      <c r="E7" s="105">
        <v>0.58333333333333304</v>
      </c>
      <c r="F7" s="126">
        <v>45915</v>
      </c>
      <c r="G7" s="106">
        <v>46023</v>
      </c>
      <c r="H7" s="127" t="s">
        <v>217</v>
      </c>
      <c r="I7" s="41" t="str">
        <f>_xlfn.CONCAT(B7,"-",C7,"-",TEXT(D7,"hh:mm"),"-",TEXT(E7,"hh:mm"))</f>
        <v>+91-9876543210-Sábado-08:00-21:00-12/12/2024-1/01/1000-08:00-14:00</v>
      </c>
    </row>
    <row r="8" spans="1:9" ht="28.5" customHeight="1" x14ac:dyDescent="0.3">
      <c r="A8" s="31">
        <v>5</v>
      </c>
      <c r="B8" s="124" t="str">
        <f>'M-Barbero'!K7</f>
        <v>+91-9876543210</v>
      </c>
      <c r="C8" s="124" t="str">
        <f>'M-HorarioBarberia'!H10</f>
        <v>Festivo-10:00-15:00-12/12/2024-1/01/1000</v>
      </c>
      <c r="D8" s="105">
        <v>0.5</v>
      </c>
      <c r="E8" s="105">
        <v>0.625</v>
      </c>
      <c r="F8" s="126">
        <v>46054</v>
      </c>
      <c r="G8" s="106">
        <v>46083</v>
      </c>
      <c r="H8" s="127" t="s">
        <v>217</v>
      </c>
      <c r="I8" s="41" t="str">
        <f>_xlfn.CONCAT(B8,"-",C8,"-",TEXT(D8,"hh:mm"),"-",TEXT(E8,"hh:mm"))</f>
        <v>+91-9876543210-Festivo-10:00-15:00-12/12/2024-1/01/1000-12:00-15:00</v>
      </c>
    </row>
    <row r="10" spans="1:9" ht="14.25" customHeight="1" x14ac:dyDescent="0.3">
      <c r="G10" s="128"/>
    </row>
    <row r="14" spans="1:9" ht="28.5" customHeight="1" x14ac:dyDescent="0.3">
      <c r="A14" s="34"/>
      <c r="B14" s="35" t="s">
        <v>90</v>
      </c>
      <c r="C14" s="35"/>
    </row>
    <row r="15" spans="1:9" ht="28.5" customHeight="1" x14ac:dyDescent="0.3">
      <c r="A15" s="36"/>
      <c r="B15" s="35" t="s">
        <v>91</v>
      </c>
      <c r="C15" s="35"/>
    </row>
    <row r="16" spans="1:9" ht="28.5" customHeight="1" x14ac:dyDescent="0.3">
      <c r="A16" s="60"/>
      <c r="B16" s="35" t="s">
        <v>220</v>
      </c>
      <c r="C16" s="35"/>
    </row>
    <row r="17" spans="1:3" ht="28.5" customHeight="1" x14ac:dyDescent="0.3">
      <c r="A17" s="61"/>
      <c r="B17" s="35" t="s">
        <v>92</v>
      </c>
      <c r="C17" s="35"/>
    </row>
    <row r="18" spans="1:3" ht="28.5" customHeight="1" x14ac:dyDescent="0.3">
      <c r="A18" s="108"/>
      <c r="B18" s="35" t="s">
        <v>274</v>
      </c>
      <c r="C18" s="35"/>
    </row>
    <row r="19" spans="1:3" ht="28.5" customHeight="1" x14ac:dyDescent="0.3">
      <c r="A19" s="109"/>
      <c r="B19" s="35" t="s">
        <v>307</v>
      </c>
      <c r="C19" s="35"/>
    </row>
    <row r="20" spans="1:3" ht="28.5" customHeight="1" x14ac:dyDescent="0.3">
      <c r="A20" s="63"/>
      <c r="B20" s="35" t="s">
        <v>275</v>
      </c>
      <c r="C20" s="35"/>
    </row>
    <row r="21" spans="1:3" ht="28.5" customHeight="1" x14ac:dyDescent="0.3">
      <c r="A21" s="38"/>
      <c r="B21" s="35" t="s">
        <v>93</v>
      </c>
      <c r="C21" s="35"/>
    </row>
  </sheetData>
  <hyperlinks>
    <hyperlink ref="A1" location="'Modelo%20de%20Dominio'!A1" display="&lt;&lt;&lt;&lt; Ir al modulo de dominio" xr:uid="{00000000-0004-0000-1900-000000000000}"/>
    <hyperlink ref="B1" location="'Objetos%20de%20Dominio'!A1" display="&lt;&lt;&lt;&lt; Ir a objetos de dominio" xr:uid="{00000000-0004-0000-1900-000001000000}"/>
    <hyperlink ref="B3" location="'M-Barbero'!A1" display="barbero" xr:uid="{00000000-0004-0000-1900-000002000000}"/>
    <hyperlink ref="C3" location="'M-HorarioBarberia'!A1" display="horarioDeLaBarberia" xr:uid="{00000000-0004-0000-1900-000003000000}"/>
    <hyperlink ref="B4" location="'M-Barbero'!A4" display="#'M-Barbero'.A4" xr:uid="{00000000-0004-0000-1900-000004000000}"/>
    <hyperlink ref="C4" location="'M-HorarioBarberia'!A4" display="#'M-HorarioBarberia'.A4" xr:uid="{00000000-0004-0000-1900-000005000000}"/>
    <hyperlink ref="B5" location="'M-Barbero'!A5" display="#'M-Barbero'.A5" xr:uid="{00000000-0004-0000-1900-000006000000}"/>
    <hyperlink ref="C5" location="'M-HorarioBarberia'!A5" display="#'M-HorarioBarberia'.A5" xr:uid="{00000000-0004-0000-1900-000007000000}"/>
    <hyperlink ref="B6" location="'M-Barbero'!A6" display="#'M-Barbero'.A6" xr:uid="{00000000-0004-0000-1900-000008000000}"/>
    <hyperlink ref="C6" location="'M-HorarioBarberia'!A7" display="#'M-HorarioBarberia'.A7" xr:uid="{00000000-0004-0000-1900-000009000000}"/>
    <hyperlink ref="B7" location="'M-Barbero'!A7" display="#'M-Barbero'.A7" xr:uid="{00000000-0004-0000-1900-00000A000000}"/>
    <hyperlink ref="C7" location="'M-HorarioBarberia'!A9" display="#'M-HorarioBarberia'.A9" xr:uid="{00000000-0004-0000-1900-00000B000000}"/>
    <hyperlink ref="B8" location="'M-Barbero'!A7" display="#'M-Barbero'.A7" xr:uid="{00000000-0004-0000-1900-00000C000000}"/>
    <hyperlink ref="C8" location="'M-HorarioBarberia'!A10" display="#'M-HorarioBarberia'.A10" xr:uid="{00000000-0004-0000-1900-00000D000000}"/>
  </hyperlinks>
  <pageMargins left="0.7" right="0.7" top="0.75" bottom="0.75"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9"/>
  <sheetViews>
    <sheetView zoomScaleNormal="100" workbookViewId="0">
      <selection activeCell="B1" sqref="B1"/>
    </sheetView>
  </sheetViews>
  <sheetFormatPr baseColWidth="10" defaultColWidth="8.6640625" defaultRowHeight="14.4" x14ac:dyDescent="0.3"/>
  <cols>
    <col min="1" max="1" width="26.6640625" customWidth="1"/>
    <col min="2" max="2" width="45" customWidth="1"/>
    <col min="3" max="3" width="21.5546875" customWidth="1"/>
    <col min="4" max="4" width="26.6640625" customWidth="1"/>
    <col min="5" max="12" width="18" customWidth="1"/>
    <col min="13" max="13" width="40" customWidth="1"/>
    <col min="14" max="21" width="18" customWidth="1"/>
  </cols>
  <sheetData>
    <row r="1" spans="1:21" ht="15" customHeight="1" x14ac:dyDescent="0.3">
      <c r="A1" s="6" t="s">
        <v>1</v>
      </c>
      <c r="B1" s="6" t="s">
        <v>43</v>
      </c>
    </row>
    <row r="2" spans="1:21" ht="45" customHeight="1" x14ac:dyDescent="0.3">
      <c r="A2" s="111" t="s">
        <v>44</v>
      </c>
      <c r="B2" s="111" t="s">
        <v>45</v>
      </c>
      <c r="C2" s="111" t="s">
        <v>46</v>
      </c>
      <c r="D2" s="111" t="s">
        <v>47</v>
      </c>
      <c r="E2" s="111" t="s">
        <v>48</v>
      </c>
      <c r="F2" s="111" t="s">
        <v>49</v>
      </c>
      <c r="G2" s="111" t="s">
        <v>50</v>
      </c>
      <c r="H2" s="111" t="s">
        <v>51</v>
      </c>
      <c r="I2" s="111" t="s">
        <v>52</v>
      </c>
      <c r="J2" s="111" t="s">
        <v>53</v>
      </c>
      <c r="K2" s="111" t="s">
        <v>54</v>
      </c>
      <c r="L2" s="111" t="s">
        <v>55</v>
      </c>
      <c r="M2" s="111" t="s">
        <v>56</v>
      </c>
      <c r="N2" s="111" t="s">
        <v>57</v>
      </c>
      <c r="O2" s="111" t="s">
        <v>58</v>
      </c>
      <c r="P2" s="111" t="s">
        <v>59</v>
      </c>
      <c r="Q2" s="111" t="s">
        <v>60</v>
      </c>
      <c r="R2" s="111" t="s">
        <v>61</v>
      </c>
      <c r="S2" s="111" t="s">
        <v>62</v>
      </c>
      <c r="T2" s="111" t="s">
        <v>63</v>
      </c>
      <c r="U2" s="111" t="s">
        <v>64</v>
      </c>
    </row>
    <row r="3" spans="1:21" ht="45" customHeight="1" x14ac:dyDescent="0.3">
      <c r="A3" s="112" t="str">
        <f>'M-Agenda'!A3</f>
        <v>id</v>
      </c>
      <c r="B3" s="113" t="str">
        <f>'M-Agenda'!A2</f>
        <v>Representa un identificador que hará unico cada objeto de dominio de este tipo, no se puede repetir</v>
      </c>
      <c r="C3" s="112" t="s">
        <v>65</v>
      </c>
      <c r="D3" s="112" t="s">
        <v>66</v>
      </c>
      <c r="E3" s="112" t="s">
        <v>65</v>
      </c>
      <c r="F3" s="112" t="s">
        <v>67</v>
      </c>
      <c r="G3" s="112" t="s">
        <v>67</v>
      </c>
      <c r="H3" s="112" t="s">
        <v>67</v>
      </c>
      <c r="I3" s="112" t="s">
        <v>67</v>
      </c>
      <c r="J3" s="112" t="s">
        <v>67</v>
      </c>
      <c r="K3" s="112" t="s">
        <v>67</v>
      </c>
      <c r="L3" s="112" t="s">
        <v>67</v>
      </c>
      <c r="M3" s="112" t="s">
        <v>67</v>
      </c>
      <c r="N3" s="112" t="s">
        <v>68</v>
      </c>
      <c r="O3" s="112" t="s">
        <v>68</v>
      </c>
      <c r="P3" s="112" t="s">
        <v>67</v>
      </c>
      <c r="Q3" s="112" t="s">
        <v>68</v>
      </c>
      <c r="R3" s="112" t="s">
        <v>68</v>
      </c>
      <c r="S3" s="112" t="s">
        <v>68</v>
      </c>
      <c r="T3" s="112" t="s">
        <v>69</v>
      </c>
      <c r="U3" s="112" t="s">
        <v>65</v>
      </c>
    </row>
    <row r="4" spans="1:21" ht="45" customHeight="1" x14ac:dyDescent="0.3">
      <c r="A4" s="112" t="str">
        <f>'M-Agenda'!B3</f>
        <v>horarioDelBarbero</v>
      </c>
      <c r="B4" s="113" t="str">
        <f>'M-Agenda'!B2</f>
        <v>Hace referencia al horario de trabajo del barbero (día de la semana, hora de inicio y hora final) al que pertenece esta agenda</v>
      </c>
      <c r="C4" s="112" t="s">
        <v>68</v>
      </c>
      <c r="D4" s="114" t="s">
        <v>31</v>
      </c>
      <c r="E4" s="112" t="s">
        <v>65</v>
      </c>
      <c r="F4" s="112" t="s">
        <v>67</v>
      </c>
      <c r="G4" s="112" t="s">
        <v>67</v>
      </c>
      <c r="H4" s="112" t="s">
        <v>67</v>
      </c>
      <c r="I4" s="112" t="s">
        <v>67</v>
      </c>
      <c r="J4" s="112" t="s">
        <v>67</v>
      </c>
      <c r="K4" s="112" t="s">
        <v>67</v>
      </c>
      <c r="L4" s="112" t="s">
        <v>67</v>
      </c>
      <c r="M4" s="21" t="s">
        <v>224</v>
      </c>
      <c r="N4" s="112" t="s">
        <v>68</v>
      </c>
      <c r="O4" s="112" t="s">
        <v>67</v>
      </c>
      <c r="P4" s="112" t="s">
        <v>67</v>
      </c>
      <c r="Q4" s="112" t="s">
        <v>67</v>
      </c>
      <c r="R4" s="112" t="s">
        <v>67</v>
      </c>
      <c r="S4" s="112" t="s">
        <v>68</v>
      </c>
      <c r="T4" s="112" t="s">
        <v>69</v>
      </c>
      <c r="U4" s="112" t="s">
        <v>68</v>
      </c>
    </row>
    <row r="5" spans="1:21" ht="30" customHeight="1" x14ac:dyDescent="0.3">
      <c r="A5" s="112" t="str">
        <f>'M-Agenda'!C3</f>
        <v>fecha</v>
      </c>
      <c r="B5" s="113" t="str">
        <f>'M-Agenda'!C2</f>
        <v>Representa la fecha específica en el que la agenda va a guardar las citas de ese barbero</v>
      </c>
      <c r="C5" s="112" t="s">
        <v>68</v>
      </c>
      <c r="D5" s="115" t="s">
        <v>260</v>
      </c>
      <c r="E5" s="112" t="s">
        <v>65</v>
      </c>
      <c r="F5" s="112" t="s">
        <v>67</v>
      </c>
      <c r="G5" s="112" t="s">
        <v>67</v>
      </c>
      <c r="H5" s="112" t="s">
        <v>67</v>
      </c>
      <c r="I5" s="112" t="s">
        <v>67</v>
      </c>
      <c r="J5" s="112" t="s">
        <v>67</v>
      </c>
      <c r="K5" s="112" t="s">
        <v>67</v>
      </c>
      <c r="L5" s="112" t="s">
        <v>67</v>
      </c>
      <c r="M5" s="21" t="s">
        <v>67</v>
      </c>
      <c r="N5" s="112" t="s">
        <v>68</v>
      </c>
      <c r="O5" s="112" t="s">
        <v>67</v>
      </c>
      <c r="P5" s="112" t="s">
        <v>67</v>
      </c>
      <c r="Q5" s="112" t="s">
        <v>67</v>
      </c>
      <c r="R5" s="112" t="s">
        <v>67</v>
      </c>
      <c r="S5" s="112" t="s">
        <v>68</v>
      </c>
      <c r="T5" s="112" t="s">
        <v>293</v>
      </c>
      <c r="U5" s="112" t="s">
        <v>65</v>
      </c>
    </row>
    <row r="7" spans="1:21" ht="15" customHeight="1" x14ac:dyDescent="0.3">
      <c r="A7" s="22" t="s">
        <v>73</v>
      </c>
      <c r="B7" s="22" t="s">
        <v>74</v>
      </c>
      <c r="C7" s="22" t="s">
        <v>75</v>
      </c>
    </row>
    <row r="8" spans="1:21" ht="21" customHeight="1" x14ac:dyDescent="0.3">
      <c r="A8" s="5" t="str">
        <f>'M-Agenda'!D3</f>
        <v xml:space="preserve">Combinación única </v>
      </c>
      <c r="B8" s="4" t="str">
        <f>'M-Agenda'!D2</f>
        <v>Combinación única que indica que un mismo horario de barbero no puede tener más de una agenda para el mismo día</v>
      </c>
      <c r="C8" s="23" t="str">
        <f>A4</f>
        <v>horarioDelBarbero</v>
      </c>
    </row>
    <row r="9" spans="1:21" ht="21.75" customHeight="1" x14ac:dyDescent="0.3">
      <c r="A9" s="5"/>
      <c r="B9" s="5"/>
      <c r="C9" s="23" t="str">
        <f>A5</f>
        <v>fecha</v>
      </c>
    </row>
  </sheetData>
  <mergeCells count="2">
    <mergeCell ref="A8:A9"/>
    <mergeCell ref="B8:B9"/>
  </mergeCells>
  <hyperlinks>
    <hyperlink ref="A1" location="'Modelo de Dominio'!A1" display="&lt;&lt;&lt;&lt; Ir al modulo de dominio" xr:uid="{00000000-0004-0000-1A00-000000000000}"/>
    <hyperlink ref="B1" location="'Objetos de Dominio'!A1" display="&lt;&lt;&lt;&lt; Ir a objetos de dominio" xr:uid="{00000000-0004-0000-1A00-000001000000}"/>
    <hyperlink ref="A3" location="'M-Agenda'!A3" display="#'M-Agenda'.A3" xr:uid="{00000000-0004-0000-1A00-000002000000}"/>
    <hyperlink ref="B3" location="'M-Agenda'!A2" display="#'M-Agenda'.A2" xr:uid="{00000000-0004-0000-1A00-000003000000}"/>
    <hyperlink ref="A4" location="'M-Agenda'!A3" display="#'M-Agenda'.A3" xr:uid="{00000000-0004-0000-1A00-000004000000}"/>
    <hyperlink ref="B4" location="'M-Agenda'!A2" display="#'M-Agenda'.A2" xr:uid="{00000000-0004-0000-1A00-000005000000}"/>
    <hyperlink ref="D4" location="'C-HorarioBarbero'!A1" display="HorarioBarbero" xr:uid="{00000000-0004-0000-1A00-000006000000}"/>
    <hyperlink ref="A5" location="'M-Agenda'!A3" display="#'M-Agenda'.A3" xr:uid="{00000000-0004-0000-1A00-000007000000}"/>
    <hyperlink ref="B5" location="'M-Agenda'!A2" display="#'M-Agenda'.A2" xr:uid="{00000000-0004-0000-1A00-000008000000}"/>
    <hyperlink ref="A8" location="'M-Agenda'!A3" display="#'M-Agenda'.A3" xr:uid="{00000000-0004-0000-1A00-000009000000}"/>
    <hyperlink ref="B8" location="'M-Agenda'!A2" display="#'M-Agenda'.A2" xr:uid="{00000000-0004-0000-1A00-00000A000000}"/>
  </hyperlinks>
  <pageMargins left="0.75" right="0.75" top="1" bottom="1"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D22"/>
  <sheetViews>
    <sheetView zoomScale="85" zoomScaleNormal="85" workbookViewId="0">
      <selection activeCell="B1" sqref="B1"/>
    </sheetView>
  </sheetViews>
  <sheetFormatPr baseColWidth="10" defaultColWidth="10.6640625" defaultRowHeight="14.4" x14ac:dyDescent="0.3"/>
  <cols>
    <col min="1" max="1" width="27" customWidth="1"/>
    <col min="2" max="2" width="69.109375" customWidth="1"/>
    <col min="3" max="3" width="33.6640625" customWidth="1"/>
    <col min="4" max="4" width="80.88671875" customWidth="1"/>
  </cols>
  <sheetData>
    <row r="1" spans="1:4" ht="14.25" customHeight="1" x14ac:dyDescent="0.3">
      <c r="A1" s="6" t="s">
        <v>1</v>
      </c>
      <c r="B1" s="6" t="s">
        <v>43</v>
      </c>
      <c r="C1" s="39"/>
    </row>
    <row r="2" spans="1:4" ht="36" customHeight="1" x14ac:dyDescent="0.3">
      <c r="A2" s="26" t="s">
        <v>77</v>
      </c>
      <c r="B2" s="26" t="s">
        <v>308</v>
      </c>
      <c r="C2" s="26" t="s">
        <v>309</v>
      </c>
      <c r="D2" s="27" t="s">
        <v>310</v>
      </c>
    </row>
    <row r="3" spans="1:4" ht="14.25" customHeight="1" x14ac:dyDescent="0.3">
      <c r="A3" s="28" t="s">
        <v>80</v>
      </c>
      <c r="B3" s="118" t="s">
        <v>311</v>
      </c>
      <c r="C3" s="129" t="s">
        <v>312</v>
      </c>
      <c r="D3" s="30" t="s">
        <v>81</v>
      </c>
    </row>
    <row r="4" spans="1:4" ht="14.25" customHeight="1" x14ac:dyDescent="0.3">
      <c r="A4" s="31">
        <v>1</v>
      </c>
      <c r="B4" s="92" t="str">
        <f>'M-HorarioBarbero'!I4</f>
        <v>+57-3245627890-Lunes-09:00-19:00-12/11/2023-1/01/1000-10:00-16:00</v>
      </c>
      <c r="C4" s="130">
        <v>46265</v>
      </c>
      <c r="D4" s="31" t="str">
        <f t="shared" ref="D4:D12" si="0">_xlfn.CONCAT(B4,"-",TEXT(C4,"dd/mm/yyyy"))</f>
        <v>+57-3245627890-Lunes-09:00-19:00-12/11/2023-1/01/1000-10:00-16:00-31/08/2026</v>
      </c>
    </row>
    <row r="5" spans="1:4" ht="14.25" customHeight="1" x14ac:dyDescent="0.3">
      <c r="A5" s="31">
        <v>2</v>
      </c>
      <c r="B5" s="92" t="str">
        <f>'M-HorarioBarbero'!I5</f>
        <v>+57-3124518923-Martes-09:00-19:00-12/11/2023-1/01/1000-09:00-15:00</v>
      </c>
      <c r="C5" s="130">
        <v>46091</v>
      </c>
      <c r="D5" s="31" t="str">
        <f t="shared" si="0"/>
        <v>+57-3124518923-Martes-09:00-19:00-12/11/2023-1/01/1000-09:00-15:00-10/03/2026</v>
      </c>
    </row>
    <row r="6" spans="1:4" ht="14.25" customHeight="1" x14ac:dyDescent="0.3">
      <c r="A6" s="31">
        <v>3</v>
      </c>
      <c r="B6" s="92" t="str">
        <f>'M-HorarioBarbero'!I6</f>
        <v>+57-3214533321-Jueves-09:00-19:00-12/11/2023-1/01/1000-13:00-19:00</v>
      </c>
      <c r="C6" s="130">
        <v>46156</v>
      </c>
      <c r="D6" s="31" t="str">
        <f t="shared" si="0"/>
        <v>+57-3214533321-Jueves-09:00-19:00-12/11/2023-1/01/1000-13:00-19:00-14/05/2026</v>
      </c>
    </row>
    <row r="7" spans="1:4" ht="14.25" customHeight="1" x14ac:dyDescent="0.3">
      <c r="A7" s="31">
        <v>4</v>
      </c>
      <c r="B7" s="92" t="str">
        <f>'M-HorarioBarbero'!I8</f>
        <v>+91-9876543210-Festivo-10:00-15:00-12/12/2024-1/01/1000-12:00-15:00</v>
      </c>
      <c r="C7" s="130">
        <v>46073</v>
      </c>
      <c r="D7" s="31" t="str">
        <f t="shared" si="0"/>
        <v>+91-9876543210-Festivo-10:00-15:00-12/12/2024-1/01/1000-12:00-15:00-20/02/2026</v>
      </c>
    </row>
    <row r="8" spans="1:4" ht="14.25" customHeight="1" x14ac:dyDescent="0.3">
      <c r="A8" s="31">
        <v>5</v>
      </c>
      <c r="B8" s="92" t="str">
        <f>'M-HorarioBarbero'!I7</f>
        <v>+91-9876543210-Sábado-08:00-21:00-12/12/2024-1/01/1000-08:00-14:00</v>
      </c>
      <c r="C8" s="130">
        <v>45983</v>
      </c>
      <c r="D8" s="31" t="str">
        <f t="shared" si="0"/>
        <v>+91-9876543210-Sábado-08:00-21:00-12/12/2024-1/01/1000-08:00-14:00-22/11/2025</v>
      </c>
    </row>
    <row r="9" spans="1:4" ht="14.25" customHeight="1" x14ac:dyDescent="0.3">
      <c r="A9" s="31">
        <v>6</v>
      </c>
      <c r="B9" s="92" t="str">
        <f>'M-HorarioBarbero'!I6</f>
        <v>+57-3214533321-Jueves-09:00-19:00-12/11/2023-1/01/1000-13:00-19:00</v>
      </c>
      <c r="C9" s="130">
        <v>46240</v>
      </c>
      <c r="D9" s="31" t="str">
        <f t="shared" si="0"/>
        <v>+57-3214533321-Jueves-09:00-19:00-12/11/2023-1/01/1000-13:00-19:00-06/08/2026</v>
      </c>
    </row>
    <row r="10" spans="1:4" ht="14.25" customHeight="1" x14ac:dyDescent="0.3">
      <c r="A10" s="31">
        <v>7</v>
      </c>
      <c r="B10" s="92" t="str">
        <f>'M-HorarioBarbero'!I4</f>
        <v>+57-3245627890-Lunes-09:00-19:00-12/11/2023-1/01/1000-10:00-16:00</v>
      </c>
      <c r="C10" s="130">
        <v>46174</v>
      </c>
      <c r="D10" s="31" t="str">
        <f t="shared" si="0"/>
        <v>+57-3245627890-Lunes-09:00-19:00-12/11/2023-1/01/1000-10:00-16:00-01/06/2026</v>
      </c>
    </row>
    <row r="11" spans="1:4" ht="14.25" customHeight="1" x14ac:dyDescent="0.3">
      <c r="A11" s="31">
        <v>8</v>
      </c>
      <c r="B11" s="92" t="str">
        <f>'M-HorarioBarbero'!I5</f>
        <v>+57-3124518923-Martes-09:00-19:00-12/11/2023-1/01/1000-09:00-15:00</v>
      </c>
      <c r="C11" s="130">
        <v>46189</v>
      </c>
      <c r="D11" s="31" t="str">
        <f t="shared" si="0"/>
        <v>+57-3124518923-Martes-09:00-19:00-12/11/2023-1/01/1000-09:00-15:00-16/06/2026</v>
      </c>
    </row>
    <row r="12" spans="1:4" ht="14.25" customHeight="1" x14ac:dyDescent="0.3">
      <c r="A12" s="31">
        <v>9</v>
      </c>
      <c r="B12" s="92" t="str">
        <f>'M-HorarioBarbero'!I6</f>
        <v>+57-3214533321-Jueves-09:00-19:00-12/11/2023-1/01/1000-13:00-19:00</v>
      </c>
      <c r="C12" s="130">
        <v>46205</v>
      </c>
      <c r="D12" s="31" t="str">
        <f t="shared" si="0"/>
        <v>+57-3214533321-Jueves-09:00-19:00-12/11/2023-1/01/1000-13:00-19:00-02/07/2026</v>
      </c>
    </row>
    <row r="13" spans="1:4" ht="14.25" customHeight="1" x14ac:dyDescent="0.3">
      <c r="B13" s="35"/>
    </row>
    <row r="14" spans="1:4" ht="14.25" customHeight="1" x14ac:dyDescent="0.3">
      <c r="B14" s="35"/>
    </row>
    <row r="15" spans="1:4" ht="14.25" customHeight="1" x14ac:dyDescent="0.3">
      <c r="B15" s="35"/>
    </row>
    <row r="16" spans="1:4" ht="14.25" customHeight="1" x14ac:dyDescent="0.3">
      <c r="B16" s="35"/>
    </row>
    <row r="17" spans="1:2" ht="14.25" customHeight="1" x14ac:dyDescent="0.3">
      <c r="B17" s="35"/>
    </row>
    <row r="18" spans="1:2" ht="14.25" customHeight="1" x14ac:dyDescent="0.3">
      <c r="A18" s="34"/>
      <c r="B18" s="35" t="s">
        <v>90</v>
      </c>
    </row>
    <row r="19" spans="1:2" ht="27.75" customHeight="1" x14ac:dyDescent="0.3">
      <c r="A19" s="36"/>
      <c r="B19" s="35" t="s">
        <v>91</v>
      </c>
    </row>
    <row r="20" spans="1:2" ht="14.25" customHeight="1" x14ac:dyDescent="0.3">
      <c r="A20" s="60"/>
      <c r="B20" t="s">
        <v>220</v>
      </c>
    </row>
    <row r="21" spans="1:2" ht="14.25" customHeight="1" x14ac:dyDescent="0.3">
      <c r="A21" s="131"/>
      <c r="B21" t="s">
        <v>313</v>
      </c>
    </row>
    <row r="22" spans="1:2" ht="14.25" customHeight="1" x14ac:dyDescent="0.3">
      <c r="A22" s="38"/>
      <c r="B22" t="s">
        <v>93</v>
      </c>
    </row>
  </sheetData>
  <hyperlinks>
    <hyperlink ref="A1" location="'Modelo de Dominio'!A1" display="&lt;&lt;&lt;&lt; Ir al modulo de dominio" xr:uid="{00000000-0004-0000-1B00-000000000000}"/>
    <hyperlink ref="B1" location="'Objetos de Dominio'!A1" display="&lt;&lt;&lt;&lt; Ir a objetos de dominio" xr:uid="{00000000-0004-0000-1B00-000001000000}"/>
    <hyperlink ref="B3" location="'M-HorarioBarbero'!A1" display="horarioDelBarbero" xr:uid="{00000000-0004-0000-1B00-000002000000}"/>
    <hyperlink ref="B4" location="'M-HorarioBarbero'!A4" display="#'M-HorarioBarbero'.A4" xr:uid="{00000000-0004-0000-1B00-000003000000}"/>
    <hyperlink ref="B5" location="'M-HorarioBarbero'!A5" display="#'M-HorarioBarbero'.A5" xr:uid="{00000000-0004-0000-1B00-000004000000}"/>
    <hyperlink ref="B6" location="'M-HorarioBarbero'!A6" display="#'M-HorarioBarbero'.A6" xr:uid="{00000000-0004-0000-1B00-000005000000}"/>
    <hyperlink ref="B7" location="'M-HorarioBarbero'!A8" display="#'M-HorarioBarbero'.A8" xr:uid="{00000000-0004-0000-1B00-000006000000}"/>
    <hyperlink ref="B8" location="'M-HorarioBarbero'!A7" display="#'M-HorarioBarbero'.A7" xr:uid="{00000000-0004-0000-1B00-000007000000}"/>
    <hyperlink ref="B9" location="'M-HorarioBarbero'!A6" display="#'M-HorarioBarbero'.A6" xr:uid="{00000000-0004-0000-1B00-000008000000}"/>
    <hyperlink ref="B10" location="'M-HorarioBarbero'!A4" display="#'M-HorarioBarbero'.A4" xr:uid="{00000000-0004-0000-1B00-000009000000}"/>
    <hyperlink ref="B11" location="'M-HorarioBarbero'!A5" display="#'M-HorarioBarbero'.A5" xr:uid="{00000000-0004-0000-1B00-00000A000000}"/>
    <hyperlink ref="B12" location="'M-HorarioBarbero'!A6" display="#'M-HorarioBarbero'.A6" xr:uid="{00000000-0004-0000-1B00-00000B000000}"/>
  </hyperlinks>
  <pageMargins left="0.7" right="0.7" top="0.75" bottom="0.75"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12"/>
  <sheetViews>
    <sheetView zoomScaleNormal="100" workbookViewId="0">
      <selection sqref="A1:B1"/>
    </sheetView>
  </sheetViews>
  <sheetFormatPr baseColWidth="10" defaultColWidth="8.6640625" defaultRowHeight="14.4" x14ac:dyDescent="0.3"/>
  <cols>
    <col min="1" max="1" width="26.6640625" customWidth="1"/>
    <col min="2" max="2" width="45" customWidth="1"/>
    <col min="3" max="3" width="21.5546875" customWidth="1"/>
    <col min="4" max="4" width="26.6640625" customWidth="1"/>
    <col min="5" max="12" width="18" customWidth="1"/>
    <col min="13" max="13" width="40" customWidth="1"/>
    <col min="14" max="21" width="18" customWidth="1"/>
  </cols>
  <sheetData>
    <row r="1" spans="1:21" ht="15" customHeight="1" x14ac:dyDescent="0.3">
      <c r="A1" s="6" t="s">
        <v>1</v>
      </c>
      <c r="B1" s="6" t="s">
        <v>43</v>
      </c>
    </row>
    <row r="2" spans="1:21" ht="45" customHeight="1" x14ac:dyDescent="0.3">
      <c r="A2" s="111" t="s">
        <v>44</v>
      </c>
      <c r="B2" s="111" t="s">
        <v>45</v>
      </c>
      <c r="C2" s="111" t="s">
        <v>46</v>
      </c>
      <c r="D2" s="111" t="s">
        <v>47</v>
      </c>
      <c r="E2" s="111" t="s">
        <v>48</v>
      </c>
      <c r="F2" s="111" t="s">
        <v>49</v>
      </c>
      <c r="G2" s="111" t="s">
        <v>50</v>
      </c>
      <c r="H2" s="111" t="s">
        <v>51</v>
      </c>
      <c r="I2" s="111" t="s">
        <v>52</v>
      </c>
      <c r="J2" s="111" t="s">
        <v>53</v>
      </c>
      <c r="K2" s="111" t="s">
        <v>54</v>
      </c>
      <c r="L2" s="111" t="s">
        <v>55</v>
      </c>
      <c r="M2" s="111" t="s">
        <v>56</v>
      </c>
      <c r="N2" s="111" t="s">
        <v>57</v>
      </c>
      <c r="O2" s="111" t="s">
        <v>58</v>
      </c>
      <c r="P2" s="111" t="s">
        <v>59</v>
      </c>
      <c r="Q2" s="111" t="s">
        <v>60</v>
      </c>
      <c r="R2" s="111" t="s">
        <v>61</v>
      </c>
      <c r="S2" s="111" t="s">
        <v>62</v>
      </c>
      <c r="T2" s="111" t="s">
        <v>63</v>
      </c>
      <c r="U2" s="111" t="s">
        <v>64</v>
      </c>
    </row>
    <row r="3" spans="1:21" ht="45" customHeight="1" x14ac:dyDescent="0.3">
      <c r="A3" s="132" t="str">
        <f>'M-Bloqueo'!A3</f>
        <v>id</v>
      </c>
      <c r="B3" s="133" t="str">
        <f>'M-Bloqueo'!A2</f>
        <v>Representa un identificador que hará unico cada objeto de dominio de este tipo, no se puede repetir</v>
      </c>
      <c r="C3" s="112" t="s">
        <v>65</v>
      </c>
      <c r="D3" s="112" t="s">
        <v>66</v>
      </c>
      <c r="E3" s="112" t="s">
        <v>65</v>
      </c>
      <c r="F3" s="112"/>
      <c r="G3" s="112"/>
      <c r="H3" s="112"/>
      <c r="I3" s="112"/>
      <c r="J3" s="112"/>
      <c r="K3" s="112"/>
      <c r="L3" s="112"/>
      <c r="M3" s="112"/>
      <c r="N3" s="112" t="s">
        <v>68</v>
      </c>
      <c r="O3" s="112" t="s">
        <v>68</v>
      </c>
      <c r="P3" s="112" t="s">
        <v>68</v>
      </c>
      <c r="Q3" s="112" t="s">
        <v>68</v>
      </c>
      <c r="R3" s="112" t="s">
        <v>68</v>
      </c>
      <c r="S3" s="112" t="s">
        <v>68</v>
      </c>
      <c r="T3" s="112" t="s">
        <v>69</v>
      </c>
      <c r="U3" s="112" t="s">
        <v>65</v>
      </c>
    </row>
    <row r="4" spans="1:21" ht="30" customHeight="1" x14ac:dyDescent="0.3">
      <c r="A4" s="132" t="str">
        <f>'M-Bloqueo'!B3</f>
        <v>horarioBarbero</v>
      </c>
      <c r="B4" s="133" t="str">
        <f>'M-Bloqueo'!B2</f>
        <v>Referencia en cuál horario de barbero va a estar el bloqueo</v>
      </c>
      <c r="C4" s="112" t="s">
        <v>68</v>
      </c>
      <c r="D4" s="114" t="s">
        <v>314</v>
      </c>
      <c r="E4" s="112" t="s">
        <v>65</v>
      </c>
      <c r="F4" s="112"/>
      <c r="G4" s="112"/>
      <c r="H4" s="112"/>
      <c r="I4" s="112"/>
      <c r="J4" s="112"/>
      <c r="K4" s="112"/>
      <c r="L4" s="112"/>
      <c r="M4" s="21" t="s">
        <v>315</v>
      </c>
      <c r="N4" s="112" t="s">
        <v>68</v>
      </c>
      <c r="O4" s="112" t="s">
        <v>68</v>
      </c>
      <c r="P4" s="112" t="s">
        <v>68</v>
      </c>
      <c r="Q4" s="112" t="s">
        <v>68</v>
      </c>
      <c r="R4" s="112" t="s">
        <v>68</v>
      </c>
      <c r="S4" s="112" t="s">
        <v>68</v>
      </c>
      <c r="T4" s="112" t="s">
        <v>69</v>
      </c>
      <c r="U4" s="112" t="s">
        <v>68</v>
      </c>
    </row>
    <row r="5" spans="1:21" ht="30" customHeight="1" x14ac:dyDescent="0.3">
      <c r="A5" s="132" t="str">
        <f>'M-Bloqueo'!C3</f>
        <v>tipoBloqueo</v>
      </c>
      <c r="B5" s="133" t="str">
        <f>'M-Bloqueo'!C2</f>
        <v>Hace referencia a si el bloqueo es habitual, es decir que se repite todas las semanas en ese horario de trabajo, o puntual, es decir que solo aplica a una fecha específica</v>
      </c>
      <c r="C5" s="112" t="s">
        <v>68</v>
      </c>
      <c r="D5" s="115" t="s">
        <v>316</v>
      </c>
      <c r="E5" s="112" t="s">
        <v>65</v>
      </c>
      <c r="F5" s="112"/>
      <c r="G5" s="112"/>
      <c r="H5" s="112"/>
      <c r="I5" s="112"/>
      <c r="J5" s="112"/>
      <c r="K5" s="112"/>
      <c r="L5" s="112"/>
      <c r="M5" s="21" t="s">
        <v>317</v>
      </c>
      <c r="N5" s="112" t="s">
        <v>68</v>
      </c>
      <c r="O5" s="112" t="s">
        <v>68</v>
      </c>
      <c r="P5" s="112" t="s">
        <v>68</v>
      </c>
      <c r="Q5" s="112" t="s">
        <v>68</v>
      </c>
      <c r="R5" s="112" t="s">
        <v>68</v>
      </c>
      <c r="S5" s="112" t="s">
        <v>68</v>
      </c>
      <c r="T5" s="134" t="s">
        <v>69</v>
      </c>
      <c r="U5" s="112" t="s">
        <v>68</v>
      </c>
    </row>
    <row r="6" spans="1:21" ht="30" customHeight="1" x14ac:dyDescent="0.3">
      <c r="A6" s="132" t="str">
        <f>'M-Bloqueo'!D3</f>
        <v>fecha</v>
      </c>
      <c r="B6" s="133" t="str">
        <f>'M-Bloqueo'!D2</f>
        <v>Representa la fecha en el que el barbero no va a atender. Cuando el bloqueo es habitual su valor es 01/01/1000, porque no aplica a un día sino a todas las agendas de ese horario de trabajo</v>
      </c>
      <c r="C6" s="112" t="s">
        <v>68</v>
      </c>
      <c r="D6" s="115" t="s">
        <v>260</v>
      </c>
      <c r="E6" s="112" t="s">
        <v>65</v>
      </c>
      <c r="F6" s="112"/>
      <c r="G6" s="112"/>
      <c r="H6" s="112"/>
      <c r="I6" s="112"/>
      <c r="J6" s="112"/>
      <c r="K6" s="112"/>
      <c r="L6" s="112" t="s">
        <v>291</v>
      </c>
      <c r="M6" s="21" t="s">
        <v>318</v>
      </c>
      <c r="N6" s="112" t="s">
        <v>68</v>
      </c>
      <c r="O6" s="112" t="s">
        <v>68</v>
      </c>
      <c r="P6" s="112" t="s">
        <v>68</v>
      </c>
      <c r="Q6" s="112" t="s">
        <v>68</v>
      </c>
      <c r="R6" s="112" t="s">
        <v>68</v>
      </c>
      <c r="S6" s="112" t="s">
        <v>68</v>
      </c>
      <c r="T6" s="134" t="s">
        <v>293</v>
      </c>
      <c r="U6" s="112" t="s">
        <v>68</v>
      </c>
    </row>
    <row r="7" spans="1:21" ht="27.75" customHeight="1" x14ac:dyDescent="0.3">
      <c r="A7" s="132" t="str">
        <f>'M-Bloqueo'!E3</f>
        <v>horaInicio</v>
      </c>
      <c r="B7" s="133" t="str">
        <f>'M-Bloqueo'!E2</f>
        <v>Representa la hora en la que el barbero empieza a no estar disponible</v>
      </c>
      <c r="C7" s="112" t="s">
        <v>68</v>
      </c>
      <c r="D7" s="115" t="s">
        <v>257</v>
      </c>
      <c r="E7" s="112" t="s">
        <v>65</v>
      </c>
      <c r="F7" s="116"/>
      <c r="G7" s="116"/>
      <c r="H7" s="112"/>
      <c r="I7" s="112"/>
      <c r="J7" s="112"/>
      <c r="K7" s="112"/>
      <c r="L7" s="112" t="s">
        <v>288</v>
      </c>
      <c r="M7" s="21" t="s">
        <v>319</v>
      </c>
      <c r="N7" s="112" t="s">
        <v>68</v>
      </c>
      <c r="O7" s="112" t="s">
        <v>68</v>
      </c>
      <c r="P7" s="112" t="s">
        <v>68</v>
      </c>
      <c r="Q7" s="112" t="s">
        <v>68</v>
      </c>
      <c r="R7" s="112" t="s">
        <v>68</v>
      </c>
      <c r="S7" s="112" t="s">
        <v>68</v>
      </c>
      <c r="T7" s="134" t="s">
        <v>258</v>
      </c>
      <c r="U7" s="112" t="s">
        <v>68</v>
      </c>
    </row>
    <row r="8" spans="1:21" ht="15" customHeight="1" x14ac:dyDescent="0.3">
      <c r="A8" s="83" t="str">
        <f>'M-Bloqueo'!F3</f>
        <v>horaFin</v>
      </c>
      <c r="B8" s="83" t="str">
        <f>'M-Bloqueo'!F2</f>
        <v>Representa la hora en la que el barbero vuelve a estar disponible, después del bloqueo</v>
      </c>
      <c r="C8" t="s">
        <v>68</v>
      </c>
      <c r="D8" t="s">
        <v>257</v>
      </c>
      <c r="E8" t="s">
        <v>65</v>
      </c>
      <c r="L8" t="s">
        <v>288</v>
      </c>
      <c r="M8" t="s">
        <v>320</v>
      </c>
      <c r="N8" t="s">
        <v>68</v>
      </c>
      <c r="O8" t="s">
        <v>68</v>
      </c>
      <c r="P8" t="s">
        <v>68</v>
      </c>
      <c r="Q8" t="s">
        <v>68</v>
      </c>
      <c r="R8" t="s">
        <v>68</v>
      </c>
      <c r="S8" t="s">
        <v>68</v>
      </c>
      <c r="T8" t="s">
        <v>258</v>
      </c>
      <c r="U8" t="s">
        <v>68</v>
      </c>
    </row>
    <row r="9" spans="1:21" ht="21" customHeight="1" x14ac:dyDescent="0.3">
      <c r="A9" s="135" t="str">
        <f>'M-Bloqueo'!G3</f>
        <v>motivo</v>
      </c>
      <c r="B9" s="135" t="str">
        <f>'M-Bloqueo'!G2</f>
        <v>Representa el motivo por el cual el barbero no puede atender las citas en esa franja</v>
      </c>
      <c r="C9" s="22" t="s">
        <v>68</v>
      </c>
      <c r="D9" t="s">
        <v>70</v>
      </c>
      <c r="E9" t="s">
        <v>68</v>
      </c>
      <c r="F9">
        <v>3</v>
      </c>
      <c r="G9">
        <v>300</v>
      </c>
      <c r="N9" t="s">
        <v>68</v>
      </c>
      <c r="O9" t="s">
        <v>68</v>
      </c>
      <c r="P9" t="s">
        <v>68</v>
      </c>
      <c r="Q9" t="s">
        <v>65</v>
      </c>
      <c r="R9" t="s">
        <v>65</v>
      </c>
      <c r="S9" t="s">
        <v>68</v>
      </c>
      <c r="T9" t="s">
        <v>72</v>
      </c>
      <c r="U9" t="s">
        <v>68</v>
      </c>
    </row>
    <row r="10" spans="1:21" ht="21.75" customHeight="1" x14ac:dyDescent="0.3">
      <c r="A10" s="87"/>
      <c r="B10" s="88"/>
      <c r="C10" s="23"/>
    </row>
    <row r="11" spans="1:21" ht="15" customHeight="1" x14ac:dyDescent="0.3">
      <c r="A11" s="136" t="s">
        <v>73</v>
      </c>
      <c r="B11" s="136" t="s">
        <v>74</v>
      </c>
      <c r="C11" s="137" t="s">
        <v>75</v>
      </c>
    </row>
    <row r="12" spans="1:21" ht="15" customHeight="1" x14ac:dyDescent="0.3">
      <c r="A12" s="83" t="str">
        <f>'M-Bloqueo'!H3</f>
        <v xml:space="preserve">Combinación única </v>
      </c>
      <c r="B12" s="83" t="str">
        <f>'M-Bloqueo'!H2</f>
        <v>Combinación única que indica que un mismo horario de barbero no puede tener dos bloqueos que empiecen el mismo día a la misma hora</v>
      </c>
      <c r="C12" s="23" t="s">
        <v>321</v>
      </c>
    </row>
  </sheetData>
  <hyperlinks>
    <hyperlink ref="A3" location="'M-Bloqueo'!A3" display="#'M-Bloqueo'.A3" xr:uid="{00000000-0004-0000-1C00-000002000000}"/>
    <hyperlink ref="B3" location="'M-Bloqueo'!A2" display="#'M-Bloqueo'.A2" xr:uid="{00000000-0004-0000-1C00-000003000000}"/>
    <hyperlink ref="A4" location="'M-Bloqueo'!A3" display="#'M-Bloqueo'.A3" xr:uid="{00000000-0004-0000-1C00-000004000000}"/>
    <hyperlink ref="B4" location="'M-Bloqueo'!A2" display="#'M-Bloqueo'.A2" xr:uid="{00000000-0004-0000-1C00-000005000000}"/>
    <hyperlink ref="D4" location="'C-Agenda'!A1" display="Referencia a HorarioBarbero" xr:uid="{00000000-0004-0000-1C00-000006000000}"/>
    <hyperlink ref="A5" location="'M-Bloqueo'!A3" display="#'M-Bloqueo'.A3" xr:uid="{00000000-0004-0000-1C00-000007000000}"/>
    <hyperlink ref="B5" location="'M-Bloqueo'!A2" display="#'M-Bloqueo'.A2" xr:uid="{00000000-0004-0000-1C00-000008000000}"/>
    <hyperlink ref="A6" location="'M-Bloqueo'!A3" display="#'M-Bloqueo'.A3" xr:uid="{00000000-0004-0000-1C00-000009000000}"/>
    <hyperlink ref="B6" location="'M-Bloqueo'!A2" display="#'M-Bloqueo'.A2" xr:uid="{00000000-0004-0000-1C00-00000A000000}"/>
    <hyperlink ref="A7" location="'M-Bloqueo'!A3" display="#'M-Bloqueo'.A3" xr:uid="{00000000-0004-0000-1C00-00000B000000}"/>
    <hyperlink ref="B7" location="'M-Bloqueo'!A2" display="#'M-Bloqueo'.A2" xr:uid="{00000000-0004-0000-1C00-00000C000000}"/>
    <hyperlink ref="A8" location="'M-Bloqueo'!A3" display="#'M-Bloqueo'.A3" xr:uid="{00000000-0004-0000-1C00-00000D000000}"/>
    <hyperlink ref="B8" location="'M-Bloqueo'!A2" display="#'M-Bloqueo'.A2" xr:uid="{00000000-0004-0000-1C00-00000E000000}"/>
    <hyperlink ref="A9" location="'M-Bloqueo'!A3" display="#'M-Bloqueo'.A3" xr:uid="{00000000-0004-0000-1C00-00000F000000}"/>
    <hyperlink ref="B9" location="'M-Bloqueo'!A2" display="#'M-Bloqueo'.A2" xr:uid="{00000000-0004-0000-1C00-000010000000}"/>
    <hyperlink ref="A12" location="'M-Bloqueo'!A3" display="#'M-Bloqueo'.A3" xr:uid="{00000000-0004-0000-1C00-000011000000}"/>
    <hyperlink ref="B12" location="'M-Bloqueo'!A2" display="#'M-Bloqueo'.A2" xr:uid="{00000000-0004-0000-1C00-000012000000}"/>
    <hyperlink ref="A1" location="'Modelo de Dominio'!A1" display="&lt;&lt;&lt;&lt; Ir al modulo de dominio" xr:uid="{0380C10E-A429-493E-A8A1-9B76DE68E465}"/>
    <hyperlink ref="B1" location="'Objetos de Dominio'!A1" display="&lt;&lt;&lt;&lt; Ir a objetos de dominio" xr:uid="{EE396C53-031F-4D56-B6D7-244429C2C2AB}"/>
  </hyperlinks>
  <pageMargins left="0.75" right="0.75" top="1" bottom="1"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27"/>
  <sheetViews>
    <sheetView zoomScale="80" zoomScaleNormal="80" workbookViewId="0">
      <selection activeCell="B1" sqref="A1:B1"/>
    </sheetView>
  </sheetViews>
  <sheetFormatPr baseColWidth="10" defaultColWidth="10.6640625" defaultRowHeight="14.4" x14ac:dyDescent="0.3"/>
  <cols>
    <col min="1" max="1" width="27" customWidth="1"/>
    <col min="2" max="2" width="43.33203125" customWidth="1"/>
    <col min="3" max="3" width="38.44140625" customWidth="1"/>
    <col min="4" max="4" width="33.6640625" customWidth="1"/>
    <col min="5" max="5" width="23.77734375" customWidth="1"/>
    <col min="6" max="6" width="28.21875" customWidth="1"/>
    <col min="7" max="7" width="36.77734375" customWidth="1"/>
    <col min="8" max="8" width="49.5546875" customWidth="1"/>
  </cols>
  <sheetData>
    <row r="1" spans="1:8" ht="14.25" customHeight="1" x14ac:dyDescent="0.3">
      <c r="A1" s="6" t="s">
        <v>1</v>
      </c>
      <c r="B1" s="6" t="s">
        <v>43</v>
      </c>
      <c r="C1" s="6"/>
      <c r="D1" s="39"/>
      <c r="F1" s="39"/>
      <c r="G1" s="39"/>
    </row>
    <row r="2" spans="1:8" ht="36" customHeight="1" x14ac:dyDescent="0.3">
      <c r="A2" s="26" t="s">
        <v>77</v>
      </c>
      <c r="B2" s="26" t="s">
        <v>322</v>
      </c>
      <c r="C2" s="26" t="s">
        <v>323</v>
      </c>
      <c r="D2" s="26" t="s">
        <v>421</v>
      </c>
      <c r="E2" s="26" t="s">
        <v>324</v>
      </c>
      <c r="F2" s="26" t="s">
        <v>325</v>
      </c>
      <c r="G2" s="26" t="s">
        <v>326</v>
      </c>
      <c r="H2" s="27" t="s">
        <v>327</v>
      </c>
    </row>
    <row r="3" spans="1:8" ht="14.25" customHeight="1" x14ac:dyDescent="0.3">
      <c r="A3" s="28" t="s">
        <v>80</v>
      </c>
      <c r="B3" s="118" t="s">
        <v>328</v>
      </c>
      <c r="C3" s="118" t="s">
        <v>329</v>
      </c>
      <c r="D3" s="129" t="s">
        <v>312</v>
      </c>
      <c r="E3" s="123" t="s">
        <v>305</v>
      </c>
      <c r="F3" s="123" t="s">
        <v>330</v>
      </c>
      <c r="G3" s="138" t="s">
        <v>331</v>
      </c>
      <c r="H3" s="30" t="s">
        <v>81</v>
      </c>
    </row>
    <row r="4" spans="1:8" ht="28.5" customHeight="1" x14ac:dyDescent="0.3">
      <c r="A4" s="31">
        <v>1</v>
      </c>
      <c r="B4" s="139" t="str">
        <f>'M-HorarioBarbero'!I4</f>
        <v>+57-3245627890-Lunes-09:00-19:00-12/11/2023-1/01/1000-10:00-16:00</v>
      </c>
      <c r="C4" s="139" t="str">
        <f>'M-TipoBloqueo'!D5</f>
        <v>Puntual</v>
      </c>
      <c r="D4" s="130">
        <v>46090</v>
      </c>
      <c r="E4" s="140">
        <v>0.45833333333333298</v>
      </c>
      <c r="F4" s="140">
        <v>0.5</v>
      </c>
      <c r="G4" s="141" t="s">
        <v>332</v>
      </c>
      <c r="H4" s="41" t="str">
        <f t="shared" ref="H4:H15" si="0">_xlfn.CONCAT(B4,"-",IF(ISNUMBER(D4),TEXT(D4,"dd/mm/yyyy"),D4),"-",TEXT(E4,"hh:mm"))</f>
        <v>+57-3245627890-Lunes-09:00-19:00-12/11/2023-1/01/1000-10:00-16:00-09/03/2026-11:00</v>
      </c>
    </row>
    <row r="5" spans="1:8" ht="28.5" customHeight="1" x14ac:dyDescent="0.3">
      <c r="A5" s="31">
        <v>2</v>
      </c>
      <c r="B5" s="139" t="str">
        <f>'M-HorarioBarbero'!I5</f>
        <v>+57-3124518923-Martes-09:00-19:00-12/11/2023-1/01/1000-09:00-15:00</v>
      </c>
      <c r="C5" s="139" t="str">
        <f>'M-TipoBloqueo'!D5</f>
        <v>Puntual</v>
      </c>
      <c r="D5" s="130">
        <v>46119</v>
      </c>
      <c r="E5" s="140">
        <v>0.58333333333333304</v>
      </c>
      <c r="F5" s="140">
        <v>0.625</v>
      </c>
      <c r="G5" s="141" t="s">
        <v>333</v>
      </c>
      <c r="H5" s="41" t="str">
        <f t="shared" si="0"/>
        <v>+57-3124518923-Martes-09:00-19:00-12/11/2023-1/01/1000-09:00-15:00-07/04/2026-14:00</v>
      </c>
    </row>
    <row r="6" spans="1:8" ht="28.5" customHeight="1" x14ac:dyDescent="0.3">
      <c r="A6" s="31">
        <v>3</v>
      </c>
      <c r="B6" s="139" t="str">
        <f>'M-HorarioBarbero'!I6</f>
        <v>+57-3214533321-Jueves-09:00-19:00-12/11/2023-1/01/1000-13:00-19:00</v>
      </c>
      <c r="C6" s="139" t="str">
        <f>'M-TipoBloqueo'!D5</f>
        <v>Puntual</v>
      </c>
      <c r="D6" s="130">
        <v>46156</v>
      </c>
      <c r="E6" s="140">
        <v>0.66666666666666696</v>
      </c>
      <c r="F6" s="140">
        <v>0.6875</v>
      </c>
      <c r="G6" s="141" t="s">
        <v>334</v>
      </c>
      <c r="H6" s="41" t="str">
        <f t="shared" si="0"/>
        <v>+57-3214533321-Jueves-09:00-19:00-12/11/2023-1/01/1000-13:00-19:00-14/05/2026-16:00</v>
      </c>
    </row>
    <row r="7" spans="1:8" ht="28.5" customHeight="1" x14ac:dyDescent="0.3">
      <c r="A7" s="31">
        <v>4</v>
      </c>
      <c r="B7" s="139" t="str">
        <f>'M-HorarioBarbero'!I4</f>
        <v>+57-3245627890-Lunes-09:00-19:00-12/11/2023-1/01/1000-10:00-16:00</v>
      </c>
      <c r="C7" s="139" t="str">
        <f>'M-TipoBloqueo'!D5</f>
        <v>Puntual</v>
      </c>
      <c r="D7" s="130">
        <v>46174</v>
      </c>
      <c r="E7" s="140">
        <v>0.54166666666666696</v>
      </c>
      <c r="F7" s="140">
        <v>0.58333333333333304</v>
      </c>
      <c r="G7" s="141" t="s">
        <v>335</v>
      </c>
      <c r="H7" s="41" t="str">
        <f t="shared" si="0"/>
        <v>+57-3245627890-Lunes-09:00-19:00-12/11/2023-1/01/1000-10:00-16:00-01/06/2026-13:00</v>
      </c>
    </row>
    <row r="8" spans="1:8" ht="28.5" customHeight="1" x14ac:dyDescent="0.3">
      <c r="A8" s="31">
        <v>5</v>
      </c>
      <c r="B8" s="139" t="str">
        <f>'M-HorarioBarbero'!I7</f>
        <v>+91-9876543210-Sábado-08:00-21:00-12/12/2024-1/01/1000-08:00-14:00</v>
      </c>
      <c r="C8" s="139" t="str">
        <f>'M-TipoBloqueo'!D5</f>
        <v>Puntual</v>
      </c>
      <c r="D8" s="130">
        <v>45962</v>
      </c>
      <c r="E8" s="140">
        <v>0.33333333333333298</v>
      </c>
      <c r="F8" s="140">
        <v>0.375</v>
      </c>
      <c r="G8" s="141" t="s">
        <v>336</v>
      </c>
      <c r="H8" s="41" t="str">
        <f t="shared" si="0"/>
        <v>+91-9876543210-Sábado-08:00-21:00-12/12/2024-1/01/1000-08:00-14:00-01/11/2025-08:00</v>
      </c>
    </row>
    <row r="9" spans="1:8" ht="28.5" customHeight="1" x14ac:dyDescent="0.3">
      <c r="A9" s="31">
        <v>6</v>
      </c>
      <c r="B9" s="139" t="str">
        <f>'M-HorarioBarbero'!I6</f>
        <v>+57-3214533321-Jueves-09:00-19:00-12/11/2023-1/01/1000-13:00-19:00</v>
      </c>
      <c r="C9" s="139" t="str">
        <f>'M-TipoBloqueo'!D5</f>
        <v>Puntual</v>
      </c>
      <c r="D9" s="130">
        <v>46212</v>
      </c>
      <c r="E9" s="140">
        <v>0.625</v>
      </c>
      <c r="F9" s="140">
        <v>0.64583333333333304</v>
      </c>
      <c r="G9" s="141" t="s">
        <v>337</v>
      </c>
      <c r="H9" s="41" t="str">
        <f t="shared" si="0"/>
        <v>+57-3214533321-Jueves-09:00-19:00-12/11/2023-1/01/1000-13:00-19:00-09/07/2026-15:00</v>
      </c>
    </row>
    <row r="10" spans="1:8" ht="28.5" customHeight="1" x14ac:dyDescent="0.3">
      <c r="A10" s="31">
        <v>7</v>
      </c>
      <c r="B10" s="139" t="str">
        <f>'M-HorarioBarbero'!I5</f>
        <v>+57-3124518923-Martes-09:00-19:00-12/11/2023-1/01/1000-09:00-15:00</v>
      </c>
      <c r="C10" s="139" t="str">
        <f>'M-TipoBloqueo'!D5</f>
        <v>Puntual</v>
      </c>
      <c r="D10" s="130">
        <v>46238</v>
      </c>
      <c r="E10" s="140">
        <v>0.58333333333333304</v>
      </c>
      <c r="F10" s="140">
        <v>0.60416666666666696</v>
      </c>
      <c r="G10" s="141" t="s">
        <v>338</v>
      </c>
      <c r="H10" s="41" t="str">
        <f t="shared" si="0"/>
        <v>+57-3124518923-Martes-09:00-19:00-12/11/2023-1/01/1000-09:00-15:00-04/08/2026-14:00</v>
      </c>
    </row>
    <row r="11" spans="1:8" ht="28.5" customHeight="1" x14ac:dyDescent="0.3">
      <c r="A11" s="31">
        <v>8</v>
      </c>
      <c r="B11" s="139" t="str">
        <f>'M-HorarioBarbero'!I7</f>
        <v>+91-9876543210-Sábado-08:00-21:00-12/12/2024-1/01/1000-08:00-14:00</v>
      </c>
      <c r="C11" s="139" t="str">
        <f>'M-TipoBloqueo'!D5</f>
        <v>Puntual</v>
      </c>
      <c r="D11" s="130">
        <v>45997</v>
      </c>
      <c r="E11" s="140">
        <v>0.375</v>
      </c>
      <c r="F11" s="140">
        <v>0.39583333333333298</v>
      </c>
      <c r="G11" s="141" t="s">
        <v>339</v>
      </c>
      <c r="H11" s="41" t="str">
        <f t="shared" si="0"/>
        <v>+91-9876543210-Sábado-08:00-21:00-12/12/2024-1/01/1000-08:00-14:00-06/12/2025-09:00</v>
      </c>
    </row>
    <row r="12" spans="1:8" ht="28.5" customHeight="1" x14ac:dyDescent="0.3">
      <c r="A12" s="31">
        <v>9</v>
      </c>
      <c r="B12" s="139" t="str">
        <f>'M-HorarioBarbero'!I6</f>
        <v>+57-3214533321-Jueves-09:00-19:00-12/11/2023-1/01/1000-13:00-19:00</v>
      </c>
      <c r="C12" s="139" t="str">
        <f>'M-TipoBloqueo'!D5</f>
        <v>Puntual</v>
      </c>
      <c r="D12" s="130">
        <v>46268</v>
      </c>
      <c r="E12" s="140">
        <v>0.77083333333333304</v>
      </c>
      <c r="F12" s="140">
        <v>0.79166666666666696</v>
      </c>
      <c r="G12" s="141" t="s">
        <v>334</v>
      </c>
      <c r="H12" s="41" t="str">
        <f t="shared" si="0"/>
        <v>+57-3214533321-Jueves-09:00-19:00-12/11/2023-1/01/1000-13:00-19:00-03/09/2026-18:30</v>
      </c>
    </row>
    <row r="13" spans="1:8" ht="28.8" x14ac:dyDescent="0.3">
      <c r="A13" s="31">
        <v>10</v>
      </c>
      <c r="B13" s="139" t="str">
        <f>'M-HorarioBarbero'!I4</f>
        <v>+57-3245627890-Lunes-09:00-19:00-12/11/2023-1/01/1000-10:00-16:00</v>
      </c>
      <c r="C13" s="139" t="str">
        <f>'M-TipoBloqueo'!D4</f>
        <v>Habitual</v>
      </c>
      <c r="D13" s="121" t="s">
        <v>261</v>
      </c>
      <c r="E13" s="140">
        <v>0.58333333333333304</v>
      </c>
      <c r="F13" s="140">
        <v>0.625</v>
      </c>
      <c r="G13" s="121" t="s">
        <v>340</v>
      </c>
      <c r="H13" s="41" t="str">
        <f t="shared" si="0"/>
        <v>+57-3245627890-Lunes-09:00-19:00-12/11/2023-1/01/1000-10:00-16:00-1/01/1000-14:00</v>
      </c>
    </row>
    <row r="14" spans="1:8" ht="28.8" x14ac:dyDescent="0.3">
      <c r="A14" s="31">
        <v>11</v>
      </c>
      <c r="B14" s="139" t="str">
        <f>'M-HorarioBarbero'!I5</f>
        <v>+57-3124518923-Martes-09:00-19:00-12/11/2023-1/01/1000-09:00-15:00</v>
      </c>
      <c r="C14" s="139" t="str">
        <f>'M-TipoBloqueo'!D4</f>
        <v>Habitual</v>
      </c>
      <c r="D14" s="142" t="s">
        <v>261</v>
      </c>
      <c r="E14" s="140">
        <v>0.5</v>
      </c>
      <c r="F14" s="140">
        <v>0.58333333333333304</v>
      </c>
      <c r="G14" s="121" t="s">
        <v>340</v>
      </c>
      <c r="H14" s="41" t="str">
        <f t="shared" si="0"/>
        <v>+57-3124518923-Martes-09:00-19:00-12/11/2023-1/01/1000-09:00-15:00-1/01/1000-12:00</v>
      </c>
    </row>
    <row r="15" spans="1:8" ht="28.8" x14ac:dyDescent="0.3">
      <c r="A15" s="31">
        <v>12</v>
      </c>
      <c r="B15" s="139" t="str">
        <f>'M-HorarioBarbero'!I7</f>
        <v>+91-9876543210-Sábado-08:00-21:00-12/12/2024-1/01/1000-08:00-14:00</v>
      </c>
      <c r="C15" s="139" t="str">
        <f>'M-TipoBloqueo'!D4</f>
        <v>Habitual</v>
      </c>
      <c r="D15" s="142" t="s">
        <v>261</v>
      </c>
      <c r="E15" s="140">
        <v>0.45833333333333298</v>
      </c>
      <c r="F15" s="140">
        <v>0.48958333333333298</v>
      </c>
      <c r="G15" s="121" t="s">
        <v>340</v>
      </c>
      <c r="H15" s="41" t="str">
        <f t="shared" si="0"/>
        <v>+91-9876543210-Sábado-08:00-21:00-12/12/2024-1/01/1000-08:00-14:00-1/01/1000-11:00</v>
      </c>
    </row>
    <row r="16" spans="1:8" ht="14.25" customHeight="1" x14ac:dyDescent="0.3">
      <c r="A16" s="33"/>
      <c r="B16" s="42"/>
      <c r="C16" s="42"/>
      <c r="D16" s="143"/>
      <c r="E16" s="33"/>
      <c r="F16" s="143"/>
      <c r="G16" s="33"/>
      <c r="H16" s="33"/>
    </row>
    <row r="17" spans="1:6" ht="14.25" customHeight="1" x14ac:dyDescent="0.3">
      <c r="B17" s="35"/>
      <c r="C17" s="35"/>
      <c r="D17" s="143"/>
      <c r="F17" s="143"/>
    </row>
    <row r="18" spans="1:6" ht="14.25" customHeight="1" x14ac:dyDescent="0.3">
      <c r="B18" s="35"/>
      <c r="C18" s="35"/>
      <c r="D18" s="143"/>
      <c r="F18" s="143"/>
    </row>
    <row r="19" spans="1:6" ht="14.25" customHeight="1" x14ac:dyDescent="0.3">
      <c r="B19" s="35"/>
      <c r="C19" s="35"/>
      <c r="D19" s="143"/>
      <c r="F19" s="143"/>
    </row>
    <row r="20" spans="1:6" ht="14.25" customHeight="1" x14ac:dyDescent="0.3">
      <c r="D20" s="143"/>
      <c r="F20" s="143"/>
    </row>
    <row r="21" spans="1:6" ht="14.25" customHeight="1" x14ac:dyDescent="0.3">
      <c r="A21" s="34"/>
      <c r="B21" s="35" t="s">
        <v>90</v>
      </c>
      <c r="C21" s="35"/>
      <c r="D21" s="143"/>
      <c r="F21" s="143"/>
    </row>
    <row r="22" spans="1:6" ht="14.25" customHeight="1" x14ac:dyDescent="0.3">
      <c r="A22" s="36"/>
      <c r="B22" s="35" t="s">
        <v>91</v>
      </c>
      <c r="C22" s="35"/>
      <c r="D22" s="143"/>
      <c r="F22" s="143"/>
    </row>
    <row r="23" spans="1:6" ht="14.25" customHeight="1" x14ac:dyDescent="0.3">
      <c r="A23" s="60"/>
      <c r="B23" t="s">
        <v>220</v>
      </c>
      <c r="D23" s="143"/>
      <c r="F23" s="143"/>
    </row>
    <row r="24" spans="1:6" ht="14.25" customHeight="1" x14ac:dyDescent="0.3">
      <c r="A24" s="184"/>
      <c r="B24" s="35" t="s">
        <v>313</v>
      </c>
      <c r="C24" s="35"/>
      <c r="D24" s="143"/>
      <c r="F24" s="143"/>
    </row>
    <row r="25" spans="1:6" ht="14.25" customHeight="1" x14ac:dyDescent="0.3">
      <c r="A25" s="108"/>
      <c r="B25" t="s">
        <v>274</v>
      </c>
      <c r="D25" s="143"/>
      <c r="F25" s="143"/>
    </row>
    <row r="26" spans="1:6" ht="14.25" customHeight="1" x14ac:dyDescent="0.3">
      <c r="A26" s="61"/>
      <c r="B26" s="35" t="s">
        <v>92</v>
      </c>
      <c r="C26" s="35"/>
    </row>
    <row r="27" spans="1:6" ht="14.25" customHeight="1" x14ac:dyDescent="0.3">
      <c r="A27" s="38"/>
      <c r="B27" t="s">
        <v>93</v>
      </c>
    </row>
  </sheetData>
  <hyperlinks>
    <hyperlink ref="B3" location="'M-HorarioBarbero'!A1" display="horarioBarbero" xr:uid="{00000000-0004-0000-1D00-000002000000}"/>
    <hyperlink ref="B4" location="'M-HorarioBarbero'!A4" display="#'M-HorarioBarbero'.A4" xr:uid="{00000000-0004-0000-1D00-000003000000}"/>
    <hyperlink ref="C4" location="'M-TipoBloqueo'!A5" display="#'M-TipoBloqueo'.A5" xr:uid="{00000000-0004-0000-1D00-000004000000}"/>
    <hyperlink ref="B5" location="'M-HorarioBarbero'!A5" display="#'M-HorarioBarbero'.A5" xr:uid="{00000000-0004-0000-1D00-000005000000}"/>
    <hyperlink ref="C5" location="'M-TipoBloqueo'!A5" display="#'M-TipoBloqueo'.A5" xr:uid="{00000000-0004-0000-1D00-000006000000}"/>
    <hyperlink ref="B6" location="'M-HorarioBarbero'!A6" display="#'M-HorarioBarbero'.A6" xr:uid="{00000000-0004-0000-1D00-000007000000}"/>
    <hyperlink ref="C6" location="'M-TipoBloqueo'!A5" display="#'M-TipoBloqueo'.A5" xr:uid="{00000000-0004-0000-1D00-000008000000}"/>
    <hyperlink ref="B7" location="'M-HorarioBarbero'!A4" display="#'M-HorarioBarbero'.A4" xr:uid="{00000000-0004-0000-1D00-000009000000}"/>
    <hyperlink ref="C7" location="'M-TipoBloqueo'!A5" display="#'M-TipoBloqueo'.A5" xr:uid="{00000000-0004-0000-1D00-00000A000000}"/>
    <hyperlink ref="B8" location="'M-HorarioBarbero'!A7" display="#'M-HorarioBarbero'.A7" xr:uid="{00000000-0004-0000-1D00-00000B000000}"/>
    <hyperlink ref="C8" location="'M-TipoBloqueo'!A5" display="#'M-TipoBloqueo'.A5" xr:uid="{00000000-0004-0000-1D00-00000C000000}"/>
    <hyperlink ref="B9" location="'M-HorarioBarbero'!A6" display="#'M-HorarioBarbero'.A6" xr:uid="{00000000-0004-0000-1D00-00000D000000}"/>
    <hyperlink ref="C9" location="'M-TipoBloqueo'!A5" display="#'M-TipoBloqueo'.A5" xr:uid="{00000000-0004-0000-1D00-00000E000000}"/>
    <hyperlink ref="B10" location="'M-HorarioBarbero'!A5" display="#'M-HorarioBarbero'.A5" xr:uid="{00000000-0004-0000-1D00-00000F000000}"/>
    <hyperlink ref="C10" location="'M-TipoBloqueo'!A5" display="#'M-TipoBloqueo'.A5" xr:uid="{00000000-0004-0000-1D00-000010000000}"/>
    <hyperlink ref="B11" location="'M-HorarioBarbero'!A7" display="#'M-HorarioBarbero'.A7" xr:uid="{00000000-0004-0000-1D00-000011000000}"/>
    <hyperlink ref="C11" location="'M-TipoBloqueo'!A5" display="#'M-TipoBloqueo'.A5" xr:uid="{00000000-0004-0000-1D00-000012000000}"/>
    <hyperlink ref="B12" location="'M-HorarioBarbero'!A6" display="#'M-HorarioBarbero'.A6" xr:uid="{00000000-0004-0000-1D00-000013000000}"/>
    <hyperlink ref="C12" location="'M-TipoBloqueo'!A5" display="#'M-TipoBloqueo'.A5" xr:uid="{00000000-0004-0000-1D00-000014000000}"/>
    <hyperlink ref="B13" location="'M-HorarioBarbero'!A4" display="#'M-HorarioBarbero'.A4" xr:uid="{00000000-0004-0000-1D00-000015000000}"/>
    <hyperlink ref="C13" location="'M-TipoBloqueo'!A4" display="#'M-TipoBloqueo'.A4" xr:uid="{00000000-0004-0000-1D00-000016000000}"/>
    <hyperlink ref="B14" location="'M-HorarioBarbero'!A5" display="#'M-HorarioBarbero'.A5" xr:uid="{00000000-0004-0000-1D00-000017000000}"/>
    <hyperlink ref="C14" location="'M-TipoBloqueo'!A4" display="#'M-TipoBloqueo'.A4" xr:uid="{00000000-0004-0000-1D00-000018000000}"/>
    <hyperlink ref="B15" location="'M-HorarioBarbero'!A7" display="#'M-HorarioBarbero'.A7" xr:uid="{00000000-0004-0000-1D00-000019000000}"/>
    <hyperlink ref="C15" location="'M-TipoBloqueo'!A4" display="#'M-TipoBloqueo'.A4" xr:uid="{00000000-0004-0000-1D00-00001A000000}"/>
    <hyperlink ref="A1" location="'Modelo de Dominio'!A1" display="&lt;&lt;&lt;&lt; Ir al modulo de dominio" xr:uid="{E1F0DD6D-6C25-45F6-A737-F1748C9475E4}"/>
    <hyperlink ref="B1" location="'Objetos de Dominio'!A1" display="&lt;&lt;&lt;&lt; Ir a objetos de dominio" xr:uid="{D02F6D99-7675-43FD-AE45-EBFFA816B9F8}"/>
  </hyperlinks>
  <pageMargins left="0.7" right="0.7" top="0.75" bottom="0.75"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
  <sheetViews>
    <sheetView topLeftCell="A2" zoomScaleNormal="100" workbookViewId="0">
      <selection sqref="A1:B1"/>
    </sheetView>
  </sheetViews>
  <sheetFormatPr baseColWidth="10" defaultColWidth="8.6640625" defaultRowHeight="14.4" x14ac:dyDescent="0.3"/>
  <cols>
    <col min="1" max="1" width="28.109375" customWidth="1"/>
    <col min="2" max="2" width="45" customWidth="1"/>
    <col min="3" max="3" width="21.5546875" customWidth="1"/>
    <col min="4" max="4" width="26.6640625" customWidth="1"/>
    <col min="5" max="12" width="18" customWidth="1"/>
    <col min="13" max="13" width="42.88671875" customWidth="1"/>
    <col min="14" max="21" width="18" customWidth="1"/>
  </cols>
  <sheetData>
    <row r="1" spans="1:21" ht="15" customHeight="1" x14ac:dyDescent="0.3">
      <c r="A1" s="6" t="s">
        <v>1</v>
      </c>
      <c r="B1" s="6" t="s">
        <v>43</v>
      </c>
    </row>
    <row r="2" spans="1:21" ht="45" customHeight="1" x14ac:dyDescent="0.3">
      <c r="A2" s="111" t="s">
        <v>44</v>
      </c>
      <c r="B2" s="111" t="s">
        <v>45</v>
      </c>
      <c r="C2" s="111" t="s">
        <v>46</v>
      </c>
      <c r="D2" s="111" t="s">
        <v>47</v>
      </c>
      <c r="E2" s="111" t="s">
        <v>48</v>
      </c>
      <c r="F2" s="111" t="s">
        <v>49</v>
      </c>
      <c r="G2" s="111" t="s">
        <v>50</v>
      </c>
      <c r="H2" s="111" t="s">
        <v>51</v>
      </c>
      <c r="I2" s="111" t="s">
        <v>52</v>
      </c>
      <c r="J2" s="111" t="s">
        <v>53</v>
      </c>
      <c r="K2" s="111" t="s">
        <v>54</v>
      </c>
      <c r="L2" s="111" t="s">
        <v>55</v>
      </c>
      <c r="M2" s="111" t="s">
        <v>56</v>
      </c>
      <c r="N2" s="111" t="s">
        <v>57</v>
      </c>
      <c r="O2" s="111" t="s">
        <v>58</v>
      </c>
      <c r="P2" s="111" t="s">
        <v>59</v>
      </c>
      <c r="Q2" s="111" t="s">
        <v>60</v>
      </c>
      <c r="R2" s="111" t="s">
        <v>61</v>
      </c>
      <c r="S2" s="111" t="s">
        <v>62</v>
      </c>
      <c r="T2" s="111" t="s">
        <v>63</v>
      </c>
      <c r="U2" s="111" t="s">
        <v>64</v>
      </c>
    </row>
    <row r="3" spans="1:21" ht="45" customHeight="1" x14ac:dyDescent="0.3">
      <c r="A3" s="112" t="str">
        <f>'M-Cita'!A3</f>
        <v>id</v>
      </c>
      <c r="B3" s="113" t="str">
        <f>'M-Cita'!A2</f>
        <v>Representa un identificador que hará unico cada objeto de dominio de este tipo, no se puede repetir</v>
      </c>
      <c r="C3" s="112" t="s">
        <v>65</v>
      </c>
      <c r="D3" s="112" t="s">
        <v>66</v>
      </c>
      <c r="E3" s="112" t="s">
        <v>65</v>
      </c>
      <c r="F3" s="112" t="s">
        <v>67</v>
      </c>
      <c r="G3" s="112" t="s">
        <v>67</v>
      </c>
      <c r="H3" s="112" t="s">
        <v>67</v>
      </c>
      <c r="I3" s="112" t="s">
        <v>67</v>
      </c>
      <c r="J3" s="112" t="s">
        <v>67</v>
      </c>
      <c r="K3" s="112" t="s">
        <v>67</v>
      </c>
      <c r="L3" s="112" t="s">
        <v>67</v>
      </c>
      <c r="M3" s="112" t="s">
        <v>67</v>
      </c>
      <c r="N3" s="112" t="s">
        <v>68</v>
      </c>
      <c r="O3" s="112" t="s">
        <v>68</v>
      </c>
      <c r="P3" s="112" t="s">
        <v>67</v>
      </c>
      <c r="Q3" s="112" t="s">
        <v>68</v>
      </c>
      <c r="R3" s="112" t="s">
        <v>68</v>
      </c>
      <c r="S3" s="112" t="s">
        <v>68</v>
      </c>
      <c r="T3" s="112" t="s">
        <v>69</v>
      </c>
      <c r="U3" s="112" t="s">
        <v>65</v>
      </c>
    </row>
    <row r="4" spans="1:21" ht="45" customHeight="1" x14ac:dyDescent="0.3">
      <c r="A4" s="112" t="str">
        <f>'M-Cita'!B3</f>
        <v>cliente</v>
      </c>
      <c r="B4" s="113" t="str">
        <f>'M-Cita'!B2</f>
        <v>Representa a cuál cliente le pertenece esta cita</v>
      </c>
      <c r="C4" s="112" t="s">
        <v>68</v>
      </c>
      <c r="D4" s="114" t="s">
        <v>25</v>
      </c>
      <c r="E4" s="112" t="s">
        <v>65</v>
      </c>
      <c r="F4" s="112" t="s">
        <v>67</v>
      </c>
      <c r="G4" s="112" t="s">
        <v>67</v>
      </c>
      <c r="H4" s="112" t="s">
        <v>67</v>
      </c>
      <c r="I4" s="112" t="s">
        <v>67</v>
      </c>
      <c r="J4" s="112" t="s">
        <v>67</v>
      </c>
      <c r="K4" s="112" t="s">
        <v>67</v>
      </c>
      <c r="L4" s="112" t="s">
        <v>67</v>
      </c>
      <c r="M4" s="145" t="s">
        <v>341</v>
      </c>
      <c r="N4" s="112" t="s">
        <v>68</v>
      </c>
      <c r="O4" s="112" t="s">
        <v>67</v>
      </c>
      <c r="P4" s="112" t="s">
        <v>67</v>
      </c>
      <c r="Q4" s="112" t="s">
        <v>67</v>
      </c>
      <c r="R4" s="112" t="s">
        <v>67</v>
      </c>
      <c r="S4" s="112" t="s">
        <v>68</v>
      </c>
      <c r="T4" s="112" t="s">
        <v>69</v>
      </c>
      <c r="U4" s="112" t="s">
        <v>68</v>
      </c>
    </row>
    <row r="5" spans="1:21" ht="27.75" customHeight="1" x14ac:dyDescent="0.3">
      <c r="A5" s="112" t="str">
        <f>'M-Cita'!C3</f>
        <v>agenda</v>
      </c>
      <c r="B5" s="113" t="str">
        <f>'M-Cita'!C2</f>
        <v>Referencia en cual agenda va a estar esta cita</v>
      </c>
      <c r="C5" s="112" t="s">
        <v>68</v>
      </c>
      <c r="D5" s="114" t="s">
        <v>33</v>
      </c>
      <c r="E5" s="112" t="s">
        <v>65</v>
      </c>
      <c r="F5" s="112" t="s">
        <v>67</v>
      </c>
      <c r="G5" s="112" t="s">
        <v>67</v>
      </c>
      <c r="H5" s="112" t="s">
        <v>67</v>
      </c>
      <c r="I5" s="112" t="s">
        <v>67</v>
      </c>
      <c r="J5" s="112" t="s">
        <v>67</v>
      </c>
      <c r="K5" s="112" t="s">
        <v>67</v>
      </c>
      <c r="L5" s="112" t="s">
        <v>67</v>
      </c>
      <c r="M5" s="145" t="s">
        <v>224</v>
      </c>
      <c r="N5" s="112" t="s">
        <v>68</v>
      </c>
      <c r="O5" s="112" t="s">
        <v>67</v>
      </c>
      <c r="P5" s="112" t="s">
        <v>67</v>
      </c>
      <c r="Q5" s="112" t="s">
        <v>67</v>
      </c>
      <c r="R5" s="112" t="s">
        <v>67</v>
      </c>
      <c r="S5" s="112" t="s">
        <v>68</v>
      </c>
      <c r="T5" s="112" t="s">
        <v>69</v>
      </c>
      <c r="U5" s="112" t="s">
        <v>68</v>
      </c>
    </row>
    <row r="6" spans="1:21" ht="60" customHeight="1" x14ac:dyDescent="0.3">
      <c r="A6" s="122" t="str">
        <f>'M-Cita'!D3</f>
        <v>regla</v>
      </c>
      <c r="B6" s="122" t="str">
        <f>'M-Cita'!D2</f>
        <v>Hace referencia a la Regla vigente de la barbería en el momento de agendar; de ahí salen las tolerancias, el monto de multa fija y el porcentaje de descuento que aplican a esta cita</v>
      </c>
      <c r="C6" s="122" t="s">
        <v>68</v>
      </c>
      <c r="D6" s="146" t="s">
        <v>15</v>
      </c>
      <c r="E6" s="122" t="s">
        <v>65</v>
      </c>
      <c r="F6" s="122" t="s">
        <v>67</v>
      </c>
      <c r="G6" s="122" t="s">
        <v>67</v>
      </c>
      <c r="H6" s="122" t="s">
        <v>67</v>
      </c>
      <c r="I6" s="122" t="s">
        <v>67</v>
      </c>
      <c r="J6" s="122" t="s">
        <v>67</v>
      </c>
      <c r="K6" s="122" t="s">
        <v>67</v>
      </c>
      <c r="L6" s="122" t="s">
        <v>67</v>
      </c>
      <c r="M6" s="122" t="s">
        <v>342</v>
      </c>
      <c r="N6" s="122" t="s">
        <v>68</v>
      </c>
      <c r="O6" s="122" t="s">
        <v>67</v>
      </c>
      <c r="P6" s="122" t="s">
        <v>67</v>
      </c>
      <c r="Q6" s="122" t="s">
        <v>67</v>
      </c>
      <c r="R6" s="122" t="s">
        <v>67</v>
      </c>
      <c r="S6" s="122" t="s">
        <v>68</v>
      </c>
      <c r="T6" s="122" t="s">
        <v>69</v>
      </c>
      <c r="U6" s="122" t="s">
        <v>68</v>
      </c>
    </row>
    <row r="7" spans="1:21" ht="45" customHeight="1" x14ac:dyDescent="0.3">
      <c r="A7" s="112" t="str">
        <f>'M-Cita'!E3</f>
        <v>estado</v>
      </c>
      <c r="B7" s="113" t="str">
        <f>'M-Cita'!E2</f>
        <v>Representa en qué estado se encuentra esta cita puntual: agendada, finalizada, cancelada, con tardanza del cliente o del barbero, o inasistencia</v>
      </c>
      <c r="C7" s="112" t="s">
        <v>68</v>
      </c>
      <c r="D7" s="114" t="s">
        <v>11</v>
      </c>
      <c r="E7" s="112" t="s">
        <v>65</v>
      </c>
      <c r="F7" s="112" t="s">
        <v>67</v>
      </c>
      <c r="G7" s="112" t="s">
        <v>67</v>
      </c>
      <c r="H7" s="112" t="s">
        <v>67</v>
      </c>
      <c r="I7" s="112" t="s">
        <v>67</v>
      </c>
      <c r="J7" s="112" t="s">
        <v>67</v>
      </c>
      <c r="K7" s="112" t="s">
        <v>67</v>
      </c>
      <c r="L7" s="112" t="s">
        <v>67</v>
      </c>
      <c r="M7" s="112" t="s">
        <v>224</v>
      </c>
      <c r="N7" s="112" t="s">
        <v>68</v>
      </c>
      <c r="O7" s="112" t="s">
        <v>67</v>
      </c>
      <c r="P7" s="112" t="s">
        <v>67</v>
      </c>
      <c r="Q7" s="112" t="s">
        <v>67</v>
      </c>
      <c r="R7" s="112" t="s">
        <v>67</v>
      </c>
      <c r="S7" s="112" t="s">
        <v>68</v>
      </c>
      <c r="T7" s="112" t="s">
        <v>69</v>
      </c>
      <c r="U7" s="112" t="s">
        <v>68</v>
      </c>
    </row>
    <row r="8" spans="1:21" ht="30" customHeight="1" x14ac:dyDescent="0.3">
      <c r="A8" s="112" t="str">
        <f>'M-Cita'!F3</f>
        <v>horaInicio</v>
      </c>
      <c r="B8" s="113" t="str">
        <f>'M-Cita'!F2</f>
        <v>Representa la hora en la que se va a realizar la cita al cliente</v>
      </c>
      <c r="C8" s="112" t="s">
        <v>68</v>
      </c>
      <c r="D8" s="115" t="s">
        <v>257</v>
      </c>
      <c r="E8" s="112" t="s">
        <v>68</v>
      </c>
      <c r="F8" s="112" t="s">
        <v>67</v>
      </c>
      <c r="G8" s="112" t="s">
        <v>67</v>
      </c>
      <c r="H8" s="112" t="s">
        <v>67</v>
      </c>
      <c r="I8" s="112" t="s">
        <v>67</v>
      </c>
      <c r="J8" s="112" t="s">
        <v>67</v>
      </c>
      <c r="K8" s="112" t="s">
        <v>67</v>
      </c>
      <c r="L8" s="112" t="s">
        <v>67</v>
      </c>
      <c r="M8" s="145" t="s">
        <v>343</v>
      </c>
      <c r="N8" s="112" t="s">
        <v>68</v>
      </c>
      <c r="O8" s="112" t="s">
        <v>67</v>
      </c>
      <c r="P8" s="112" t="s">
        <v>67</v>
      </c>
      <c r="Q8" s="112" t="s">
        <v>67</v>
      </c>
      <c r="R8" s="112" t="s">
        <v>67</v>
      </c>
      <c r="S8" s="112" t="s">
        <v>68</v>
      </c>
      <c r="T8" s="112" t="s">
        <v>258</v>
      </c>
      <c r="U8" s="112" t="s">
        <v>68</v>
      </c>
    </row>
    <row r="9" spans="1:21" ht="60" customHeight="1" x14ac:dyDescent="0.3">
      <c r="A9" s="112" t="str">
        <f>'M-Cita'!G3</f>
        <v>horaFinEstimada</v>
      </c>
      <c r="B9" s="113" t="str">
        <f>'M-Cita'!G2</f>
        <v>Representa la hora en la que se espera que termine la cita, sumando horaInicio más la duración total de los servicios pedidos. Es un dato calculado</v>
      </c>
      <c r="C9" s="112" t="s">
        <v>68</v>
      </c>
      <c r="D9" s="115" t="s">
        <v>257</v>
      </c>
      <c r="E9" s="112" t="s">
        <v>65</v>
      </c>
      <c r="F9" s="112" t="s">
        <v>67</v>
      </c>
      <c r="G9" s="112" t="s">
        <v>67</v>
      </c>
      <c r="H9" s="112" t="s">
        <v>67</v>
      </c>
      <c r="I9" s="112" t="s">
        <v>67</v>
      </c>
      <c r="J9" s="112" t="s">
        <v>67</v>
      </c>
      <c r="K9" s="112" t="s">
        <v>67</v>
      </c>
      <c r="L9" s="112" t="s">
        <v>67</v>
      </c>
      <c r="M9" s="145" t="s">
        <v>344</v>
      </c>
      <c r="N9" s="112" t="s">
        <v>65</v>
      </c>
      <c r="O9" s="112" t="s">
        <v>67</v>
      </c>
      <c r="P9" s="112" t="s">
        <v>67</v>
      </c>
      <c r="Q9" s="112" t="s">
        <v>67</v>
      </c>
      <c r="R9" s="112" t="s">
        <v>67</v>
      </c>
      <c r="S9" s="112" t="s">
        <v>68</v>
      </c>
      <c r="T9" s="112" t="s">
        <v>258</v>
      </c>
      <c r="U9" s="112" t="s">
        <v>68</v>
      </c>
    </row>
    <row r="10" spans="1:21" ht="60" customHeight="1" x14ac:dyDescent="0.3">
      <c r="A10" s="122" t="str">
        <f>'M-Cita'!H3</f>
        <v>horaLlegadaCliente</v>
      </c>
      <c r="B10" s="122" t="str">
        <f>'M-Cita'!H2</f>
        <v>Representa la hora real en la que el cliente llegó a la barbería para esta cita. Su valor por defecto es 00:00 y es permitido: significa que el cliente aún no ha llegado</v>
      </c>
      <c r="C10" s="122" t="s">
        <v>68</v>
      </c>
      <c r="D10" s="122" t="s">
        <v>257</v>
      </c>
      <c r="E10" s="122" t="s">
        <v>68</v>
      </c>
      <c r="F10" s="122" t="s">
        <v>67</v>
      </c>
      <c r="G10" s="122" t="s">
        <v>67</v>
      </c>
      <c r="H10" s="122" t="s">
        <v>67</v>
      </c>
      <c r="I10" s="122" t="s">
        <v>67</v>
      </c>
      <c r="J10" s="122" t="s">
        <v>67</v>
      </c>
      <c r="K10" s="122" t="s">
        <v>67</v>
      </c>
      <c r="L10" s="112" t="s">
        <v>67</v>
      </c>
      <c r="M10" s="122" t="s">
        <v>67</v>
      </c>
      <c r="N10" s="122" t="s">
        <v>68</v>
      </c>
      <c r="O10" s="122" t="s">
        <v>67</v>
      </c>
      <c r="P10" s="122" t="s">
        <v>67</v>
      </c>
      <c r="Q10" s="122" t="s">
        <v>67</v>
      </c>
      <c r="R10" s="122" t="s">
        <v>67</v>
      </c>
      <c r="S10" s="122" t="s">
        <v>68</v>
      </c>
      <c r="T10" s="122" t="s">
        <v>258</v>
      </c>
      <c r="U10" s="122" t="s">
        <v>68</v>
      </c>
    </row>
    <row r="11" spans="1:21" ht="60" customHeight="1" x14ac:dyDescent="0.3">
      <c r="A11" s="122" t="str">
        <f>'M-Cita'!I3</f>
        <v>horaDelBarberoPreparado</v>
      </c>
      <c r="B11" s="122" t="str">
        <f>'M-Cita'!I2</f>
        <v>Representa la hora real en la que el barbero quedó listo y disponible para empezar a atender esta cita. Su valor por defecto es 00:00 y es permitido: significa que el barbero aún no se ha preparado</v>
      </c>
      <c r="C11" s="122" t="s">
        <v>68</v>
      </c>
      <c r="D11" s="122" t="s">
        <v>257</v>
      </c>
      <c r="E11" s="122" t="s">
        <v>68</v>
      </c>
      <c r="F11" s="122" t="s">
        <v>67</v>
      </c>
      <c r="G11" s="122" t="s">
        <v>67</v>
      </c>
      <c r="H11" s="122" t="s">
        <v>67</v>
      </c>
      <c r="I11" s="122" t="s">
        <v>67</v>
      </c>
      <c r="J11" s="122" t="s">
        <v>67</v>
      </c>
      <c r="K11" s="122" t="s">
        <v>67</v>
      </c>
      <c r="L11" s="112" t="s">
        <v>67</v>
      </c>
      <c r="M11" s="122" t="s">
        <v>67</v>
      </c>
      <c r="N11" s="122" t="s">
        <v>68</v>
      </c>
      <c r="O11" s="122" t="s">
        <v>67</v>
      </c>
      <c r="P11" s="122" t="s">
        <v>67</v>
      </c>
      <c r="Q11" s="122" t="s">
        <v>67</v>
      </c>
      <c r="R11" s="122" t="s">
        <v>67</v>
      </c>
      <c r="S11" s="122" t="s">
        <v>68</v>
      </c>
      <c r="T11" s="122" t="s">
        <v>258</v>
      </c>
      <c r="U11" s="122" t="s">
        <v>68</v>
      </c>
    </row>
    <row r="12" spans="1:21" ht="60" customHeight="1" x14ac:dyDescent="0.3">
      <c r="A12" s="112" t="str">
        <f>'M-Cita'!J3</f>
        <v>horaInicioAtencion</v>
      </c>
      <c r="B12" s="113" t="str">
        <f>'M-Cita'!J2</f>
        <v>Representa la hora real en la que el barbero empezó a atender al cliente. Su valor por defecto es 00:00 y es permitido: significa que la atención aún no ha comenzado</v>
      </c>
      <c r="C12" s="112" t="s">
        <v>68</v>
      </c>
      <c r="D12" s="112" t="s">
        <v>257</v>
      </c>
      <c r="E12" s="112" t="s">
        <v>68</v>
      </c>
      <c r="F12" s="112" t="s">
        <v>67</v>
      </c>
      <c r="G12" s="112" t="s">
        <v>67</v>
      </c>
      <c r="H12" s="112" t="s">
        <v>67</v>
      </c>
      <c r="I12" s="112" t="s">
        <v>67</v>
      </c>
      <c r="J12" s="112" t="s">
        <v>67</v>
      </c>
      <c r="K12" s="112" t="s">
        <v>67</v>
      </c>
      <c r="L12" s="112" t="s">
        <v>67</v>
      </c>
      <c r="M12" s="112" t="s">
        <v>67</v>
      </c>
      <c r="N12" s="112" t="s">
        <v>68</v>
      </c>
      <c r="O12" s="112" t="s">
        <v>67</v>
      </c>
      <c r="P12" s="112" t="s">
        <v>67</v>
      </c>
      <c r="Q12" s="112" t="s">
        <v>67</v>
      </c>
      <c r="R12" s="112" t="s">
        <v>67</v>
      </c>
      <c r="S12" s="112" t="s">
        <v>68</v>
      </c>
      <c r="T12" s="112" t="s">
        <v>258</v>
      </c>
      <c r="U12" s="112" t="s">
        <v>68</v>
      </c>
    </row>
    <row r="13" spans="1:21" ht="60" customHeight="1" x14ac:dyDescent="0.3">
      <c r="A13" s="112" t="str">
        <f>'M-Cita'!K3</f>
        <v>horaFinAtencion</v>
      </c>
      <c r="B13" s="113" t="str">
        <f>'M-Cita'!K2</f>
        <v>Representa la hora real en la que el barbero terminó de atender al cliente. Su valor por defecto es 00:00 y es permitido: significa que la atención aún no ha terminado</v>
      </c>
      <c r="C13" s="112" t="s">
        <v>68</v>
      </c>
      <c r="D13" s="115" t="s">
        <v>257</v>
      </c>
      <c r="E13" s="112" t="s">
        <v>68</v>
      </c>
      <c r="F13" s="112" t="s">
        <v>67</v>
      </c>
      <c r="G13" s="112" t="s">
        <v>67</v>
      </c>
      <c r="H13" s="112" t="s">
        <v>67</v>
      </c>
      <c r="I13" s="112" t="s">
        <v>67</v>
      </c>
      <c r="J13" s="112" t="s">
        <v>67</v>
      </c>
      <c r="K13" s="112" t="s">
        <v>67</v>
      </c>
      <c r="L13" s="112" t="s">
        <v>67</v>
      </c>
      <c r="M13" s="145" t="s">
        <v>67</v>
      </c>
      <c r="N13" s="112" t="s">
        <v>68</v>
      </c>
      <c r="O13" s="112" t="s">
        <v>67</v>
      </c>
      <c r="P13" s="112" t="s">
        <v>67</v>
      </c>
      <c r="Q13" s="112" t="s">
        <v>67</v>
      </c>
      <c r="R13" s="112" t="s">
        <v>67</v>
      </c>
      <c r="S13" s="112" t="s">
        <v>68</v>
      </c>
      <c r="T13" s="112" t="s">
        <v>258</v>
      </c>
      <c r="U13" s="112" t="s">
        <v>68</v>
      </c>
    </row>
    <row r="14" spans="1:21" ht="60" customHeight="1" x14ac:dyDescent="0.3">
      <c r="A14" s="112" t="str">
        <f>'M-Cita'!L3</f>
        <v>duracionHoras</v>
      </c>
      <c r="B14" s="113" t="str">
        <f>'M-Cita'!L2</f>
        <v>Representa la cantidad total de horas que va a durar la cita, sumando la duración de cada servicio pedido más el tiempo extra de cada uno. Es un dato calculado</v>
      </c>
      <c r="C14" s="112" t="s">
        <v>68</v>
      </c>
      <c r="D14" s="115" t="s">
        <v>115</v>
      </c>
      <c r="E14" s="112" t="s">
        <v>68</v>
      </c>
      <c r="F14" s="112" t="s">
        <v>67</v>
      </c>
      <c r="G14" s="112" t="s">
        <v>67</v>
      </c>
      <c r="H14" s="112" t="s">
        <v>67</v>
      </c>
      <c r="I14" s="112" t="s">
        <v>67</v>
      </c>
      <c r="J14" s="112">
        <v>0</v>
      </c>
      <c r="K14" s="112">
        <v>3</v>
      </c>
      <c r="L14" s="112" t="s">
        <v>67</v>
      </c>
      <c r="M14" s="145" t="s">
        <v>345</v>
      </c>
      <c r="N14" s="112" t="s">
        <v>65</v>
      </c>
      <c r="O14" s="112" t="s">
        <v>67</v>
      </c>
      <c r="P14" s="112" t="s">
        <v>67</v>
      </c>
      <c r="Q14" s="112" t="s">
        <v>67</v>
      </c>
      <c r="R14" s="112" t="s">
        <v>67</v>
      </c>
      <c r="S14" s="112" t="s">
        <v>68</v>
      </c>
      <c r="T14" s="112">
        <v>0</v>
      </c>
      <c r="U14" s="112" t="s">
        <v>68</v>
      </c>
    </row>
    <row r="15" spans="1:21" ht="60" customHeight="1" x14ac:dyDescent="0.3">
      <c r="A15" s="112" t="str">
        <f>'M-Cita'!M3</f>
        <v>duracionMinutos</v>
      </c>
      <c r="B15" s="113" t="str">
        <f>'M-Cita'!M2</f>
        <v>Representa la cantidad total de minutos que va a durar la cita, sumando la duración de cada servicio pedido más el tiempo extra de cada uno. Es un dato calculado</v>
      </c>
      <c r="C15" s="112" t="s">
        <v>68</v>
      </c>
      <c r="D15" s="115" t="s">
        <v>115</v>
      </c>
      <c r="E15" s="112" t="s">
        <v>68</v>
      </c>
      <c r="F15" s="112" t="s">
        <v>67</v>
      </c>
      <c r="G15" s="112" t="s">
        <v>67</v>
      </c>
      <c r="H15" s="112" t="s">
        <v>67</v>
      </c>
      <c r="I15" s="112" t="s">
        <v>67</v>
      </c>
      <c r="J15" s="112">
        <v>0</v>
      </c>
      <c r="K15" s="112">
        <v>59</v>
      </c>
      <c r="L15" s="112" t="s">
        <v>67</v>
      </c>
      <c r="M15" s="145" t="s">
        <v>346</v>
      </c>
      <c r="N15" s="112" t="s">
        <v>65</v>
      </c>
      <c r="O15" s="112" t="s">
        <v>67</v>
      </c>
      <c r="P15" s="112" t="s">
        <v>67</v>
      </c>
      <c r="Q15" s="112" t="s">
        <v>67</v>
      </c>
      <c r="R15" s="112" t="s">
        <v>67</v>
      </c>
      <c r="S15" s="112" t="s">
        <v>68</v>
      </c>
      <c r="T15" s="112" t="s">
        <v>184</v>
      </c>
      <c r="U15" s="112" t="s">
        <v>68</v>
      </c>
    </row>
    <row r="16" spans="1:21" ht="60" customHeight="1" x14ac:dyDescent="0.3">
      <c r="A16" s="122" t="str">
        <f>'M-Cita'!N3</f>
        <v>minutosTardanzaCliente</v>
      </c>
      <c r="B16" s="122" t="str">
        <f>'M-Cita'!N2</f>
        <v>Representa cuántos minutos después de horaInicio llegó el cliente. Si llegó a tiempo o aún no ha llegado su valor es 0. Es un dato calculado</v>
      </c>
      <c r="C16" s="122" t="s">
        <v>68</v>
      </c>
      <c r="D16" s="122" t="s">
        <v>115</v>
      </c>
      <c r="E16" s="122" t="s">
        <v>68</v>
      </c>
      <c r="F16" s="122" t="s">
        <v>67</v>
      </c>
      <c r="G16" s="122" t="s">
        <v>67</v>
      </c>
      <c r="H16" s="122" t="s">
        <v>67</v>
      </c>
      <c r="I16" s="122" t="s">
        <v>67</v>
      </c>
      <c r="J16" s="122">
        <v>0</v>
      </c>
      <c r="K16" s="122">
        <v>300</v>
      </c>
      <c r="L16" s="112" t="s">
        <v>67</v>
      </c>
      <c r="M16" s="122" t="s">
        <v>347</v>
      </c>
      <c r="N16" s="122" t="s">
        <v>65</v>
      </c>
      <c r="O16" s="122" t="s">
        <v>67</v>
      </c>
      <c r="P16" s="122" t="s">
        <v>67</v>
      </c>
      <c r="Q16" s="122" t="s">
        <v>67</v>
      </c>
      <c r="R16" s="122" t="s">
        <v>67</v>
      </c>
      <c r="S16" s="122" t="s">
        <v>68</v>
      </c>
      <c r="T16" s="122" t="s">
        <v>184</v>
      </c>
      <c r="U16" s="122" t="s">
        <v>68</v>
      </c>
    </row>
    <row r="17" spans="1:21" ht="60" customHeight="1" x14ac:dyDescent="0.3">
      <c r="A17" s="112" t="str">
        <f>'M-Cita'!O3</f>
        <v>minutosDemoraBarbero</v>
      </c>
      <c r="B17" s="113" t="str">
        <f>'M-Cita'!O2</f>
        <v>Representa cuántos minutos después de la llegada del cliente empezó el barbero a atenderlo. Si no hubo demora su valor es 0. Es un dato calculado</v>
      </c>
      <c r="C17" s="112" t="s">
        <v>68</v>
      </c>
      <c r="D17" s="112" t="s">
        <v>115</v>
      </c>
      <c r="E17" s="112" t="s">
        <v>68</v>
      </c>
      <c r="F17" s="112" t="s">
        <v>67</v>
      </c>
      <c r="G17" s="112" t="s">
        <v>67</v>
      </c>
      <c r="H17" s="112" t="s">
        <v>67</v>
      </c>
      <c r="I17" s="112" t="s">
        <v>67</v>
      </c>
      <c r="J17" s="112">
        <v>0</v>
      </c>
      <c r="K17" s="112">
        <v>300</v>
      </c>
      <c r="L17" s="112" t="s">
        <v>67</v>
      </c>
      <c r="M17" s="113" t="s">
        <v>348</v>
      </c>
      <c r="N17" s="112" t="s">
        <v>65</v>
      </c>
      <c r="O17" s="112" t="s">
        <v>67</v>
      </c>
      <c r="P17" s="112" t="s">
        <v>67</v>
      </c>
      <c r="Q17" s="112" t="s">
        <v>67</v>
      </c>
      <c r="R17" s="112" t="s">
        <v>67</v>
      </c>
      <c r="S17" s="112" t="s">
        <v>68</v>
      </c>
      <c r="T17" s="112" t="s">
        <v>184</v>
      </c>
      <c r="U17" s="112" t="s">
        <v>68</v>
      </c>
    </row>
    <row r="18" spans="1:21" ht="60" customHeight="1" x14ac:dyDescent="0.3">
      <c r="A18" s="112" t="str">
        <f>'M-Cita'!P3</f>
        <v>porcentajeDescuentoAplicado</v>
      </c>
      <c r="B18" s="113" t="str">
        <f>'M-Cita'!P2</f>
        <v>Representa el porcentaje de descuento aplicado al cliente en esta cita, cuando minutosDemoraBarbero supera la toleranciaTardanzaBarbero de Regla. Su valor por defecto es 0 y es permitido. Es un dato auto generado: copia de Regla.porcentajeDescuentoCita</v>
      </c>
      <c r="C18" s="112" t="s">
        <v>68</v>
      </c>
      <c r="D18" s="115" t="s">
        <v>115</v>
      </c>
      <c r="E18" s="112" t="s">
        <v>68</v>
      </c>
      <c r="F18" s="112" t="s">
        <v>67</v>
      </c>
      <c r="G18" s="112" t="s">
        <v>67</v>
      </c>
      <c r="H18" s="112" t="s">
        <v>67</v>
      </c>
      <c r="I18" s="112" t="s">
        <v>67</v>
      </c>
      <c r="J18" s="112">
        <v>0</v>
      </c>
      <c r="K18" s="112">
        <v>100</v>
      </c>
      <c r="L18" s="112" t="s">
        <v>67</v>
      </c>
      <c r="M18" s="145" t="s">
        <v>349</v>
      </c>
      <c r="N18" s="112" t="s">
        <v>68</v>
      </c>
      <c r="O18" s="112" t="s">
        <v>67</v>
      </c>
      <c r="P18" s="112" t="s">
        <v>67</v>
      </c>
      <c r="Q18" s="112" t="s">
        <v>67</v>
      </c>
      <c r="R18" s="112" t="s">
        <v>67</v>
      </c>
      <c r="S18" s="112" t="s">
        <v>68</v>
      </c>
      <c r="T18" s="112" t="s">
        <v>184</v>
      </c>
      <c r="U18" s="112" t="s">
        <v>65</v>
      </c>
    </row>
    <row r="19" spans="1:21" ht="60" customHeight="1" x14ac:dyDescent="0.3">
      <c r="A19" s="112" t="str">
        <f>'M-Cita'!Q3</f>
        <v>precioFinal</v>
      </c>
      <c r="B19" s="113" t="str">
        <f>'M-Cita'!Q2</f>
        <v>Representa cuánto debe pagar el cliente por los servicios de esta cita: la suma de los precios de sus CitaServicio, menos el descuento si aplicó. Es un dato calculado</v>
      </c>
      <c r="C19" s="112" t="s">
        <v>68</v>
      </c>
      <c r="D19" s="115" t="s">
        <v>115</v>
      </c>
      <c r="E19" s="112" t="s">
        <v>65</v>
      </c>
      <c r="F19" s="112" t="s">
        <v>67</v>
      </c>
      <c r="G19" s="112" t="s">
        <v>67</v>
      </c>
      <c r="H19" s="112" t="s">
        <v>67</v>
      </c>
      <c r="I19" s="112" t="s">
        <v>67</v>
      </c>
      <c r="J19" s="112">
        <v>0</v>
      </c>
      <c r="K19" s="147">
        <v>3000000</v>
      </c>
      <c r="L19" s="112" t="s">
        <v>67</v>
      </c>
      <c r="M19" s="145" t="s">
        <v>350</v>
      </c>
      <c r="N19" s="112" t="s">
        <v>65</v>
      </c>
      <c r="O19" s="112" t="s">
        <v>67</v>
      </c>
      <c r="P19" s="112" t="s">
        <v>67</v>
      </c>
      <c r="Q19" s="112" t="s">
        <v>67</v>
      </c>
      <c r="R19" s="112" t="s">
        <v>67</v>
      </c>
      <c r="S19" s="112" t="s">
        <v>68</v>
      </c>
      <c r="T19" s="112" t="s">
        <v>184</v>
      </c>
      <c r="U19" s="112" t="s">
        <v>68</v>
      </c>
    </row>
    <row r="20" spans="1:21" ht="15" customHeight="1" x14ac:dyDescent="0.3"/>
    <row r="21" spans="1:21" ht="42.75" customHeight="1" x14ac:dyDescent="0.3">
      <c r="A21" s="148" t="s">
        <v>73</v>
      </c>
      <c r="B21" s="148" t="s">
        <v>74</v>
      </c>
      <c r="C21" s="22" t="s">
        <v>75</v>
      </c>
    </row>
    <row r="22" spans="1:21" ht="22.5" customHeight="1" x14ac:dyDescent="0.3">
      <c r="A22" s="5" t="str">
        <f>'M-Cita'!R3</f>
        <v>Combinación única</v>
      </c>
      <c r="B22" s="4" t="str">
        <f>'M-Cita'!R2</f>
        <v>Combinación única que indica que una misma agenda no puede tener dos citas que empiecen a la misma hora</v>
      </c>
      <c r="C22" s="23" t="str">
        <f>A5</f>
        <v>agenda</v>
      </c>
    </row>
    <row r="23" spans="1:21" ht="24.75" customHeight="1" x14ac:dyDescent="0.3">
      <c r="A23" s="5"/>
      <c r="B23" s="5"/>
      <c r="C23" s="23" t="str">
        <f>A8</f>
        <v>horaInicio</v>
      </c>
    </row>
  </sheetData>
  <mergeCells count="2">
    <mergeCell ref="A22:A23"/>
    <mergeCell ref="B22:B23"/>
  </mergeCells>
  <hyperlinks>
    <hyperlink ref="A3" location="'M-Cita'!A3" display="#'M-Cita'.A3" xr:uid="{00000000-0004-0000-1E00-000002000000}"/>
    <hyperlink ref="B3" location="'M-Cita'!A2" display="#'M-Cita'.A2" xr:uid="{00000000-0004-0000-1E00-000003000000}"/>
    <hyperlink ref="A4" location="'M-Cita'!A3" display="#'M-Cita'.A3" xr:uid="{00000000-0004-0000-1E00-000004000000}"/>
    <hyperlink ref="B4" location="'M-Cita'!A2" display="#'M-Cita'.A2" xr:uid="{00000000-0004-0000-1E00-000005000000}"/>
    <hyperlink ref="D4" location="'C-Cliente'!A1" display="Cliente" xr:uid="{00000000-0004-0000-1E00-000006000000}"/>
    <hyperlink ref="A5" location="'M-Cita'!A3" display="#'M-Cita'.A3" xr:uid="{00000000-0004-0000-1E00-000007000000}"/>
    <hyperlink ref="B5" location="'M-Cita'!A2" display="#'M-Cita'.A2" xr:uid="{00000000-0004-0000-1E00-000008000000}"/>
    <hyperlink ref="D5" location="'C-Agenda'!A1" display="Agenda" xr:uid="{00000000-0004-0000-1E00-000009000000}"/>
    <hyperlink ref="A6" location="'M-Cita'!A3" display="#'M-Cita'.A3" xr:uid="{00000000-0004-0000-1E00-00000A000000}"/>
    <hyperlink ref="B6" location="'M-Cita'!A2" display="#'M-Cita'.A2" xr:uid="{00000000-0004-0000-1E00-00000B000000}"/>
    <hyperlink ref="D6" location="'C-Regla'!A1" display="Regla" xr:uid="{00000000-0004-0000-1E00-00000C000000}"/>
    <hyperlink ref="A7" location="'M-Cita'!A3" display="#'M-Cita'.A3" xr:uid="{00000000-0004-0000-1E00-00000D000000}"/>
    <hyperlink ref="B7" location="'M-Cita'!A2" display="#'M-Cita'.A2" xr:uid="{00000000-0004-0000-1E00-00000E000000}"/>
    <hyperlink ref="D7" location="'C-Estado'!A1" display="Estado" xr:uid="{00000000-0004-0000-1E00-00000F000000}"/>
    <hyperlink ref="A8" location="'M-Cita'!A3" display="#'M-Cita'.A3" xr:uid="{00000000-0004-0000-1E00-000010000000}"/>
    <hyperlink ref="B8" location="'M-Cita'!A2" display="#'M-Cita'.A2" xr:uid="{00000000-0004-0000-1E00-000011000000}"/>
    <hyperlink ref="A9" location="'M-Cita'!A3" display="#'M-Cita'.A3" xr:uid="{00000000-0004-0000-1E00-000012000000}"/>
    <hyperlink ref="B9" location="'M-Cita'!A2" display="#'M-Cita'.A2" xr:uid="{00000000-0004-0000-1E00-000013000000}"/>
    <hyperlink ref="A10" location="'M-Cita'!A3" display="#'M-Cita'.A3" xr:uid="{00000000-0004-0000-1E00-000014000000}"/>
    <hyperlink ref="B10" location="'M-Cita'!A2" display="#'M-Cita'.A2" xr:uid="{00000000-0004-0000-1E00-000015000000}"/>
    <hyperlink ref="A11" location="'M-Cita'!A3" display="#'M-Cita'.A3" xr:uid="{00000000-0004-0000-1E00-000016000000}"/>
    <hyperlink ref="B11" location="'M-Cita'!A2" display="#'M-Cita'.A2" xr:uid="{00000000-0004-0000-1E00-000017000000}"/>
    <hyperlink ref="A12" location="'M-Cita'!A3" display="#'M-Cita'.A3" xr:uid="{00000000-0004-0000-1E00-000018000000}"/>
    <hyperlink ref="B12" location="'M-Cita'!A2" display="#'M-Cita'.A2" xr:uid="{00000000-0004-0000-1E00-000019000000}"/>
    <hyperlink ref="A14" location="'M-Cita'!A3" display="#'M-Cita'.A3" xr:uid="{00000000-0004-0000-1E00-00001A000000}"/>
    <hyperlink ref="B14" location="'M-Cita'!A2" display="#'M-Cita'.A2" xr:uid="{00000000-0004-0000-1E00-00001B000000}"/>
    <hyperlink ref="A15" location="'M-Cita'!A3" display="#'M-Cita'.A3" xr:uid="{00000000-0004-0000-1E00-00001C000000}"/>
    <hyperlink ref="B15" location="'M-Cita'!A2" display="#'M-Cita'.A2" xr:uid="{00000000-0004-0000-1E00-00001D000000}"/>
    <hyperlink ref="A16" location="'M-Cita'!A3" display="#'M-Cita'.A3" xr:uid="{00000000-0004-0000-1E00-00001E000000}"/>
    <hyperlink ref="B16" location="'M-Cita'!A2" display="#'M-Cita'.A2" xr:uid="{00000000-0004-0000-1E00-00001F000000}"/>
    <hyperlink ref="A17" location="'M-Cita'!A3" display="#'M-Cita'.A3" xr:uid="{00000000-0004-0000-1E00-000020000000}"/>
    <hyperlink ref="B17" location="'M-Cita'!A2" display="#'M-Cita'.A2" xr:uid="{00000000-0004-0000-1E00-000021000000}"/>
    <hyperlink ref="A18" location="'M-Cita'!A3" display="#'M-Cita'.A3" xr:uid="{00000000-0004-0000-1E00-000022000000}"/>
    <hyperlink ref="B18" location="'M-Cita'!A2" display="#'M-Cita'.A2" xr:uid="{00000000-0004-0000-1E00-000023000000}"/>
    <hyperlink ref="A21" location="'M-Cita'!A3" display="Nombre combinación única" xr:uid="{00000000-0004-0000-1E00-000024000000}"/>
    <hyperlink ref="B21" location="'M-Cita'!A2" display="Descripción" xr:uid="{00000000-0004-0000-1E00-000025000000}"/>
    <hyperlink ref="A1" location="'Modelo de Dominio'!A1" display="&lt;&lt;&lt;&lt; Ir al modulo de dominio" xr:uid="{B0B19D32-5528-40EF-8861-65A95F418C71}"/>
    <hyperlink ref="B1" location="'Objetos de Dominio'!A1" display="&lt;&lt;&lt;&lt; Ir a objetos de dominio" xr:uid="{40ECD06C-A1F3-4013-892C-DBA4C8575450}"/>
  </hyperlinks>
  <pageMargins left="0.75" right="0.75" top="1" bottom="1" header="0.511811023622047" footer="0.511811023622047"/>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R25"/>
  <sheetViews>
    <sheetView topLeftCell="A3" zoomScale="124" zoomScaleNormal="124" workbookViewId="0">
      <selection activeCell="A3" sqref="A3"/>
    </sheetView>
  </sheetViews>
  <sheetFormatPr baseColWidth="10" defaultColWidth="10.6640625" defaultRowHeight="14.4" x14ac:dyDescent="0.3"/>
  <cols>
    <col min="1" max="1" width="25" customWidth="1"/>
    <col min="2" max="2" width="27.5546875" customWidth="1"/>
    <col min="3" max="5" width="26.109375" customWidth="1"/>
    <col min="6" max="8" width="19.88671875" customWidth="1"/>
    <col min="9" max="9" width="23.44140625" customWidth="1"/>
    <col min="10" max="10" width="20.44140625" customWidth="1"/>
    <col min="11" max="13" width="19.88671875" customWidth="1"/>
    <col min="14" max="15" width="23" customWidth="1"/>
    <col min="16" max="16" width="36" customWidth="1"/>
    <col min="17" max="17" width="26.6640625" customWidth="1"/>
    <col min="18" max="18" width="36" customWidth="1"/>
  </cols>
  <sheetData>
    <row r="1" spans="1:18" ht="14.25" customHeight="1" x14ac:dyDescent="0.3">
      <c r="A1" s="6" t="s">
        <v>1</v>
      </c>
      <c r="B1" s="6" t="s">
        <v>43</v>
      </c>
    </row>
    <row r="2" spans="1:18" ht="64.5" customHeight="1" x14ac:dyDescent="0.3">
      <c r="A2" s="149" t="s">
        <v>77</v>
      </c>
      <c r="B2" s="149" t="s">
        <v>351</v>
      </c>
      <c r="C2" s="149" t="s">
        <v>352</v>
      </c>
      <c r="D2" s="149" t="s">
        <v>353</v>
      </c>
      <c r="E2" s="149" t="s">
        <v>354</v>
      </c>
      <c r="F2" s="149" t="s">
        <v>355</v>
      </c>
      <c r="G2" s="149" t="s">
        <v>356</v>
      </c>
      <c r="H2" s="149" t="s">
        <v>357</v>
      </c>
      <c r="I2" s="149" t="s">
        <v>358</v>
      </c>
      <c r="J2" s="149" t="s">
        <v>359</v>
      </c>
      <c r="K2" s="149" t="s">
        <v>360</v>
      </c>
      <c r="L2" s="149" t="s">
        <v>361</v>
      </c>
      <c r="M2" s="149" t="s">
        <v>362</v>
      </c>
      <c r="N2" s="149" t="s">
        <v>363</v>
      </c>
      <c r="O2" s="149" t="s">
        <v>364</v>
      </c>
      <c r="P2" s="149" t="s">
        <v>365</v>
      </c>
      <c r="Q2" s="149" t="s">
        <v>366</v>
      </c>
      <c r="R2" s="149" t="s">
        <v>367</v>
      </c>
    </row>
    <row r="3" spans="1:18" ht="14.25" customHeight="1" x14ac:dyDescent="0.3">
      <c r="A3" s="150" t="s">
        <v>80</v>
      </c>
      <c r="B3" s="118" t="s">
        <v>368</v>
      </c>
      <c r="C3" s="118" t="s">
        <v>369</v>
      </c>
      <c r="D3" s="118" t="s">
        <v>370</v>
      </c>
      <c r="E3" s="118" t="s">
        <v>371</v>
      </c>
      <c r="F3" s="101" t="s">
        <v>305</v>
      </c>
      <c r="G3" s="101" t="s">
        <v>372</v>
      </c>
      <c r="H3" s="101" t="s">
        <v>373</v>
      </c>
      <c r="I3" s="101" t="s">
        <v>374</v>
      </c>
      <c r="J3" s="101" t="s">
        <v>375</v>
      </c>
      <c r="K3" s="101" t="s">
        <v>376</v>
      </c>
      <c r="L3" s="102" t="s">
        <v>377</v>
      </c>
      <c r="M3" s="151" t="s">
        <v>378</v>
      </c>
      <c r="N3" s="102" t="s">
        <v>379</v>
      </c>
      <c r="O3" s="102" t="s">
        <v>380</v>
      </c>
      <c r="P3" s="91" t="s">
        <v>381</v>
      </c>
      <c r="Q3" s="102" t="s">
        <v>382</v>
      </c>
      <c r="R3" s="152" t="s">
        <v>168</v>
      </c>
    </row>
    <row r="4" spans="1:18" ht="45" customHeight="1" x14ac:dyDescent="0.3">
      <c r="A4" s="31">
        <v>1</v>
      </c>
      <c r="B4" s="153" t="str">
        <f>'M-Cliente'!L4</f>
        <v>+57-3234528921</v>
      </c>
      <c r="C4" s="139" t="str">
        <f>'M-Agenda'!D4</f>
        <v>+57-3245627890-Lunes-09:00-19:00-12/11/2023-1/01/1000-10:00-16:00-31/08/2026</v>
      </c>
      <c r="D4" s="139">
        <f>'M-Regla'!A4</f>
        <v>1</v>
      </c>
      <c r="E4" s="139" t="str">
        <f>'M-Estado'!D4</f>
        <v>Agendada</v>
      </c>
      <c r="F4" s="154">
        <v>0.41666666666666702</v>
      </c>
      <c r="G4" s="154">
        <f t="shared" ref="G4:G13" si="0">F4+TIME(L4,M4,0)</f>
        <v>0.4583333333333337</v>
      </c>
      <c r="H4" s="154">
        <v>0</v>
      </c>
      <c r="I4" s="154">
        <v>0</v>
      </c>
      <c r="J4" s="154">
        <v>0</v>
      </c>
      <c r="K4" s="154">
        <v>0</v>
      </c>
      <c r="L4" s="155">
        <f>INT((SUMIF('M-CitaServicio'!$B$4:$B$14,R4,'M-CitaServicio'!$F$4:$F$14)+SUMIF('M-CitaServicio'!$B$4:$B$14,R4,'M-CitaServicio'!$G$4:$G$14))/60)</f>
        <v>1</v>
      </c>
      <c r="M4" s="153">
        <f>MOD((SUMIF('M-CitaServicio'!$B$4:$B$14,R4,'M-CitaServicio'!$F$4:$F$14)+SUMIF('M-CitaServicio'!$B$4:$B$14,R4,'M-CitaServicio'!$G$4:$G$14)),60)</f>
        <v>0</v>
      </c>
      <c r="N4" s="156">
        <f t="shared" ref="N4:N13" si="1">IF(H4=TIME(0,0,0),0,ROUND(MAX(0,(H4-F4)*1440),0))</f>
        <v>0</v>
      </c>
      <c r="O4" s="157">
        <f t="shared" ref="O4:O13" si="2">IF(J4=TIME(0,0,0),0,ROUND(MAX(0,(J4-MAX(H4,F4))*1440),0))</f>
        <v>0</v>
      </c>
      <c r="P4" s="157">
        <v>0</v>
      </c>
      <c r="Q4" s="158">
        <f>SUMIF('M-CitaServicio'!$B$4:$B$14,R4,'M-CitaServicio'!$D$4:$D$14)*(1-P4/100)</f>
        <v>22000</v>
      </c>
      <c r="R4" s="41" t="str">
        <f t="shared" ref="R4:R13" si="3">_xlfn.CONCAT(C4,"-",TEXT(F4,"hh:mm"))</f>
        <v>+57-3245627890-Lunes-09:00-19:00-12/11/2023-1/01/1000-10:00-16:00-31/08/2026-10:00</v>
      </c>
    </row>
    <row r="5" spans="1:18" ht="41.25" customHeight="1" x14ac:dyDescent="0.3">
      <c r="A5" s="31">
        <v>2</v>
      </c>
      <c r="B5" s="153" t="str">
        <f>'M-Cliente'!L5</f>
        <v>+57-3161657782</v>
      </c>
      <c r="C5" s="139" t="str">
        <f>'M-Agenda'!D5</f>
        <v>+57-3124518923-Martes-09:00-19:00-12/11/2023-1/01/1000-09:00-15:00-10/03/2026</v>
      </c>
      <c r="D5" s="139">
        <f>'M-Regla'!A4</f>
        <v>1</v>
      </c>
      <c r="E5" s="139" t="str">
        <f>'M-Estado'!D5</f>
        <v>Finalizada</v>
      </c>
      <c r="F5" s="154">
        <v>0.39583333333333298</v>
      </c>
      <c r="G5" s="154">
        <f t="shared" si="0"/>
        <v>0.40624999999999967</v>
      </c>
      <c r="H5" s="154">
        <v>0.39444444444444399</v>
      </c>
      <c r="I5" s="154">
        <v>0.39236111111111099</v>
      </c>
      <c r="J5" s="154">
        <v>0.39583333333333298</v>
      </c>
      <c r="K5" s="154">
        <v>0.40625</v>
      </c>
      <c r="L5" s="155">
        <f>INT((SUMIF('M-CitaServicio'!$B$4:$B$14,R5,'M-CitaServicio'!$F$4:$F$14)+SUMIF('M-CitaServicio'!$B$4:$B$14,R5,'M-CitaServicio'!$G$4:$G$14))/60)</f>
        <v>0</v>
      </c>
      <c r="M5" s="153">
        <f>MOD((SUMIF('M-CitaServicio'!$B$4:$B$14,R5,'M-CitaServicio'!$F$4:$F$14)+SUMIF('M-CitaServicio'!$B$4:$B$14,R5,'M-CitaServicio'!$G$4:$G$14)),60)</f>
        <v>15</v>
      </c>
      <c r="N5" s="156">
        <f t="shared" si="1"/>
        <v>0</v>
      </c>
      <c r="O5" s="157">
        <f t="shared" si="2"/>
        <v>0</v>
      </c>
      <c r="P5" s="157">
        <v>0</v>
      </c>
      <c r="Q5" s="158">
        <f>SUMIF('M-CitaServicio'!$B$4:$B$14,R5,'M-CitaServicio'!$D$4:$D$14)*(1-P5/100)</f>
        <v>12000</v>
      </c>
      <c r="R5" s="41" t="str">
        <f t="shared" si="3"/>
        <v>+57-3124518923-Martes-09:00-19:00-12/11/2023-1/01/1000-09:00-15:00-10/03/2026-09:30</v>
      </c>
    </row>
    <row r="6" spans="1:18" ht="41.25" customHeight="1" x14ac:dyDescent="0.3">
      <c r="A6" s="31">
        <v>3</v>
      </c>
      <c r="B6" s="153" t="str">
        <f>'M-Cliente'!L6</f>
        <v>+57-3119884321</v>
      </c>
      <c r="C6" s="139" t="str">
        <f>'M-Agenda'!D6</f>
        <v>+57-3214533321-Jueves-09:00-19:00-12/11/2023-1/01/1000-13:00-19:00-14/05/2026</v>
      </c>
      <c r="D6" s="139">
        <f>'M-Regla'!A4</f>
        <v>1</v>
      </c>
      <c r="E6" s="139" t="str">
        <f>'M-Estado'!D8</f>
        <v>El cliente se demoro</v>
      </c>
      <c r="F6" s="154">
        <v>0.54166666666666696</v>
      </c>
      <c r="G6" s="154">
        <f t="shared" si="0"/>
        <v>0.5555555555555558</v>
      </c>
      <c r="H6" s="154">
        <v>0.55208333333333304</v>
      </c>
      <c r="I6" s="154">
        <v>0.54305555555555596</v>
      </c>
      <c r="J6" s="154">
        <v>0.55208333333333304</v>
      </c>
      <c r="K6" s="154">
        <v>0.56597222222222199</v>
      </c>
      <c r="L6" s="155">
        <f>INT((SUMIF('M-CitaServicio'!$B$4:$B$14,R6,'M-CitaServicio'!$F$4:$F$14)+SUMIF('M-CitaServicio'!$B$4:$B$14,R6,'M-CitaServicio'!$G$4:$G$14))/60)</f>
        <v>0</v>
      </c>
      <c r="M6" s="153">
        <f>MOD((SUMIF('M-CitaServicio'!$B$4:$B$14,R6,'M-CitaServicio'!$F$4:$F$14)+SUMIF('M-CitaServicio'!$B$4:$B$14,R6,'M-CitaServicio'!$G$4:$G$14)),60)</f>
        <v>20</v>
      </c>
      <c r="N6" s="156">
        <f t="shared" si="1"/>
        <v>15</v>
      </c>
      <c r="O6" s="157">
        <f t="shared" si="2"/>
        <v>0</v>
      </c>
      <c r="P6" s="157">
        <v>0</v>
      </c>
      <c r="Q6" s="158">
        <f>SUMIF('M-CitaServicio'!$B$4:$B$14,R6,'M-CitaServicio'!$D$4:$D$14)*(1-P6/100)</f>
        <v>15000</v>
      </c>
      <c r="R6" s="41" t="str">
        <f t="shared" si="3"/>
        <v>+57-3214533321-Jueves-09:00-19:00-12/11/2023-1/01/1000-13:00-19:00-14/05/2026-13:00</v>
      </c>
    </row>
    <row r="7" spans="1:18" ht="41.25" customHeight="1" x14ac:dyDescent="0.3">
      <c r="A7" s="31">
        <v>4</v>
      </c>
      <c r="B7" s="153" t="str">
        <f>'M-Cliente'!L7</f>
        <v>+58-4127359182</v>
      </c>
      <c r="C7" s="139" t="str">
        <f>'M-Agenda'!D8</f>
        <v>+91-9876543210-Sábado-08:00-21:00-12/12/2024-1/01/1000-08:00-14:00-22/11/2025</v>
      </c>
      <c r="D7" s="139">
        <f>'M-Regla'!A4</f>
        <v>1</v>
      </c>
      <c r="E7" s="139" t="str">
        <f>'M-Estado'!D10</f>
        <v>Inasistencia del cliente</v>
      </c>
      <c r="F7" s="154">
        <v>0.54166666666666696</v>
      </c>
      <c r="G7" s="154">
        <f t="shared" si="0"/>
        <v>0.57638888888888917</v>
      </c>
      <c r="H7" s="154">
        <v>0</v>
      </c>
      <c r="I7" s="154">
        <v>0.52777777777777801</v>
      </c>
      <c r="J7" s="154">
        <v>0</v>
      </c>
      <c r="K7" s="154">
        <v>0</v>
      </c>
      <c r="L7" s="155">
        <f>INT((SUMIF('M-CitaServicio'!$B$4:$B$14,R7,'M-CitaServicio'!$F$4:$F$14)+SUMIF('M-CitaServicio'!$B$4:$B$14,R7,'M-CitaServicio'!$G$4:$G$14))/60)</f>
        <v>0</v>
      </c>
      <c r="M7" s="153">
        <f>MOD((SUMIF('M-CitaServicio'!$B$4:$B$14,R7,'M-CitaServicio'!$F$4:$F$14)+SUMIF('M-CitaServicio'!$B$4:$B$14,R7,'M-CitaServicio'!$G$4:$G$14)),60)</f>
        <v>50</v>
      </c>
      <c r="N7" s="156">
        <f t="shared" si="1"/>
        <v>0</v>
      </c>
      <c r="O7" s="157">
        <f t="shared" si="2"/>
        <v>0</v>
      </c>
      <c r="P7" s="157">
        <v>0</v>
      </c>
      <c r="Q7" s="158">
        <f>SUMIF('M-CitaServicio'!$B$4:$B$14,R7,'M-CitaServicio'!$D$4:$D$14)*(1-P7/100)</f>
        <v>35000</v>
      </c>
      <c r="R7" s="41" t="str">
        <f t="shared" si="3"/>
        <v>+91-9876543210-Sábado-08:00-21:00-12/12/2024-1/01/1000-08:00-14:00-22/11/2025-13:00</v>
      </c>
    </row>
    <row r="8" spans="1:18" ht="41.25" customHeight="1" x14ac:dyDescent="0.3">
      <c r="A8" s="31">
        <v>5</v>
      </c>
      <c r="B8" s="153" t="str">
        <f>'M-Cliente'!L7</f>
        <v>+58-4127359182</v>
      </c>
      <c r="C8" s="139" t="str">
        <f>'M-Agenda'!D9</f>
        <v>+57-3214533321-Jueves-09:00-19:00-12/11/2023-1/01/1000-13:00-19:00-06/08/2026</v>
      </c>
      <c r="D8" s="139">
        <f>'M-Regla'!A4</f>
        <v>1</v>
      </c>
      <c r="E8" s="139" t="str">
        <f>'M-Estado'!D9</f>
        <v>El barbero se demoro</v>
      </c>
      <c r="F8" s="154">
        <v>0.75</v>
      </c>
      <c r="G8" s="154">
        <f t="shared" si="0"/>
        <v>0.76388888888888884</v>
      </c>
      <c r="H8" s="154">
        <v>0.74861111111111101</v>
      </c>
      <c r="I8" s="154">
        <v>0.76388888888888895</v>
      </c>
      <c r="J8" s="154">
        <v>0.76388888888888895</v>
      </c>
      <c r="K8" s="154">
        <v>0.77777777777777801</v>
      </c>
      <c r="L8" s="155">
        <f>INT((SUMIF('M-CitaServicio'!$B$4:$B$14,R8,'M-CitaServicio'!$F$4:$F$14)+SUMIF('M-CitaServicio'!$B$4:$B$14,R8,'M-CitaServicio'!$G$4:$G$14))/60)</f>
        <v>0</v>
      </c>
      <c r="M8" s="153">
        <f>MOD((SUMIF('M-CitaServicio'!$B$4:$B$14,R8,'M-CitaServicio'!$F$4:$F$14)+SUMIF('M-CitaServicio'!$B$4:$B$14,R8,'M-CitaServicio'!$G$4:$G$14)),60)</f>
        <v>20</v>
      </c>
      <c r="N8" s="156">
        <f t="shared" si="1"/>
        <v>0</v>
      </c>
      <c r="O8" s="157">
        <f t="shared" si="2"/>
        <v>20</v>
      </c>
      <c r="P8" s="157">
        <v>10</v>
      </c>
      <c r="Q8" s="158">
        <f>SUMIF('M-CitaServicio'!$B$4:$B$14,R8,'M-CitaServicio'!$D$4:$D$14)*(1-P8/100)</f>
        <v>10800</v>
      </c>
      <c r="R8" s="41" t="str">
        <f t="shared" si="3"/>
        <v>+57-3214533321-Jueves-09:00-19:00-12/11/2023-1/01/1000-13:00-19:00-06/08/2026-18:00</v>
      </c>
    </row>
    <row r="9" spans="1:18" ht="41.25" customHeight="1" x14ac:dyDescent="0.3">
      <c r="A9" s="31">
        <v>6</v>
      </c>
      <c r="B9" s="153" t="str">
        <f>'M-Cliente'!L4</f>
        <v>+57-3234528921</v>
      </c>
      <c r="C9" s="139" t="str">
        <f>'M-Agenda'!D7</f>
        <v>+91-9876543210-Festivo-10:00-15:00-12/12/2024-1/01/1000-12:00-15:00-20/02/2026</v>
      </c>
      <c r="D9" s="139">
        <f>'M-Regla'!A4</f>
        <v>1</v>
      </c>
      <c r="E9" s="139" t="str">
        <f>'M-Estado'!D5</f>
        <v>Finalizada</v>
      </c>
      <c r="F9" s="154">
        <v>0.58333333333333304</v>
      </c>
      <c r="G9" s="154">
        <f t="shared" si="0"/>
        <v>0.61805555555555525</v>
      </c>
      <c r="H9" s="154">
        <v>0.58194444444444504</v>
      </c>
      <c r="I9" s="154">
        <v>0.58333333333333304</v>
      </c>
      <c r="J9" s="154">
        <v>0.58333333333333304</v>
      </c>
      <c r="K9" s="154">
        <v>0.61805555555555602</v>
      </c>
      <c r="L9" s="155">
        <f>INT((SUMIF('M-CitaServicio'!$B$4:$B$14,R9,'M-CitaServicio'!$F$4:$F$14)+SUMIF('M-CitaServicio'!$B$4:$B$14,R9,'M-CitaServicio'!$G$4:$G$14))/60)</f>
        <v>0</v>
      </c>
      <c r="M9" s="153">
        <f>MOD((SUMIF('M-CitaServicio'!$B$4:$B$14,R9,'M-CitaServicio'!$F$4:$F$14)+SUMIF('M-CitaServicio'!$B$4:$B$14,R9,'M-CitaServicio'!$G$4:$G$14)),60)</f>
        <v>50</v>
      </c>
      <c r="N9" s="156">
        <f t="shared" si="1"/>
        <v>0</v>
      </c>
      <c r="O9" s="157">
        <f t="shared" si="2"/>
        <v>0</v>
      </c>
      <c r="P9" s="157">
        <v>0</v>
      </c>
      <c r="Q9" s="158">
        <f>SUMIF('M-CitaServicio'!$B$4:$B$14,R9,'M-CitaServicio'!$D$4:$D$14)*(1-P9/100)</f>
        <v>35000</v>
      </c>
      <c r="R9" s="41" t="str">
        <f t="shared" si="3"/>
        <v>+91-9876543210-Festivo-10:00-15:00-12/12/2024-1/01/1000-12:00-15:00-20/02/2026-14:00</v>
      </c>
    </row>
    <row r="10" spans="1:18" ht="41.25" customHeight="1" x14ac:dyDescent="0.3">
      <c r="A10" s="31">
        <v>7</v>
      </c>
      <c r="B10" s="153" t="str">
        <f>'M-Cliente'!L8</f>
        <v>+57-3005544332</v>
      </c>
      <c r="C10" s="139" t="str">
        <f>'M-Agenda'!D10</f>
        <v>+57-3245627890-Lunes-09:00-19:00-12/11/2023-1/01/1000-10:00-16:00-01/06/2026</v>
      </c>
      <c r="D10" s="139">
        <f>'M-Regla'!A4</f>
        <v>1</v>
      </c>
      <c r="E10" s="139" t="str">
        <f>'M-Estado'!D10</f>
        <v>Inasistencia del cliente</v>
      </c>
      <c r="F10" s="154">
        <v>0.41666666666666702</v>
      </c>
      <c r="G10" s="154">
        <f t="shared" si="0"/>
        <v>0.4583333333333337</v>
      </c>
      <c r="H10" s="154">
        <v>0</v>
      </c>
      <c r="I10" s="154">
        <v>0</v>
      </c>
      <c r="J10" s="154">
        <v>0</v>
      </c>
      <c r="K10" s="154">
        <v>0</v>
      </c>
      <c r="L10" s="155">
        <f>INT((SUMIF('M-CitaServicio'!$B$4:$B$14,R10,'M-CitaServicio'!$F$4:$F$14)+SUMIF('M-CitaServicio'!$B$4:$B$14,R10,'M-CitaServicio'!$G$4:$G$14))/60)</f>
        <v>1</v>
      </c>
      <c r="M10" s="153">
        <f>MOD((SUMIF('M-CitaServicio'!$B$4:$B$14,R10,'M-CitaServicio'!$F$4:$F$14)+SUMIF('M-CitaServicio'!$B$4:$B$14,R10,'M-CitaServicio'!$G$4:$G$14)),60)</f>
        <v>0</v>
      </c>
      <c r="N10" s="156">
        <f t="shared" si="1"/>
        <v>0</v>
      </c>
      <c r="O10" s="157">
        <f t="shared" si="2"/>
        <v>0</v>
      </c>
      <c r="P10" s="157">
        <v>0</v>
      </c>
      <c r="Q10" s="158">
        <f>SUMIF('M-CitaServicio'!$B$4:$B$14,R10,'M-CitaServicio'!$D$4:$D$14)*(1-P10/100)</f>
        <v>22000</v>
      </c>
      <c r="R10" s="41" t="str">
        <f t="shared" si="3"/>
        <v>+57-3245627890-Lunes-09:00-19:00-12/11/2023-1/01/1000-10:00-16:00-01/06/2026-10:00</v>
      </c>
    </row>
    <row r="11" spans="1:18" ht="41.25" customHeight="1" x14ac:dyDescent="0.3">
      <c r="A11" s="31">
        <v>8</v>
      </c>
      <c r="B11" s="153" t="str">
        <f>'M-Cliente'!L8</f>
        <v>+57-3005544332</v>
      </c>
      <c r="C11" s="139" t="str">
        <f>'M-Agenda'!D11</f>
        <v>+57-3124518923-Martes-09:00-19:00-12/11/2023-1/01/1000-09:00-15:00-16/06/2026</v>
      </c>
      <c r="D11" s="139">
        <f>'M-Regla'!A4</f>
        <v>1</v>
      </c>
      <c r="E11" s="139" t="str">
        <f>'M-Estado'!D10</f>
        <v>Inasistencia del cliente</v>
      </c>
      <c r="F11" s="154">
        <v>0.375</v>
      </c>
      <c r="G11" s="154">
        <f t="shared" si="0"/>
        <v>0.38541666666666669</v>
      </c>
      <c r="H11" s="154">
        <v>0</v>
      </c>
      <c r="I11" s="154">
        <v>0</v>
      </c>
      <c r="J11" s="154">
        <v>0</v>
      </c>
      <c r="K11" s="154">
        <v>0</v>
      </c>
      <c r="L11" s="155">
        <f>INT((SUMIF('M-CitaServicio'!$B$4:$B$14,R11,'M-CitaServicio'!$F$4:$F$14)+SUMIF('M-CitaServicio'!$B$4:$B$14,R11,'M-CitaServicio'!$G$4:$G$14))/60)</f>
        <v>0</v>
      </c>
      <c r="M11" s="153">
        <f>MOD((SUMIF('M-CitaServicio'!$B$4:$B$14,R11,'M-CitaServicio'!$F$4:$F$14)+SUMIF('M-CitaServicio'!$B$4:$B$14,R11,'M-CitaServicio'!$G$4:$G$14)),60)</f>
        <v>15</v>
      </c>
      <c r="N11" s="156">
        <f t="shared" si="1"/>
        <v>0</v>
      </c>
      <c r="O11" s="157">
        <f t="shared" si="2"/>
        <v>0</v>
      </c>
      <c r="P11" s="157">
        <v>0</v>
      </c>
      <c r="Q11" s="158">
        <f>SUMIF('M-CitaServicio'!$B$4:$B$14,R11,'M-CitaServicio'!$D$4:$D$14)*(1-P11/100)</f>
        <v>12000</v>
      </c>
      <c r="R11" s="41" t="str">
        <f t="shared" si="3"/>
        <v>+57-3124518923-Martes-09:00-19:00-12/11/2023-1/01/1000-09:00-15:00-16/06/2026-09:00</v>
      </c>
    </row>
    <row r="12" spans="1:18" ht="41.25" customHeight="1" x14ac:dyDescent="0.3">
      <c r="A12" s="31">
        <v>9</v>
      </c>
      <c r="B12" s="153" t="str">
        <f>'M-Cliente'!L8</f>
        <v>+57-3005544332</v>
      </c>
      <c r="C12" s="139" t="str">
        <f>'M-Agenda'!D12</f>
        <v>+57-3214533321-Jueves-09:00-19:00-12/11/2023-1/01/1000-13:00-19:00-02/07/2026</v>
      </c>
      <c r="D12" s="139">
        <f>'M-Regla'!A4</f>
        <v>1</v>
      </c>
      <c r="E12" s="139" t="str">
        <f>'M-Estado'!D10</f>
        <v>Inasistencia del cliente</v>
      </c>
      <c r="F12" s="154">
        <v>0.625</v>
      </c>
      <c r="G12" s="154">
        <f t="shared" si="0"/>
        <v>0.63888888888888884</v>
      </c>
      <c r="H12" s="154">
        <v>0</v>
      </c>
      <c r="I12" s="154">
        <v>0</v>
      </c>
      <c r="J12" s="154">
        <v>0</v>
      </c>
      <c r="K12" s="154">
        <v>0</v>
      </c>
      <c r="L12" s="155">
        <f>INT((SUMIF('M-CitaServicio'!$B$4:$B$14,R12,'M-CitaServicio'!$F$4:$F$14)+SUMIF('M-CitaServicio'!$B$4:$B$14,R12,'M-CitaServicio'!$G$4:$G$14))/60)</f>
        <v>0</v>
      </c>
      <c r="M12" s="153">
        <f>MOD((SUMIF('M-CitaServicio'!$B$4:$B$14,R12,'M-CitaServicio'!$F$4:$F$14)+SUMIF('M-CitaServicio'!$B$4:$B$14,R12,'M-CitaServicio'!$G$4:$G$14)),60)</f>
        <v>20</v>
      </c>
      <c r="N12" s="156">
        <f t="shared" si="1"/>
        <v>0</v>
      </c>
      <c r="O12" s="157">
        <f t="shared" si="2"/>
        <v>0</v>
      </c>
      <c r="P12" s="157">
        <v>0</v>
      </c>
      <c r="Q12" s="158">
        <f>SUMIF('M-CitaServicio'!$B$4:$B$14,R12,'M-CitaServicio'!$D$4:$D$14)*(1-P12/100)</f>
        <v>15000</v>
      </c>
      <c r="R12" s="41" t="str">
        <f t="shared" si="3"/>
        <v>+57-3214533321-Jueves-09:00-19:00-12/11/2023-1/01/1000-13:00-19:00-02/07/2026-15:00</v>
      </c>
    </row>
    <row r="13" spans="1:18" s="33" customFormat="1" ht="45" customHeight="1" x14ac:dyDescent="0.3">
      <c r="A13" s="31">
        <v>10</v>
      </c>
      <c r="B13" s="153" t="str">
        <f>'M-Cliente'!L5</f>
        <v>+57-3161657782</v>
      </c>
      <c r="C13" s="139" t="str">
        <f>'M-Agenda'!D6</f>
        <v>+57-3214533321-Jueves-09:00-19:00-12/11/2023-1/01/1000-13:00-19:00-14/05/2026</v>
      </c>
      <c r="D13" s="153">
        <f>'M-Regla'!A4</f>
        <v>1</v>
      </c>
      <c r="E13" s="153" t="str">
        <f>'M-Estado'!D5</f>
        <v>Finalizada</v>
      </c>
      <c r="F13" s="154">
        <v>0.5625</v>
      </c>
      <c r="G13" s="154">
        <f t="shared" si="0"/>
        <v>0.59027777777777779</v>
      </c>
      <c r="H13" s="154">
        <v>0.56111111111111101</v>
      </c>
      <c r="I13" s="154">
        <v>0.55902777777777801</v>
      </c>
      <c r="J13" s="154">
        <v>0.5625</v>
      </c>
      <c r="K13" s="154">
        <v>0.59027777777777801</v>
      </c>
      <c r="L13" s="155">
        <f>INT((SUMIF('M-CitaServicio'!$B$4:$B$14,R13,'M-CitaServicio'!$F$4:$F$14)+SUMIF('M-CitaServicio'!$B$4:$B$14,R13,'M-CitaServicio'!$G$4:$G$14))/60)</f>
        <v>0</v>
      </c>
      <c r="M13" s="153">
        <f>MOD((SUMIF('M-CitaServicio'!$B$4:$B$14,R13,'M-CitaServicio'!$F$4:$F$14)+SUMIF('M-CitaServicio'!$B$4:$B$14,R13,'M-CitaServicio'!$G$4:$G$14)),60)</f>
        <v>40</v>
      </c>
      <c r="N13" s="156">
        <f t="shared" si="1"/>
        <v>0</v>
      </c>
      <c r="O13" s="157">
        <f t="shared" si="2"/>
        <v>0</v>
      </c>
      <c r="P13" s="157">
        <v>0</v>
      </c>
      <c r="Q13" s="158">
        <f>SUMIF('M-CitaServicio'!$B$4:$B$14,R13,'M-CitaServicio'!$D$4:$D$14)*(1-P13/100)</f>
        <v>27000</v>
      </c>
      <c r="R13" s="41" t="str">
        <f t="shared" si="3"/>
        <v>+57-3214533321-Jueves-09:00-19:00-12/11/2023-1/01/1000-13:00-19:00-14/05/2026-13:30</v>
      </c>
    </row>
    <row r="14" spans="1:18" ht="14.25" customHeight="1" x14ac:dyDescent="0.3">
      <c r="B14" s="35"/>
    </row>
    <row r="15" spans="1:18" ht="27.75" customHeight="1" x14ac:dyDescent="0.3"/>
    <row r="16" spans="1:18" ht="27.75" customHeight="1" x14ac:dyDescent="0.3"/>
    <row r="17" spans="1:2" ht="27.75" customHeight="1" x14ac:dyDescent="0.3"/>
    <row r="18" spans="1:2" ht="27.75" customHeight="1" x14ac:dyDescent="0.3"/>
    <row r="19" spans="1:2" ht="28.5" customHeight="1" x14ac:dyDescent="0.3">
      <c r="A19" s="34"/>
      <c r="B19" s="35" t="s">
        <v>90</v>
      </c>
    </row>
    <row r="20" spans="1:2" ht="28.5" customHeight="1" x14ac:dyDescent="0.3">
      <c r="A20" s="36"/>
      <c r="B20" s="35" t="s">
        <v>91</v>
      </c>
    </row>
    <row r="21" spans="1:2" ht="28.5" customHeight="1" x14ac:dyDescent="0.3">
      <c r="A21" s="60"/>
      <c r="B21" s="35" t="s">
        <v>220</v>
      </c>
    </row>
    <row r="22" spans="1:2" ht="28.5" customHeight="1" x14ac:dyDescent="0.3">
      <c r="A22" s="61"/>
      <c r="B22" s="35" t="s">
        <v>92</v>
      </c>
    </row>
    <row r="23" spans="1:2" ht="28.5" customHeight="1" x14ac:dyDescent="0.3">
      <c r="A23" s="108"/>
      <c r="B23" s="35" t="s">
        <v>274</v>
      </c>
    </row>
    <row r="24" spans="1:2" ht="28.5" customHeight="1" x14ac:dyDescent="0.3">
      <c r="A24" s="109"/>
      <c r="B24" s="35" t="s">
        <v>256</v>
      </c>
    </row>
    <row r="25" spans="1:2" ht="28.5" customHeight="1" x14ac:dyDescent="0.3">
      <c r="A25" s="38"/>
      <c r="B25" s="35" t="s">
        <v>93</v>
      </c>
    </row>
  </sheetData>
  <hyperlinks>
    <hyperlink ref="B3" location="'M-Cliente'!A1" display="cliente" xr:uid="{00000000-0004-0000-1F00-000002000000}"/>
    <hyperlink ref="C3" location="'M-Agenda'!A1" display="agenda" xr:uid="{00000000-0004-0000-1F00-000003000000}"/>
    <hyperlink ref="D3" location="'M-Regla'!A1" display="regla" xr:uid="{00000000-0004-0000-1F00-000004000000}"/>
    <hyperlink ref="E3" location="'M-Estado'!A1" display="estado" xr:uid="{00000000-0004-0000-1F00-000005000000}"/>
    <hyperlink ref="B4" location="'M-Cliente'!A4" display="#'M-Cliente'.A4" xr:uid="{00000000-0004-0000-1F00-000006000000}"/>
    <hyperlink ref="C4" location="'M-Agenda'!A4" display="#'M-Agenda'.A4" xr:uid="{00000000-0004-0000-1F00-000007000000}"/>
    <hyperlink ref="D4" location="'M-Regla'!A4" display="#'M-Regla'.A4" xr:uid="{00000000-0004-0000-1F00-000008000000}"/>
    <hyperlink ref="E4" location="'M-Estado'!A4" display="#'M-Estado'.A4" xr:uid="{00000000-0004-0000-1F00-000009000000}"/>
    <hyperlink ref="L4" location="'M-CitaServicio'!A4" display="#'M-CitaServicio'.A4" xr:uid="{00000000-0004-0000-1F00-00000A000000}"/>
    <hyperlink ref="M4" location="'M-CitaServicio'!A4" display="#'M-CitaServicio'.A4" xr:uid="{00000000-0004-0000-1F00-00000B000000}"/>
    <hyperlink ref="Q4" location="'M-CitaServicio'!A4" display="#'M-CitaServicio'.A4" xr:uid="{00000000-0004-0000-1F00-00000C000000}"/>
    <hyperlink ref="B5" location="'M-Cliente'!A5" display="#'M-Cliente'.A5" xr:uid="{00000000-0004-0000-1F00-00000D000000}"/>
    <hyperlink ref="C5" location="'M-Agenda'!A5" display="#'M-Agenda'.A5" xr:uid="{00000000-0004-0000-1F00-00000E000000}"/>
    <hyperlink ref="D5" location="'M-Regla'!A4" display="#'M-Regla'.A4" xr:uid="{00000000-0004-0000-1F00-00000F000000}"/>
    <hyperlink ref="E5" location="'M-Estado'!A5" display="#'M-Estado'.A5" xr:uid="{00000000-0004-0000-1F00-000010000000}"/>
    <hyperlink ref="L5" location="'M-CitaServicio'!A4" display="#'M-CitaServicio'.A4" xr:uid="{00000000-0004-0000-1F00-000011000000}"/>
    <hyperlink ref="M5" location="'M-CitaServicio'!A4" display="#'M-CitaServicio'.A4" xr:uid="{00000000-0004-0000-1F00-000012000000}"/>
    <hyperlink ref="Q5" location="'M-CitaServicio'!A4" display="#'M-CitaServicio'.A4" xr:uid="{00000000-0004-0000-1F00-000013000000}"/>
    <hyperlink ref="B6" location="'M-Cliente'!A6" display="#'M-Cliente'.A6" xr:uid="{00000000-0004-0000-1F00-000014000000}"/>
    <hyperlink ref="C6" location="'M-Agenda'!A6" display="#'M-Agenda'.A6" xr:uid="{00000000-0004-0000-1F00-000015000000}"/>
    <hyperlink ref="D6" location="'M-Regla'!A4" display="#'M-Regla'.A4" xr:uid="{00000000-0004-0000-1F00-000016000000}"/>
    <hyperlink ref="E6" location="'M-Estado'!A8" display="#'M-Estado'.A8" xr:uid="{00000000-0004-0000-1F00-000017000000}"/>
    <hyperlink ref="L6" location="'M-CitaServicio'!A4" display="#'M-CitaServicio'.A4" xr:uid="{00000000-0004-0000-1F00-000018000000}"/>
    <hyperlink ref="M6" location="'M-CitaServicio'!A4" display="#'M-CitaServicio'.A4" xr:uid="{00000000-0004-0000-1F00-000019000000}"/>
    <hyperlink ref="Q6" location="'M-CitaServicio'!A4" display="#'M-CitaServicio'.A4" xr:uid="{00000000-0004-0000-1F00-00001A000000}"/>
    <hyperlink ref="B7" location="'M-Cliente'!A7" display="#'M-Cliente'.A7" xr:uid="{00000000-0004-0000-1F00-00001B000000}"/>
    <hyperlink ref="C7" location="'M-Agenda'!A8" display="#'M-Agenda'.A8" xr:uid="{00000000-0004-0000-1F00-00001C000000}"/>
    <hyperlink ref="D7" location="'M-Regla'!A4" display="#'M-Regla'.A4" xr:uid="{00000000-0004-0000-1F00-00001D000000}"/>
    <hyperlink ref="E7" location="'M-Estado'!A10" display="#'M-Estado'.A10" xr:uid="{00000000-0004-0000-1F00-00001E000000}"/>
    <hyperlink ref="L7" location="'M-CitaServicio'!A4" display="#'M-CitaServicio'.A4" xr:uid="{00000000-0004-0000-1F00-00001F000000}"/>
    <hyperlink ref="M7" location="'M-CitaServicio'!A4" display="#'M-CitaServicio'.A4" xr:uid="{00000000-0004-0000-1F00-000020000000}"/>
    <hyperlink ref="Q7" location="'M-CitaServicio'!A4" display="#'M-CitaServicio'.A4" xr:uid="{00000000-0004-0000-1F00-000021000000}"/>
    <hyperlink ref="B8" location="'M-Cliente'!A7" display="#'M-Cliente'.A7" xr:uid="{00000000-0004-0000-1F00-000022000000}"/>
    <hyperlink ref="C8" location="'M-Agenda'!A9" display="#'M-Agenda'.A9" xr:uid="{00000000-0004-0000-1F00-000023000000}"/>
    <hyperlink ref="D8" location="'M-Regla'!A4" display="#'M-Regla'.A4" xr:uid="{00000000-0004-0000-1F00-000024000000}"/>
    <hyperlink ref="E8" location="'M-Estado'!A9" display="#'M-Estado'.A9" xr:uid="{00000000-0004-0000-1F00-000025000000}"/>
    <hyperlink ref="L8" location="'M-CitaServicio'!A4" display="#'M-CitaServicio'.A4" xr:uid="{00000000-0004-0000-1F00-000026000000}"/>
    <hyperlink ref="M8" location="'M-CitaServicio'!A4" display="#'M-CitaServicio'.A4" xr:uid="{00000000-0004-0000-1F00-000027000000}"/>
    <hyperlink ref="Q8" location="'M-CitaServicio'!A4" display="#'M-CitaServicio'.A4" xr:uid="{00000000-0004-0000-1F00-000028000000}"/>
    <hyperlink ref="B9" location="'M-Cliente'!A4" display="#'M-Cliente'.A4" xr:uid="{00000000-0004-0000-1F00-000029000000}"/>
    <hyperlink ref="C9" location="'M-Agenda'!A7" display="#'M-Agenda'.A7" xr:uid="{00000000-0004-0000-1F00-00002A000000}"/>
    <hyperlink ref="D9" location="'M-Regla'!A4" display="#'M-Regla'.A4" xr:uid="{00000000-0004-0000-1F00-00002B000000}"/>
    <hyperlink ref="E9" location="'M-Estado'!A5" display="#'M-Estado'.A5" xr:uid="{00000000-0004-0000-1F00-00002C000000}"/>
    <hyperlink ref="L9" location="'M-CitaServicio'!A4" display="#'M-CitaServicio'.A4" xr:uid="{00000000-0004-0000-1F00-00002D000000}"/>
    <hyperlink ref="M9" location="'M-CitaServicio'!A4" display="#'M-CitaServicio'.A4" xr:uid="{00000000-0004-0000-1F00-00002E000000}"/>
    <hyperlink ref="Q9" location="'M-CitaServicio'!A4" display="#'M-CitaServicio'.A4" xr:uid="{00000000-0004-0000-1F00-00002F000000}"/>
    <hyperlink ref="B10" location="'M-Cliente'!A8" display="#'M-Cliente'.A8" xr:uid="{00000000-0004-0000-1F00-000030000000}"/>
    <hyperlink ref="C10" location="'M-Agenda'!A10" display="#'M-Agenda'.A10" xr:uid="{00000000-0004-0000-1F00-000031000000}"/>
    <hyperlink ref="D10" location="'M-Regla'!A4" display="#'M-Regla'.A4" xr:uid="{00000000-0004-0000-1F00-000032000000}"/>
    <hyperlink ref="E10" location="'M-Estado'!A10" display="#'M-Estado'.A10" xr:uid="{00000000-0004-0000-1F00-000033000000}"/>
    <hyperlink ref="L10" location="'M-CitaServicio'!A4" display="#'M-CitaServicio'.A4" xr:uid="{00000000-0004-0000-1F00-000034000000}"/>
    <hyperlink ref="M10" location="'M-CitaServicio'!A4" display="#'M-CitaServicio'.A4" xr:uid="{00000000-0004-0000-1F00-000035000000}"/>
    <hyperlink ref="Q10" location="'M-CitaServicio'!A4" display="#'M-CitaServicio'.A4" xr:uid="{00000000-0004-0000-1F00-000036000000}"/>
    <hyperlink ref="B11" location="'M-Cliente'!A8" display="#'M-Cliente'.A8" xr:uid="{00000000-0004-0000-1F00-000037000000}"/>
    <hyperlink ref="C11" location="'M-Agenda'!A11" display="#'M-Agenda'.A11" xr:uid="{00000000-0004-0000-1F00-000038000000}"/>
    <hyperlink ref="D11" location="'M-Regla'!A4" display="#'M-Regla'.A4" xr:uid="{00000000-0004-0000-1F00-000039000000}"/>
    <hyperlink ref="E11" location="'M-Estado'!A10" display="#'M-Estado'.A10" xr:uid="{00000000-0004-0000-1F00-00003A000000}"/>
    <hyperlink ref="L11" location="'M-CitaServicio'!A4" display="#'M-CitaServicio'.A4" xr:uid="{00000000-0004-0000-1F00-00003B000000}"/>
    <hyperlink ref="M11" location="'M-CitaServicio'!A4" display="#'M-CitaServicio'.A4" xr:uid="{00000000-0004-0000-1F00-00003C000000}"/>
    <hyperlink ref="Q11" location="'M-CitaServicio'!A4" display="#'M-CitaServicio'.A4" xr:uid="{00000000-0004-0000-1F00-00003D000000}"/>
    <hyperlink ref="B12" location="'M-Cliente'!A8" display="#'M-Cliente'.A8" xr:uid="{00000000-0004-0000-1F00-00003E000000}"/>
    <hyperlink ref="C12" location="'M-Agenda'!A12" display="#'M-Agenda'.A12" xr:uid="{00000000-0004-0000-1F00-00003F000000}"/>
    <hyperlink ref="D12" location="'M-Regla'!A4" display="#'M-Regla'.A4" xr:uid="{00000000-0004-0000-1F00-000040000000}"/>
    <hyperlink ref="E12" location="'M-Estado'!A10" display="#'M-Estado'.A10" xr:uid="{00000000-0004-0000-1F00-000041000000}"/>
    <hyperlink ref="L12" location="'M-CitaServicio'!A4" display="#'M-CitaServicio'.A4" xr:uid="{00000000-0004-0000-1F00-000042000000}"/>
    <hyperlink ref="M12" location="'M-CitaServicio'!A4" display="#'M-CitaServicio'.A4" xr:uid="{00000000-0004-0000-1F00-000043000000}"/>
    <hyperlink ref="Q12" location="'M-CitaServicio'!A4" display="#'M-CitaServicio'.A4" xr:uid="{00000000-0004-0000-1F00-000044000000}"/>
    <hyperlink ref="B13" location="'M-Cliente'!A5" display="#'M-Cliente'.A5" xr:uid="{00000000-0004-0000-1F00-000045000000}"/>
    <hyperlink ref="C13" location="'M-Agenda'!A6" display="#'M-Agenda'.A6" xr:uid="{00000000-0004-0000-1F00-000046000000}"/>
    <hyperlink ref="D13" location="'M-Regla'!A4" display="#'M-Regla'.A4" xr:uid="{00000000-0004-0000-1F00-000047000000}"/>
    <hyperlink ref="E13" location="'M-Estado'!A5" display="#'M-Estado'.A5" xr:uid="{00000000-0004-0000-1F00-000048000000}"/>
    <hyperlink ref="L13" location="'M-CitaServicio'!A4" display="#'M-CitaServicio'.A4" xr:uid="{00000000-0004-0000-1F00-000049000000}"/>
    <hyperlink ref="M13" location="'M-CitaServicio'!A4" display="#'M-CitaServicio'.A4" xr:uid="{00000000-0004-0000-1F00-00004A000000}"/>
    <hyperlink ref="Q13" location="'M-CitaServicio'!A4" display="#'M-CitaServicio'.A4" xr:uid="{00000000-0004-0000-1F00-00004B000000}"/>
    <hyperlink ref="A1" location="'Modelo de Dominio'!A1" display="&lt;&lt;&lt;&lt; Ir al modulo de dominio" xr:uid="{A9F4377C-25F7-4763-B0A4-F7B85899F138}"/>
    <hyperlink ref="B1" location="'Objetos de Dominio'!A1" display="&lt;&lt;&lt;&lt; Ir a objetos de dominio" xr:uid="{1BCBB91E-A065-40BF-B904-CB16CDEAE007}"/>
  </hyperlinks>
  <pageMargins left="0.7" right="0.7" top="0.75" bottom="0.75" header="0.511811023622047" footer="0.511811023622047"/>
  <pageSetup paperSize="9"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U13"/>
  <sheetViews>
    <sheetView zoomScaleNormal="100" workbookViewId="0">
      <selection activeCell="B1" sqref="B1"/>
    </sheetView>
  </sheetViews>
  <sheetFormatPr baseColWidth="10" defaultColWidth="8.6640625" defaultRowHeight="14.4" x14ac:dyDescent="0.3"/>
  <cols>
    <col min="1" max="1" width="26.6640625" customWidth="1"/>
    <col min="2" max="2" width="45" customWidth="1"/>
    <col min="3" max="3" width="21.5546875" customWidth="1"/>
    <col min="4" max="4" width="26.6640625" customWidth="1"/>
    <col min="5" max="12" width="18" customWidth="1"/>
    <col min="13" max="13" width="40" customWidth="1"/>
    <col min="14" max="21" width="18" customWidth="1"/>
  </cols>
  <sheetData>
    <row r="1" spans="1:21" ht="15" customHeight="1" x14ac:dyDescent="0.3">
      <c r="A1" s="6" t="s">
        <v>1</v>
      </c>
      <c r="B1" s="6" t="s">
        <v>43</v>
      </c>
    </row>
    <row r="2" spans="1:21" ht="45" customHeight="1" x14ac:dyDescent="0.3">
      <c r="A2" s="111" t="s">
        <v>44</v>
      </c>
      <c r="B2" s="111" t="s">
        <v>45</v>
      </c>
      <c r="C2" s="111" t="s">
        <v>46</v>
      </c>
      <c r="D2" s="111" t="s">
        <v>47</v>
      </c>
      <c r="E2" s="111" t="s">
        <v>48</v>
      </c>
      <c r="F2" s="111" t="s">
        <v>49</v>
      </c>
      <c r="G2" s="111" t="s">
        <v>50</v>
      </c>
      <c r="H2" s="111" t="s">
        <v>51</v>
      </c>
      <c r="I2" s="111" t="s">
        <v>52</v>
      </c>
      <c r="J2" s="111" t="s">
        <v>53</v>
      </c>
      <c r="K2" s="111" t="s">
        <v>54</v>
      </c>
      <c r="L2" s="111" t="s">
        <v>55</v>
      </c>
      <c r="M2" s="111" t="s">
        <v>56</v>
      </c>
      <c r="N2" s="111" t="s">
        <v>57</v>
      </c>
      <c r="O2" s="111" t="s">
        <v>58</v>
      </c>
      <c r="P2" s="111" t="s">
        <v>59</v>
      </c>
      <c r="Q2" s="111" t="s">
        <v>60</v>
      </c>
      <c r="R2" s="111" t="s">
        <v>61</v>
      </c>
      <c r="S2" s="111" t="s">
        <v>62</v>
      </c>
      <c r="T2" s="111" t="s">
        <v>63</v>
      </c>
      <c r="U2" s="111" t="s">
        <v>64</v>
      </c>
    </row>
    <row r="3" spans="1:21" ht="45" customHeight="1" x14ac:dyDescent="0.3">
      <c r="A3" s="112" t="str">
        <f>'M-CitaServicio'!A3</f>
        <v>id</v>
      </c>
      <c r="B3" s="113" t="str">
        <f>'M-CitaServicio'!A2</f>
        <v>Representa un identificador que hará unico cada objeto de dominio de este tipo, no se puede repetir</v>
      </c>
      <c r="C3" s="112" t="s">
        <v>65</v>
      </c>
      <c r="D3" s="112" t="s">
        <v>66</v>
      </c>
      <c r="E3" s="112" t="s">
        <v>65</v>
      </c>
      <c r="F3" s="112" t="s">
        <v>67</v>
      </c>
      <c r="G3" s="112" t="s">
        <v>67</v>
      </c>
      <c r="H3" s="112" t="s">
        <v>67</v>
      </c>
      <c r="I3" s="112" t="s">
        <v>67</v>
      </c>
      <c r="J3" s="112" t="s">
        <v>67</v>
      </c>
      <c r="K3" s="112" t="s">
        <v>67</v>
      </c>
      <c r="L3" s="112" t="s">
        <v>67</v>
      </c>
      <c r="M3" s="112" t="s">
        <v>67</v>
      </c>
      <c r="N3" s="112" t="s">
        <v>68</v>
      </c>
      <c r="O3" s="112" t="s">
        <v>68</v>
      </c>
      <c r="P3" s="112" t="s">
        <v>67</v>
      </c>
      <c r="Q3" s="112" t="s">
        <v>68</v>
      </c>
      <c r="R3" s="112" t="s">
        <v>68</v>
      </c>
      <c r="S3" s="112" t="s">
        <v>68</v>
      </c>
      <c r="T3" s="112" t="s">
        <v>69</v>
      </c>
      <c r="U3" s="112" t="s">
        <v>65</v>
      </c>
    </row>
    <row r="4" spans="1:21" ht="30" customHeight="1" x14ac:dyDescent="0.3">
      <c r="A4" s="122" t="str">
        <f>'M-CitaServicio'!B3</f>
        <v>cita</v>
      </c>
      <c r="B4" s="122" t="str">
        <f>'M-CitaServicio'!B2</f>
        <v>Hace referencia a la cita a la que pertenece este servicio pedido</v>
      </c>
      <c r="C4" s="122" t="s">
        <v>68</v>
      </c>
      <c r="D4" s="146" t="s">
        <v>37</v>
      </c>
      <c r="E4" s="122" t="s">
        <v>65</v>
      </c>
      <c r="F4" s="122" t="s">
        <v>67</v>
      </c>
      <c r="G4" s="122" t="s">
        <v>67</v>
      </c>
      <c r="H4" s="122" t="s">
        <v>67</v>
      </c>
      <c r="I4" s="122" t="s">
        <v>67</v>
      </c>
      <c r="J4" s="122" t="s">
        <v>67</v>
      </c>
      <c r="K4" s="122" t="s">
        <v>67</v>
      </c>
      <c r="L4" s="122" t="s">
        <v>67</v>
      </c>
      <c r="M4" s="145" t="s">
        <v>224</v>
      </c>
      <c r="N4" s="122" t="s">
        <v>68</v>
      </c>
      <c r="O4" s="122" t="s">
        <v>67</v>
      </c>
      <c r="P4" s="122" t="s">
        <v>67</v>
      </c>
      <c r="Q4" s="122" t="s">
        <v>67</v>
      </c>
      <c r="R4" s="122" t="s">
        <v>67</v>
      </c>
      <c r="S4" s="122" t="s">
        <v>68</v>
      </c>
      <c r="T4" s="122" t="s">
        <v>69</v>
      </c>
      <c r="U4" s="122" t="s">
        <v>68</v>
      </c>
    </row>
    <row r="5" spans="1:21" ht="60" customHeight="1" x14ac:dyDescent="0.3">
      <c r="A5" s="112" t="str">
        <f>'M-CitaServicio'!C3</f>
        <v>barberoServicio</v>
      </c>
      <c r="B5" s="113" t="str">
        <f>'M-CitaServicio'!C2</f>
        <v>Hace referencia a qué servicio, de qué barbero específico, se pidió en esta cita. No se referencia el Servicio directamente porque un barbero podría no ofrecerlo</v>
      </c>
      <c r="C5" s="112" t="s">
        <v>68</v>
      </c>
      <c r="D5" s="114" t="s">
        <v>29</v>
      </c>
      <c r="E5" s="112" t="s">
        <v>65</v>
      </c>
      <c r="F5" s="112" t="s">
        <v>67</v>
      </c>
      <c r="G5" s="112" t="s">
        <v>67</v>
      </c>
      <c r="H5" s="112" t="s">
        <v>67</v>
      </c>
      <c r="I5" s="112" t="s">
        <v>67</v>
      </c>
      <c r="J5" s="112" t="s">
        <v>67</v>
      </c>
      <c r="K5" s="112" t="s">
        <v>67</v>
      </c>
      <c r="L5" s="112" t="s">
        <v>67</v>
      </c>
      <c r="M5" s="145" t="s">
        <v>224</v>
      </c>
      <c r="N5" s="112" t="s">
        <v>68</v>
      </c>
      <c r="O5" s="112" t="s">
        <v>67</v>
      </c>
      <c r="P5" s="112" t="s">
        <v>67</v>
      </c>
      <c r="Q5" s="112" t="s">
        <v>67</v>
      </c>
      <c r="R5" s="112" t="s">
        <v>67</v>
      </c>
      <c r="S5" s="112" t="s">
        <v>68</v>
      </c>
      <c r="T5" s="112" t="s">
        <v>69</v>
      </c>
      <c r="U5" s="112" t="s">
        <v>68</v>
      </c>
    </row>
    <row r="6" spans="1:21" ht="75" customHeight="1" x14ac:dyDescent="0.3">
      <c r="A6" s="122" t="str">
        <f>'M-CitaServicio'!D3</f>
        <v>precioServicio</v>
      </c>
      <c r="B6" s="122" t="str">
        <f>'M-CitaServicio'!D2</f>
        <v>Representa el precio que tenía el servicio en el momento en que se agendó esta cita. Es un dato auto generado: copia de Servicio.precio, para que cambios futuros en el precio del catálogo no alteren una cita ya registrada</v>
      </c>
      <c r="C6" s="122" t="s">
        <v>68</v>
      </c>
      <c r="D6" s="122" t="s">
        <v>115</v>
      </c>
      <c r="E6" s="122" t="s">
        <v>65</v>
      </c>
      <c r="F6" s="122" t="s">
        <v>67</v>
      </c>
      <c r="G6" s="122" t="s">
        <v>67</v>
      </c>
      <c r="H6" s="122" t="s">
        <v>67</v>
      </c>
      <c r="I6" s="122" t="s">
        <v>67</v>
      </c>
      <c r="J6" s="122">
        <v>0</v>
      </c>
      <c r="K6" s="122">
        <v>2000000</v>
      </c>
      <c r="L6" s="112" t="s">
        <v>67</v>
      </c>
      <c r="M6" s="122" t="s">
        <v>383</v>
      </c>
      <c r="N6" s="122" t="s">
        <v>68</v>
      </c>
      <c r="O6" s="122" t="s">
        <v>67</v>
      </c>
      <c r="P6" s="122" t="s">
        <v>67</v>
      </c>
      <c r="Q6" s="122" t="s">
        <v>67</v>
      </c>
      <c r="R6" s="122" t="s">
        <v>67</v>
      </c>
      <c r="S6" s="122" t="s">
        <v>68</v>
      </c>
      <c r="T6" s="122" t="s">
        <v>184</v>
      </c>
      <c r="U6" s="122" t="s">
        <v>65</v>
      </c>
    </row>
    <row r="7" spans="1:21" ht="75" customHeight="1" x14ac:dyDescent="0.3">
      <c r="A7" s="122" t="str">
        <f>'M-CitaServicio'!E3</f>
        <v>duracionEnHorasElServicio</v>
      </c>
      <c r="B7" s="122" t="str">
        <f>'M-CitaServicio'!E2</f>
        <v>Representa la duración en horas que tenía el servicio para ese barbero en el momento en que se agendó esta cita. Es un dato auto generado: copia de BarberoServicio.duracionServicio</v>
      </c>
      <c r="C7" s="122" t="s">
        <v>68</v>
      </c>
      <c r="D7" s="122" t="s">
        <v>115</v>
      </c>
      <c r="E7" s="122" t="s">
        <v>65</v>
      </c>
      <c r="F7" s="122" t="s">
        <v>67</v>
      </c>
      <c r="G7" s="122" t="s">
        <v>67</v>
      </c>
      <c r="H7" s="122" t="s">
        <v>67</v>
      </c>
      <c r="I7" s="122" t="s">
        <v>67</v>
      </c>
      <c r="J7" s="122">
        <v>0</v>
      </c>
      <c r="K7" s="122">
        <v>3</v>
      </c>
      <c r="L7" s="112" t="s">
        <v>67</v>
      </c>
      <c r="M7" s="122" t="s">
        <v>384</v>
      </c>
      <c r="N7" s="122" t="s">
        <v>68</v>
      </c>
      <c r="O7" s="122" t="s">
        <v>67</v>
      </c>
      <c r="P7" s="122" t="s">
        <v>67</v>
      </c>
      <c r="Q7" s="122" t="s">
        <v>67</v>
      </c>
      <c r="R7" s="122" t="s">
        <v>67</v>
      </c>
      <c r="S7" s="122" t="s">
        <v>68</v>
      </c>
      <c r="T7" s="159">
        <v>0</v>
      </c>
      <c r="U7" s="122" t="s">
        <v>65</v>
      </c>
    </row>
    <row r="8" spans="1:21" ht="60" customHeight="1" x14ac:dyDescent="0.3">
      <c r="A8" s="112" t="str">
        <f>'M-CitaServicio'!F3</f>
        <v>duracionEnMinutosElServicio</v>
      </c>
      <c r="B8" s="113" t="str">
        <f>'M-CitaServicio'!F2</f>
        <v>Representa la duración en minutos que tenía el servicio para ese barbero en el momento en que se agendó esta cita. Es un dato auto generado: copia de BarberoServicio.duracionServicio</v>
      </c>
      <c r="C8" s="112" t="s">
        <v>68</v>
      </c>
      <c r="D8" s="112" t="s">
        <v>115</v>
      </c>
      <c r="E8" s="112" t="s">
        <v>65</v>
      </c>
      <c r="F8" s="112" t="s">
        <v>67</v>
      </c>
      <c r="G8" s="112" t="s">
        <v>67</v>
      </c>
      <c r="H8" s="112" t="s">
        <v>67</v>
      </c>
      <c r="I8" s="112" t="s">
        <v>67</v>
      </c>
      <c r="J8" s="112">
        <v>0</v>
      </c>
      <c r="K8" s="112">
        <v>59</v>
      </c>
      <c r="L8" s="112" t="s">
        <v>67</v>
      </c>
      <c r="M8" s="113" t="s">
        <v>385</v>
      </c>
      <c r="N8" s="112" t="s">
        <v>68</v>
      </c>
      <c r="O8" s="112" t="s">
        <v>67</v>
      </c>
      <c r="P8" s="112" t="s">
        <v>67</v>
      </c>
      <c r="Q8" s="112" t="s">
        <v>67</v>
      </c>
      <c r="R8" s="112" t="s">
        <v>67</v>
      </c>
      <c r="S8" s="112" t="s">
        <v>68</v>
      </c>
      <c r="T8" s="112" t="s">
        <v>184</v>
      </c>
      <c r="U8" s="112" t="s">
        <v>65</v>
      </c>
    </row>
    <row r="9" spans="1:21" ht="105" customHeight="1" x14ac:dyDescent="0.3">
      <c r="A9" s="122" t="str">
        <f>'M-CitaServicio'!G3</f>
        <v>tiempoExtra</v>
      </c>
      <c r="B9" s="122" t="str">
        <f>'M-CitaServicio'!G2</f>
        <v>Representa el tiempo extra en minutos que ese barbero tenía configurado para este servicio en el momento en que se agendó la cita. Es un dato auto generado: copia de BarberoServicio.tiempoExtra, para que cambios futuros en el tiempo extra no alteren una cita ya registrada</v>
      </c>
      <c r="C9" s="122" t="s">
        <v>68</v>
      </c>
      <c r="D9" s="122" t="s">
        <v>115</v>
      </c>
      <c r="E9" s="122" t="s">
        <v>65</v>
      </c>
      <c r="F9" s="122" t="s">
        <v>67</v>
      </c>
      <c r="G9" s="122" t="s">
        <v>67</v>
      </c>
      <c r="H9" s="122" t="s">
        <v>67</v>
      </c>
      <c r="I9" s="122" t="s">
        <v>67</v>
      </c>
      <c r="J9" s="122">
        <v>0</v>
      </c>
      <c r="K9" s="122">
        <v>59</v>
      </c>
      <c r="L9" s="112" t="s">
        <v>67</v>
      </c>
      <c r="M9" s="122" t="s">
        <v>386</v>
      </c>
      <c r="N9" s="122" t="s">
        <v>68</v>
      </c>
      <c r="O9" s="122" t="s">
        <v>67</v>
      </c>
      <c r="P9" s="122" t="s">
        <v>67</v>
      </c>
      <c r="Q9" s="122" t="s">
        <v>67</v>
      </c>
      <c r="R9" s="122" t="s">
        <v>67</v>
      </c>
      <c r="S9" s="122" t="s">
        <v>68</v>
      </c>
      <c r="T9" s="122" t="s">
        <v>184</v>
      </c>
      <c r="U9" s="122" t="s">
        <v>65</v>
      </c>
    </row>
    <row r="11" spans="1:21" ht="15" customHeight="1" x14ac:dyDescent="0.3">
      <c r="A11" s="22" t="s">
        <v>73</v>
      </c>
      <c r="B11" s="22" t="s">
        <v>74</v>
      </c>
      <c r="C11" s="22" t="s">
        <v>75</v>
      </c>
    </row>
    <row r="12" spans="1:21" ht="57" customHeight="1" x14ac:dyDescent="0.3">
      <c r="A12" s="5" t="str">
        <f>'M-CitaServicio'!H3</f>
        <v xml:space="preserve">Combinación única </v>
      </c>
      <c r="B12" s="4" t="str">
        <f>'M-CitaServicio'!H2</f>
        <v>Combinación única que indica que un mismo servicio no se puede pedir dos veces en la misma cita, es decir que CitaServicio no puede tener la misma cita y el barberoServicio</v>
      </c>
      <c r="C12" s="23" t="str">
        <f>A4</f>
        <v>cita</v>
      </c>
    </row>
    <row r="13" spans="1:21" ht="15" customHeight="1" x14ac:dyDescent="0.3">
      <c r="A13" s="5"/>
      <c r="B13" s="5"/>
      <c r="C13" s="23" t="str">
        <f>A5</f>
        <v>barberoServicio</v>
      </c>
    </row>
  </sheetData>
  <mergeCells count="2">
    <mergeCell ref="A12:A13"/>
    <mergeCell ref="B12:B13"/>
  </mergeCells>
  <hyperlinks>
    <hyperlink ref="A1" location="'Modelo de Dominio'!A1" display="&lt;&lt;&lt;&lt; Ir al modulo de dominio" xr:uid="{00000000-0004-0000-2000-000000000000}"/>
    <hyperlink ref="B1" location="'Objetos de Dominio'!A1" display="&lt;&lt;&lt;&lt; Ir a objetos de dominio" xr:uid="{00000000-0004-0000-2000-000001000000}"/>
    <hyperlink ref="A3" location="'M-CitaServicio'!A3" display="#'M-CitaServicio'.A3" xr:uid="{00000000-0004-0000-2000-000002000000}"/>
    <hyperlink ref="B3" location="'M-CitaServicio'!A2" display="#'M-CitaServicio'.A2" xr:uid="{00000000-0004-0000-2000-000003000000}"/>
    <hyperlink ref="A4" location="'M-CitaServicio'!A3" display="#'M-CitaServicio'.A3" xr:uid="{00000000-0004-0000-2000-000004000000}"/>
    <hyperlink ref="B4" location="'M-CitaServicio'!A2" display="#'M-CitaServicio'.A2" xr:uid="{00000000-0004-0000-2000-000005000000}"/>
    <hyperlink ref="D4" location="'C-Cita'!A1" display="Cita" xr:uid="{00000000-0004-0000-2000-000006000000}"/>
    <hyperlink ref="A5" location="'M-CitaServicio'!A3" display="#'M-CitaServicio'.A3" xr:uid="{00000000-0004-0000-2000-000007000000}"/>
    <hyperlink ref="B5" location="'M-CitaServicio'!A2" display="#'M-CitaServicio'.A2" xr:uid="{00000000-0004-0000-2000-000008000000}"/>
    <hyperlink ref="D5" location="'C-BarberoServicio'!A1" display="BarberoServicio" xr:uid="{00000000-0004-0000-2000-000009000000}"/>
    <hyperlink ref="A6" location="'M-CitaServicio'!A3" display="#'M-CitaServicio'.A3" xr:uid="{00000000-0004-0000-2000-00000A000000}"/>
    <hyperlink ref="B6" location="'M-CitaServicio'!A2" display="#'M-CitaServicio'.A2" xr:uid="{00000000-0004-0000-2000-00000B000000}"/>
    <hyperlink ref="A8" location="'M-CitaServicio'!A3" display="#'M-CitaServicio'.A3" xr:uid="{00000000-0004-0000-2000-00000C000000}"/>
    <hyperlink ref="B8" location="'M-CitaServicio'!A2" display="#'M-CitaServicio'.A2" xr:uid="{00000000-0004-0000-2000-00000D000000}"/>
    <hyperlink ref="A9" location="'M-CitaServicio'!A3" display="#'M-CitaServicio'.A3" xr:uid="{00000000-0004-0000-2000-00000E000000}"/>
    <hyperlink ref="B9" location="'M-CitaServicio'!A2" display="#'M-CitaServicio'.A2" xr:uid="{00000000-0004-0000-2000-00000F000000}"/>
    <hyperlink ref="A12" location="'M-CitaServicio'!A3" display="#'M-CitaServicio'.A3" xr:uid="{00000000-0004-0000-2000-000010000000}"/>
    <hyperlink ref="B12" location="'M-CitaServicio'!A2" display="#'M-CitaServicio'.A2" xr:uid="{00000000-0004-0000-2000-000011000000}"/>
  </hyperlinks>
  <pageMargins left="0.75" right="0.75" top="1" bottom="1" header="0.511811023622047" footer="0.511811023622047"/>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H24"/>
  <sheetViews>
    <sheetView zoomScale="130" zoomScaleNormal="130" workbookViewId="0">
      <selection activeCell="B1" sqref="B1"/>
    </sheetView>
  </sheetViews>
  <sheetFormatPr baseColWidth="10" defaultColWidth="10.6640625" defaultRowHeight="14.4" x14ac:dyDescent="0.3"/>
  <cols>
    <col min="1" max="1" width="27" customWidth="1"/>
    <col min="2" max="2" width="33.6640625" customWidth="1"/>
    <col min="3" max="3" width="26.109375" customWidth="1"/>
    <col min="4" max="5" width="36.109375" customWidth="1"/>
    <col min="6" max="6" width="27.33203125" customWidth="1"/>
    <col min="7" max="7" width="45.44140625" customWidth="1"/>
    <col min="8" max="8" width="29.33203125" customWidth="1"/>
  </cols>
  <sheetData>
    <row r="1" spans="1:8" ht="14.25" customHeight="1" x14ac:dyDescent="0.3">
      <c r="A1" s="6" t="s">
        <v>1</v>
      </c>
      <c r="B1" s="6" t="s">
        <v>43</v>
      </c>
      <c r="C1" s="39"/>
      <c r="D1" s="39"/>
      <c r="E1" s="39"/>
      <c r="F1" s="39"/>
    </row>
    <row r="2" spans="1:8" ht="49.5" customHeight="1" x14ac:dyDescent="0.3">
      <c r="A2" s="26" t="s">
        <v>77</v>
      </c>
      <c r="B2" s="26" t="s">
        <v>387</v>
      </c>
      <c r="C2" s="26" t="s">
        <v>388</v>
      </c>
      <c r="D2" s="26" t="s">
        <v>389</v>
      </c>
      <c r="E2" s="26" t="s">
        <v>390</v>
      </c>
      <c r="F2" s="26" t="s">
        <v>391</v>
      </c>
      <c r="G2" s="160" t="s">
        <v>392</v>
      </c>
      <c r="H2" s="27" t="s">
        <v>393</v>
      </c>
    </row>
    <row r="3" spans="1:8" ht="14.25" customHeight="1" x14ac:dyDescent="0.3">
      <c r="A3" s="28" t="s">
        <v>80</v>
      </c>
      <c r="B3" s="118" t="s">
        <v>394</v>
      </c>
      <c r="C3" s="118" t="s">
        <v>395</v>
      </c>
      <c r="D3" s="91" t="s">
        <v>396</v>
      </c>
      <c r="E3" s="91" t="s">
        <v>397</v>
      </c>
      <c r="F3" s="91" t="s">
        <v>398</v>
      </c>
      <c r="G3" s="91" t="s">
        <v>287</v>
      </c>
      <c r="H3" s="30" t="s">
        <v>81</v>
      </c>
    </row>
    <row r="4" spans="1:8" ht="45" customHeight="1" x14ac:dyDescent="0.3">
      <c r="A4" s="31">
        <v>1</v>
      </c>
      <c r="B4" s="161" t="str">
        <f>'M-Cita'!R4</f>
        <v>+57-3245627890-Lunes-09:00-19:00-12/11/2023-1/01/1000-10:00-16:00-31/08/2026-10:00</v>
      </c>
      <c r="C4" s="161" t="str">
        <f>'M-BarberoServicio'!H4</f>
        <v>Juan García-Motilada</v>
      </c>
      <c r="D4" s="162">
        <f>'M-Servicio'!D4</f>
        <v>22000</v>
      </c>
      <c r="E4" s="162">
        <f>'M-BarberoServicio'!D4</f>
        <v>0</v>
      </c>
      <c r="F4" s="163">
        <f>'M-BarberoServicio'!E4</f>
        <v>45</v>
      </c>
      <c r="G4" s="163">
        <f>'M-BarberoServicio'!F4</f>
        <v>15</v>
      </c>
      <c r="H4" s="40" t="str">
        <f t="shared" ref="H4:H14" si="0">_xlfn.CONCAT(B4,"-",C4)</f>
        <v>+57-3245627890-Lunes-09:00-19:00-12/11/2023-1/01/1000-10:00-16:00-31/08/2026-10:00-Juan García-Motilada</v>
      </c>
    </row>
    <row r="5" spans="1:8" ht="45" customHeight="1" x14ac:dyDescent="0.3">
      <c r="A5" s="31">
        <v>2</v>
      </c>
      <c r="B5" s="164" t="str">
        <f>'M-Cita'!R5</f>
        <v>+57-3124518923-Martes-09:00-19:00-12/11/2023-1/01/1000-09:00-15:00-10/03/2026-09:30</v>
      </c>
      <c r="C5" s="164" t="str">
        <f>'M-BarberoServicio'!H5</f>
        <v>Juan Ortiz-Corte de barba</v>
      </c>
      <c r="D5" s="162">
        <f>'M-Servicio'!D5</f>
        <v>12000</v>
      </c>
      <c r="E5" s="162">
        <f>'M-BarberoServicio'!D5</f>
        <v>0</v>
      </c>
      <c r="F5" s="163">
        <f>'M-BarberoServicio'!E5</f>
        <v>10</v>
      </c>
      <c r="G5" s="163">
        <f>'M-BarberoServicio'!F5</f>
        <v>5</v>
      </c>
      <c r="H5" s="40" t="str">
        <f t="shared" si="0"/>
        <v>+57-3124518923-Martes-09:00-19:00-12/11/2023-1/01/1000-09:00-15:00-10/03/2026-09:30-Juan Ortiz-Corte de barba</v>
      </c>
    </row>
    <row r="6" spans="1:8" ht="60" customHeight="1" x14ac:dyDescent="0.3">
      <c r="A6" s="31">
        <v>3</v>
      </c>
      <c r="B6" s="164" t="str">
        <f>'M-Cita'!R6</f>
        <v>+57-3214533321-Jueves-09:00-19:00-12/11/2023-1/01/1000-13:00-19:00-14/05/2026-13:00</v>
      </c>
      <c r="C6" s="164" t="str">
        <f>'M-BarberoServicio'!H6</f>
        <v>Carlos Arbeladez-Perfilada de barba</v>
      </c>
      <c r="D6" s="162">
        <f>'M-Servicio'!D6</f>
        <v>15000</v>
      </c>
      <c r="E6" s="162">
        <f>'M-BarberoServicio'!D6</f>
        <v>0</v>
      </c>
      <c r="F6" s="163">
        <f>'M-BarberoServicio'!E6</f>
        <v>15</v>
      </c>
      <c r="G6" s="163">
        <f>'M-BarberoServicio'!F6</f>
        <v>5</v>
      </c>
      <c r="H6" s="40" t="str">
        <f t="shared" si="0"/>
        <v>+57-3214533321-Jueves-09:00-19:00-12/11/2023-1/01/1000-13:00-19:00-14/05/2026-13:00-Carlos Arbeladez-Perfilada de barba</v>
      </c>
    </row>
    <row r="7" spans="1:8" ht="75" customHeight="1" x14ac:dyDescent="0.3">
      <c r="A7" s="31">
        <v>4</v>
      </c>
      <c r="B7" s="164" t="str">
        <f>'M-Cita'!R7</f>
        <v>+91-9876543210-Sábado-08:00-21:00-12/12/2024-1/01/1000-08:00-14:00-22/11/2025-13:00</v>
      </c>
      <c r="C7" s="164" t="str">
        <f>'M-BarberoServicio'!H7</f>
        <v>Andres Ramirez-Arreglo completo de barba con toalla caliente</v>
      </c>
      <c r="D7" s="162">
        <f>'M-Servicio'!D7</f>
        <v>35000</v>
      </c>
      <c r="E7" s="162">
        <f>'M-BarberoServicio'!D7</f>
        <v>0</v>
      </c>
      <c r="F7" s="163">
        <f>'M-BarberoServicio'!E7</f>
        <v>40</v>
      </c>
      <c r="G7" s="163">
        <f>'M-BarberoServicio'!F7</f>
        <v>10</v>
      </c>
      <c r="H7" s="40" t="str">
        <f t="shared" si="0"/>
        <v>+91-9876543210-Sábado-08:00-21:00-12/12/2024-1/01/1000-08:00-14:00-22/11/2025-13:00-Andres Ramirez-Arreglo completo de barba con toalla caliente</v>
      </c>
    </row>
    <row r="8" spans="1:8" ht="60" customHeight="1" x14ac:dyDescent="0.3">
      <c r="A8" s="31">
        <v>5</v>
      </c>
      <c r="B8" s="164" t="str">
        <f>'M-Cita'!R8</f>
        <v>+57-3214533321-Jueves-09:00-19:00-12/11/2023-1/01/1000-13:00-19:00-06/08/2026-18:00</v>
      </c>
      <c r="C8" s="164" t="str">
        <f>'M-BarberoServicio'!H9</f>
        <v>Carlos Arbeladez-Corte de barba</v>
      </c>
      <c r="D8" s="162">
        <f>'M-Servicio'!D5</f>
        <v>12000</v>
      </c>
      <c r="E8" s="162">
        <f>'M-BarberoServicio'!D9</f>
        <v>0</v>
      </c>
      <c r="F8" s="163">
        <f>'M-BarberoServicio'!E9</f>
        <v>15</v>
      </c>
      <c r="G8" s="163">
        <f>'M-BarberoServicio'!F9</f>
        <v>5</v>
      </c>
      <c r="H8" s="40" t="str">
        <f t="shared" si="0"/>
        <v>+57-3214533321-Jueves-09:00-19:00-12/11/2023-1/01/1000-13:00-19:00-06/08/2026-18:00-Carlos Arbeladez-Corte de barba</v>
      </c>
    </row>
    <row r="9" spans="1:8" ht="75" customHeight="1" x14ac:dyDescent="0.3">
      <c r="A9" s="31">
        <v>6</v>
      </c>
      <c r="B9" s="164" t="str">
        <f>'M-Cita'!R9</f>
        <v>+91-9876543210-Festivo-10:00-15:00-12/12/2024-1/01/1000-12:00-15:00-20/02/2026-14:00</v>
      </c>
      <c r="C9" s="164" t="str">
        <f>'M-BarberoServicio'!H7</f>
        <v>Andres Ramirez-Arreglo completo de barba con toalla caliente</v>
      </c>
      <c r="D9" s="162">
        <f>'M-Servicio'!D7</f>
        <v>35000</v>
      </c>
      <c r="E9" s="162">
        <f>'M-BarberoServicio'!D7</f>
        <v>0</v>
      </c>
      <c r="F9" s="163">
        <f>'M-BarberoServicio'!E7</f>
        <v>40</v>
      </c>
      <c r="G9" s="163">
        <f>'M-BarberoServicio'!F7</f>
        <v>10</v>
      </c>
      <c r="H9" s="40" t="str">
        <f t="shared" si="0"/>
        <v>+91-9876543210-Festivo-10:00-15:00-12/12/2024-1/01/1000-12:00-15:00-20/02/2026-14:00-Andres Ramirez-Arreglo completo de barba con toalla caliente</v>
      </c>
    </row>
    <row r="10" spans="1:8" ht="45" customHeight="1" x14ac:dyDescent="0.3">
      <c r="A10" s="31">
        <v>7</v>
      </c>
      <c r="B10" s="164" t="str">
        <f>'M-Cita'!R10</f>
        <v>+57-3245627890-Lunes-09:00-19:00-12/11/2023-1/01/1000-10:00-16:00-01/06/2026-10:00</v>
      </c>
      <c r="C10" s="164" t="str">
        <f>'M-BarberoServicio'!H4</f>
        <v>Juan García-Motilada</v>
      </c>
      <c r="D10" s="162">
        <f>'M-Servicio'!D4</f>
        <v>22000</v>
      </c>
      <c r="E10" s="162">
        <f>'M-BarberoServicio'!D4</f>
        <v>0</v>
      </c>
      <c r="F10" s="163">
        <f>'M-BarberoServicio'!E4</f>
        <v>45</v>
      </c>
      <c r="G10" s="163">
        <f>'M-BarberoServicio'!F4</f>
        <v>15</v>
      </c>
      <c r="H10" s="41" t="str">
        <f t="shared" si="0"/>
        <v>+57-3245627890-Lunes-09:00-19:00-12/11/2023-1/01/1000-10:00-16:00-01/06/2026-10:00-Juan García-Motilada</v>
      </c>
    </row>
    <row r="11" spans="1:8" ht="45" customHeight="1" x14ac:dyDescent="0.3">
      <c r="A11" s="31">
        <v>8</v>
      </c>
      <c r="B11" s="164" t="str">
        <f>'M-Cita'!R11</f>
        <v>+57-3124518923-Martes-09:00-19:00-12/11/2023-1/01/1000-09:00-15:00-16/06/2026-09:00</v>
      </c>
      <c r="C11" s="164" t="str">
        <f>'M-BarberoServicio'!H5</f>
        <v>Juan Ortiz-Corte de barba</v>
      </c>
      <c r="D11" s="162">
        <f>'M-Servicio'!D5</f>
        <v>12000</v>
      </c>
      <c r="E11" s="162">
        <f>'M-BarberoServicio'!D5</f>
        <v>0</v>
      </c>
      <c r="F11" s="163">
        <f>'M-BarberoServicio'!E5</f>
        <v>10</v>
      </c>
      <c r="G11" s="163">
        <f>'M-BarberoServicio'!F5</f>
        <v>5</v>
      </c>
      <c r="H11" s="41" t="str">
        <f t="shared" si="0"/>
        <v>+57-3124518923-Martes-09:00-19:00-12/11/2023-1/01/1000-09:00-15:00-16/06/2026-09:00-Juan Ortiz-Corte de barba</v>
      </c>
    </row>
    <row r="12" spans="1:8" ht="60" customHeight="1" x14ac:dyDescent="0.3">
      <c r="A12" s="31">
        <v>9</v>
      </c>
      <c r="B12" s="164" t="str">
        <f>'M-Cita'!R12</f>
        <v>+57-3214533321-Jueves-09:00-19:00-12/11/2023-1/01/1000-13:00-19:00-02/07/2026-15:00</v>
      </c>
      <c r="C12" s="164" t="str">
        <f>'M-BarberoServicio'!H6</f>
        <v>Carlos Arbeladez-Perfilada de barba</v>
      </c>
      <c r="D12" s="162">
        <f>'M-Servicio'!D6</f>
        <v>15000</v>
      </c>
      <c r="E12" s="162">
        <f>'M-BarberoServicio'!D6</f>
        <v>0</v>
      </c>
      <c r="F12" s="163">
        <f>'M-BarberoServicio'!E6</f>
        <v>15</v>
      </c>
      <c r="G12" s="163">
        <f>'M-BarberoServicio'!F6</f>
        <v>5</v>
      </c>
      <c r="H12" s="41" t="str">
        <f t="shared" si="0"/>
        <v>+57-3214533321-Jueves-09:00-19:00-12/11/2023-1/01/1000-13:00-19:00-02/07/2026-15:00-Carlos Arbeladez-Perfilada de barba</v>
      </c>
    </row>
    <row r="13" spans="1:8" ht="60" customHeight="1" x14ac:dyDescent="0.3">
      <c r="A13" s="31">
        <v>10</v>
      </c>
      <c r="B13" s="164" t="str">
        <f>'M-Cita'!R13</f>
        <v>+57-3214533321-Jueves-09:00-19:00-12/11/2023-1/01/1000-13:00-19:00-14/05/2026-13:30</v>
      </c>
      <c r="C13" s="164" t="str">
        <f>'M-BarberoServicio'!H6</f>
        <v>Carlos Arbeladez-Perfilada de barba</v>
      </c>
      <c r="D13" s="162">
        <f>'M-Servicio'!D6</f>
        <v>15000</v>
      </c>
      <c r="E13" s="162">
        <f>'M-BarberoServicio'!D6</f>
        <v>0</v>
      </c>
      <c r="F13" s="163">
        <f>'M-BarberoServicio'!E6</f>
        <v>15</v>
      </c>
      <c r="G13" s="163">
        <f>'M-BarberoServicio'!F6</f>
        <v>5</v>
      </c>
      <c r="H13" s="41" t="str">
        <f t="shared" si="0"/>
        <v>+57-3214533321-Jueves-09:00-19:00-12/11/2023-1/01/1000-13:00-19:00-14/05/2026-13:30-Carlos Arbeladez-Perfilada de barba</v>
      </c>
    </row>
    <row r="14" spans="1:8" ht="60" customHeight="1" x14ac:dyDescent="0.3">
      <c r="A14" s="31">
        <v>11</v>
      </c>
      <c r="B14" s="164" t="str">
        <f>'M-Cita'!R13</f>
        <v>+57-3214533321-Jueves-09:00-19:00-12/11/2023-1/01/1000-13:00-19:00-14/05/2026-13:30</v>
      </c>
      <c r="C14" s="164" t="str">
        <f>'M-BarberoServicio'!H9</f>
        <v>Carlos Arbeladez-Corte de barba</v>
      </c>
      <c r="D14" s="162">
        <f>'M-Servicio'!D5</f>
        <v>12000</v>
      </c>
      <c r="E14" s="162">
        <f>'M-BarberoServicio'!D9</f>
        <v>0</v>
      </c>
      <c r="F14" s="163">
        <f>'M-BarberoServicio'!E9</f>
        <v>15</v>
      </c>
      <c r="G14" s="163">
        <f>'M-BarberoServicio'!F9</f>
        <v>5</v>
      </c>
      <c r="H14" s="41" t="str">
        <f t="shared" si="0"/>
        <v>+57-3214533321-Jueves-09:00-19:00-12/11/2023-1/01/1000-13:00-19:00-14/05/2026-13:30-Carlos Arbeladez-Corte de barba</v>
      </c>
    </row>
    <row r="15" spans="1:8" ht="28.5" customHeight="1" x14ac:dyDescent="0.3">
      <c r="B15" s="35"/>
    </row>
    <row r="16" spans="1:8" ht="28.5" customHeight="1" x14ac:dyDescent="0.3">
      <c r="B16" s="35"/>
    </row>
    <row r="17" spans="1:2" ht="28.5" customHeight="1" x14ac:dyDescent="0.3">
      <c r="B17" s="35"/>
    </row>
    <row r="18" spans="1:2" ht="28.5" customHeight="1" x14ac:dyDescent="0.3">
      <c r="B18" s="35"/>
    </row>
    <row r="19" spans="1:2" ht="28.5" customHeight="1" x14ac:dyDescent="0.3">
      <c r="B19" s="35"/>
    </row>
    <row r="20" spans="1:2" ht="28.5" customHeight="1" x14ac:dyDescent="0.3">
      <c r="A20" s="34"/>
      <c r="B20" s="35" t="s">
        <v>90</v>
      </c>
    </row>
    <row r="21" spans="1:2" ht="28.5" customHeight="1" x14ac:dyDescent="0.3">
      <c r="A21" s="36"/>
      <c r="B21" s="35" t="s">
        <v>91</v>
      </c>
    </row>
    <row r="22" spans="1:2" ht="28.5" customHeight="1" x14ac:dyDescent="0.3">
      <c r="A22" s="60"/>
      <c r="B22" s="35" t="s">
        <v>220</v>
      </c>
    </row>
    <row r="23" spans="1:2" ht="14.25" customHeight="1" x14ac:dyDescent="0.3">
      <c r="A23" s="62"/>
      <c r="B23" t="s">
        <v>135</v>
      </c>
    </row>
    <row r="24" spans="1:2" ht="14.25" customHeight="1" x14ac:dyDescent="0.3">
      <c r="A24" s="38"/>
      <c r="B24" t="s">
        <v>93</v>
      </c>
    </row>
  </sheetData>
  <hyperlinks>
    <hyperlink ref="A1" location="'Modelo de Dominio'!A1" display="&lt;&lt;&lt;&lt; Ir al modulo de dominio" xr:uid="{00000000-0004-0000-2100-000000000000}"/>
    <hyperlink ref="B1" location="'Objetos de Dominio'!A1" display="&lt;&lt;&lt;&lt; Ir a objetos de dominio" xr:uid="{00000000-0004-0000-2100-000001000000}"/>
    <hyperlink ref="B3" location="'M-Cita'!A1" display="cita" xr:uid="{00000000-0004-0000-2100-000002000000}"/>
    <hyperlink ref="C3" location="'M-BarberoServicio'!A1" display="barberoServicio" xr:uid="{00000000-0004-0000-2100-000003000000}"/>
    <hyperlink ref="B4" location="'M-Cita'!A4" display="#'M-Cita'.A4" xr:uid="{00000000-0004-0000-2100-000004000000}"/>
    <hyperlink ref="C4" location="'M-BarberoServicio'!A4" display="#'M-BarberoServicio'.A4" xr:uid="{00000000-0004-0000-2100-000005000000}"/>
    <hyperlink ref="D4" location="'M-Servicio'!A4" display="#'M-Servicio'.A4" xr:uid="{00000000-0004-0000-2100-000006000000}"/>
    <hyperlink ref="F4" location="'M-BarberoServicio'!A4" display="#'M-BarberoServicio'.A4" xr:uid="{00000000-0004-0000-2100-000007000000}"/>
    <hyperlink ref="G4" location="'M-BarberoServicio'!A4" display="#'M-BarberoServicio'.A4" xr:uid="{00000000-0004-0000-2100-000008000000}"/>
    <hyperlink ref="B5" location="'M-Cita'!A5" display="#'M-Cita'.A5" xr:uid="{00000000-0004-0000-2100-000009000000}"/>
    <hyperlink ref="C5" location="'M-BarberoServicio'!A5" display="#'M-BarberoServicio'.A5" xr:uid="{00000000-0004-0000-2100-00000A000000}"/>
    <hyperlink ref="D5" location="'M-Servicio'!A5" display="#'M-Servicio'.A5" xr:uid="{00000000-0004-0000-2100-00000B000000}"/>
    <hyperlink ref="F5" location="'M-BarberoServicio'!A5" display="#'M-BarberoServicio'.A5" xr:uid="{00000000-0004-0000-2100-00000C000000}"/>
    <hyperlink ref="G5" location="'M-BarberoServicio'!A5" display="#'M-BarberoServicio'.A5" xr:uid="{00000000-0004-0000-2100-00000D000000}"/>
    <hyperlink ref="B6" location="'M-Cita'!A6" display="#'M-Cita'.A6" xr:uid="{00000000-0004-0000-2100-00000E000000}"/>
    <hyperlink ref="C6" location="'M-BarberoServicio'!A6" display="#'M-BarberoServicio'.A6" xr:uid="{00000000-0004-0000-2100-00000F000000}"/>
    <hyperlink ref="D6" location="'M-Servicio'!A6" display="#'M-Servicio'.A6" xr:uid="{00000000-0004-0000-2100-000010000000}"/>
    <hyperlink ref="F6" location="'M-BarberoServicio'!A6" display="#'M-BarberoServicio'.A6" xr:uid="{00000000-0004-0000-2100-000011000000}"/>
    <hyperlink ref="G6" location="'M-BarberoServicio'!A6" display="#'M-BarberoServicio'.A6" xr:uid="{00000000-0004-0000-2100-000012000000}"/>
    <hyperlink ref="B7" location="'M-Cita'!A7" display="#'M-Cita'.A7" xr:uid="{00000000-0004-0000-2100-000013000000}"/>
    <hyperlink ref="C7" location="'M-BarberoServicio'!A7" display="#'M-BarberoServicio'.A7" xr:uid="{00000000-0004-0000-2100-000014000000}"/>
    <hyperlink ref="D7" location="'M-Servicio'!A7" display="#'M-Servicio'.A7" xr:uid="{00000000-0004-0000-2100-000015000000}"/>
    <hyperlink ref="F7" location="'M-BarberoServicio'!A7" display="#'M-BarberoServicio'.A7" xr:uid="{00000000-0004-0000-2100-000016000000}"/>
    <hyperlink ref="G7" location="'M-BarberoServicio'!A7" display="#'M-BarberoServicio'.A7" xr:uid="{00000000-0004-0000-2100-000017000000}"/>
    <hyperlink ref="B8" location="'M-Cita'!A8" display="#'M-Cita'.A8" xr:uid="{00000000-0004-0000-2100-000018000000}"/>
    <hyperlink ref="C8" location="'M-BarberoServicio'!A9" display="#'M-BarberoServicio'.A9" xr:uid="{00000000-0004-0000-2100-000019000000}"/>
    <hyperlink ref="D8" location="'M-Servicio'!A5" display="#'M-Servicio'.A5" xr:uid="{00000000-0004-0000-2100-00001A000000}"/>
    <hyperlink ref="F8" location="'M-BarberoServicio'!A9" display="#'M-BarberoServicio'.A9" xr:uid="{00000000-0004-0000-2100-00001B000000}"/>
    <hyperlink ref="G8" location="'M-BarberoServicio'!A9" display="#'M-BarberoServicio'.A9" xr:uid="{00000000-0004-0000-2100-00001C000000}"/>
    <hyperlink ref="B9" location="'M-Cita'!A9" display="#'M-Cita'.A9" xr:uid="{00000000-0004-0000-2100-00001D000000}"/>
    <hyperlink ref="C9" location="'M-BarberoServicio'!A7" display="#'M-BarberoServicio'.A7" xr:uid="{00000000-0004-0000-2100-00001E000000}"/>
    <hyperlink ref="D9" location="'M-Servicio'!A7" display="#'M-Servicio'.A7" xr:uid="{00000000-0004-0000-2100-00001F000000}"/>
    <hyperlink ref="F9" location="'M-BarberoServicio'!A7" display="#'M-BarberoServicio'.A7" xr:uid="{00000000-0004-0000-2100-000020000000}"/>
    <hyperlink ref="G9" location="'M-BarberoServicio'!A7" display="#'M-BarberoServicio'.A7" xr:uid="{00000000-0004-0000-2100-000021000000}"/>
    <hyperlink ref="B10" location="'M-Cita'!A10" display="#'M-Cita'.A10" xr:uid="{00000000-0004-0000-2100-000022000000}"/>
    <hyperlink ref="C10" location="'M-BarberoServicio'!A4" display="#'M-BarberoServicio'.A4" xr:uid="{00000000-0004-0000-2100-000023000000}"/>
    <hyperlink ref="D10" location="'M-Servicio'!A4" display="#'M-Servicio'.A4" xr:uid="{00000000-0004-0000-2100-000024000000}"/>
    <hyperlink ref="F10" location="'M-BarberoServicio'!A4" display="#'M-BarberoServicio'.A4" xr:uid="{00000000-0004-0000-2100-000025000000}"/>
    <hyperlink ref="G10" location="'M-BarberoServicio'!A4" display="#'M-BarberoServicio'.A4" xr:uid="{00000000-0004-0000-2100-000026000000}"/>
    <hyperlink ref="B11" location="'M-Cita'!A11" display="#'M-Cita'.A11" xr:uid="{00000000-0004-0000-2100-000027000000}"/>
    <hyperlink ref="C11" location="'M-BarberoServicio'!A5" display="#'M-BarberoServicio'.A5" xr:uid="{00000000-0004-0000-2100-000028000000}"/>
    <hyperlink ref="D11" location="'M-Servicio'!A5" display="#'M-Servicio'.A5" xr:uid="{00000000-0004-0000-2100-000029000000}"/>
    <hyperlink ref="F11" location="'M-BarberoServicio'!A5" display="#'M-BarberoServicio'.A5" xr:uid="{00000000-0004-0000-2100-00002A000000}"/>
    <hyperlink ref="G11" location="'M-BarberoServicio'!A5" display="#'M-BarberoServicio'.A5" xr:uid="{00000000-0004-0000-2100-00002B000000}"/>
    <hyperlink ref="B12" location="'M-Cita'!A12" display="#'M-Cita'.A12" xr:uid="{00000000-0004-0000-2100-00002C000000}"/>
    <hyperlink ref="C12" location="'M-BarberoServicio'!A6" display="#'M-BarberoServicio'.A6" xr:uid="{00000000-0004-0000-2100-00002D000000}"/>
    <hyperlink ref="D12" location="'M-Servicio'!A6" display="#'M-Servicio'.A6" xr:uid="{00000000-0004-0000-2100-00002E000000}"/>
    <hyperlink ref="F12" location="'M-BarberoServicio'!A6" display="#'M-BarberoServicio'.A6" xr:uid="{00000000-0004-0000-2100-00002F000000}"/>
    <hyperlink ref="G12" location="'M-BarberoServicio'!A6" display="#'M-BarberoServicio'.A6" xr:uid="{00000000-0004-0000-2100-000030000000}"/>
    <hyperlink ref="B13" location="'M-Cita'!A13" display="#'M-Cita'.A13" xr:uid="{00000000-0004-0000-2100-000031000000}"/>
    <hyperlink ref="C13" location="'M-BarberoServicio'!A6" display="#'M-BarberoServicio'.A6" xr:uid="{00000000-0004-0000-2100-000032000000}"/>
    <hyperlink ref="D13" location="'M-Servicio'!A6" display="#'M-Servicio'.A6" xr:uid="{00000000-0004-0000-2100-000033000000}"/>
    <hyperlink ref="F13" location="'M-BarberoServicio'!A6" display="#'M-BarberoServicio'.A6" xr:uid="{00000000-0004-0000-2100-000034000000}"/>
    <hyperlink ref="G13" location="'M-BarberoServicio'!A6" display="#'M-BarberoServicio'.A6" xr:uid="{00000000-0004-0000-2100-000035000000}"/>
    <hyperlink ref="B14" location="'M-Cita'!A13" display="#'M-Cita'.A13" xr:uid="{00000000-0004-0000-2100-000036000000}"/>
    <hyperlink ref="C14" location="'M-BarberoServicio'!A9" display="#'M-BarberoServicio'.A9" xr:uid="{00000000-0004-0000-2100-000037000000}"/>
    <hyperlink ref="D14" location="'M-Servicio'!A5" display="#'M-Servicio'.A5" xr:uid="{00000000-0004-0000-2100-000038000000}"/>
    <hyperlink ref="F14" location="'M-BarberoServicio'!A9" display="#'M-BarberoServicio'.A9" xr:uid="{00000000-0004-0000-2100-000039000000}"/>
    <hyperlink ref="G14" location="'M-BarberoServicio'!A9" display="#'M-BarberoServicio'.A9" xr:uid="{00000000-0004-0000-2100-00003A000000}"/>
  </hyperlinks>
  <pageMargins left="0.7" right="0.7" top="0.75" bottom="0.75" header="0.511811023622047" footer="0.511811023622047"/>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U12"/>
  <sheetViews>
    <sheetView zoomScaleNormal="100" workbookViewId="0">
      <selection activeCell="B1" sqref="B1"/>
    </sheetView>
  </sheetViews>
  <sheetFormatPr baseColWidth="10" defaultColWidth="8.6640625" defaultRowHeight="14.4" x14ac:dyDescent="0.3"/>
  <cols>
    <col min="1" max="1" width="26.6640625" customWidth="1"/>
    <col min="2" max="2" width="45" customWidth="1"/>
    <col min="3" max="3" width="21.5546875" customWidth="1"/>
    <col min="4" max="4" width="24.33203125" customWidth="1"/>
    <col min="5" max="12" width="18" customWidth="1"/>
    <col min="13" max="13" width="40" customWidth="1"/>
    <col min="14" max="21" width="18" customWidth="1"/>
  </cols>
  <sheetData>
    <row r="1" spans="1:21" ht="15" customHeight="1" x14ac:dyDescent="0.3">
      <c r="A1" s="6" t="s">
        <v>1</v>
      </c>
      <c r="B1" s="6" t="s">
        <v>43</v>
      </c>
    </row>
    <row r="2" spans="1:21" s="19" customFormat="1" ht="45" customHeight="1" x14ac:dyDescent="0.3">
      <c r="A2" s="111" t="s">
        <v>44</v>
      </c>
      <c r="B2" s="111" t="s">
        <v>45</v>
      </c>
      <c r="C2" s="111" t="s">
        <v>46</v>
      </c>
      <c r="D2" s="111" t="s">
        <v>47</v>
      </c>
      <c r="E2" s="111" t="s">
        <v>48</v>
      </c>
      <c r="F2" s="111" t="s">
        <v>49</v>
      </c>
      <c r="G2" s="111" t="s">
        <v>50</v>
      </c>
      <c r="H2" s="111" t="s">
        <v>51</v>
      </c>
      <c r="I2" s="111" t="s">
        <v>52</v>
      </c>
      <c r="J2" s="111" t="s">
        <v>53</v>
      </c>
      <c r="K2" s="111" t="s">
        <v>54</v>
      </c>
      <c r="L2" s="111" t="s">
        <v>55</v>
      </c>
      <c r="M2" s="111" t="s">
        <v>56</v>
      </c>
      <c r="N2" s="111" t="s">
        <v>57</v>
      </c>
      <c r="O2" s="111" t="s">
        <v>58</v>
      </c>
      <c r="P2" s="111" t="s">
        <v>59</v>
      </c>
      <c r="Q2" s="111" t="s">
        <v>60</v>
      </c>
      <c r="R2" s="111" t="s">
        <v>61</v>
      </c>
      <c r="S2" s="111" t="s">
        <v>62</v>
      </c>
      <c r="T2" s="111" t="s">
        <v>63</v>
      </c>
      <c r="U2" s="111" t="s">
        <v>64</v>
      </c>
    </row>
    <row r="3" spans="1:21" ht="45" customHeight="1" x14ac:dyDescent="0.3">
      <c r="A3" s="112" t="str">
        <f>'M-Multa'!A3</f>
        <v>id</v>
      </c>
      <c r="B3" s="113" t="str">
        <f>'M-Multa'!A2</f>
        <v>Representa un identificador que hará unico cada objeto de dominio de este tipo, no se puede repetir</v>
      </c>
      <c r="C3" s="112" t="s">
        <v>65</v>
      </c>
      <c r="D3" s="112" t="s">
        <v>66</v>
      </c>
      <c r="E3" s="112" t="s">
        <v>65</v>
      </c>
      <c r="F3" s="112" t="s">
        <v>67</v>
      </c>
      <c r="G3" s="112" t="s">
        <v>67</v>
      </c>
      <c r="H3" s="112" t="s">
        <v>67</v>
      </c>
      <c r="I3" s="112" t="s">
        <v>67</v>
      </c>
      <c r="J3" s="112" t="s">
        <v>67</v>
      </c>
      <c r="K3" s="112" t="s">
        <v>67</v>
      </c>
      <c r="L3" s="112" t="s">
        <v>67</v>
      </c>
      <c r="M3" s="113" t="s">
        <v>67</v>
      </c>
      <c r="N3" s="112" t="s">
        <v>68</v>
      </c>
      <c r="O3" s="122" t="s">
        <v>67</v>
      </c>
      <c r="P3" s="112" t="s">
        <v>67</v>
      </c>
      <c r="Q3" s="122" t="s">
        <v>67</v>
      </c>
      <c r="R3" s="122" t="s">
        <v>67</v>
      </c>
      <c r="S3" s="122" t="s">
        <v>68</v>
      </c>
      <c r="T3" s="112" t="s">
        <v>69</v>
      </c>
      <c r="U3" s="112" t="s">
        <v>65</v>
      </c>
    </row>
    <row r="4" spans="1:21" ht="75" customHeight="1" x14ac:dyDescent="0.3">
      <c r="A4" s="122" t="str">
        <f>'M-Multa'!B3</f>
        <v>cita</v>
      </c>
      <c r="B4" s="122" t="str">
        <f>'M-Multa'!B2</f>
        <v>Hace referencia a la cita puntual que el cliente incumplió (llegando tarde fuera de la tolerancia o no presentándose), de esa cita es de donde sale el valor de monto si fue el caso de no presentase</v>
      </c>
      <c r="C4" s="122" t="s">
        <v>68</v>
      </c>
      <c r="D4" s="146" t="s">
        <v>37</v>
      </c>
      <c r="E4" s="122" t="s">
        <v>65</v>
      </c>
      <c r="F4" s="122" t="s">
        <v>67</v>
      </c>
      <c r="G4" s="122" t="s">
        <v>67</v>
      </c>
      <c r="H4" s="122" t="s">
        <v>67</v>
      </c>
      <c r="I4" s="122" t="s">
        <v>67</v>
      </c>
      <c r="J4" s="122" t="s">
        <v>67</v>
      </c>
      <c r="K4" s="122" t="s">
        <v>67</v>
      </c>
      <c r="L4" s="122" t="s">
        <v>67</v>
      </c>
      <c r="M4" s="122" t="s">
        <v>224</v>
      </c>
      <c r="N4" s="122" t="s">
        <v>68</v>
      </c>
      <c r="O4" s="122" t="s">
        <v>67</v>
      </c>
      <c r="P4" s="122" t="s">
        <v>67</v>
      </c>
      <c r="Q4" s="122" t="s">
        <v>67</v>
      </c>
      <c r="R4" s="122" t="s">
        <v>67</v>
      </c>
      <c r="S4" s="122" t="s">
        <v>68</v>
      </c>
      <c r="T4" s="122" t="s">
        <v>69</v>
      </c>
      <c r="U4" s="122" t="s">
        <v>68</v>
      </c>
    </row>
    <row r="5" spans="1:21" ht="45" customHeight="1" x14ac:dyDescent="0.3">
      <c r="A5" s="112" t="str">
        <f>'M-Multa'!C3</f>
        <v>tipo</v>
      </c>
      <c r="B5" s="113" t="str">
        <f>'M-Multa'!C2</f>
        <v>Hace referencia al tipo de multa -tardanza o inasistencia- según lo que haya ocurrido con la cita</v>
      </c>
      <c r="C5" s="112" t="s">
        <v>68</v>
      </c>
      <c r="D5" s="114" t="s">
        <v>19</v>
      </c>
      <c r="E5" s="112" t="s">
        <v>65</v>
      </c>
      <c r="F5" s="112" t="s">
        <v>67</v>
      </c>
      <c r="G5" s="112" t="s">
        <v>67</v>
      </c>
      <c r="H5" s="112" t="s">
        <v>67</v>
      </c>
      <c r="I5" s="112" t="s">
        <v>67</v>
      </c>
      <c r="J5" s="112" t="s">
        <v>67</v>
      </c>
      <c r="K5" s="112" t="s">
        <v>67</v>
      </c>
      <c r="L5" s="112" t="s">
        <v>67</v>
      </c>
      <c r="M5" s="113" t="s">
        <v>224</v>
      </c>
      <c r="N5" s="112" t="s">
        <v>68</v>
      </c>
      <c r="O5" s="112" t="s">
        <v>67</v>
      </c>
      <c r="P5" s="112" t="s">
        <v>67</v>
      </c>
      <c r="Q5" s="112" t="s">
        <v>67</v>
      </c>
      <c r="R5" s="112" t="s">
        <v>67</v>
      </c>
      <c r="S5" s="112" t="s">
        <v>68</v>
      </c>
      <c r="T5" s="112" t="s">
        <v>69</v>
      </c>
      <c r="U5" s="112" t="s">
        <v>68</v>
      </c>
    </row>
    <row r="6" spans="1:21" ht="105" customHeight="1" x14ac:dyDescent="0.3">
      <c r="A6" s="122" t="str">
        <f>'M-Multa'!D3</f>
        <v>monto</v>
      </c>
      <c r="B6" s="122" t="str">
        <f>'M-Multa'!D2</f>
        <v>Representa cuánto dinero en pesos colombianos debe pagar el cliente por esta multa. Es un dato auto generado: si el tipo es Tardanza copia el monto fijo de Regla.montoMultaTardanzaCliente; si el tipo es Inasistencia copia el precioFinal de la Cita incumplida</v>
      </c>
      <c r="C6" s="122" t="s">
        <v>68</v>
      </c>
      <c r="D6" s="122" t="s">
        <v>115</v>
      </c>
      <c r="E6" s="122" t="s">
        <v>65</v>
      </c>
      <c r="F6" s="122" t="s">
        <v>67</v>
      </c>
      <c r="G6" s="122" t="s">
        <v>67</v>
      </c>
      <c r="H6" s="122" t="s">
        <v>67</v>
      </c>
      <c r="I6" s="122" t="s">
        <v>67</v>
      </c>
      <c r="J6" s="122">
        <v>0</v>
      </c>
      <c r="K6" s="165">
        <v>1000000</v>
      </c>
      <c r="L6" s="112" t="s">
        <v>67</v>
      </c>
      <c r="M6" s="122" t="s">
        <v>399</v>
      </c>
      <c r="N6" s="122" t="s">
        <v>68</v>
      </c>
      <c r="O6" s="122" t="s">
        <v>67</v>
      </c>
      <c r="P6" s="122" t="s">
        <v>67</v>
      </c>
      <c r="Q6" s="122" t="s">
        <v>67</v>
      </c>
      <c r="R6" s="122" t="s">
        <v>67</v>
      </c>
      <c r="S6" s="122" t="s">
        <v>68</v>
      </c>
      <c r="T6" s="122" t="s">
        <v>184</v>
      </c>
      <c r="U6" s="122" t="s">
        <v>65</v>
      </c>
    </row>
    <row r="7" spans="1:21" ht="105" customHeight="1" x14ac:dyDescent="0.3">
      <c r="A7" s="112" t="str">
        <f>'M-Multa'!E3</f>
        <v>horaGeneracion</v>
      </c>
      <c r="B7" s="113" t="str">
        <f>'M-Multa'!E2</f>
        <v>Representa la hora en la que el sistema generó esta multa: si es por tardanza, en el momento en que el cliente llega superando la tolerancia; si es por inasistencia, en la hora estimada de finalización de la cita sin que el cliente haya llegado. El día es el mismo día de la agenda de la cita que la originó</v>
      </c>
      <c r="C7" s="112" t="s">
        <v>68</v>
      </c>
      <c r="D7" s="112" t="s">
        <v>257</v>
      </c>
      <c r="E7" s="112" t="s">
        <v>65</v>
      </c>
      <c r="F7" s="112" t="s">
        <v>67</v>
      </c>
      <c r="G7" s="112" t="s">
        <v>67</v>
      </c>
      <c r="H7" s="112" t="s">
        <v>67</v>
      </c>
      <c r="I7" s="112" t="s">
        <v>67</v>
      </c>
      <c r="J7" s="112" t="s">
        <v>67</v>
      </c>
      <c r="K7" s="112" t="s">
        <v>67</v>
      </c>
      <c r="L7" s="112" t="s">
        <v>67</v>
      </c>
      <c r="M7" s="113" t="s">
        <v>400</v>
      </c>
      <c r="N7" s="112" t="s">
        <v>68</v>
      </c>
      <c r="O7" s="112" t="s">
        <v>67</v>
      </c>
      <c r="P7" s="112" t="s">
        <v>67</v>
      </c>
      <c r="Q7" s="112" t="s">
        <v>67</v>
      </c>
      <c r="R7" s="112" t="s">
        <v>67</v>
      </c>
      <c r="S7" s="112" t="s">
        <v>68</v>
      </c>
      <c r="T7" s="112" t="s">
        <v>258</v>
      </c>
      <c r="U7" s="112" t="s">
        <v>65</v>
      </c>
    </row>
    <row r="8" spans="1:21" ht="60" customHeight="1" x14ac:dyDescent="0.3">
      <c r="A8" s="122" t="str">
        <f>'M-Multa'!F3</f>
        <v>fechaHoraPago</v>
      </c>
      <c r="B8" s="122" t="str">
        <f>'M-Multa'!F2</f>
        <v>Representa la fecha y hora en la que el cliente pagó esta multa. Su valor por defecto es 01/01/1000 00:00 y es permitido: significa que la multa sigue sin pagar</v>
      </c>
      <c r="C8" s="122" t="s">
        <v>68</v>
      </c>
      <c r="D8" s="122" t="s">
        <v>401</v>
      </c>
      <c r="E8" s="122" t="s">
        <v>68</v>
      </c>
      <c r="F8" s="122" t="s">
        <v>67</v>
      </c>
      <c r="G8" s="122" t="s">
        <v>67</v>
      </c>
      <c r="H8" s="122" t="s">
        <v>67</v>
      </c>
      <c r="I8" s="122" t="s">
        <v>67</v>
      </c>
      <c r="J8" s="122" t="s">
        <v>67</v>
      </c>
      <c r="K8" s="122" t="s">
        <v>67</v>
      </c>
      <c r="L8" s="112" t="s">
        <v>67</v>
      </c>
      <c r="M8" s="122" t="s">
        <v>67</v>
      </c>
      <c r="N8" s="122" t="s">
        <v>68</v>
      </c>
      <c r="O8" s="122" t="s">
        <v>67</v>
      </c>
      <c r="P8" s="122" t="s">
        <v>67</v>
      </c>
      <c r="Q8" s="122" t="s">
        <v>67</v>
      </c>
      <c r="R8" s="122" t="s">
        <v>67</v>
      </c>
      <c r="S8" s="122" t="s">
        <v>68</v>
      </c>
      <c r="T8" s="122" t="s">
        <v>402</v>
      </c>
      <c r="U8" s="122" t="s">
        <v>68</v>
      </c>
    </row>
    <row r="9" spans="1:21" ht="60" customHeight="1" x14ac:dyDescent="0.3">
      <c r="A9" s="112" t="str">
        <f>'M-Multa'!G3</f>
        <v>pagada</v>
      </c>
      <c r="B9" s="113" t="str">
        <f>'M-Multa'!G2</f>
        <v>Representa si el cliente ya pagó o no esta multa, es el dato que se revisa para decidir si un cliente llega al número de multas sin pagar que activa el veto</v>
      </c>
      <c r="C9" s="112" t="s">
        <v>68</v>
      </c>
      <c r="D9" s="112" t="s">
        <v>116</v>
      </c>
      <c r="E9" s="112" t="s">
        <v>65</v>
      </c>
      <c r="F9" s="112" t="s">
        <v>67</v>
      </c>
      <c r="G9" s="112" t="s">
        <v>67</v>
      </c>
      <c r="H9" s="112" t="s">
        <v>67</v>
      </c>
      <c r="I9" s="112" t="s">
        <v>67</v>
      </c>
      <c r="J9" s="112" t="s">
        <v>67</v>
      </c>
      <c r="K9" s="112" t="s">
        <v>67</v>
      </c>
      <c r="L9" s="112" t="s">
        <v>67</v>
      </c>
      <c r="M9" s="113" t="s">
        <v>67</v>
      </c>
      <c r="N9" s="112" t="s">
        <v>68</v>
      </c>
      <c r="O9" s="112" t="s">
        <v>67</v>
      </c>
      <c r="P9" s="112" t="s">
        <v>67</v>
      </c>
      <c r="Q9" s="112" t="s">
        <v>67</v>
      </c>
      <c r="R9" s="112" t="s">
        <v>67</v>
      </c>
      <c r="S9" s="112" t="s">
        <v>68</v>
      </c>
      <c r="T9" s="112" t="s">
        <v>68</v>
      </c>
      <c r="U9" s="112" t="s">
        <v>68</v>
      </c>
    </row>
    <row r="11" spans="1:21" ht="15" customHeight="1" x14ac:dyDescent="0.3">
      <c r="A11" s="22" t="s">
        <v>73</v>
      </c>
      <c r="B11" s="22" t="s">
        <v>74</v>
      </c>
      <c r="C11" s="22" t="s">
        <v>75</v>
      </c>
    </row>
    <row r="12" spans="1:21" ht="30" customHeight="1" x14ac:dyDescent="0.3">
      <c r="A12" s="87" t="str">
        <f>'M-Multa'!H3</f>
        <v>Combinación única</v>
      </c>
      <c r="B12" s="88" t="str">
        <f>'M-Multa'!H2</f>
        <v>Combinación única que indica que una misma cita no puede generar más de una multa</v>
      </c>
      <c r="C12" s="23" t="str">
        <f>A4</f>
        <v>cita</v>
      </c>
    </row>
  </sheetData>
  <hyperlinks>
    <hyperlink ref="A1" location="'Modelo de Dominio'!A1" display="&lt;&lt;&lt;&lt; Ir al modulo de dominio" xr:uid="{00000000-0004-0000-2200-000000000000}"/>
    <hyperlink ref="B1" location="'Objetos de Dominio'!A1" display="&lt;&lt;&lt;&lt; Ir a objetos de dominio" xr:uid="{00000000-0004-0000-2200-000001000000}"/>
    <hyperlink ref="A3" location="'M-Multa'!A3" display="#'M-Multa'.A3" xr:uid="{00000000-0004-0000-2200-000002000000}"/>
    <hyperlink ref="B3" location="'M-Multa'!A2" display="#'M-Multa'.A2" xr:uid="{00000000-0004-0000-2200-000003000000}"/>
    <hyperlink ref="A4" location="'M-Multa'!A3" display="#'M-Multa'.A3" xr:uid="{00000000-0004-0000-2200-000004000000}"/>
    <hyperlink ref="B4" location="'M-Multa'!A2" display="#'M-Multa'.A2" xr:uid="{00000000-0004-0000-2200-000005000000}"/>
    <hyperlink ref="D4" location="'C-Cita'!A1" display="Cita" xr:uid="{00000000-0004-0000-2200-000006000000}"/>
    <hyperlink ref="A5" location="'M-Multa'!A3" display="#'M-Multa'.A3" xr:uid="{00000000-0004-0000-2200-000007000000}"/>
    <hyperlink ref="B5" location="'M-Multa'!A2" display="#'M-Multa'.A2" xr:uid="{00000000-0004-0000-2200-000008000000}"/>
    <hyperlink ref="D5" location="'C-TipoMulta'!A1" display="TipoMulta" xr:uid="{00000000-0004-0000-2200-000009000000}"/>
    <hyperlink ref="A6" location="'M-Multa'!A3" display="#'M-Multa'.A3" xr:uid="{00000000-0004-0000-2200-00000A000000}"/>
    <hyperlink ref="B6" location="'M-Multa'!A2" display="#'M-Multa'.A2" xr:uid="{00000000-0004-0000-2200-00000B000000}"/>
    <hyperlink ref="A7" location="'M-Multa'!A3" display="#'M-Multa'.A3" xr:uid="{00000000-0004-0000-2200-00000C000000}"/>
    <hyperlink ref="B7" location="'M-Multa'!A2" display="#'M-Multa'.A2" xr:uid="{00000000-0004-0000-2200-00000D000000}"/>
    <hyperlink ref="A8" location="'M-Multa'!A3" display="#'M-Multa'.A3" xr:uid="{00000000-0004-0000-2200-00000E000000}"/>
    <hyperlink ref="B8" location="'M-Multa'!A2" display="#'M-Multa'.A2" xr:uid="{00000000-0004-0000-2200-00000F000000}"/>
    <hyperlink ref="A9" location="'M-Multa'!A3" display="#'M-Multa'.A3" xr:uid="{00000000-0004-0000-2200-000010000000}"/>
    <hyperlink ref="B9" location="'M-Multa'!A2" display="#'M-Multa'.A2" xr:uid="{00000000-0004-0000-2200-000011000000}"/>
    <hyperlink ref="A12" location="'M-Multa'!A3" display="#'M-Multa'.A3" xr:uid="{00000000-0004-0000-2200-000012000000}"/>
    <hyperlink ref="B12" location="'M-Multa'!A2" display="#'M-Multa'.A2" xr:uid="{00000000-0004-0000-2200-000013000000}"/>
  </hyperlinks>
  <pageMargins left="0.75" right="0.75" top="1" bottom="1" header="0.511811023622047" footer="0.511811023622047"/>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H21"/>
  <sheetViews>
    <sheetView zoomScale="130" zoomScaleNormal="130" workbookViewId="0">
      <selection activeCell="B1" sqref="B1"/>
    </sheetView>
  </sheetViews>
  <sheetFormatPr baseColWidth="10" defaultColWidth="10.6640625" defaultRowHeight="14.4" x14ac:dyDescent="0.3"/>
  <cols>
    <col min="1" max="1" width="25" customWidth="1"/>
    <col min="2" max="2" width="33.6640625" customWidth="1"/>
    <col min="3" max="3" width="24.6640625" customWidth="1"/>
    <col min="4" max="4" width="35.5546875" customWidth="1"/>
    <col min="5" max="5" width="40.88671875" customWidth="1"/>
    <col min="6" max="6" width="35.5546875" customWidth="1"/>
    <col min="7" max="7" width="27.109375" customWidth="1"/>
    <col min="8" max="8" width="30.44140625" customWidth="1"/>
  </cols>
  <sheetData>
    <row r="1" spans="1:8" ht="14.25" customHeight="1" x14ac:dyDescent="0.3">
      <c r="A1" s="6" t="s">
        <v>1</v>
      </c>
      <c r="B1" s="6" t="s">
        <v>43</v>
      </c>
    </row>
    <row r="2" spans="1:8" ht="54" customHeight="1" x14ac:dyDescent="0.3">
      <c r="A2" s="149" t="s">
        <v>77</v>
      </c>
      <c r="B2" s="149" t="s">
        <v>403</v>
      </c>
      <c r="C2" s="149" t="s">
        <v>404</v>
      </c>
      <c r="D2" s="149" t="s">
        <v>405</v>
      </c>
      <c r="E2" s="149" t="s">
        <v>406</v>
      </c>
      <c r="F2" s="149" t="s">
        <v>407</v>
      </c>
      <c r="G2" s="149" t="s">
        <v>408</v>
      </c>
      <c r="H2" s="149" t="s">
        <v>409</v>
      </c>
    </row>
    <row r="3" spans="1:8" ht="14.25" customHeight="1" x14ac:dyDescent="0.3">
      <c r="A3" s="150" t="s">
        <v>80</v>
      </c>
      <c r="B3" s="118" t="s">
        <v>394</v>
      </c>
      <c r="C3" s="95" t="s">
        <v>410</v>
      </c>
      <c r="D3" s="91" t="s">
        <v>411</v>
      </c>
      <c r="E3" s="101" t="s">
        <v>412</v>
      </c>
      <c r="F3" s="166" t="s">
        <v>413</v>
      </c>
      <c r="G3" s="90" t="s">
        <v>414</v>
      </c>
      <c r="H3" s="30" t="s">
        <v>168</v>
      </c>
    </row>
    <row r="4" spans="1:8" ht="42.75" customHeight="1" x14ac:dyDescent="0.3">
      <c r="A4" s="31">
        <v>1</v>
      </c>
      <c r="B4" s="164" t="str">
        <f>'M-Cita'!R6</f>
        <v>+57-3214533321-Jueves-09:00-19:00-12/11/2023-1/01/1000-13:00-19:00-14/05/2026-13:00</v>
      </c>
      <c r="C4" s="92" t="str">
        <f>'M-TipoMulta'!D4</f>
        <v>Tardanza</v>
      </c>
      <c r="D4" s="162">
        <f>'M-Regla'!C4</f>
        <v>10000</v>
      </c>
      <c r="E4" s="167">
        <f>'M-Cita'!H6</f>
        <v>0.55208333333333304</v>
      </c>
      <c r="F4" s="168">
        <v>46233.416666666701</v>
      </c>
      <c r="G4" s="31" t="s">
        <v>127</v>
      </c>
      <c r="H4" s="41" t="str">
        <f>B4</f>
        <v>+57-3214533321-Jueves-09:00-19:00-12/11/2023-1/01/1000-13:00-19:00-14/05/2026-13:00</v>
      </c>
    </row>
    <row r="5" spans="1:8" ht="42.75" customHeight="1" x14ac:dyDescent="0.3">
      <c r="A5" s="31">
        <v>2</v>
      </c>
      <c r="B5" s="164" t="str">
        <f>'M-Cita'!R7</f>
        <v>+91-9876543210-Sábado-08:00-21:00-12/12/2024-1/01/1000-08:00-14:00-22/11/2025-13:00</v>
      </c>
      <c r="C5" s="92" t="str">
        <f>'M-TipoMulta'!D5</f>
        <v>Inasistencia</v>
      </c>
      <c r="D5" s="162">
        <f>'M-Cita'!Q7</f>
        <v>35000</v>
      </c>
      <c r="E5" s="167">
        <f>'M-Cita'!G7</f>
        <v>0.57638888888888917</v>
      </c>
      <c r="F5" s="31" t="s">
        <v>415</v>
      </c>
      <c r="G5" s="31" t="s">
        <v>217</v>
      </c>
      <c r="H5" s="41" t="str">
        <f>B5</f>
        <v>+91-9876543210-Sábado-08:00-21:00-12/12/2024-1/01/1000-08:00-14:00-22/11/2025-13:00</v>
      </c>
    </row>
    <row r="6" spans="1:8" ht="57" customHeight="1" x14ac:dyDescent="0.3">
      <c r="A6" s="31">
        <v>3</v>
      </c>
      <c r="B6" s="164" t="str">
        <f>'M-Cita'!R10</f>
        <v>+57-3245627890-Lunes-09:00-19:00-12/11/2023-1/01/1000-10:00-16:00-01/06/2026-10:00</v>
      </c>
      <c r="C6" s="92" t="str">
        <f>'M-TipoMulta'!D5</f>
        <v>Inasistencia</v>
      </c>
      <c r="D6" s="162">
        <f>'M-Cita'!Q10</f>
        <v>22000</v>
      </c>
      <c r="E6" s="167">
        <f>'M-Cita'!G10</f>
        <v>0.4583333333333337</v>
      </c>
      <c r="F6" s="31" t="s">
        <v>415</v>
      </c>
      <c r="G6" s="31" t="s">
        <v>217</v>
      </c>
      <c r="H6" s="41" t="str">
        <f>B6</f>
        <v>+57-3245627890-Lunes-09:00-19:00-12/11/2023-1/01/1000-10:00-16:00-01/06/2026-10:00</v>
      </c>
    </row>
    <row r="7" spans="1:8" ht="57" customHeight="1" x14ac:dyDescent="0.3">
      <c r="A7" s="31">
        <v>4</v>
      </c>
      <c r="B7" s="164" t="str">
        <f>'M-Cita'!R11</f>
        <v>+57-3124518923-Martes-09:00-19:00-12/11/2023-1/01/1000-09:00-15:00-16/06/2026-09:00</v>
      </c>
      <c r="C7" s="92" t="str">
        <f>'M-TipoMulta'!D5</f>
        <v>Inasistencia</v>
      </c>
      <c r="D7" s="162">
        <f>'M-Cita'!Q11</f>
        <v>12000</v>
      </c>
      <c r="E7" s="167">
        <f>'M-Cita'!G11</f>
        <v>0.38541666666666669</v>
      </c>
      <c r="F7" s="31" t="s">
        <v>415</v>
      </c>
      <c r="G7" s="31" t="s">
        <v>217</v>
      </c>
      <c r="H7" s="41" t="str">
        <f>B7</f>
        <v>+57-3124518923-Martes-09:00-19:00-12/11/2023-1/01/1000-09:00-15:00-16/06/2026-09:00</v>
      </c>
    </row>
    <row r="8" spans="1:8" ht="57" customHeight="1" x14ac:dyDescent="0.3">
      <c r="A8" s="31">
        <v>5</v>
      </c>
      <c r="B8" s="164" t="str">
        <f>'M-Cita'!R12</f>
        <v>+57-3214533321-Jueves-09:00-19:00-12/11/2023-1/01/1000-13:00-19:00-02/07/2026-15:00</v>
      </c>
      <c r="C8" s="92" t="str">
        <f>'M-TipoMulta'!D5</f>
        <v>Inasistencia</v>
      </c>
      <c r="D8" s="162">
        <f>'M-Cita'!Q12</f>
        <v>15000</v>
      </c>
      <c r="E8" s="167">
        <f>'M-Cita'!G12</f>
        <v>0.63888888888888884</v>
      </c>
      <c r="F8" s="31" t="s">
        <v>415</v>
      </c>
      <c r="G8" s="31" t="s">
        <v>217</v>
      </c>
      <c r="H8" s="41" t="str">
        <f>B8</f>
        <v>+57-3214533321-Jueves-09:00-19:00-12/11/2023-1/01/1000-13:00-19:00-02/07/2026-15:00</v>
      </c>
    </row>
    <row r="14" spans="1:8" ht="28.5" customHeight="1" x14ac:dyDescent="0.3">
      <c r="A14" s="169"/>
      <c r="B14" s="35" t="s">
        <v>90</v>
      </c>
    </row>
    <row r="15" spans="1:8" ht="28.5" customHeight="1" x14ac:dyDescent="0.3">
      <c r="A15" s="170"/>
      <c r="B15" s="35" t="s">
        <v>91</v>
      </c>
    </row>
    <row r="16" spans="1:8" ht="28.5" customHeight="1" x14ac:dyDescent="0.3">
      <c r="A16" s="171"/>
      <c r="B16" s="35" t="s">
        <v>134</v>
      </c>
    </row>
    <row r="17" spans="1:2" ht="14.25" customHeight="1" x14ac:dyDescent="0.3">
      <c r="A17" s="172"/>
      <c r="B17" s="35" t="s">
        <v>416</v>
      </c>
    </row>
    <row r="18" spans="1:2" ht="14.25" customHeight="1" x14ac:dyDescent="0.3">
      <c r="A18" s="173"/>
      <c r="B18" s="35" t="s">
        <v>417</v>
      </c>
    </row>
    <row r="19" spans="1:2" ht="28.5" customHeight="1" x14ac:dyDescent="0.3">
      <c r="A19" s="144"/>
      <c r="B19" s="35" t="s">
        <v>418</v>
      </c>
    </row>
    <row r="20" spans="1:2" ht="14.25" customHeight="1" x14ac:dyDescent="0.3">
      <c r="A20" s="174"/>
      <c r="B20" t="s">
        <v>136</v>
      </c>
    </row>
    <row r="21" spans="1:2" ht="14.25" customHeight="1" x14ac:dyDescent="0.3">
      <c r="A21" s="175"/>
      <c r="B21" t="s">
        <v>93</v>
      </c>
    </row>
  </sheetData>
  <hyperlinks>
    <hyperlink ref="A1" location="'Modelo de Dominio'!A1" display="&lt;&lt;&lt;&lt; Ir al modulo de dominio" xr:uid="{00000000-0004-0000-2300-000000000000}"/>
    <hyperlink ref="B1" location="'Objetos de Dominio'!A1" display="&lt;&lt;&lt;&lt; Ir a objetos de dominio" xr:uid="{00000000-0004-0000-2300-000001000000}"/>
    <hyperlink ref="B3" location="'M-Cita'!A1" display="cita" xr:uid="{00000000-0004-0000-2300-000002000000}"/>
    <hyperlink ref="C3" location="'M-TipoMulta'!A1" display="tipo" xr:uid="{00000000-0004-0000-2300-000003000000}"/>
    <hyperlink ref="B4" location="'M-Cita'!A6" display="#'M-Cita'.A6" xr:uid="{00000000-0004-0000-2300-000004000000}"/>
    <hyperlink ref="C4" location="'M-TipoMulta'!A4" display="#'M-TipoMulta'.A4" xr:uid="{00000000-0004-0000-2300-000005000000}"/>
    <hyperlink ref="D4" location="'M-Regla'!A4" display="#'M-Regla'.A4" xr:uid="{00000000-0004-0000-2300-000006000000}"/>
    <hyperlink ref="E4" location="'M-Cita'!A6" display="#'M-Cita'.A6" xr:uid="{00000000-0004-0000-2300-000007000000}"/>
    <hyperlink ref="B5" location="'M-Cita'!A7" display="#'M-Cita'.A7" xr:uid="{00000000-0004-0000-2300-000008000000}"/>
    <hyperlink ref="C5" location="'M-TipoMulta'!A5" display="#'M-TipoMulta'.A5" xr:uid="{00000000-0004-0000-2300-000009000000}"/>
    <hyperlink ref="D5" location="'M-Cita'!A7" display="#'M-Cita'.A7" xr:uid="{00000000-0004-0000-2300-00000A000000}"/>
    <hyperlink ref="E5" location="'M-Cita'!A7" display="#'M-Cita'.A7" xr:uid="{00000000-0004-0000-2300-00000B000000}"/>
    <hyperlink ref="B6" location="'M-Cita'!A10" display="#'M-Cita'.A10" xr:uid="{00000000-0004-0000-2300-00000C000000}"/>
    <hyperlink ref="C6" location="'M-TipoMulta'!A5" display="#'M-TipoMulta'.A5" xr:uid="{00000000-0004-0000-2300-00000D000000}"/>
    <hyperlink ref="D6" location="'M-Cita'!A10" display="#'M-Cita'.A10" xr:uid="{00000000-0004-0000-2300-00000E000000}"/>
    <hyperlink ref="E6" location="'M-Cita'!A10" display="#'M-Cita'.A10" xr:uid="{00000000-0004-0000-2300-00000F000000}"/>
    <hyperlink ref="B7" location="'M-Cita'!A11" display="#'M-Cita'.A11" xr:uid="{00000000-0004-0000-2300-000010000000}"/>
    <hyperlink ref="C7" location="'M-TipoMulta'!A5" display="#'M-TipoMulta'.A5" xr:uid="{00000000-0004-0000-2300-000011000000}"/>
    <hyperlink ref="D7" location="'M-Cita'!A11" display="#'M-Cita'.A11" xr:uid="{00000000-0004-0000-2300-000012000000}"/>
    <hyperlink ref="E7" location="'M-Cita'!A11" display="#'M-Cita'.A11" xr:uid="{00000000-0004-0000-2300-000013000000}"/>
    <hyperlink ref="B8" location="'M-Cita'!A12" display="#'M-Cita'.A12" xr:uid="{00000000-0004-0000-2300-000014000000}"/>
    <hyperlink ref="C8" location="'M-TipoMulta'!A5" display="#'M-TipoMulta'.A5" xr:uid="{00000000-0004-0000-2300-000015000000}"/>
    <hyperlink ref="D8" location="'M-Cita'!A12" display="#'M-Cita'.A12" xr:uid="{00000000-0004-0000-2300-000016000000}"/>
    <hyperlink ref="E8" location="'M-Cita'!A12" display="#'M-Cita'.A12" xr:uid="{00000000-0004-0000-2300-000017000000}"/>
  </hyperlink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36</vt:i4>
      </vt:variant>
    </vt:vector>
  </HeadingPairs>
  <TitlesOfParts>
    <vt:vector size="36" baseType="lpstr">
      <vt:lpstr>Modelo de Dominio</vt:lpstr>
      <vt:lpstr>Objetos de Dominio</vt:lpstr>
      <vt:lpstr>C-DiaSemana</vt:lpstr>
      <vt:lpstr>M-DiaSemana</vt:lpstr>
      <vt:lpstr>C-Estado</vt:lpstr>
      <vt:lpstr>M-Estado</vt:lpstr>
      <vt:lpstr>C-Servicio</vt:lpstr>
      <vt:lpstr>M-Servicio</vt:lpstr>
      <vt:lpstr>C-Regla</vt:lpstr>
      <vt:lpstr>M-Regla</vt:lpstr>
      <vt:lpstr>C-PrefijoCelular</vt:lpstr>
      <vt:lpstr>M-PrefijoCelular</vt:lpstr>
      <vt:lpstr>C-TipoMulta</vt:lpstr>
      <vt:lpstr>M-TipoMulta</vt:lpstr>
      <vt:lpstr>C-TipoBloqueo</vt:lpstr>
      <vt:lpstr>M-TipoBloqueo</vt:lpstr>
      <vt:lpstr>C-Barbero</vt:lpstr>
      <vt:lpstr>M-Barbero</vt:lpstr>
      <vt:lpstr>C-Cliente</vt:lpstr>
      <vt:lpstr>M-Cliente</vt:lpstr>
      <vt:lpstr>C-HorarioBarberia</vt:lpstr>
      <vt:lpstr>M-HorarioBarberia</vt:lpstr>
      <vt:lpstr>C-BarberoServicio</vt:lpstr>
      <vt:lpstr>M-BarberoServicio</vt:lpstr>
      <vt:lpstr>C-HorarioBarbero</vt:lpstr>
      <vt:lpstr>M-HorarioBarbero</vt:lpstr>
      <vt:lpstr>C-Agenda</vt:lpstr>
      <vt:lpstr>M-Agenda</vt:lpstr>
      <vt:lpstr>C-Bloqueo</vt:lpstr>
      <vt:lpstr>M-Bloqueo</vt:lpstr>
      <vt:lpstr>C-Cita</vt:lpstr>
      <vt:lpstr>M-Cita</vt:lpstr>
      <vt:lpstr>C-CitaServicio</vt:lpstr>
      <vt:lpstr>M-CitaServicio</vt:lpstr>
      <vt:lpstr>C-Multa</vt:lpstr>
      <vt:lpstr>M-Multa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Leandro Gomez</dc:creator>
  <dc:description/>
  <cp:lastModifiedBy>Leo 1000</cp:lastModifiedBy>
  <cp:revision>0</cp:revision>
  <dcterms:created xsi:type="dcterms:W3CDTF">2015-06-05T18:19:34Z</dcterms:created>
  <dcterms:modified xsi:type="dcterms:W3CDTF">2026-09-10T21:09:51Z</dcterms:modified>
  <dc:language>en-US</dc:language>
</cp:coreProperties>
</file>