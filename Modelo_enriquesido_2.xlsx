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7DD8B511-FADD-4A14-9E05-A3E6FED28813}" xr6:coauthVersionLast="47" xr6:coauthVersionMax="47" xr10:uidLastSave="{00000000-0000-0000-0000-000000000000}"/>
  <bookViews>
    <workbookView xWindow="-108" yWindow="-108" windowWidth="23256" windowHeight="12456" tabRatio="500" firstSheet="2" activeTab="6"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5" r:id="rId15"/>
    <sheet name="M-Barbero" sheetId="16" r:id="rId16"/>
    <sheet name="C-Cliente" sheetId="17" r:id="rId17"/>
    <sheet name="M-Cliente" sheetId="18" r:id="rId18"/>
    <sheet name="C-HorarioBarberia" sheetId="19" r:id="rId19"/>
    <sheet name="M-HorarioBarberia" sheetId="20" r:id="rId20"/>
    <sheet name="C-BarberoServicio" sheetId="21" r:id="rId21"/>
    <sheet name="M-BarberoServicio" sheetId="22" r:id="rId22"/>
    <sheet name="C-HorarioBarbero" sheetId="23" r:id="rId23"/>
    <sheet name="M-HorarioBarbero" sheetId="24" r:id="rId24"/>
    <sheet name="C-Agenda" sheetId="25" r:id="rId25"/>
    <sheet name="M-Agenda" sheetId="26" r:id="rId26"/>
    <sheet name="C-Cita" sheetId="27" r:id="rId27"/>
    <sheet name="M-Cita" sheetId="28" r:id="rId28"/>
    <sheet name="C-CitaServicio" sheetId="29" r:id="rId29"/>
    <sheet name="M-CitaServicio" sheetId="30" r:id="rId30"/>
    <sheet name="C-Multa" sheetId="31" r:id="rId31"/>
    <sheet name="M-Multa" sheetId="32" r:id="rId32"/>
  </sheets>
  <externalReferences>
    <externalReference r:id="rId3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17" l="1"/>
  <c r="A12" i="17"/>
  <c r="D11" i="6"/>
  <c r="C13" i="15"/>
  <c r="C14" i="15"/>
  <c r="C12" i="31"/>
  <c r="C11" i="29"/>
  <c r="C12" i="29"/>
  <c r="C20" i="27"/>
  <c r="C21" i="27"/>
  <c r="C8" i="25"/>
  <c r="C9" i="25"/>
  <c r="C13" i="23"/>
  <c r="C17" i="23"/>
  <c r="I5" i="24"/>
  <c r="I6" i="24"/>
  <c r="I7" i="24"/>
  <c r="I8" i="24"/>
  <c r="I4" i="24"/>
  <c r="C16" i="23"/>
  <c r="C15" i="23"/>
  <c r="C14" i="23"/>
  <c r="B9" i="19" l="1"/>
  <c r="A9" i="19"/>
  <c r="B6" i="19"/>
  <c r="B5" i="19"/>
  <c r="B4" i="19"/>
  <c r="B3" i="19"/>
  <c r="A6" i="19"/>
  <c r="C11" i="19" s="1"/>
  <c r="A5" i="19"/>
  <c r="A4" i="19"/>
  <c r="C9" i="19" s="1"/>
  <c r="C10" i="19"/>
  <c r="A3" i="19"/>
  <c r="B15" i="17" l="1"/>
  <c r="B11" i="17"/>
  <c r="B10" i="17"/>
  <c r="B9" i="17"/>
  <c r="B8" i="17"/>
  <c r="B7" i="17"/>
  <c r="B6" i="17"/>
  <c r="B5" i="17"/>
  <c r="B4" i="17"/>
  <c r="B3" i="17"/>
  <c r="A11" i="17"/>
  <c r="A10" i="17"/>
  <c r="A9" i="17"/>
  <c r="A8" i="17"/>
  <c r="A3" i="17"/>
  <c r="A4" i="17"/>
  <c r="A5" i="17"/>
  <c r="A6" i="17"/>
  <c r="A7" i="17"/>
  <c r="A15" i="17" l="1"/>
  <c r="C18" i="17"/>
  <c r="C15" i="17"/>
  <c r="B8" i="9"/>
  <c r="B7" i="9"/>
  <c r="B6" i="9"/>
  <c r="B5" i="9"/>
  <c r="B4" i="9"/>
  <c r="B3" i="9"/>
  <c r="A8" i="9"/>
  <c r="A7" i="9"/>
  <c r="A6" i="9"/>
  <c r="A5" i="9"/>
  <c r="A4" i="9"/>
  <c r="A3" i="9"/>
  <c r="B7" i="7"/>
  <c r="B6" i="7"/>
  <c r="B5" i="7"/>
  <c r="B4" i="7"/>
  <c r="B3" i="7"/>
  <c r="B10" i="7"/>
  <c r="A10" i="7"/>
  <c r="A7" i="7"/>
  <c r="A6" i="7"/>
  <c r="A5" i="7"/>
  <c r="A4" i="7"/>
  <c r="C10" i="7" s="1"/>
  <c r="A3" i="7"/>
  <c r="E4" i="32" l="1"/>
  <c r="D4" i="32"/>
  <c r="B12" i="31"/>
  <c r="A12" i="31"/>
  <c r="B9" i="31"/>
  <c r="A9" i="31"/>
  <c r="B8" i="31"/>
  <c r="A8" i="31"/>
  <c r="B7" i="31"/>
  <c r="A7" i="31"/>
  <c r="B6" i="31"/>
  <c r="A6" i="31"/>
  <c r="B5" i="31"/>
  <c r="A5" i="31"/>
  <c r="B4" i="31"/>
  <c r="A4" i="31"/>
  <c r="B3" i="31"/>
  <c r="A3" i="31"/>
  <c r="F14" i="30"/>
  <c r="E14" i="30"/>
  <c r="D14" i="30"/>
  <c r="F13" i="30"/>
  <c r="E13" i="30"/>
  <c r="D13" i="30"/>
  <c r="F12" i="30"/>
  <c r="E12" i="30"/>
  <c r="D12" i="30"/>
  <c r="F11" i="30"/>
  <c r="E11" i="30"/>
  <c r="D11" i="30"/>
  <c r="F10" i="30"/>
  <c r="E10" i="30"/>
  <c r="D10" i="30"/>
  <c r="F9" i="30"/>
  <c r="E9" i="30"/>
  <c r="D9" i="30"/>
  <c r="F8" i="30"/>
  <c r="E8" i="30"/>
  <c r="D8" i="30"/>
  <c r="F7" i="30"/>
  <c r="E7" i="30"/>
  <c r="D7" i="30"/>
  <c r="F6" i="30"/>
  <c r="E6" i="30"/>
  <c r="D6" i="30"/>
  <c r="F5" i="30"/>
  <c r="E5" i="30"/>
  <c r="D5" i="30"/>
  <c r="F4" i="30"/>
  <c r="E4" i="30"/>
  <c r="D4" i="30"/>
  <c r="B11" i="29"/>
  <c r="A11" i="29"/>
  <c r="B8" i="29"/>
  <c r="A8" i="29"/>
  <c r="B7" i="29"/>
  <c r="A7" i="29"/>
  <c r="B6" i="29"/>
  <c r="A6" i="29"/>
  <c r="B5" i="29"/>
  <c r="A5" i="29"/>
  <c r="B4" i="29"/>
  <c r="A4" i="29"/>
  <c r="B3" i="29"/>
  <c r="A3" i="29"/>
  <c r="N13" i="28"/>
  <c r="M13" i="28"/>
  <c r="D13" i="28"/>
  <c r="B13" i="28"/>
  <c r="N12" i="28"/>
  <c r="M12" i="28"/>
  <c r="D12" i="28"/>
  <c r="B12" i="28"/>
  <c r="N11" i="28"/>
  <c r="M11" i="28"/>
  <c r="D11" i="28"/>
  <c r="B11" i="28"/>
  <c r="N10" i="28"/>
  <c r="M10" i="28"/>
  <c r="D10" i="28"/>
  <c r="B10" i="28"/>
  <c r="N9" i="28"/>
  <c r="M9" i="28"/>
  <c r="D9" i="28"/>
  <c r="B9" i="28"/>
  <c r="N8" i="28"/>
  <c r="M8" i="28"/>
  <c r="D8" i="28"/>
  <c r="B8" i="28"/>
  <c r="N7" i="28"/>
  <c r="M7" i="28"/>
  <c r="E7" i="28"/>
  <c r="D7" i="28"/>
  <c r="B7" i="28"/>
  <c r="N6" i="28"/>
  <c r="M6" i="28"/>
  <c r="D6" i="28"/>
  <c r="B6" i="28"/>
  <c r="N5" i="28"/>
  <c r="M5" i="28"/>
  <c r="E5" i="28"/>
  <c r="D5" i="28"/>
  <c r="B5" i="28"/>
  <c r="N4" i="28"/>
  <c r="M4" i="28"/>
  <c r="E4" i="28"/>
  <c r="D4" i="28"/>
  <c r="B4" i="28"/>
  <c r="B20" i="27"/>
  <c r="A20" i="27"/>
  <c r="B17" i="27"/>
  <c r="A17" i="27"/>
  <c r="B16" i="27"/>
  <c r="A16" i="27"/>
  <c r="B15" i="27"/>
  <c r="A15" i="27"/>
  <c r="B14" i="27"/>
  <c r="A14" i="27"/>
  <c r="B13" i="27"/>
  <c r="A13" i="27"/>
  <c r="B12" i="27"/>
  <c r="A12" i="27"/>
  <c r="B11" i="27"/>
  <c r="A11" i="27"/>
  <c r="B10" i="27"/>
  <c r="A10" i="27"/>
  <c r="B9" i="27"/>
  <c r="A9" i="27"/>
  <c r="B8" i="27"/>
  <c r="A8" i="27"/>
  <c r="B7" i="27"/>
  <c r="A7" i="27"/>
  <c r="B6" i="27"/>
  <c r="A6" i="27"/>
  <c r="B5" i="27"/>
  <c r="A5" i="27"/>
  <c r="B4" i="27"/>
  <c r="A4" i="27"/>
  <c r="B3" i="27"/>
  <c r="A3" i="27"/>
  <c r="B8" i="25"/>
  <c r="A8" i="25"/>
  <c r="B5" i="25"/>
  <c r="A5" i="25"/>
  <c r="B4" i="25"/>
  <c r="A4" i="25"/>
  <c r="B3" i="25"/>
  <c r="A3" i="25"/>
  <c r="B13" i="23"/>
  <c r="A13" i="23"/>
  <c r="B10" i="23"/>
  <c r="A10" i="23"/>
  <c r="B9" i="23"/>
  <c r="A9" i="23"/>
  <c r="B8" i="23"/>
  <c r="A8" i="23"/>
  <c r="B7" i="23"/>
  <c r="A7" i="23"/>
  <c r="B6" i="23"/>
  <c r="A6" i="23"/>
  <c r="B5" i="23"/>
  <c r="A5" i="23"/>
  <c r="B4" i="23"/>
  <c r="A4" i="23"/>
  <c r="B3" i="23"/>
  <c r="A3" i="23"/>
  <c r="C12" i="22"/>
  <c r="G12" i="22" s="1"/>
  <c r="B12" i="22"/>
  <c r="G11" i="22"/>
  <c r="C11" i="22"/>
  <c r="B11" i="22"/>
  <c r="C10" i="22"/>
  <c r="G10" i="22" s="1"/>
  <c r="B10" i="22"/>
  <c r="G9" i="22"/>
  <c r="C14" i="30" s="1"/>
  <c r="C9" i="22"/>
  <c r="B9" i="22"/>
  <c r="C8" i="22"/>
  <c r="G8" i="22" s="1"/>
  <c r="B8" i="22"/>
  <c r="G7" i="22"/>
  <c r="C9" i="30" s="1"/>
  <c r="C7" i="22"/>
  <c r="B7" i="22"/>
  <c r="C6" i="22"/>
  <c r="G6" i="22" s="1"/>
  <c r="B6" i="22"/>
  <c r="G5" i="22"/>
  <c r="C11" i="30" s="1"/>
  <c r="C5" i="22"/>
  <c r="B5" i="22"/>
  <c r="C4" i="22"/>
  <c r="G4" i="22" s="1"/>
  <c r="B4" i="22"/>
  <c r="B11" i="21"/>
  <c r="A11" i="21"/>
  <c r="B8" i="21"/>
  <c r="A8" i="21"/>
  <c r="B7" i="21"/>
  <c r="A7" i="21"/>
  <c r="B6" i="21"/>
  <c r="A6" i="21"/>
  <c r="B5" i="21"/>
  <c r="A5" i="21"/>
  <c r="B4" i="21"/>
  <c r="A4" i="21"/>
  <c r="B3" i="21"/>
  <c r="A3" i="21"/>
  <c r="B10" i="20"/>
  <c r="E10" i="20" s="1"/>
  <c r="C8" i="24" s="1"/>
  <c r="F8" i="18"/>
  <c r="L8" i="18" s="1"/>
  <c r="F6" i="18"/>
  <c r="L6" i="18" s="1"/>
  <c r="F4" i="18"/>
  <c r="L4" i="18" s="1"/>
  <c r="L8" i="16"/>
  <c r="L7" i="16"/>
  <c r="F7" i="16"/>
  <c r="K7" i="16" s="1"/>
  <c r="L6" i="16"/>
  <c r="L5" i="16"/>
  <c r="F5" i="16"/>
  <c r="K5" i="16" s="1"/>
  <c r="B5" i="24" s="1"/>
  <c r="L4" i="16"/>
  <c r="B13" i="15"/>
  <c r="A13" i="15"/>
  <c r="B10" i="15"/>
  <c r="A10" i="15"/>
  <c r="B9" i="15"/>
  <c r="A9" i="15"/>
  <c r="B8" i="15"/>
  <c r="A8" i="15"/>
  <c r="B7" i="15"/>
  <c r="A7" i="15"/>
  <c r="B6" i="15"/>
  <c r="A6" i="15"/>
  <c r="B5" i="15"/>
  <c r="A5" i="15"/>
  <c r="B4" i="15"/>
  <c r="A4" i="15"/>
  <c r="B3" i="15"/>
  <c r="A3" i="15"/>
  <c r="D5" i="14"/>
  <c r="C6" i="32" s="1"/>
  <c r="D4" i="14"/>
  <c r="C4" i="32" s="1"/>
  <c r="B8" i="13"/>
  <c r="A8" i="13"/>
  <c r="B5" i="13"/>
  <c r="A5" i="13"/>
  <c r="B4" i="13"/>
  <c r="A4" i="13"/>
  <c r="B3" i="13"/>
  <c r="A3" i="13"/>
  <c r="C7" i="12"/>
  <c r="F7" i="18" s="1"/>
  <c r="L7" i="18" s="1"/>
  <c r="C6" i="12"/>
  <c r="F8" i="16" s="1"/>
  <c r="K8" i="16" s="1"/>
  <c r="C5" i="12"/>
  <c r="C4" i="12"/>
  <c r="F5" i="18" s="1"/>
  <c r="L5" i="18" s="1"/>
  <c r="B7" i="11"/>
  <c r="A7" i="11"/>
  <c r="B4" i="11"/>
  <c r="A4" i="11"/>
  <c r="B3" i="11"/>
  <c r="A3" i="11"/>
  <c r="F7" i="8"/>
  <c r="F6" i="8"/>
  <c r="F5" i="8"/>
  <c r="F4" i="8"/>
  <c r="D10" i="6"/>
  <c r="E10" i="28" s="1"/>
  <c r="D9" i="6"/>
  <c r="E8" i="28" s="1"/>
  <c r="D8" i="6"/>
  <c r="E6" i="28" s="1"/>
  <c r="D7" i="6"/>
  <c r="D6" i="6"/>
  <c r="D5" i="6"/>
  <c r="E9" i="28" s="1"/>
  <c r="D4" i="6"/>
  <c r="B8" i="5"/>
  <c r="A8" i="5"/>
  <c r="B5" i="5"/>
  <c r="A5" i="5"/>
  <c r="B4" i="5"/>
  <c r="A4" i="5"/>
  <c r="B3" i="5"/>
  <c r="A3" i="5"/>
  <c r="C11" i="4"/>
  <c r="C10" i="4"/>
  <c r="C9" i="4"/>
  <c r="B9" i="20" s="1"/>
  <c r="E9" i="20" s="1"/>
  <c r="C7" i="24" s="1"/>
  <c r="C8" i="4"/>
  <c r="B8" i="20" s="1"/>
  <c r="E8" i="20" s="1"/>
  <c r="C7" i="4"/>
  <c r="B7" i="20" s="1"/>
  <c r="E7" i="20" s="1"/>
  <c r="C6" i="24" s="1"/>
  <c r="C6" i="4"/>
  <c r="B6" i="20" s="1"/>
  <c r="E6" i="20" s="1"/>
  <c r="C5" i="4"/>
  <c r="B5" i="20" s="1"/>
  <c r="E5" i="20" s="1"/>
  <c r="C5" i="24" s="1"/>
  <c r="C4" i="4"/>
  <c r="B4" i="20" s="1"/>
  <c r="E4" i="20" s="1"/>
  <c r="C4" i="24" s="1"/>
  <c r="B7" i="3"/>
  <c r="A7" i="3"/>
  <c r="B4" i="3"/>
  <c r="A4" i="3"/>
  <c r="B3" i="3"/>
  <c r="A3" i="3"/>
  <c r="B11" i="26" l="1"/>
  <c r="D11" i="26" s="1"/>
  <c r="C11" i="28" s="1"/>
  <c r="Q11" i="28" s="1"/>
  <c r="B5" i="26"/>
  <c r="D5" i="26" s="1"/>
  <c r="C5" i="28" s="1"/>
  <c r="Q5" i="28" s="1"/>
  <c r="C10" i="30"/>
  <c r="C4" i="30"/>
  <c r="B8" i="24"/>
  <c r="B7" i="26" s="1"/>
  <c r="D7" i="26" s="1"/>
  <c r="C9" i="28" s="1"/>
  <c r="Q9" i="28" s="1"/>
  <c r="B7" i="24"/>
  <c r="B8" i="26" s="1"/>
  <c r="D8" i="26" s="1"/>
  <c r="C7" i="28" s="1"/>
  <c r="Q7" i="28" s="1"/>
  <c r="C13" i="30"/>
  <c r="C12" i="30"/>
  <c r="C6" i="30"/>
  <c r="F4" i="16"/>
  <c r="K4" i="16" s="1"/>
  <c r="B4" i="24" s="1"/>
  <c r="C8" i="30"/>
  <c r="E13" i="28"/>
  <c r="C7" i="32"/>
  <c r="E12" i="28"/>
  <c r="C5" i="32"/>
  <c r="F6" i="16"/>
  <c r="K6" i="16" s="1"/>
  <c r="B6" i="24" s="1"/>
  <c r="E11" i="28"/>
  <c r="C5" i="30"/>
  <c r="C7" i="30"/>
  <c r="C8" i="32"/>
  <c r="B10" i="26" l="1"/>
  <c r="D10" i="26" s="1"/>
  <c r="C10" i="28" s="1"/>
  <c r="Q10" i="28" s="1"/>
  <c r="B4" i="26"/>
  <c r="D4" i="26" s="1"/>
  <c r="C4" i="28" s="1"/>
  <c r="Q4" i="28" s="1"/>
  <c r="B7" i="30"/>
  <c r="G7" i="30" s="1"/>
  <c r="B5" i="32"/>
  <c r="H5" i="32" s="1"/>
  <c r="B9" i="30"/>
  <c r="G9" i="30" s="1"/>
  <c r="B12" i="26"/>
  <c r="D12" i="26" s="1"/>
  <c r="C12" i="28" s="1"/>
  <c r="Q12" i="28" s="1"/>
  <c r="B6" i="26"/>
  <c r="D6" i="26" s="1"/>
  <c r="B9" i="26"/>
  <c r="D9" i="26" s="1"/>
  <c r="C8" i="28" s="1"/>
  <c r="Q8" i="28" s="1"/>
  <c r="B5" i="30"/>
  <c r="G5" i="30" s="1"/>
  <c r="B11" i="30"/>
  <c r="G11" i="30" s="1"/>
  <c r="B7" i="32"/>
  <c r="H7" i="32" s="1"/>
  <c r="C6" i="28" l="1"/>
  <c r="Q6" i="28" s="1"/>
  <c r="C13" i="28"/>
  <c r="Q13" i="28" s="1"/>
  <c r="B8" i="30"/>
  <c r="G8" i="30" s="1"/>
  <c r="B8" i="32"/>
  <c r="H8" i="32" s="1"/>
  <c r="B12" i="30"/>
  <c r="G12" i="30" s="1"/>
  <c r="B4" i="30"/>
  <c r="B6" i="32"/>
  <c r="H6" i="32" s="1"/>
  <c r="B10" i="30"/>
  <c r="G10" i="30" s="1"/>
  <c r="G4" i="30" l="1"/>
  <c r="B13" i="30"/>
  <c r="G13" i="30" s="1"/>
  <c r="B14" i="30"/>
  <c r="G14" i="30" s="1"/>
  <c r="B4" i="32"/>
  <c r="H4" i="32" s="1"/>
  <c r="L6" i="28"/>
  <c r="G6" i="28" s="1"/>
  <c r="B6" i="30"/>
  <c r="L8" i="28" s="1"/>
  <c r="G8" i="28" s="1"/>
  <c r="P6" i="28" l="1"/>
  <c r="P10" i="28"/>
  <c r="D6" i="32" s="1"/>
  <c r="L9" i="28"/>
  <c r="G9" i="28" s="1"/>
  <c r="P8" i="28"/>
  <c r="P9" i="28"/>
  <c r="P11" i="28"/>
  <c r="D7" i="32" s="1"/>
  <c r="L11" i="28"/>
  <c r="G11" i="28" s="1"/>
  <c r="E7" i="32" s="1"/>
  <c r="L7" i="28"/>
  <c r="G7" i="28" s="1"/>
  <c r="E5" i="32" s="1"/>
  <c r="G6" i="30"/>
  <c r="L10" i="28"/>
  <c r="G10" i="28" s="1"/>
  <c r="E6" i="32" s="1"/>
  <c r="L4" i="28"/>
  <c r="G4" i="28" s="1"/>
  <c r="P12" i="28"/>
  <c r="D8" i="32" s="1"/>
  <c r="L12" i="28"/>
  <c r="G12" i="28" s="1"/>
  <c r="E8" i="32" s="1"/>
  <c r="P4" i="28"/>
  <c r="P7" i="28"/>
  <c r="D5" i="32" s="1"/>
  <c r="P5" i="28"/>
  <c r="L5" i="28"/>
  <c r="G5" i="28" s="1"/>
  <c r="L13" i="28"/>
  <c r="G13" i="28" s="1"/>
  <c r="P13" i="28"/>
</calcChain>
</file>

<file path=xl/sharedStrings.xml><?xml version="1.0" encoding="utf-8"?>
<sst xmlns="http://schemas.openxmlformats.org/spreadsheetml/2006/main" count="1844" uniqueCount="373">
  <si>
    <t>Ir a objetos de dominio &gt;&gt;&gt;&gt;</t>
  </si>
  <si>
    <t>&lt;&lt;&lt;&lt; Ir al modulo de dominio</t>
  </si>
  <si>
    <t>Nombre</t>
  </si>
  <si>
    <t>Descripcion</t>
  </si>
  <si>
    <t>Linea de vida</t>
  </si>
  <si>
    <t>Muestreo</t>
  </si>
  <si>
    <t>Caracterización</t>
  </si>
  <si>
    <t>Eventos</t>
  </si>
  <si>
    <t>DiaSemana</t>
  </si>
  <si>
    <t>Representa cada uno de los días de la semana, incluyendo festivo, que se usa como catálogo para definir los horarios de la barbería y de cada barbero</t>
  </si>
  <si>
    <t>Ir al muestreo</t>
  </si>
  <si>
    <t>Ir a la caracterización</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</si>
  <si>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</si>
  <si>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</si>
  <si>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</si>
  <si>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</si>
  <si>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</si>
  <si>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</si>
  <si>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</si>
  <si>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</si>
  <si>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</si>
  <si>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</si>
  <si>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</si>
  <si>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</si>
  <si>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</si>
  <si>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</si>
  <si>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ya sea por WhatsApp o desde la aplicación.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</si>
  <si>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</si>
  <si>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</si>
  <si>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</si>
  <si>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</si>
  <si>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</si>
  <si>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</si>
  <si>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</si>
  <si>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</si>
  <si>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</si>
  <si>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</si>
  <si>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</si>
  <si>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</si>
  <si>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</si>
  <si>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</si>
  <si>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</si>
  <si>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</si>
  <si>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</si>
  <si>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</si>
  <si>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</si>
  <si>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</si>
  <si>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</si>
  <si>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</si>
  <si>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</si>
  <si>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</si>
  <si>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</si>
  <si>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</si>
  <si>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</si>
  <si>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</si>
  <si>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</si>
  <si>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</si>
  <si>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</si>
  <si>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</si>
  <si>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</si>
  <si>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</si>
  <si>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</si>
  <si>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</si>
  <si>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</si>
  <si>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</si>
  <si>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t>
  </si>
  <si>
    <t>Alfanumérico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</si>
  <si>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</si>
  <si>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</si>
  <si>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</si>
  <si>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</si>
  <si>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</si>
  <si>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</si>
  <si>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</si>
  <si>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</si>
  <si>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</si>
  <si>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</si>
  <si>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</si>
  <si>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</si>
  <si>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</si>
  <si>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</si>
  <si>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</si>
  <si>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</si>
  <si>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</si>
  <si>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</si>
  <si>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</si>
  <si>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</si>
  <si>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</si>
  <si>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</si>
  <si>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</si>
  <si>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</si>
  <si>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</si>
  <si>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</si>
  <si>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</si>
  <si>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</si>
  <si>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</si>
  <si>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</si>
  <si>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</si>
  <si>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</si>
  <si>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</si>
  <si>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</si>
  <si>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</si>
  <si>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</si>
  <si>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t>
  </si>
  <si>
    <t>El cliente nunca llegó a la cita: se alcanzó la hora estimada de finalización sin registrar su llegada, lo que genera una multa por el valor total de los servicios pedidos.</t>
  </si>
  <si>
    <t>Moneda en pesos colombianos (COP)</t>
  </si>
  <si>
    <t>0</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</si>
  <si>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</si>
  <si>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</si>
  <si>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</si>
  <si>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</si>
  <si>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</si>
  <si>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</si>
  <si>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</si>
  <si>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</si>
  <si>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</si>
  <si>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</si>
  <si>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</si>
  <si>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</si>
  <si>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</si>
  <si>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</si>
  <si>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</si>
  <si>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</si>
  <si>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</si>
  <si>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</si>
  <si>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</si>
  <si>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</si>
  <si>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</si>
  <si>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Minutos</t>
  </si>
  <si>
    <t>Porcentaje</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</si>
  <si>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</si>
  <si>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</si>
  <si>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</si>
  <si>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</si>
  <si>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</si>
  <si>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</si>
  <si>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</si>
  <si>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</si>
  <si>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</si>
  <si>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</si>
  <si>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</si>
  <si>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</si>
  <si>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</si>
  <si>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</si>
  <si>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</si>
  <si>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</si>
  <si>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</si>
  <si>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</si>
  <si>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</si>
  <si>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</si>
  <si>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</si>
  <si>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</si>
  <si>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</si>
  <si>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El cliente no se presentó a la cita agendada: se llegó a la hora estimada de finalización sin que hubiera registrado su llegada.</t>
  </si>
  <si>
    <t>Corresponde a los datos de tipo texto</t>
  </si>
  <si>
    <t>vacío</t>
  </si>
  <si>
    <t>Número telefónico, sin el prefijo de país</t>
  </si>
  <si>
    <t>Si el barbero tiene al menos un HorarioBarbero con vigente=Si, este atributo es Si; si no tiene ninguno vigente, es No</t>
  </si>
  <si>
    <t>correo</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</si>
  <si>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</si>
  <si>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</si>
  <si>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</si>
  <si>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</si>
  <si>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</si>
  <si>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el correo electronico del barbero, con el que se va a registrar o iniciar seción</t>
  </si>
  <si>
    <t>Representa la contraseña encriptada del barbero</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</si>
  <si>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</si>
  <si>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prefijo de celular y número de celular</t>
  </si>
  <si>
    <t>Combinacion única que indica que no puede existir más de un barbero con el correro electronico</t>
  </si>
  <si>
    <t>primerNombre</t>
  </si>
  <si>
    <t>segundoNombre</t>
  </si>
  <si>
    <t>primerApellido</t>
  </si>
  <si>
    <t>segundoApellido</t>
  </si>
  <si>
    <t>celular</t>
  </si>
  <si>
    <t>contraseña</t>
  </si>
  <si>
    <t>vigente</t>
  </si>
  <si>
    <t>Combinación única  1</t>
  </si>
  <si>
    <t>Combinación única  2</t>
  </si>
  <si>
    <t>Juan</t>
  </si>
  <si>
    <t>Fernando</t>
  </si>
  <si>
    <t>García</t>
  </si>
  <si>
    <t>Lopez</t>
  </si>
  <si>
    <t>juanfer234535@gmail.com</t>
  </si>
  <si>
    <t>$2b$12$Ce2ZsSJaOpx4iq5W.LNrCuvonh1fxNgpYYqBddeR50IjtYsh9n97C</t>
  </si>
  <si>
    <t>David</t>
  </si>
  <si>
    <t>Ortiz</t>
  </si>
  <si>
    <t>Sanchez</t>
  </si>
  <si>
    <t>juandaviddd2525@gmail.com</t>
  </si>
  <si>
    <t>$2b$12$4dn1n10vtv3SpDX5ryR2FOluaaros/pqDXz8liKcEp/7JG7TBvqAK</t>
  </si>
  <si>
    <t>Carlos</t>
  </si>
  <si>
    <t>Arbeladez</t>
  </si>
  <si>
    <t>carlosbeladez@gmail.com</t>
  </si>
  <si>
    <t>$2b$12$htWWNCh.2QPjVycBmNb5ROHBO21L9p7hlWyFtctUtP4SbV3yBNqei</t>
  </si>
  <si>
    <t>Andres</t>
  </si>
  <si>
    <t>Ramirez</t>
  </si>
  <si>
    <t>Patiño</t>
  </si>
  <si>
    <t>andresramirezpatino123@gmail.com</t>
  </si>
  <si>
    <t>$2b$12$IzNJVnlQl1UX5Py84yi5jOE1yuEdUrA.0Okt.BidVKs8biBdotH7W</t>
  </si>
  <si>
    <t>no</t>
  </si>
  <si>
    <t>Zambrano</t>
  </si>
  <si>
    <t>Perez</t>
  </si>
  <si>
    <t>juancarloszambrano4394@gmail.com</t>
  </si>
  <si>
    <t>$2b$12$mlxS0WUooP1stXSQdVR8EeBoYrgBrP5czZRqSvIgvelxUIGcwFgh.</t>
  </si>
  <si>
    <t>Corresponde a referencias de objetos de dominio</t>
  </si>
  <si>
    <t>Corresponde a los datos calculados por el sistema</t>
  </si>
  <si>
    <t>Corresponde a la combinacion única 1</t>
  </si>
  <si>
    <t>Corresponde a la combinacion única 2</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</si>
  <si>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</si>
  <si>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</si>
  <si>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</si>
  <si>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</si>
  <si>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</si>
  <si>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</si>
  <si>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</si>
  <si>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</si>
  <si>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</si>
  <si>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prefijoCelular</t>
  </si>
  <si>
    <t>multasSinPagar</t>
  </si>
  <si>
    <t>estaVetado</t>
  </si>
  <si>
    <t>Gómez</t>
  </si>
  <si>
    <t>Jose</t>
  </si>
  <si>
    <t>Miguel</t>
  </si>
  <si>
    <t>Simon</t>
  </si>
  <si>
    <t>Ochoa</t>
  </si>
  <si>
    <t>Alexis</t>
  </si>
  <si>
    <t>Gallego</t>
  </si>
  <si>
    <t>Kevin</t>
  </si>
  <si>
    <t>Andrés</t>
  </si>
  <si>
    <t>Muñoz</t>
  </si>
  <si>
    <t>Salazar</t>
  </si>
  <si>
    <t>Hora</t>
  </si>
  <si>
    <t>hh:mm</t>
  </si>
  <si>
    <t>00:00</t>
  </si>
  <si>
    <t>Debe ser mayor a horaApertura</t>
  </si>
  <si>
    <t>Representa el día de la semana en el que la barberia abre</t>
  </si>
  <si>
    <t>Representa la hora a la que abre la barbería</t>
  </si>
  <si>
    <t>Representa la hora a la que cierra la barbería</t>
  </si>
  <si>
    <t>Combinacion única que indica que no puede existir más de un horario con la misma barberia, dia de la semana, hora de apertura y cierre</t>
  </si>
  <si>
    <t>diaDeLaSemana</t>
  </si>
  <si>
    <t>horaApertura</t>
  </si>
  <si>
    <t>horaCierre</t>
  </si>
  <si>
    <t>Corresponde a los datos de tipo hora</t>
  </si>
  <si>
    <t>Representa el nombre y apellidos del barbero</t>
  </si>
  <si>
    <t xml:space="preserve">Representa el nombre del servicio de la barberia </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</si>
  <si>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</si>
  <si>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</si>
  <si>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</si>
  <si>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</si>
  <si>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barbero</t>
  </si>
  <si>
    <t>servicio</t>
  </si>
  <si>
    <t>duracionServicio</t>
  </si>
  <si>
    <t>tiempoExtra</t>
  </si>
  <si>
    <t>Debe estar dentro del rango de horarioDeLaBarberia</t>
  </si>
  <si>
    <t>Debe ser mayor a horaInicio y estar dentro del rango de horarioDeLaBarberia</t>
  </si>
  <si>
    <t>Fecha</t>
  </si>
  <si>
    <t>Toma la fecha del sistema en el momento en que el barbero crea este horario</t>
  </si>
  <si>
    <t>Toma la fecha del sistema en el momento en que el barbero desactiva este horario. Su valor por defecto es 01/01/1000 mientras siga vigente</t>
  </si>
  <si>
    <t>01/01/1000</t>
  </si>
  <si>
    <t>Una vez se cambia a No, no puede volver a cambiar a Si</t>
  </si>
  <si>
    <t>Referencia a que barbero va a ser dueño de esta agenda</t>
  </si>
  <si>
    <t>Hace referencia a la agenda del barbero en la que queda guardado este horario de trabajo</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</si>
  <si>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</si>
  <si>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</si>
  <si>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</si>
  <si>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horarioDeLaBarberia</t>
  </si>
  <si>
    <t>horaInicio</t>
  </si>
  <si>
    <t>horaFinal</t>
  </si>
  <si>
    <t>fechaCreacion</t>
  </si>
  <si>
    <t>fechaDesactivacion</t>
  </si>
  <si>
    <t>1/01/1000</t>
  </si>
  <si>
    <t>Corresponde a los datos calculados</t>
  </si>
  <si>
    <t>Corresponde a los datos tipo logico</t>
  </si>
  <si>
    <t>dd/mm/aaaa</t>
  </si>
  <si>
    <t>Hace referencia al horario de trabajo del barbero (día de la semana, hora de inicio y hora final) al que pertenece esta agenda</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</si>
  <si>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</si>
  <si>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</si>
  <si>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</si>
  <si>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</si>
  <si>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</si>
  <si>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</si>
  <si>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horaInicio + duracion (en minutos)</t>
  </si>
  <si>
    <t>Suma de duracionServicio + tiempoExtra de todos los CitaServicio de esta cita</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</si>
  <si>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</si>
  <si>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</si>
  <si>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</si>
  <si>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</si>
  <si>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</si>
  <si>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</si>
  <si>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</si>
  <si>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</si>
  <si>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</si>
  <si>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</si>
  <si>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</si>
  <si>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</si>
  <si>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</si>
  <si>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</si>
  <si>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</si>
  <si>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</si>
  <si>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</si>
  <si>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</si>
  <si>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</si>
  <si>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</si>
  <si>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</si>
  <si>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</si>
  <si>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</si>
  <si>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</si>
  <si>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</si>
  <si>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horaInicioAtencion</t>
  </si>
  <si>
    <t>horaFinAtencion</t>
  </si>
  <si>
    <t>duracion</t>
  </si>
  <si>
    <t>minutosTardanzaCliente</t>
  </si>
  <si>
    <t>minutosDemoraBarbero</t>
  </si>
  <si>
    <t>porcentajeDescuentoAplicado</t>
  </si>
  <si>
    <t>precioFinal</t>
  </si>
  <si>
    <t>Copia de Servicio.precio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</si>
  <si>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</si>
  <si>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</si>
  <si>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</si>
  <si>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</si>
  <si>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</si>
  <si>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</si>
  <si>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</si>
  <si>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</si>
  <si>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</si>
  <si>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</si>
  <si>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</si>
  <si>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Si tipo=Tardanza copia Regla.montoMultaTardanzaCliente; si tipo=Inasistencia copia Cita.precioFinal</t>
  </si>
  <si>
    <t>Si tipo=Tardanza copia Cita.horaLlegadaCliente; si tipo=Inasistencia copia Cita.horaFinEstimada</t>
  </si>
  <si>
    <t>Fecha y Hora</t>
  </si>
  <si>
    <t>dd/mm/aaaa hh:mm</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</si>
  <si>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</si>
  <si>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</si>
  <si>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</si>
  <si>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</si>
  <si>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</si>
  <si>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</si>
  <si>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</si>
  <si>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</si>
  <si>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</si>
  <si>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</si>
  <si>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</si>
  <si>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</si>
  <si>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</si>
  <si>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</si>
  <si>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</si>
  <si>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Entero</t>
  </si>
  <si>
    <t>Formato de moneda Europea</t>
  </si>
  <si>
    <t>Se usa el formato de moneda Europea</t>
  </si>
  <si>
    <t>Pensar los datos obligatorios</t>
  </si>
  <si>
    <t xml:space="preserve">Porcentaje </t>
  </si>
  <si>
    <t>+0</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</si>
  <si>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</si>
  <si>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</si>
  <si>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</si>
  <si>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Corresponde a los datos tipo hora</t>
  </si>
  <si>
    <t>Corresponde a los datos tipo fecha hora</t>
  </si>
  <si>
    <t>Aplican las reglas del objeto referenciado</t>
  </si>
  <si>
    <t>Vacio</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</si>
  <si>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</si>
  <si>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</si>
  <si>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</si>
  <si>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Representa la fecha específica en el que la agenda va a guardar las citas de ese barbero</t>
  </si>
  <si>
    <t>horaDelBarberoPreparado</t>
  </si>
  <si>
    <t>No aplica</t>
  </si>
  <si>
    <t>Solo pueden ser los dias de la semana como Lunes, Martes, Miércoles, Jueves, Viernes, Sábado, Domingo y Festivo</t>
  </si>
  <si>
    <t>Inasistencia del cliente</t>
  </si>
  <si>
    <t>Inasistencia del barbero</t>
  </si>
  <si>
    <t>Pensar como se beneficia al cliente</t>
  </si>
  <si>
    <t>cantidadDeDescuentoCitas</t>
  </si>
  <si>
    <t>Representa la cantidad de citas que un cliente va a tener con descuento, cada inasistencia que un barbero le haga al cliente se le suma un descuento a la proxima cita</t>
  </si>
  <si>
    <t>elNumeroCelularEsCorrecto</t>
  </si>
  <si>
    <t>El mismo formato del objeto referenciado</t>
  </si>
  <si>
    <t>Se calcula contando cuántas citas con inasistencia del barbero ha tenido el 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</si>
</sst>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 #,##0.00_-;\-&quot;$&quot;\ * #,##0.00_-;_-&quot;$&quot;\ * &quot;-&quot;??_-;_-@_-"/>
    <numFmt numFmtId="164" formatCode="h:mm\ AM/PM"/>
    <numFmt numFmtId="165" formatCode="&quot;$ &quot;#,##0"/>
    <numFmt numFmtId="166" formatCode="m/d/yyyy"/>
    <numFmt numFmtId="167" formatCode="dd/mm/yyyy"/>
    <numFmt numFmtId="168" formatCode="hh:mm"/>
    <numFmt numFmtId="169" formatCode="_-&quot;$&quot;\ * #,##0_-;\-&quot;$&quot;\ * #,##0_-;_-&quot;$&quot;\ * &quot;-&quot;??_-;_-@_-"/>
  </numFmts>
  <fonts count="27" x14ac:knownFonts="1">
    <font>
      <sz val="11"/>
      <color theme="1"/>
      <name val="Calibri"/>
      <family val="2"/>
      <charset val="1"/>
    </font>
    <font>
      <sz val="11"/>
      <color theme="1"/>
      <name val="Calibri"/>
      <family val="2"/>
      <scheme val="minor"/>
    </font>
    <font>
      <u/>
      <sz val="11"/>
      <color rgb="FF0563C1"/>
      <name val="Calibri"/>
      <family val="2"/>
    </font>
    <font>
      <b/>
      <sz val="11"/>
      <color theme="1"/>
      <name val="Calibri"/>
      <family val="2"/>
      <charset val="1"/>
    </font>
    <font>
      <u/>
      <sz val="11"/>
      <color rgb="FF0563C1"/>
      <name val="Cambria"/>
      <family val="1"/>
    </font>
    <font>
      <b/>
      <sz val="11"/>
      <name val="Cambria"/>
      <family val="1"/>
    </font>
    <font>
      <sz val="7"/>
      <name val="Calibri"/>
      <family val="2"/>
      <charset val="1"/>
    </font>
    <font>
      <sz val="7"/>
      <color rgb="FF000000"/>
      <name val="Calibri"/>
      <family val="2"/>
      <charset val="1"/>
    </font>
    <font>
      <b/>
      <sz val="11"/>
      <color rgb="FF000000"/>
      <name val="Calibri"/>
      <family val="2"/>
      <charset val="1"/>
    </font>
    <font>
      <u/>
      <sz val="11"/>
      <color rgb="FF0563C1"/>
      <name val="Calibri"/>
      <family val="2"/>
      <charset val="1"/>
    </font>
    <font>
      <u/>
      <sz val="11"/>
      <color theme="10"/>
      <name val="Calibri"/>
      <family val="2"/>
      <charset val="1"/>
    </font>
    <font>
      <sz val="7"/>
      <color theme="1"/>
      <name val="Calibri"/>
      <family val="2"/>
      <charset val="1"/>
    </font>
    <font>
      <b/>
      <sz val="11"/>
      <name val="Calibri"/>
      <family val="2"/>
      <charset val="1"/>
    </font>
    <font>
      <sz val="11"/>
      <name val="Calibri"/>
      <family val="2"/>
      <charset val="1"/>
    </font>
    <font>
      <b/>
      <u/>
      <sz val="11"/>
      <color theme="10"/>
      <name val="Calibri"/>
      <family val="2"/>
      <charset val="1"/>
    </font>
    <font>
      <b/>
      <u/>
      <sz val="11"/>
      <color rgb="FF467886"/>
      <name val="Calibri"/>
      <family val="2"/>
      <charset val="1"/>
    </font>
    <font>
      <b/>
      <sz val="11"/>
      <color rgb="FF000000"/>
      <name val="Aptos Narrow"/>
      <family val="2"/>
      <charset val="1"/>
    </font>
    <font>
      <sz val="11"/>
      <color theme="1"/>
      <name val="Aptos Narrow"/>
      <family val="2"/>
      <charset val="1"/>
    </font>
    <font>
      <u/>
      <sz val="11"/>
      <color rgb="FF467886"/>
      <name val="Aptos Narrow"/>
      <family val="2"/>
      <charset val="1"/>
    </font>
    <font>
      <u/>
      <sz val="11"/>
      <color rgb="FF0563C1"/>
      <name val="Calibri"/>
      <family val="2"/>
      <scheme val="minor"/>
    </font>
    <font>
      <b/>
      <sz val="11"/>
      <name val="Calibri"/>
      <family val="2"/>
      <scheme val="minor"/>
    </font>
    <font>
      <b/>
      <sz val="11"/>
      <color theme="1"/>
      <name val="Calibri"/>
      <family val="2"/>
    </font>
    <font>
      <sz val="11"/>
      <color theme="1"/>
      <name val="Calibri"/>
      <family val="2"/>
    </font>
    <font>
      <sz val="11"/>
      <name val="Calibri"/>
      <family val="2"/>
      <scheme val="minor"/>
    </font>
    <font>
      <b/>
      <u/>
      <sz val="11"/>
      <color theme="10"/>
      <name val="Calibri"/>
      <family val="2"/>
    </font>
    <font>
      <b/>
      <sz val="11"/>
      <color theme="1"/>
      <name val="Aptos Narrow"/>
      <family val="2"/>
      <charset val="1"/>
    </font>
    <font>
      <sz val="11"/>
      <color theme="1"/>
      <name val="Calibri"/>
      <family val="2"/>
      <charset val="1"/>
    </font>
  </fonts>
  <fills count="31">
    <fill>
      <patternFill patternType="none"/>
    </fill>
    <fill>
      <patternFill patternType="gray125"/>
    </fill>
    <fill>
      <patternFill patternType="solid">
        <fgColor theme="0"/>
        <bgColor rgb="FFCCFFFF"/>
      </patternFill>
    </fill>
    <fill>
      <patternFill patternType="solid">
        <fgColor rgb="FFD9D9D9"/>
        <bgColor rgb="FFD0D0D0"/>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88402966399123"/>
        <bgColor rgb="FFADB9CA"/>
      </patternFill>
    </fill>
    <fill>
      <patternFill patternType="solid">
        <fgColor rgb="FFF1ABE9"/>
        <bgColor rgb="FFCC99FF"/>
      </patternFill>
    </fill>
    <fill>
      <patternFill patternType="solid">
        <fgColor theme="0" tint="-0.499984740745262"/>
        <bgColor rgb="FF467886"/>
      </patternFill>
    </fill>
    <fill>
      <patternFill patternType="solid">
        <fgColor rgb="FFFFFF00"/>
        <bgColor rgb="FFFFFF00"/>
      </patternFill>
    </fill>
    <fill>
      <patternFill patternType="solid">
        <fgColor theme="3" tint="0.59987182226020086"/>
        <bgColor rgb="FF9DC3E6"/>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theme="0"/>
        <bgColor rgb="FFD9D9D9"/>
      </patternFill>
    </fill>
    <fill>
      <patternFill patternType="solid">
        <fgColor rgb="FFC0E6F5"/>
        <bgColor rgb="FFD9D9D9"/>
      </patternFill>
    </fill>
    <fill>
      <patternFill patternType="solid">
        <fgColor rgb="FFF2CEEF"/>
        <bgColor rgb="FFD9D9D9"/>
      </patternFill>
    </fill>
    <fill>
      <patternFill patternType="solid">
        <fgColor theme="3" tint="0.39997558519241921"/>
        <bgColor indexed="64"/>
      </patternFill>
    </fill>
    <fill>
      <patternFill patternType="solid">
        <fgColor theme="6" tint="0.59999389629810485"/>
        <bgColor indexed="64"/>
      </patternFill>
    </fill>
    <fill>
      <patternFill patternType="solid">
        <fgColor rgb="FFFFFF00"/>
        <bgColor rgb="FF993366"/>
      </patternFill>
    </fill>
    <fill>
      <patternFill patternType="solid">
        <fgColor theme="5" tint="-0.249977111117893"/>
        <bgColor rgb="FF993366"/>
      </patternFill>
    </fill>
    <fill>
      <patternFill patternType="solid">
        <fgColor theme="6" tint="0.59999389629810485"/>
        <bgColor rgb="FFD0D0D0"/>
      </patternFill>
    </fill>
    <fill>
      <patternFill patternType="solid">
        <fgColor rgb="FF00B0F0"/>
        <bgColor rgb="FF2E75B6"/>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s>
  <cellStyleXfs count="3">
    <xf numFmtId="0" fontId="0" fillId="0" borderId="0"/>
    <xf numFmtId="0" fontId="10" fillId="0" borderId="0" applyNumberFormat="0" applyFill="0" applyBorder="0" applyAlignment="0" applyProtection="0"/>
    <xf numFmtId="44" fontId="26" fillId="0" borderId="0" applyFont="0" applyFill="0" applyBorder="0" applyAlignment="0" applyProtection="0"/>
  </cellStyleXfs>
  <cellXfs count="157">
    <xf numFmtId="0" fontId="0" fillId="0" borderId="0" xfId="0"/>
    <xf numFmtId="0" fontId="2" fillId="0" borderId="0" xfId="0" applyFont="1"/>
    <xf numFmtId="0" fontId="0" fillId="2" borderId="0" xfId="0" applyFill="1"/>
    <xf numFmtId="0" fontId="3" fillId="0" borderId="1" xfId="0" applyFont="1" applyBorder="1" applyAlignment="1">
      <alignment vertical="center"/>
    </xf>
    <xf numFmtId="0" fontId="2" fillId="0" borderId="1" xfId="0" applyFont="1" applyBorder="1"/>
    <xf numFmtId="0" fontId="0" fillId="0" borderId="1" xfId="0" applyBorder="1" applyAlignment="1">
      <alignment vertical="center"/>
    </xf>
    <xf numFmtId="0" fontId="0" fillId="0" borderId="1" xfId="0" applyBorder="1"/>
    <xf numFmtId="0" fontId="4" fillId="0" borderId="0" xfId="0" applyFont="1"/>
    <xf numFmtId="0" fontId="6" fillId="3" borderId="1" xfId="0" applyFont="1" applyFill="1" applyBorder="1" applyAlignment="1">
      <alignment horizontal="center" wrapText="1"/>
    </xf>
    <xf numFmtId="0" fontId="7" fillId="3" borderId="1" xfId="0" applyFont="1" applyFill="1" applyBorder="1" applyAlignment="1">
      <alignment horizontal="center" wrapText="1"/>
    </xf>
    <xf numFmtId="0" fontId="8" fillId="4" borderId="1" xfId="0" applyFont="1" applyFill="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7" borderId="0" xfId="0" applyFill="1"/>
    <xf numFmtId="0" fontId="0" fillId="0" borderId="0" xfId="0" applyAlignment="1">
      <alignment wrapText="1"/>
    </xf>
    <xf numFmtId="0" fontId="0" fillId="4" borderId="0" xfId="0" applyFill="1"/>
    <xf numFmtId="0" fontId="0" fillId="5" borderId="0" xfId="0" applyFill="1"/>
    <xf numFmtId="0" fontId="0" fillId="6" borderId="0" xfId="0" applyFill="1"/>
    <xf numFmtId="0" fontId="9"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10" fillId="0" borderId="0" xfId="0" applyFont="1" applyAlignment="1">
      <alignment horizontal="center" vertical="top"/>
    </xf>
    <xf numFmtId="0" fontId="0" fillId="0" borderId="0" xfId="0" applyAlignment="1">
      <alignment horizontal="center" vertical="top"/>
    </xf>
    <xf numFmtId="0" fontId="6" fillId="7" borderId="1" xfId="0" applyFont="1" applyFill="1" applyBorder="1" applyAlignment="1">
      <alignment horizontal="center" wrapText="1"/>
    </xf>
    <xf numFmtId="0" fontId="11" fillId="7" borderId="1" xfId="0" applyFont="1" applyFill="1" applyBorder="1" applyAlignment="1">
      <alignment horizontal="center" wrapText="1"/>
    </xf>
    <xf numFmtId="0" fontId="12" fillId="4" borderId="1" xfId="0" applyFont="1" applyFill="1" applyBorder="1" applyAlignment="1">
      <alignment horizontal="center" vertical="top"/>
    </xf>
    <xf numFmtId="0" fontId="12" fillId="8" borderId="1" xfId="0" applyFont="1" applyFill="1" applyBorder="1" applyAlignment="1">
      <alignment horizontal="center" vertical="top"/>
    </xf>
    <xf numFmtId="0" fontId="12" fillId="9" borderId="1" xfId="0" applyFont="1" applyFill="1" applyBorder="1" applyAlignment="1">
      <alignment horizontal="center" vertical="top"/>
    </xf>
    <xf numFmtId="0" fontId="12" fillId="10" borderId="1" xfId="0" applyFont="1" applyFill="1" applyBorder="1" applyAlignment="1">
      <alignment horizontal="center" vertical="top"/>
    </xf>
    <xf numFmtId="0" fontId="3" fillId="11"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5" fontId="0" fillId="0" borderId="1" xfId="0" applyNumberFormat="1" applyBorder="1" applyAlignment="1">
      <alignment horizontal="center" vertical="top"/>
    </xf>
    <xf numFmtId="0" fontId="0" fillId="12" borderId="0" xfId="0" applyFill="1"/>
    <xf numFmtId="0" fontId="0" fillId="8" borderId="0" xfId="0" applyFill="1"/>
    <xf numFmtId="0" fontId="0" fillId="9" borderId="0" xfId="0" applyFill="1"/>
    <xf numFmtId="0" fontId="0" fillId="10" borderId="0" xfId="0" applyFill="1"/>
    <xf numFmtId="0" fontId="0" fillId="11" borderId="0" xfId="0" applyFill="1"/>
    <xf numFmtId="0" fontId="3" fillId="4" borderId="1" xfId="0" applyFont="1" applyFill="1" applyBorder="1" applyAlignment="1">
      <alignment horizontal="center"/>
    </xf>
    <xf numFmtId="0" fontId="3" fillId="9" borderId="1" xfId="0" applyFont="1" applyFill="1" applyBorder="1" applyAlignment="1">
      <alignment horizontal="center"/>
    </xf>
    <xf numFmtId="0" fontId="3" fillId="0" borderId="0" xfId="0" applyFont="1" applyAlignment="1">
      <alignment horizontal="center"/>
    </xf>
    <xf numFmtId="165" fontId="0" fillId="0" borderId="1" xfId="0" applyNumberFormat="1" applyBorder="1" applyAlignment="1">
      <alignment horizontal="center"/>
    </xf>
    <xf numFmtId="0" fontId="13" fillId="9" borderId="0" xfId="0" applyFont="1" applyFill="1"/>
    <xf numFmtId="0" fontId="10" fillId="0" borderId="0" xfId="0" applyFont="1"/>
    <xf numFmtId="0" fontId="8" fillId="13" borderId="1" xfId="0" applyFont="1" applyFill="1" applyBorder="1" applyAlignment="1">
      <alignment horizontal="center"/>
    </xf>
    <xf numFmtId="0" fontId="8" fillId="8" borderId="1" xfId="0" applyFont="1" applyFill="1" applyBorder="1" applyAlignment="1">
      <alignment horizontal="center"/>
    </xf>
    <xf numFmtId="0" fontId="0" fillId="13" borderId="0" xfId="0" applyFill="1"/>
    <xf numFmtId="0" fontId="8" fillId="12"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0" borderId="1" xfId="0" applyFont="1" applyBorder="1" applyAlignment="1">
      <alignment horizontal="center"/>
    </xf>
    <xf numFmtId="0" fontId="9" fillId="0" borderId="1" xfId="0" applyFont="1" applyBorder="1" applyAlignment="1">
      <alignment horizontal="center"/>
    </xf>
    <xf numFmtId="0" fontId="13" fillId="0" borderId="1" xfId="0" applyFont="1" applyBorder="1" applyAlignment="1">
      <alignment horizontal="center"/>
    </xf>
    <xf numFmtId="0" fontId="0" fillId="14" borderId="0" xfId="0" applyFill="1"/>
    <xf numFmtId="0" fontId="0" fillId="15" borderId="0" xfId="0" applyFill="1"/>
    <xf numFmtId="0" fontId="7" fillId="7" borderId="1" xfId="0" applyFont="1" applyFill="1" applyBorder="1" applyAlignment="1">
      <alignment horizontal="center" wrapText="1"/>
    </xf>
    <xf numFmtId="0" fontId="7" fillId="7" borderId="1" xfId="0" applyFont="1" applyFill="1" applyBorder="1" applyAlignment="1">
      <alignment wrapText="1"/>
    </xf>
    <xf numFmtId="0" fontId="14" fillId="12" borderId="0" xfId="0" applyFont="1" applyFill="1" applyAlignment="1">
      <alignment horizontal="center"/>
    </xf>
    <xf numFmtId="0" fontId="8" fillId="16" borderId="1" xfId="0" applyFont="1" applyFill="1" applyBorder="1" applyAlignment="1">
      <alignment horizontal="center" wrapText="1"/>
    </xf>
    <xf numFmtId="0" fontId="8" fillId="16" borderId="1" xfId="0" applyFont="1" applyFill="1" applyBorder="1" applyAlignment="1">
      <alignment horizontal="center"/>
    </xf>
    <xf numFmtId="0" fontId="12" fillId="6" borderId="1" xfId="0" applyFont="1" applyFill="1" applyBorder="1" applyAlignment="1">
      <alignment horizontal="center"/>
    </xf>
    <xf numFmtId="164" fontId="2" fillId="0" borderId="1" xfId="0" applyNumberFormat="1" applyFont="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0" fontId="0" fillId="16" borderId="0" xfId="0" applyFill="1"/>
    <xf numFmtId="0" fontId="6" fillId="7" borderId="1" xfId="0" applyFont="1" applyFill="1" applyBorder="1" applyAlignment="1">
      <alignment horizontal="center"/>
    </xf>
    <xf numFmtId="0" fontId="14" fillId="12" borderId="1" xfId="0" applyFont="1" applyFill="1" applyBorder="1" applyAlignment="1">
      <alignment horizontal="center"/>
    </xf>
    <xf numFmtId="0" fontId="12" fillId="9" borderId="1" xfId="0" applyFont="1" applyFill="1" applyBorder="1" applyAlignment="1">
      <alignment horizontal="center"/>
    </xf>
    <xf numFmtId="0" fontId="12" fillId="10" borderId="1" xfId="0" applyFont="1" applyFill="1" applyBorder="1" applyAlignment="1">
      <alignment horizontal="center"/>
    </xf>
    <xf numFmtId="0" fontId="12" fillId="11" borderId="1" xfId="0" applyFont="1" applyFill="1" applyBorder="1" applyAlignment="1">
      <alignment horizontal="center"/>
    </xf>
    <xf numFmtId="0" fontId="12" fillId="16" borderId="1" xfId="0" applyFont="1" applyFill="1" applyBorder="1" applyAlignment="1">
      <alignment horizontal="center"/>
    </xf>
    <xf numFmtId="0" fontId="12" fillId="14" borderId="1" xfId="0" applyFont="1" applyFill="1" applyBorder="1" applyAlignment="1">
      <alignment horizontal="center"/>
    </xf>
    <xf numFmtId="0" fontId="2" fillId="0" borderId="1" xfId="0" applyFont="1" applyBorder="1" applyAlignment="1">
      <alignment wrapText="1"/>
    </xf>
    <xf numFmtId="166" fontId="0" fillId="0" borderId="1" xfId="0" applyNumberFormat="1" applyBorder="1" applyAlignment="1">
      <alignment horizontal="center"/>
    </xf>
    <xf numFmtId="166" fontId="0" fillId="0" borderId="2" xfId="0" applyNumberFormat="1" applyBorder="1" applyAlignment="1">
      <alignment horizontal="center"/>
    </xf>
    <xf numFmtId="166" fontId="0" fillId="0" borderId="3" xfId="0" applyNumberFormat="1" applyBorder="1" applyAlignment="1">
      <alignment horizontal="center"/>
    </xf>
    <xf numFmtId="20" fontId="0" fillId="0" borderId="4" xfId="0" applyNumberFormat="1" applyBorder="1" applyAlignment="1">
      <alignment horizontal="center"/>
    </xf>
    <xf numFmtId="166" fontId="0" fillId="0" borderId="0" xfId="0" applyNumberFormat="1" applyAlignment="1">
      <alignment horizontal="center"/>
    </xf>
    <xf numFmtId="0" fontId="12" fillId="14" borderId="0" xfId="0" applyFont="1" applyFill="1" applyAlignment="1">
      <alignment horizontal="center"/>
    </xf>
    <xf numFmtId="0" fontId="12" fillId="17" borderId="1" xfId="0" applyFont="1" applyFill="1" applyBorder="1" applyAlignment="1">
      <alignment horizontal="center"/>
    </xf>
    <xf numFmtId="0" fontId="6" fillId="18" borderId="1" xfId="0" applyFont="1" applyFill="1" applyBorder="1" applyAlignment="1">
      <alignment horizontal="center" wrapText="1"/>
    </xf>
    <xf numFmtId="0" fontId="8" fillId="19" borderId="1" xfId="0" applyFont="1" applyFill="1" applyBorder="1" applyAlignment="1">
      <alignment horizontal="center"/>
    </xf>
    <xf numFmtId="0" fontId="8" fillId="9" borderId="1" xfId="0" applyFont="1" applyFill="1" applyBorder="1" applyAlignment="1">
      <alignment horizontal="center"/>
    </xf>
    <xf numFmtId="0" fontId="8" fillId="11" borderId="1" xfId="0" applyFont="1" applyFill="1" applyBorder="1" applyAlignment="1">
      <alignment horizontal="center"/>
    </xf>
    <xf numFmtId="0" fontId="2" fillId="0" borderId="1" xfId="0" applyFont="1" applyBorder="1" applyAlignment="1">
      <alignment horizontal="center" wrapText="1"/>
    </xf>
    <xf numFmtId="168" fontId="0" fillId="0" borderId="1" xfId="0" applyNumberFormat="1" applyBorder="1" applyAlignment="1">
      <alignment horizontal="center"/>
    </xf>
    <xf numFmtId="1" fontId="2" fillId="0" borderId="1" xfId="0" applyNumberFormat="1" applyFont="1" applyBorder="1" applyAlignment="1">
      <alignment horizontal="center"/>
    </xf>
    <xf numFmtId="1" fontId="0" fillId="0" borderId="1" xfId="0" applyNumberFormat="1" applyBorder="1" applyAlignment="1">
      <alignment horizontal="center"/>
    </xf>
    <xf numFmtId="3" fontId="2" fillId="0" borderId="1" xfId="0" applyNumberFormat="1" applyFont="1" applyBorder="1" applyAlignment="1">
      <alignment horizontal="center"/>
    </xf>
    <xf numFmtId="0" fontId="8" fillId="20" borderId="1" xfId="0" applyFont="1" applyFill="1" applyBorder="1" applyAlignment="1">
      <alignment horizontal="center"/>
    </xf>
    <xf numFmtId="0" fontId="8" fillId="10" borderId="1" xfId="0" applyFont="1" applyFill="1" applyBorder="1" applyAlignment="1">
      <alignment horizontal="center"/>
    </xf>
    <xf numFmtId="168" fontId="2" fillId="0" borderId="1" xfId="0" applyNumberFormat="1" applyFont="1" applyBorder="1" applyAlignment="1">
      <alignment horizontal="center"/>
    </xf>
    <xf numFmtId="0" fontId="6" fillId="18" borderId="0" xfId="0" applyFont="1" applyFill="1" applyAlignment="1">
      <alignment horizontal="center" wrapText="1"/>
    </xf>
    <xf numFmtId="0" fontId="8" fillId="19" borderId="0" xfId="0" applyFont="1" applyFill="1" applyAlignment="1">
      <alignment horizontal="center"/>
    </xf>
    <xf numFmtId="0" fontId="15" fillId="21" borderId="0" xfId="0" applyFont="1" applyFill="1" applyAlignment="1">
      <alignment horizontal="center"/>
    </xf>
    <xf numFmtId="0" fontId="8" fillId="9" borderId="0" xfId="0" applyFont="1" applyFill="1" applyAlignment="1">
      <alignment horizontal="center"/>
    </xf>
    <xf numFmtId="0" fontId="8" fillId="10" borderId="0" xfId="0" applyFont="1" applyFill="1" applyAlignment="1">
      <alignment horizontal="center"/>
    </xf>
    <xf numFmtId="0" fontId="8" fillId="6" borderId="0" xfId="0" applyFont="1" applyFill="1" applyAlignment="1">
      <alignment horizontal="center"/>
    </xf>
    <xf numFmtId="0" fontId="16" fillId="3" borderId="1" xfId="0" applyFont="1" applyFill="1" applyBorder="1" applyAlignment="1">
      <alignment horizontal="center" vertical="center"/>
    </xf>
    <xf numFmtId="0" fontId="17" fillId="3" borderId="1" xfId="0" applyFont="1" applyFill="1" applyBorder="1" applyAlignment="1">
      <alignment vertical="center"/>
    </xf>
    <xf numFmtId="0" fontId="17" fillId="3" borderId="1" xfId="0" applyFont="1" applyFill="1" applyBorder="1" applyAlignment="1">
      <alignment vertical="center" wrapText="1"/>
    </xf>
    <xf numFmtId="0" fontId="0" fillId="22" borderId="0" xfId="0" applyFill="1"/>
    <xf numFmtId="0" fontId="16" fillId="23" borderId="1" xfId="0" applyFont="1" applyFill="1" applyBorder="1" applyAlignment="1">
      <alignment horizontal="center" vertical="center"/>
    </xf>
    <xf numFmtId="0" fontId="16" fillId="22" borderId="0" xfId="0" applyFont="1" applyFill="1" applyAlignment="1">
      <alignment horizontal="center" vertical="center"/>
    </xf>
    <xf numFmtId="0" fontId="17" fillId="24" borderId="1" xfId="0" applyFont="1" applyFill="1" applyBorder="1" applyAlignment="1">
      <alignment horizontal="left" vertical="center"/>
    </xf>
    <xf numFmtId="0" fontId="17" fillId="24" borderId="1" xfId="0" applyFont="1" applyFill="1" applyBorder="1" applyAlignment="1">
      <alignment horizontal="left" vertical="center" wrapText="1"/>
    </xf>
    <xf numFmtId="0" fontId="18" fillId="24" borderId="1" xfId="0" applyFont="1" applyFill="1" applyBorder="1" applyAlignment="1">
      <alignment vertical="center"/>
    </xf>
    <xf numFmtId="0" fontId="19" fillId="0" borderId="0" xfId="0" applyFont="1"/>
    <xf numFmtId="0" fontId="5" fillId="0" borderId="0" xfId="0" applyFont="1" applyAlignment="1">
      <alignment vertical="top" wrapText="1"/>
    </xf>
    <xf numFmtId="0" fontId="5" fillId="0" borderId="0" xfId="0" applyFont="1"/>
    <xf numFmtId="0" fontId="17" fillId="0" borderId="0" xfId="0" applyFont="1" applyAlignment="1">
      <alignment vertical="center"/>
    </xf>
    <xf numFmtId="0" fontId="10" fillId="0" borderId="0" xfId="1"/>
    <xf numFmtId="0" fontId="0" fillId="0" borderId="1" xfId="0" applyBorder="1" applyAlignment="1">
      <alignment vertical="center" wrapText="1"/>
    </xf>
    <xf numFmtId="0" fontId="0" fillId="0" borderId="1" xfId="0" applyBorder="1" applyAlignment="1">
      <alignment wrapText="1"/>
    </xf>
    <xf numFmtId="167" fontId="13" fillId="0" borderId="1" xfId="0" applyNumberFormat="1" applyFont="1" applyBorder="1" applyAlignment="1">
      <alignment horizontal="center"/>
    </xf>
    <xf numFmtId="0" fontId="0" fillId="25" borderId="0" xfId="0" applyFill="1"/>
    <xf numFmtId="164" fontId="2" fillId="0" borderId="1" xfId="0" applyNumberFormat="1" applyFont="1" applyBorder="1" applyAlignment="1">
      <alignment horizontal="center" wrapText="1"/>
    </xf>
    <xf numFmtId="0" fontId="11" fillId="26" borderId="1" xfId="0" applyFont="1" applyFill="1" applyBorder="1" applyAlignment="1">
      <alignment horizontal="center" wrapText="1"/>
    </xf>
    <xf numFmtId="22" fontId="0" fillId="0" borderId="0" xfId="0" applyNumberFormat="1" applyAlignment="1">
      <alignment horizontal="center"/>
    </xf>
    <xf numFmtId="0" fontId="8" fillId="27" borderId="0" xfId="0" applyFont="1" applyFill="1" applyAlignment="1">
      <alignment horizontal="center"/>
    </xf>
    <xf numFmtId="0" fontId="8" fillId="28" borderId="0" xfId="0" applyFont="1" applyFill="1" applyAlignment="1">
      <alignment horizontal="center"/>
    </xf>
    <xf numFmtId="0" fontId="10" fillId="3" borderId="1" xfId="1" applyFill="1" applyBorder="1" applyAlignment="1">
      <alignment vertical="center"/>
    </xf>
    <xf numFmtId="0" fontId="17" fillId="3" borderId="1" xfId="0" quotePrefix="1" applyFont="1" applyFill="1" applyBorder="1" applyAlignment="1">
      <alignment vertical="center"/>
    </xf>
    <xf numFmtId="0" fontId="1" fillId="0" borderId="0" xfId="0" applyFont="1"/>
    <xf numFmtId="0" fontId="20" fillId="29" borderId="1" xfId="0" applyFont="1" applyFill="1" applyBorder="1" applyAlignment="1">
      <alignment vertical="top" wrapText="1"/>
    </xf>
    <xf numFmtId="0" fontId="1" fillId="26" borderId="1" xfId="0" applyFont="1" applyFill="1" applyBorder="1"/>
    <xf numFmtId="0" fontId="0" fillId="26" borderId="1" xfId="0" applyFill="1" applyBorder="1"/>
    <xf numFmtId="0" fontId="0" fillId="26" borderId="1" xfId="0" applyFill="1" applyBorder="1" applyAlignment="1">
      <alignment wrapText="1"/>
    </xf>
    <xf numFmtId="0" fontId="10" fillId="26" borderId="1" xfId="1" applyFill="1" applyBorder="1"/>
    <xf numFmtId="0" fontId="17" fillId="24" borderId="1" xfId="0" applyFont="1" applyFill="1" applyBorder="1" applyAlignment="1">
      <alignment horizontal="center" vertical="center"/>
    </xf>
    <xf numFmtId="0" fontId="17" fillId="24" borderId="1" xfId="0" applyFont="1" applyFill="1" applyBorder="1" applyAlignment="1">
      <alignment horizontal="center" vertical="center" wrapText="1"/>
    </xf>
    <xf numFmtId="0" fontId="21" fillId="0" borderId="0" xfId="0" applyFont="1"/>
    <xf numFmtId="0" fontId="22" fillId="26" borderId="1" xfId="0" applyFont="1" applyFill="1" applyBorder="1"/>
    <xf numFmtId="0" fontId="22" fillId="26" borderId="1" xfId="0" applyFont="1" applyFill="1" applyBorder="1" applyAlignment="1">
      <alignment wrapText="1"/>
    </xf>
    <xf numFmtId="0" fontId="23" fillId="29" borderId="1" xfId="0" applyFont="1" applyFill="1" applyBorder="1" applyAlignment="1">
      <alignment vertical="top" wrapText="1"/>
    </xf>
    <xf numFmtId="0" fontId="22" fillId="0" borderId="0" xfId="0" applyFont="1"/>
    <xf numFmtId="0" fontId="1" fillId="26" borderId="1" xfId="0" applyFont="1" applyFill="1" applyBorder="1" applyAlignment="1">
      <alignment wrapText="1"/>
    </xf>
    <xf numFmtId="0" fontId="13" fillId="26" borderId="1" xfId="1" applyFont="1" applyFill="1" applyBorder="1"/>
    <xf numFmtId="0" fontId="10" fillId="29" borderId="1" xfId="1" applyFill="1" applyBorder="1" applyAlignment="1">
      <alignment vertical="top" wrapText="1"/>
    </xf>
    <xf numFmtId="0" fontId="24" fillId="12" borderId="1" xfId="1" applyFont="1" applyFill="1" applyBorder="1" applyAlignment="1">
      <alignment horizontal="center"/>
    </xf>
    <xf numFmtId="0" fontId="25" fillId="3" borderId="1" xfId="0" applyFont="1" applyFill="1" applyBorder="1" applyAlignment="1">
      <alignment vertical="center"/>
    </xf>
    <xf numFmtId="0" fontId="25" fillId="3" borderId="1" xfId="0" applyFont="1" applyFill="1" applyBorder="1" applyAlignment="1">
      <alignment vertical="center" wrapText="1"/>
    </xf>
    <xf numFmtId="0" fontId="3" fillId="0" borderId="0" xfId="0" applyFont="1"/>
    <xf numFmtId="0" fontId="0" fillId="0" borderId="0" xfId="0" applyAlignment="1">
      <alignment horizontal="center" wrapText="1"/>
    </xf>
    <xf numFmtId="169" fontId="17" fillId="3" borderId="1" xfId="2" applyNumberFormat="1" applyFont="1" applyFill="1" applyBorder="1" applyAlignment="1">
      <alignment vertical="center"/>
    </xf>
    <xf numFmtId="0" fontId="17" fillId="24" borderId="1" xfId="0" applyFont="1" applyFill="1" applyBorder="1" applyAlignment="1">
      <alignment horizontal="center" vertical="center" wrapText="1"/>
    </xf>
    <xf numFmtId="0" fontId="17" fillId="24" borderId="1" xfId="0" applyFont="1" applyFill="1" applyBorder="1" applyAlignment="1">
      <alignment horizontal="center" vertical="center"/>
    </xf>
    <xf numFmtId="0" fontId="17" fillId="24" borderId="1" xfId="0" applyFont="1" applyFill="1" applyBorder="1" applyAlignment="1">
      <alignment horizontal="left" vertical="center"/>
    </xf>
    <xf numFmtId="0" fontId="17" fillId="24" borderId="1" xfId="0" applyFont="1" applyFill="1" applyBorder="1" applyAlignment="1">
      <alignment horizontal="left" vertical="center" wrapText="1"/>
    </xf>
    <xf numFmtId="0" fontId="18" fillId="24" borderId="2" xfId="0" applyFont="1" applyFill="1" applyBorder="1" applyAlignment="1">
      <alignment horizontal="center" vertical="center"/>
    </xf>
    <xf numFmtId="0" fontId="18" fillId="24" borderId="5" xfId="0" applyFont="1" applyFill="1" applyBorder="1" applyAlignment="1">
      <alignment horizontal="center" vertical="center"/>
    </xf>
    <xf numFmtId="0" fontId="18" fillId="24" borderId="6" xfId="0" applyFont="1" applyFill="1" applyBorder="1" applyAlignment="1">
      <alignment horizontal="center" vertical="center"/>
    </xf>
    <xf numFmtId="0" fontId="18" fillId="24" borderId="1" xfId="0" applyFont="1" applyFill="1" applyBorder="1" applyAlignment="1">
      <alignment horizontal="center" vertical="center"/>
    </xf>
    <xf numFmtId="0" fontId="12" fillId="30" borderId="1" xfId="0" applyFont="1" applyFill="1" applyBorder="1" applyAlignment="1">
      <alignment horizontal="center"/>
    </xf>
  </cellXfs>
  <cellStyles count="3">
    <cellStyle name="Hipervínculo" xfId="1" builtinId="8"/>
    <cellStyle name="Moneda" xfId="2"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7C7AC"/>
      <rgbColor rgb="FFD0CECE"/>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CCFFFF"/>
      <rgbColor rgb="FFD9D9D9"/>
      <rgbColor rgb="FFFFE699"/>
      <rgbColor rgb="FF9DC3E6"/>
      <rgbColor rgb="FFF1ABE9"/>
      <rgbColor rgb="FFCC99FF"/>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10</xdr:col>
      <xdr:colOff>364320</xdr:colOff>
      <xdr:row>26</xdr:row>
      <xdr:rowOff>38160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7982280" cy="456228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and\Desktop\DOO\DOO\Barberia\Modelo%20de%20dominio%20enriquesido.xlsx" TargetMode="External"/><Relationship Id="rId1" Type="http://schemas.openxmlformats.org/officeDocument/2006/relationships/externalLinkPath" Target="Modelo%20de%20dominio%20enriquesid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o de Dominio"/>
      <sheetName val="Objetos de Dominio"/>
      <sheetName val="C-Agenda"/>
      <sheetName val="M-Agenda"/>
      <sheetName val="C-Dueño"/>
      <sheetName val="M-Dueño"/>
      <sheetName val="C-Barbero"/>
      <sheetName val="M-Barbero"/>
      <sheetName val="C-Cliente"/>
      <sheetName val="M-Cliente"/>
      <sheetName val="C-HorarioBarberia"/>
      <sheetName val="M-HorarioBarberia"/>
      <sheetName val="C-Regla"/>
      <sheetName val="M-Regla"/>
      <sheetName val="C-Servicio"/>
      <sheetName val="M-Servicio"/>
      <sheetName val="C-BarberoServicio"/>
      <sheetName val="M-BarberoServicio"/>
      <sheetName val="C-HorarioBarbero"/>
      <sheetName val="M-HorarioBarbero"/>
      <sheetName val="C-Bloqueo"/>
      <sheetName val="M-Bloqueo"/>
      <sheetName val="C-Cita"/>
      <sheetName val="M-Cita"/>
      <sheetName val="C-CitaServicio"/>
      <sheetName val="M-CitaServicio"/>
      <sheetName val="C-Multa"/>
      <sheetName val="M-Mul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3">
          <cell r="A3" t="str">
            <v>id</v>
          </cell>
          <cell r="C3" t="str">
            <v>toleranciaTardanzaCliente</v>
          </cell>
          <cell r="D3" t="str">
            <v>montoMultaTardanzaCliente</v>
          </cell>
          <cell r="E3" t="str">
            <v>numeroMultasMaxima</v>
          </cell>
          <cell r="F3" t="str">
            <v>toleranciaTardanzaBarbero</v>
          </cell>
          <cell r="G3" t="str">
            <v>porcentajeDescuentoCita</v>
          </cell>
        </row>
      </sheetData>
      <sheetData sheetId="14"/>
      <sheetData sheetId="15">
        <row r="2">
          <cell r="G2" t="str">
            <v>Combinacion única que indica que no puede existir más de un servicio con el mismo nombre</v>
          </cell>
        </row>
        <row r="3">
          <cell r="A3" t="str">
            <v>id</v>
          </cell>
          <cell r="C3" t="str">
            <v>nombre</v>
          </cell>
          <cell r="D3" t="str">
            <v>descripcion</v>
          </cell>
          <cell r="E3" t="str">
            <v>precio</v>
          </cell>
          <cell r="F3" t="str">
            <v>disponible</v>
          </cell>
          <cell r="G3" t="str">
            <v xml:space="preserve">Combinacion única </v>
          </cell>
        </row>
      </sheetData>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09375" defaultRowHeight="14.4" x14ac:dyDescent="0.3"/>
  <cols>
    <col min="1" max="1" width="26.109375" customWidth="1"/>
  </cols>
  <sheetData>
    <row r="1" spans="1:30" ht="14.25" customHeight="1" x14ac:dyDescent="0.3">
      <c r="A1" s="114"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spans="1:30" ht="14.25" customHeight="1" x14ac:dyDescent="0.3">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4.25" customHeight="1"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spans="1:30" ht="14.25" customHeight="1" x14ac:dyDescent="0.3">
      <c r="A4" s="2"/>
      <c r="B4" s="2"/>
      <c r="C4" s="2"/>
      <c r="D4" s="2"/>
      <c r="E4" s="2"/>
      <c r="F4" s="2"/>
      <c r="G4" s="2"/>
      <c r="H4" s="2"/>
      <c r="I4" s="2"/>
      <c r="J4" s="2"/>
      <c r="K4" s="2"/>
      <c r="L4" s="2"/>
      <c r="M4" s="2"/>
      <c r="N4" s="2"/>
      <c r="O4" s="2"/>
      <c r="P4" s="2"/>
      <c r="Q4" s="2"/>
      <c r="R4" s="2"/>
      <c r="S4" s="2"/>
      <c r="T4" s="2"/>
      <c r="U4" s="2"/>
      <c r="V4" s="2"/>
      <c r="W4" s="2"/>
      <c r="X4" s="2"/>
      <c r="Y4" s="2"/>
      <c r="Z4" s="2"/>
      <c r="AA4" s="2"/>
      <c r="AB4" s="2"/>
      <c r="AC4" s="2"/>
      <c r="AD4" s="2"/>
    </row>
    <row r="5" spans="1:30" ht="14.25" customHeight="1" x14ac:dyDescent="0.3">
      <c r="A5" s="2"/>
      <c r="B5" s="2"/>
      <c r="C5" s="2"/>
      <c r="D5" s="2"/>
      <c r="E5" s="2"/>
      <c r="F5" s="2"/>
      <c r="G5" s="2"/>
      <c r="H5" s="2"/>
      <c r="I5" s="2"/>
      <c r="J5" s="2"/>
      <c r="K5" s="2"/>
      <c r="L5" s="2"/>
      <c r="M5" s="2"/>
      <c r="N5" s="2"/>
      <c r="O5" s="2"/>
      <c r="P5" s="2"/>
      <c r="Q5" s="2"/>
      <c r="R5" s="2"/>
      <c r="S5" s="2"/>
      <c r="T5" s="2"/>
      <c r="U5" s="2"/>
      <c r="V5" s="2"/>
      <c r="W5" s="2"/>
      <c r="X5" s="2"/>
      <c r="Y5" s="2"/>
      <c r="Z5" s="2"/>
      <c r="AA5" s="2"/>
      <c r="AB5" s="2"/>
      <c r="AC5" s="2"/>
      <c r="AD5" s="2"/>
    </row>
    <row r="6" spans="1:30" ht="14.25" customHeight="1" x14ac:dyDescent="0.3">
      <c r="A6" s="2"/>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ht="14.25" customHeight="1" x14ac:dyDescent="0.3">
      <c r="A7" s="2"/>
      <c r="B7" s="2"/>
      <c r="C7" s="2"/>
      <c r="D7" s="2"/>
      <c r="E7" s="2"/>
      <c r="F7" s="2"/>
      <c r="G7" s="2"/>
      <c r="H7" s="2"/>
      <c r="I7" s="2"/>
      <c r="J7" s="2"/>
      <c r="K7" s="2"/>
      <c r="L7" s="2"/>
      <c r="M7" s="2"/>
      <c r="N7" s="2"/>
      <c r="O7" s="2"/>
      <c r="P7" s="2"/>
      <c r="Q7" s="2"/>
      <c r="R7" s="2"/>
      <c r="S7" s="2"/>
      <c r="T7" s="2"/>
      <c r="U7" s="2"/>
      <c r="V7" s="2"/>
      <c r="W7" s="2"/>
      <c r="X7" s="2"/>
      <c r="Y7" s="2"/>
      <c r="Z7" s="2"/>
      <c r="AA7" s="2"/>
      <c r="AB7" s="2"/>
      <c r="AC7" s="2"/>
      <c r="AD7" s="2"/>
    </row>
    <row r="8" spans="1:30" ht="14.25" customHeight="1" x14ac:dyDescent="0.3">
      <c r="A8" s="2"/>
      <c r="B8" s="2"/>
      <c r="C8" s="2"/>
      <c r="D8" s="2"/>
      <c r="E8" s="2"/>
      <c r="F8" s="2"/>
      <c r="G8" s="2"/>
      <c r="H8" s="2"/>
      <c r="I8" s="2"/>
      <c r="J8" s="2"/>
      <c r="K8" s="2"/>
      <c r="L8" s="2"/>
      <c r="M8" s="2"/>
      <c r="N8" s="2"/>
      <c r="O8" s="2"/>
      <c r="P8" s="2"/>
      <c r="Q8" s="2"/>
      <c r="R8" s="2"/>
      <c r="S8" s="2"/>
      <c r="T8" s="2"/>
      <c r="U8" s="2"/>
      <c r="V8" s="2"/>
      <c r="W8" s="2"/>
      <c r="X8" s="2"/>
      <c r="Y8" s="2"/>
      <c r="Z8" s="2"/>
      <c r="AA8" s="2"/>
      <c r="AB8" s="2"/>
      <c r="AC8" s="2"/>
      <c r="AD8" s="2"/>
    </row>
    <row r="9" spans="1:30" ht="14.25" customHeight="1" x14ac:dyDescent="0.3">
      <c r="A9" s="2"/>
      <c r="B9" s="2"/>
      <c r="C9" s="2"/>
      <c r="D9" s="2"/>
      <c r="E9" s="2"/>
      <c r="F9" s="2"/>
      <c r="G9" s="2"/>
      <c r="H9" s="2"/>
      <c r="I9" s="2"/>
      <c r="J9" s="2"/>
      <c r="K9" s="2"/>
      <c r="L9" s="2"/>
      <c r="M9" s="2"/>
      <c r="N9" s="2"/>
      <c r="O9" s="2"/>
      <c r="P9" s="2"/>
      <c r="Q9" s="2"/>
      <c r="R9" s="2"/>
      <c r="S9" s="2"/>
      <c r="T9" s="2"/>
      <c r="U9" s="2"/>
      <c r="V9" s="2"/>
      <c r="W9" s="2"/>
      <c r="X9" s="2"/>
      <c r="Y9" s="2"/>
      <c r="Z9" s="2"/>
      <c r="AA9" s="2"/>
      <c r="AB9" s="2"/>
      <c r="AC9" s="2"/>
      <c r="AD9" s="2"/>
    </row>
    <row r="10" spans="1:30" ht="14.25" customHeight="1" x14ac:dyDescent="0.3">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spans="1:30" ht="14.2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spans="1:30" ht="14.25" customHeight="1" x14ac:dyDescent="0.3">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row>
    <row r="13" spans="1:30" ht="14.25" customHeight="1" x14ac:dyDescent="0.3">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spans="1:30" ht="14.25" customHeight="1" x14ac:dyDescent="0.3">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spans="1:30" ht="14.2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spans="1:30" ht="14.25" customHeight="1" x14ac:dyDescent="0.3">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spans="1:30" ht="14.2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spans="1:30" ht="14.25" customHeight="1" x14ac:dyDescent="0.3">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row>
    <row r="19" spans="1:30" ht="14.25"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spans="1:30" ht="14.25" customHeight="1" x14ac:dyDescent="0.3">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spans="1:30" ht="14.2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spans="1:30" ht="14.2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spans="1:30" ht="14.2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spans="1:30" ht="14.2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spans="1:30" ht="14.2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4.2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spans="1:30" ht="14.2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row>
    <row r="28" spans="1:30" ht="14.2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row>
    <row r="29" spans="1:30" ht="14.2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ht="14.2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row>
    <row r="31" spans="1:30" ht="14.2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spans="1:30" ht="14.2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spans="1:30" ht="14.2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spans="1:30" ht="14.2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spans="1:30" ht="14.2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spans="1:30" ht="14.2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spans="1:30" ht="14.2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spans="1:30" ht="14.2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ht="14.2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spans="1:30" ht="14.2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ht="14.2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spans="1:30" ht="14.2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ht="14.2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spans="1:30" ht="14.2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spans="1:30" ht="14.2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spans="1:30" ht="14.2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spans="1:30" ht="14.2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spans="1:30" ht="14.2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spans="1:30" ht="14.2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spans="1:30" ht="14.2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zoomScaleNormal="100" workbookViewId="0">
      <selection activeCell="D10" sqref="D10"/>
    </sheetView>
  </sheetViews>
  <sheetFormatPr baseColWidth="10" defaultColWidth="10.6640625" defaultRowHeight="14.4" x14ac:dyDescent="0.3"/>
  <cols>
    <col min="1" max="1" width="27" customWidth="1"/>
    <col min="2" max="2" width="48.21875" customWidth="1"/>
    <col min="3" max="3" width="12.5546875" customWidth="1"/>
    <col min="4" max="4" width="12.33203125" bestFit="1" customWidth="1"/>
    <col min="5" max="5" width="18.5546875" bestFit="1" customWidth="1"/>
  </cols>
  <sheetData>
    <row r="1" spans="1:6" ht="14.25" customHeight="1" x14ac:dyDescent="0.3">
      <c r="A1" s="114" t="s">
        <v>1</v>
      </c>
    </row>
    <row r="2" spans="1:6" ht="14.25" customHeight="1" x14ac:dyDescent="0.3">
      <c r="A2" s="3" t="s">
        <v>2</v>
      </c>
      <c r="B2" s="3" t="s">
        <v>3</v>
      </c>
      <c r="C2" s="3" t="s">
        <v>4</v>
      </c>
      <c r="D2" s="3" t="s">
        <v>5</v>
      </c>
      <c r="E2" s="3" t="s">
        <v>6</v>
      </c>
      <c r="F2" s="3" t="s">
        <v>7</v>
      </c>
    </row>
    <row r="3" spans="1:6" ht="43.2" x14ac:dyDescent="0.3">
      <c r="A3" s="6" t="s">
        <v>8</v>
      </c>
      <c r="B3" s="115" t="s">
        <v>9</v>
      </c>
      <c r="C3" s="5">
        <v>1</v>
      </c>
      <c r="D3" s="4" t="s">
        <v>10</v>
      </c>
      <c r="E3" s="4" t="s">
        <v>11</v>
      </c>
      <c r="F3" s="6" t="s">
        <v>12</v>
      </c>
    </row>
    <row r="4" spans="1:6" ht="57.6" x14ac:dyDescent="0.3">
      <c r="A4" s="6" t="s">
        <v>13</v>
      </c>
      <c r="B4" s="116" t="s">
        <v>14</v>
      </c>
      <c r="C4" s="6">
        <v>1</v>
      </c>
      <c r="D4" s="4" t="s">
        <v>10</v>
      </c>
      <c r="E4" s="4" t="s">
        <v>11</v>
      </c>
      <c r="F4" s="6" t="s">
        <v>12</v>
      </c>
    </row>
    <row r="5" spans="1:6" ht="43.2" x14ac:dyDescent="0.3">
      <c r="A5" s="6" t="s">
        <v>15</v>
      </c>
      <c r="B5" s="116" t="s">
        <v>16</v>
      </c>
      <c r="C5" s="6">
        <v>1</v>
      </c>
      <c r="D5" s="4" t="s">
        <v>10</v>
      </c>
      <c r="E5" s="4" t="s">
        <v>11</v>
      </c>
      <c r="F5" s="6" t="s">
        <v>12</v>
      </c>
    </row>
    <row r="6" spans="1:6" ht="72" x14ac:dyDescent="0.3">
      <c r="A6" s="6" t="s">
        <v>17</v>
      </c>
      <c r="B6" s="116" t="s">
        <v>18</v>
      </c>
      <c r="C6" s="6">
        <v>1</v>
      </c>
      <c r="D6" s="4" t="s">
        <v>10</v>
      </c>
      <c r="E6" s="4" t="s">
        <v>11</v>
      </c>
      <c r="F6" s="6" t="s">
        <v>12</v>
      </c>
    </row>
    <row r="7" spans="1:6" ht="43.2" x14ac:dyDescent="0.3">
      <c r="A7" s="6" t="s">
        <v>19</v>
      </c>
      <c r="B7" s="116" t="s">
        <v>20</v>
      </c>
      <c r="C7" s="6">
        <v>1</v>
      </c>
      <c r="D7" s="4" t="s">
        <v>10</v>
      </c>
      <c r="E7" s="4" t="s">
        <v>11</v>
      </c>
      <c r="F7" s="6" t="s">
        <v>12</v>
      </c>
    </row>
    <row r="8" spans="1:6" ht="28.8" x14ac:dyDescent="0.3">
      <c r="A8" s="6" t="s">
        <v>21</v>
      </c>
      <c r="B8" s="116" t="s">
        <v>22</v>
      </c>
      <c r="C8" s="6">
        <v>1</v>
      </c>
      <c r="D8" s="4" t="s">
        <v>10</v>
      </c>
      <c r="E8" s="4" t="s">
        <v>11</v>
      </c>
      <c r="F8" s="6" t="s">
        <v>12</v>
      </c>
    </row>
    <row r="9" spans="1:6" ht="43.2" x14ac:dyDescent="0.3">
      <c r="A9" s="6" t="s">
        <v>23</v>
      </c>
      <c r="B9" s="116" t="s">
        <v>24</v>
      </c>
      <c r="C9" s="6">
        <v>2</v>
      </c>
      <c r="D9" s="4" t="s">
        <v>10</v>
      </c>
      <c r="E9" s="4" t="s">
        <v>11</v>
      </c>
      <c r="F9" s="6" t="s">
        <v>12</v>
      </c>
    </row>
    <row r="10" spans="1:6" ht="57.6" x14ac:dyDescent="0.3">
      <c r="A10" s="6" t="s">
        <v>25</v>
      </c>
      <c r="B10" s="116" t="s">
        <v>26</v>
      </c>
      <c r="C10" s="6">
        <v>2</v>
      </c>
      <c r="D10" s="4" t="s">
        <v>10</v>
      </c>
      <c r="E10" s="4" t="s">
        <v>11</v>
      </c>
      <c r="F10" s="6" t="s">
        <v>12</v>
      </c>
    </row>
    <row r="11" spans="1:6" ht="43.2" x14ac:dyDescent="0.3">
      <c r="A11" s="6" t="s">
        <v>27</v>
      </c>
      <c r="B11" s="116" t="s">
        <v>28</v>
      </c>
      <c r="C11" s="6">
        <v>2</v>
      </c>
      <c r="D11" s="4" t="s">
        <v>10</v>
      </c>
      <c r="E11" s="4" t="s">
        <v>11</v>
      </c>
      <c r="F11" s="6" t="s">
        <v>12</v>
      </c>
    </row>
    <row r="12" spans="1:6" ht="57.6" x14ac:dyDescent="0.3">
      <c r="A12" s="6" t="s">
        <v>29</v>
      </c>
      <c r="B12" s="116" t="s">
        <v>30</v>
      </c>
      <c r="C12" s="6">
        <v>3</v>
      </c>
      <c r="D12" s="4" t="s">
        <v>10</v>
      </c>
      <c r="E12" s="4" t="s">
        <v>11</v>
      </c>
      <c r="F12" s="6" t="s">
        <v>12</v>
      </c>
    </row>
    <row r="13" spans="1:6" ht="43.2" x14ac:dyDescent="0.3">
      <c r="A13" s="6" t="s">
        <v>31</v>
      </c>
      <c r="B13" s="116" t="s">
        <v>32</v>
      </c>
      <c r="C13" s="6">
        <v>3</v>
      </c>
      <c r="D13" s="4" t="s">
        <v>10</v>
      </c>
      <c r="E13" s="4" t="s">
        <v>11</v>
      </c>
      <c r="F13" s="6" t="s">
        <v>12</v>
      </c>
    </row>
    <row r="14" spans="1:6" ht="57.6" x14ac:dyDescent="0.3">
      <c r="A14" s="6" t="s">
        <v>33</v>
      </c>
      <c r="B14" s="116" t="s">
        <v>34</v>
      </c>
      <c r="C14" s="6">
        <v>4</v>
      </c>
      <c r="D14" s="4" t="s">
        <v>10</v>
      </c>
      <c r="E14" s="4" t="s">
        <v>11</v>
      </c>
      <c r="F14" s="6" t="s">
        <v>12</v>
      </c>
    </row>
    <row r="15" spans="1:6" ht="57.6" x14ac:dyDescent="0.3">
      <c r="A15" s="6" t="s">
        <v>35</v>
      </c>
      <c r="B15" s="116" t="s">
        <v>36</v>
      </c>
      <c r="C15" s="6">
        <v>5</v>
      </c>
      <c r="D15" s="4" t="s">
        <v>10</v>
      </c>
      <c r="E15" s="4" t="s">
        <v>11</v>
      </c>
      <c r="F15" s="6" t="s">
        <v>12</v>
      </c>
    </row>
    <row r="16" spans="1:6" ht="72" x14ac:dyDescent="0.3">
      <c r="A16" s="6" t="s">
        <v>37</v>
      </c>
      <c r="B16" s="116" t="s">
        <v>38</v>
      </c>
      <c r="C16" s="6">
        <v>6</v>
      </c>
      <c r="D16" s="4" t="s">
        <v>10</v>
      </c>
      <c r="E16" s="4" t="s">
        <v>11</v>
      </c>
      <c r="F16" s="6" t="s">
        <v>12</v>
      </c>
    </row>
    <row r="17" spans="1:6" ht="57.6" x14ac:dyDescent="0.3">
      <c r="A17" s="6" t="s">
        <v>39</v>
      </c>
      <c r="B17" s="116" t="s">
        <v>40</v>
      </c>
      <c r="C17" s="6">
        <v>6</v>
      </c>
      <c r="D17" s="4" t="s">
        <v>10</v>
      </c>
      <c r="E17" s="4" t="s">
        <v>11</v>
      </c>
      <c r="F17" s="6" t="s">
        <v>12</v>
      </c>
    </row>
  </sheetData>
  <hyperlinks>
    <hyperlink ref="A1" location="'Modelo de Dominio'!A1" display="&lt;&lt;&lt;&lt; Ir al modulo de dominio" xr:uid="{00000000-0004-0000-0100-000000000000}"/>
    <hyperlink ref="D3" location="'M-DiaSemana'!A3" display="Ir al muestreo" xr:uid="{00000000-0004-0000-0100-000002000000}"/>
    <hyperlink ref="E3" location="'C-DiaSemana'!A3" display="Ir a la caracterización" xr:uid="{00000000-0004-0000-0100-000003000000}"/>
    <hyperlink ref="D4" location="'M-Estado'!A3" display="Ir al muestreo" xr:uid="{00000000-0004-0000-0100-000005000000}"/>
    <hyperlink ref="E4" location="'C-Estado'!A3" display="Ir a la caracterización" xr:uid="{00000000-0004-0000-0100-000006000000}"/>
    <hyperlink ref="D5" location="'M-Servicio'!A3" display="Ir al muestreo" xr:uid="{00000000-0004-0000-0100-000008000000}"/>
    <hyperlink ref="E5" location="'C-Servicio'!A3" display="Ir a la caracterización" xr:uid="{00000000-0004-0000-0100-000009000000}"/>
    <hyperlink ref="D6" location="'M-Regla'!A3" display="Ir al muestreo" xr:uid="{00000000-0004-0000-0100-00000B000000}"/>
    <hyperlink ref="E6" location="'C-Regla'!A3" display="Ir a la caracterización" xr:uid="{00000000-0004-0000-0100-00000C000000}"/>
    <hyperlink ref="D7" location="'M-PrefijoCelular'!A3" display="Ir al muestreo" xr:uid="{00000000-0004-0000-0100-00000E000000}"/>
    <hyperlink ref="E7" location="'C-PrefijoCelular'!A3" display="Ir a la caracterización" xr:uid="{00000000-0004-0000-0100-00000F000000}"/>
    <hyperlink ref="D8" location="'M-TipoMulta'!A3" display="Ir al muestreo" xr:uid="{00000000-0004-0000-0100-000011000000}"/>
    <hyperlink ref="E8" location="'C-TipoMulta'!A3" display="Ir a la caracterización" xr:uid="{00000000-0004-0000-0100-000012000000}"/>
    <hyperlink ref="D9" location="'M-Barbero'!A3" display="Ir al muestreo" xr:uid="{00000000-0004-0000-0100-000014000000}"/>
    <hyperlink ref="E9" location="'C-Barbero'!A3" display="Ir a la caracterización" xr:uid="{00000000-0004-0000-0100-000015000000}"/>
    <hyperlink ref="D10" location="'M-Cliente'!A3" display="Ir al muestreo" xr:uid="{00000000-0004-0000-0100-000017000000}"/>
    <hyperlink ref="E10" location="'C-Cliente'!A3" display="Ir a la caracterización" xr:uid="{00000000-0004-0000-0100-000018000000}"/>
    <hyperlink ref="D11" location="'M-HorarioBarberia'!A3" display="Ir al muestreo" xr:uid="{00000000-0004-0000-0100-00001A000000}"/>
    <hyperlink ref="E11" location="'C-HorarioBarberia'!A3" display="Ir a la caracterización" xr:uid="{00000000-0004-0000-0100-00001B000000}"/>
    <hyperlink ref="D12" location="'M-BarberoServicio'!A3" display="Ir al muestreo" xr:uid="{00000000-0004-0000-0100-00001D000000}"/>
    <hyperlink ref="E12" location="'C-BarberoServicio'!A3" display="Ir a la caracterización" xr:uid="{00000000-0004-0000-0100-00001E000000}"/>
    <hyperlink ref="D13" location="'M-HorarioBarbero'!A3" display="Ir al muestreo" xr:uid="{00000000-0004-0000-0100-000020000000}"/>
    <hyperlink ref="E13" location="'C-HorarioBarbero'!A3" display="Ir a la caracterización" xr:uid="{00000000-0004-0000-0100-000021000000}"/>
    <hyperlink ref="D14" location="'M-Agenda'!A3" display="Ir al muestreo" xr:uid="{00000000-0004-0000-0100-000023000000}"/>
    <hyperlink ref="E14" location="'C-Agenda'!A3" display="Ir a la caracterización" xr:uid="{00000000-0004-0000-0100-000024000000}"/>
    <hyperlink ref="D15" location="'M-Cita'!A3" display="Ir al muestreo" xr:uid="{00000000-0004-0000-0100-000026000000}"/>
    <hyperlink ref="E15" location="'C-Cita'!A3" display="Ir a la caracterización" xr:uid="{00000000-0004-0000-0100-000027000000}"/>
    <hyperlink ref="D16" location="'M-CitaServicio'!A3" display="Ir al muestreo" xr:uid="{00000000-0004-0000-0100-000029000000}"/>
    <hyperlink ref="E16" location="'C-CitaServicio'!A3" display="Ir a la caracterización" xr:uid="{00000000-0004-0000-0100-00002A000000}"/>
    <hyperlink ref="D17" location="'M-Multa'!A3" display="Ir al muestreo" xr:uid="{00000000-0004-0000-0100-00002C000000}"/>
    <hyperlink ref="E17" location="'C-Multa'!A3" display="Ir a la caracterización" xr:uid="{00000000-0004-0000-0100-00002D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topLeftCell="N1" zoomScaleNormal="100" workbookViewId="0">
      <selection activeCell="R3" sqref="R3"/>
    </sheetView>
  </sheetViews>
  <sheetFormatPr baseColWidth="10" defaultColWidth="8.6640625" defaultRowHeight="14.4" x14ac:dyDescent="0.3"/>
  <cols>
    <col min="1" max="1" width="26.6640625" bestFit="1" customWidth="1"/>
    <col min="2" max="2" width="45" customWidth="1"/>
    <col min="3" max="3" width="30.44140625" bestFit="1" customWidth="1"/>
    <col min="4" max="4" width="23.6640625" bestFit="1" customWidth="1"/>
    <col min="5" max="5" width="18" customWidth="1"/>
    <col min="6" max="6" width="23.77734375" bestFit="1" customWidth="1"/>
    <col min="7" max="7" width="24.109375" bestFit="1" customWidth="1"/>
    <col min="8" max="8" width="17.5546875" bestFit="1"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s="145" customFormat="1" x14ac:dyDescent="0.3">
      <c r="A2" s="143" t="s">
        <v>42</v>
      </c>
      <c r="B2" s="144" t="s">
        <v>43</v>
      </c>
      <c r="C2" s="143" t="s">
        <v>44</v>
      </c>
      <c r="D2" s="143" t="s">
        <v>45</v>
      </c>
      <c r="E2" s="143" t="s">
        <v>46</v>
      </c>
      <c r="F2" s="143" t="s">
        <v>47</v>
      </c>
      <c r="G2" s="143" t="s">
        <v>48</v>
      </c>
      <c r="H2" s="143" t="s">
        <v>49</v>
      </c>
      <c r="I2" s="143" t="s">
        <v>50</v>
      </c>
      <c r="J2" s="143" t="s">
        <v>51</v>
      </c>
      <c r="K2" s="143" t="s">
        <v>52</v>
      </c>
      <c r="L2" s="143" t="s">
        <v>53</v>
      </c>
      <c r="M2" s="144" t="s">
        <v>54</v>
      </c>
      <c r="N2" s="143" t="s">
        <v>55</v>
      </c>
      <c r="O2" s="143" t="s">
        <v>56</v>
      </c>
      <c r="P2" s="143" t="s">
        <v>57</v>
      </c>
      <c r="Q2" s="143" t="s">
        <v>58</v>
      </c>
      <c r="R2" s="143" t="s">
        <v>59</v>
      </c>
      <c r="S2" s="143" t="s">
        <v>60</v>
      </c>
      <c r="T2" s="143" t="s">
        <v>61</v>
      </c>
      <c r="U2" s="143" t="s">
        <v>62</v>
      </c>
    </row>
    <row r="3" spans="1:21" ht="28.8" x14ac:dyDescent="0.3">
      <c r="A3" s="102" t="str">
        <f>'M-DiaSemana'!A3</f>
        <v>id</v>
      </c>
      <c r="B3" s="103" t="str">
        <f>'M-DiaSemana'!A2</f>
        <v>Representa un identificador que hará unico cada objeto de dominio de este tipo, no se puede repetir</v>
      </c>
      <c r="C3" s="102" t="s">
        <v>63</v>
      </c>
      <c r="D3" s="102" t="s">
        <v>64</v>
      </c>
      <c r="E3" s="102" t="s">
        <v>63</v>
      </c>
      <c r="F3" s="102" t="s">
        <v>363</v>
      </c>
      <c r="G3" s="102" t="s">
        <v>363</v>
      </c>
      <c r="H3" s="102" t="s">
        <v>363</v>
      </c>
      <c r="I3" s="102" t="s">
        <v>363</v>
      </c>
      <c r="J3" s="102" t="s">
        <v>363</v>
      </c>
      <c r="K3" s="102" t="s">
        <v>363</v>
      </c>
      <c r="L3" s="102" t="s">
        <v>363</v>
      </c>
      <c r="M3" s="102" t="s">
        <v>363</v>
      </c>
      <c r="N3" s="102" t="s">
        <v>65</v>
      </c>
      <c r="O3" s="102" t="s">
        <v>363</v>
      </c>
      <c r="P3" s="102" t="s">
        <v>363</v>
      </c>
      <c r="Q3" s="102" t="s">
        <v>363</v>
      </c>
      <c r="R3" s="102" t="s">
        <v>363</v>
      </c>
      <c r="S3" s="102" t="s">
        <v>65</v>
      </c>
      <c r="T3" s="102"/>
      <c r="U3" s="102" t="s">
        <v>63</v>
      </c>
    </row>
    <row r="4" spans="1:21" ht="43.2" x14ac:dyDescent="0.3">
      <c r="A4" s="102" t="str">
        <f>'M-DiaSemana'!B3</f>
        <v>nombre</v>
      </c>
      <c r="B4" s="103" t="str">
        <f>'M-DiaSemana'!B2</f>
        <v>Representa como se llama el dia de la semana, para los horarios</v>
      </c>
      <c r="C4" s="102" t="s">
        <v>65</v>
      </c>
      <c r="D4" s="102" t="s">
        <v>66</v>
      </c>
      <c r="E4" s="102" t="s">
        <v>63</v>
      </c>
      <c r="F4" s="102">
        <v>5</v>
      </c>
      <c r="G4" s="102">
        <v>9</v>
      </c>
      <c r="H4" s="102" t="s">
        <v>363</v>
      </c>
      <c r="I4" s="102" t="s">
        <v>363</v>
      </c>
      <c r="J4" s="102" t="s">
        <v>363</v>
      </c>
      <c r="K4" s="102" t="s">
        <v>363</v>
      </c>
      <c r="L4" s="102" t="s">
        <v>363</v>
      </c>
      <c r="M4" s="103" t="s">
        <v>364</v>
      </c>
      <c r="N4" s="102" t="s">
        <v>65</v>
      </c>
      <c r="O4" s="102" t="s">
        <v>363</v>
      </c>
      <c r="P4" s="102" t="s">
        <v>363</v>
      </c>
      <c r="Q4" s="102" t="s">
        <v>63</v>
      </c>
      <c r="R4" s="102" t="s">
        <v>63</v>
      </c>
      <c r="S4" s="102" t="s">
        <v>65</v>
      </c>
      <c r="T4" s="102" t="s">
        <v>357</v>
      </c>
      <c r="U4" s="102" t="s">
        <v>65</v>
      </c>
    </row>
    <row r="6" spans="1:21" x14ac:dyDescent="0.3">
      <c r="A6" s="105" t="s">
        <v>67</v>
      </c>
      <c r="B6" s="105" t="s">
        <v>68</v>
      </c>
      <c r="C6" s="105" t="s">
        <v>69</v>
      </c>
    </row>
    <row r="7" spans="1:21" ht="28.8" x14ac:dyDescent="0.3">
      <c r="A7" s="107" t="str">
        <f>'M-DiaSemana'!C3</f>
        <v xml:space="preserve">Combinación única </v>
      </c>
      <c r="B7" s="108" t="str">
        <f>'M-DiaSemana'!C2</f>
        <v>Combinacion única que indica que no puede existir más un dia de la semana con el mismo nombre</v>
      </c>
      <c r="C7" s="109" t="s">
        <v>70</v>
      </c>
    </row>
  </sheetData>
  <hyperlinks>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 ref="A1" location="'Modelo de Dominio'!A1" display="&lt;&lt;&lt;&lt; Ir al modulo de dominio" xr:uid="{EC4FDF22-6F00-4D68-9247-A1B0EA4CBE70}"/>
    <hyperlink ref="B1" location="'Objetos de Dominio'!A1" display="&lt;&lt;&lt;&lt; Ir a objetos de dominio" xr:uid="{30134278-797A-4199-B926-DDE444609CBB}"/>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B1" sqref="A1:B1"/>
    </sheetView>
  </sheetViews>
  <sheetFormatPr baseColWidth="10" defaultColWidth="10.6640625" defaultRowHeight="14.4" x14ac:dyDescent="0.3"/>
  <cols>
    <col min="1" max="1" width="27" customWidth="1"/>
    <col min="2" max="2" width="26.109375" customWidth="1"/>
    <col min="3" max="3" width="21.6640625" customWidth="1"/>
  </cols>
  <sheetData>
    <row r="1" spans="1:3" ht="14.25" customHeight="1" x14ac:dyDescent="0.3">
      <c r="A1" s="114" t="s">
        <v>1</v>
      </c>
      <c r="B1" s="114" t="s">
        <v>41</v>
      </c>
    </row>
    <row r="2" spans="1:3" ht="32.25" customHeight="1" x14ac:dyDescent="0.3">
      <c r="A2" s="8" t="s">
        <v>71</v>
      </c>
      <c r="B2" s="8" t="s">
        <v>72</v>
      </c>
      <c r="C2" s="9" t="s">
        <v>73</v>
      </c>
    </row>
    <row r="3" spans="1:3" ht="14.25" customHeight="1" x14ac:dyDescent="0.3">
      <c r="A3" s="10" t="s">
        <v>74</v>
      </c>
      <c r="B3" s="11" t="s">
        <v>70</v>
      </c>
      <c r="C3" s="12" t="s">
        <v>75</v>
      </c>
    </row>
    <row r="4" spans="1:3" ht="14.25" customHeight="1" x14ac:dyDescent="0.3">
      <c r="A4" s="13">
        <v>1</v>
      </c>
      <c r="B4" s="14" t="s">
        <v>76</v>
      </c>
      <c r="C4" s="14" t="str">
        <f t="shared" ref="C4:C11" si="0">B4</f>
        <v>Lunes</v>
      </c>
    </row>
    <row r="5" spans="1:3" ht="14.25" customHeight="1" x14ac:dyDescent="0.3">
      <c r="A5" s="13">
        <v>2</v>
      </c>
      <c r="B5" s="13" t="s">
        <v>77</v>
      </c>
      <c r="C5" s="14" t="str">
        <f t="shared" si="0"/>
        <v>Martes</v>
      </c>
    </row>
    <row r="6" spans="1:3" ht="14.25" customHeight="1" x14ac:dyDescent="0.3">
      <c r="A6" s="13">
        <v>3</v>
      </c>
      <c r="B6" s="14" t="s">
        <v>78</v>
      </c>
      <c r="C6" s="14" t="str">
        <f t="shared" si="0"/>
        <v>Miércoles</v>
      </c>
    </row>
    <row r="7" spans="1:3" ht="14.25" customHeight="1" x14ac:dyDescent="0.3">
      <c r="A7" s="13">
        <v>4</v>
      </c>
      <c r="B7" s="13" t="s">
        <v>79</v>
      </c>
      <c r="C7" s="14" t="str">
        <f t="shared" si="0"/>
        <v>Jueves</v>
      </c>
    </row>
    <row r="8" spans="1:3" ht="14.25" customHeight="1" x14ac:dyDescent="0.3">
      <c r="A8" s="13">
        <v>5</v>
      </c>
      <c r="B8" s="14" t="s">
        <v>80</v>
      </c>
      <c r="C8" s="14" t="str">
        <f t="shared" si="0"/>
        <v>Viernes</v>
      </c>
    </row>
    <row r="9" spans="1:3" ht="14.25" customHeight="1" x14ac:dyDescent="0.3">
      <c r="A9" s="13">
        <v>6</v>
      </c>
      <c r="B9" s="13" t="s">
        <v>81</v>
      </c>
      <c r="C9" s="14" t="str">
        <f t="shared" si="0"/>
        <v>Sábado</v>
      </c>
    </row>
    <row r="10" spans="1:3" ht="14.25" customHeight="1" x14ac:dyDescent="0.3">
      <c r="A10" s="13">
        <v>7</v>
      </c>
      <c r="B10" s="14" t="s">
        <v>82</v>
      </c>
      <c r="C10" s="14" t="str">
        <f t="shared" si="0"/>
        <v>Domingo</v>
      </c>
    </row>
    <row r="11" spans="1:3" ht="14.25" customHeight="1" x14ac:dyDescent="0.3">
      <c r="A11" s="13">
        <v>8</v>
      </c>
      <c r="B11" s="13" t="s">
        <v>83</v>
      </c>
      <c r="C11" s="14" t="str">
        <f t="shared" si="0"/>
        <v>Festivo</v>
      </c>
    </row>
    <row r="12" spans="1:3" ht="14.25" customHeight="1" x14ac:dyDescent="0.3">
      <c r="A12" s="15"/>
      <c r="B12" s="15"/>
    </row>
    <row r="13" spans="1:3" ht="14.25" customHeight="1" x14ac:dyDescent="0.3">
      <c r="A13" s="15"/>
      <c r="B13" s="15"/>
    </row>
    <row r="14" spans="1:3" ht="14.25" customHeight="1" x14ac:dyDescent="0.3">
      <c r="A14" s="15"/>
      <c r="B14" s="15"/>
    </row>
    <row r="15" spans="1:3" ht="14.25" customHeight="1" x14ac:dyDescent="0.3">
      <c r="A15" s="15"/>
      <c r="B15" s="15"/>
    </row>
    <row r="17" spans="1:2" ht="28.5" customHeight="1" x14ac:dyDescent="0.3">
      <c r="A17" s="16"/>
      <c r="B17" s="17" t="s">
        <v>84</v>
      </c>
    </row>
    <row r="18" spans="1:2" ht="28.5" customHeight="1" x14ac:dyDescent="0.3">
      <c r="A18" s="18"/>
      <c r="B18" s="17" t="s">
        <v>85</v>
      </c>
    </row>
    <row r="19" spans="1:2" ht="28.5" customHeight="1" x14ac:dyDescent="0.3">
      <c r="A19" s="19"/>
      <c r="B19" s="17" t="s">
        <v>86</v>
      </c>
    </row>
    <row r="20" spans="1:2" ht="28.5" customHeight="1" x14ac:dyDescent="0.3">
      <c r="A20" s="20"/>
      <c r="B20" s="17" t="s">
        <v>87</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topLeftCell="N1" zoomScaleNormal="100" workbookViewId="0">
      <selection activeCell="S3" sqref="S3"/>
    </sheetView>
  </sheetViews>
  <sheetFormatPr baseColWidth="10" defaultColWidth="8.6640625" defaultRowHeight="14.4" x14ac:dyDescent="0.3"/>
  <cols>
    <col min="1" max="1" width="26.6640625" bestFit="1" customWidth="1"/>
    <col min="2" max="2" width="45" customWidth="1"/>
    <col min="3" max="3" width="30.44140625" bestFit="1" customWidth="1"/>
    <col min="4" max="4" width="23.664062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s="145" customFormat="1" x14ac:dyDescent="0.3">
      <c r="A2" s="143" t="s">
        <v>42</v>
      </c>
      <c r="B2" s="144" t="s">
        <v>43</v>
      </c>
      <c r="C2" s="143" t="s">
        <v>44</v>
      </c>
      <c r="D2" s="143" t="s">
        <v>45</v>
      </c>
      <c r="E2" s="143" t="s">
        <v>46</v>
      </c>
      <c r="F2" s="143" t="s">
        <v>47</v>
      </c>
      <c r="G2" s="143" t="s">
        <v>48</v>
      </c>
      <c r="H2" s="143" t="s">
        <v>49</v>
      </c>
      <c r="I2" s="143" t="s">
        <v>50</v>
      </c>
      <c r="J2" s="143" t="s">
        <v>51</v>
      </c>
      <c r="K2" s="143" t="s">
        <v>52</v>
      </c>
      <c r="L2" s="143" t="s">
        <v>53</v>
      </c>
      <c r="M2" s="144" t="s">
        <v>54</v>
      </c>
      <c r="N2" s="143" t="s">
        <v>55</v>
      </c>
      <c r="O2" s="143" t="s">
        <v>56</v>
      </c>
      <c r="P2" s="143" t="s">
        <v>57</v>
      </c>
      <c r="Q2" s="143" t="s">
        <v>58</v>
      </c>
      <c r="R2" s="143" t="s">
        <v>59</v>
      </c>
      <c r="S2" s="143" t="s">
        <v>60</v>
      </c>
      <c r="T2" s="143" t="s">
        <v>61</v>
      </c>
      <c r="U2" s="143" t="s">
        <v>62</v>
      </c>
    </row>
    <row r="3" spans="1:21" ht="28.8" x14ac:dyDescent="0.3">
      <c r="A3" s="102" t="str">
        <f>'M-Estado'!A3</f>
        <v>id</v>
      </c>
      <c r="B3" s="103" t="str">
        <f>'M-Estado'!A2</f>
        <v>Representa un identificador que hará unico cada objeto de dominio de este tipo, no se puede repetir</v>
      </c>
      <c r="C3" s="102" t="s">
        <v>63</v>
      </c>
      <c r="D3" s="102" t="s">
        <v>64</v>
      </c>
      <c r="E3" s="102" t="s">
        <v>63</v>
      </c>
      <c r="F3" s="102" t="s">
        <v>363</v>
      </c>
      <c r="G3" s="102" t="s">
        <v>363</v>
      </c>
      <c r="H3" s="102" t="s">
        <v>363</v>
      </c>
      <c r="I3" s="102" t="s">
        <v>363</v>
      </c>
      <c r="J3" s="102" t="s">
        <v>363</v>
      </c>
      <c r="K3" s="102" t="s">
        <v>363</v>
      </c>
      <c r="L3" s="102" t="s">
        <v>363</v>
      </c>
      <c r="M3" s="102" t="s">
        <v>363</v>
      </c>
      <c r="N3" s="102" t="s">
        <v>65</v>
      </c>
      <c r="O3" s="102" t="s">
        <v>363</v>
      </c>
      <c r="P3" s="102" t="s">
        <v>363</v>
      </c>
      <c r="Q3" s="102" t="s">
        <v>363</v>
      </c>
      <c r="R3" s="102" t="s">
        <v>363</v>
      </c>
      <c r="S3" s="102" t="s">
        <v>363</v>
      </c>
      <c r="T3" s="102"/>
      <c r="U3" s="102" t="s">
        <v>63</v>
      </c>
    </row>
    <row r="4" spans="1:21" ht="28.8" x14ac:dyDescent="0.3">
      <c r="A4" s="102" t="str">
        <f>'M-Estado'!B3</f>
        <v>nombre</v>
      </c>
      <c r="B4" s="103" t="str">
        <f>'M-Estado'!B2</f>
        <v>Representa como se llama el estado en el que se encuentra una cita puntual</v>
      </c>
      <c r="C4" s="102" t="s">
        <v>65</v>
      </c>
      <c r="D4" s="102" t="s">
        <v>66</v>
      </c>
      <c r="E4" s="102" t="s">
        <v>63</v>
      </c>
      <c r="F4" s="102">
        <v>4</v>
      </c>
      <c r="G4" s="102">
        <v>50</v>
      </c>
      <c r="H4" s="102" t="s">
        <v>363</v>
      </c>
      <c r="I4" s="102" t="s">
        <v>363</v>
      </c>
      <c r="J4" s="102" t="s">
        <v>363</v>
      </c>
      <c r="K4" s="102" t="s">
        <v>363</v>
      </c>
      <c r="L4" s="102" t="s">
        <v>363</v>
      </c>
      <c r="M4" s="102" t="s">
        <v>363</v>
      </c>
      <c r="N4" s="102" t="s">
        <v>65</v>
      </c>
      <c r="O4" s="102" t="s">
        <v>363</v>
      </c>
      <c r="P4" s="102" t="s">
        <v>363</v>
      </c>
      <c r="Q4" s="102" t="s">
        <v>63</v>
      </c>
      <c r="R4" s="102" t="s">
        <v>63</v>
      </c>
      <c r="S4" s="102" t="s">
        <v>65</v>
      </c>
      <c r="T4" s="102" t="s">
        <v>357</v>
      </c>
      <c r="U4" s="102" t="s">
        <v>65</v>
      </c>
    </row>
    <row r="5" spans="1:21" ht="28.8" x14ac:dyDescent="0.3">
      <c r="A5" s="102" t="str">
        <f>'M-Estado'!C3</f>
        <v>descripcion</v>
      </c>
      <c r="B5" s="103" t="str">
        <f>'M-Estado'!C2</f>
        <v>Representa el significado de que representa cada estado para la cita</v>
      </c>
      <c r="C5" s="102" t="s">
        <v>65</v>
      </c>
      <c r="D5" s="102" t="s">
        <v>66</v>
      </c>
      <c r="E5" s="102" t="s">
        <v>63</v>
      </c>
      <c r="F5" s="102">
        <v>10</v>
      </c>
      <c r="G5" s="102">
        <v>300</v>
      </c>
      <c r="H5" s="102" t="s">
        <v>363</v>
      </c>
      <c r="I5" s="102" t="s">
        <v>363</v>
      </c>
      <c r="J5" s="102" t="s">
        <v>363</v>
      </c>
      <c r="K5" s="102" t="s">
        <v>363</v>
      </c>
      <c r="L5" s="102" t="s">
        <v>363</v>
      </c>
      <c r="M5" s="102" t="s">
        <v>363</v>
      </c>
      <c r="N5" s="102" t="s">
        <v>65</v>
      </c>
      <c r="O5" s="102" t="s">
        <v>363</v>
      </c>
      <c r="P5" s="102" t="s">
        <v>363</v>
      </c>
      <c r="Q5" s="102" t="s">
        <v>63</v>
      </c>
      <c r="R5" s="102" t="s">
        <v>63</v>
      </c>
      <c r="S5" s="102" t="s">
        <v>65</v>
      </c>
      <c r="T5" s="102" t="s">
        <v>357</v>
      </c>
      <c r="U5" s="102" t="s">
        <v>65</v>
      </c>
    </row>
    <row r="7" spans="1:21" x14ac:dyDescent="0.3">
      <c r="A7" s="105" t="s">
        <v>67</v>
      </c>
      <c r="B7" s="105" t="s">
        <v>68</v>
      </c>
      <c r="C7" s="105" t="s">
        <v>69</v>
      </c>
    </row>
    <row r="8" spans="1:21" ht="28.8" x14ac:dyDescent="0.3">
      <c r="A8" s="107" t="str">
        <f>'M-Estado'!D3</f>
        <v xml:space="preserve">Combinación única </v>
      </c>
      <c r="B8" s="108" t="str">
        <f>'M-Estado'!D2</f>
        <v>Combinacion única que indica que no puede existir más un dia de la semana con el mismo nombre</v>
      </c>
      <c r="C8" s="109" t="s">
        <v>70</v>
      </c>
    </row>
  </sheetData>
  <hyperlinks>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 ref="A1" location="'Modelo de Dominio'!A1" display="&lt;&lt;&lt;&lt; Ir al modulo de dominio" xr:uid="{C491A2D6-E29D-46D7-A965-B2310445B690}"/>
    <hyperlink ref="B1" location="'Objetos de Dominio'!A1" display="&lt;&lt;&lt;&lt; Ir a objetos de dominio" xr:uid="{3517AB59-1BD6-4F27-9175-D7C5BD3B93B4}"/>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9"/>
  <sheetViews>
    <sheetView topLeftCell="A2" zoomScale="130" zoomScaleNormal="130" workbookViewId="0">
      <selection activeCell="B7" sqref="B7"/>
    </sheetView>
  </sheetViews>
  <sheetFormatPr baseColWidth="10" defaultColWidth="10.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114" t="s">
        <v>1</v>
      </c>
      <c r="B1" s="114" t="s">
        <v>41</v>
      </c>
      <c r="C1" s="21"/>
    </row>
    <row r="2" spans="1:4" ht="39" customHeight="1" x14ac:dyDescent="0.3">
      <c r="A2" s="8" t="s">
        <v>71</v>
      </c>
      <c r="B2" s="8" t="s">
        <v>88</v>
      </c>
      <c r="C2" s="8" t="s">
        <v>89</v>
      </c>
      <c r="D2" s="9" t="s">
        <v>73</v>
      </c>
    </row>
    <row r="3" spans="1:4" ht="14.25" customHeight="1" x14ac:dyDescent="0.3">
      <c r="A3" s="10" t="s">
        <v>74</v>
      </c>
      <c r="B3" s="11" t="s">
        <v>70</v>
      </c>
      <c r="C3" s="11" t="s">
        <v>90</v>
      </c>
      <c r="D3" s="12" t="s">
        <v>75</v>
      </c>
    </row>
    <row r="4" spans="1:4" ht="28.5" customHeight="1" x14ac:dyDescent="0.3">
      <c r="A4" s="13">
        <v>1</v>
      </c>
      <c r="B4" s="14" t="s">
        <v>91</v>
      </c>
      <c r="C4" s="22" t="s">
        <v>92</v>
      </c>
      <c r="D4" s="14" t="str">
        <f t="shared" ref="D4:D11" si="0">B4</f>
        <v>Agendada</v>
      </c>
    </row>
    <row r="5" spans="1:4" ht="28.5" customHeight="1" x14ac:dyDescent="0.3">
      <c r="A5" s="13">
        <v>2</v>
      </c>
      <c r="B5" s="13" t="s">
        <v>93</v>
      </c>
      <c r="C5" s="23" t="s">
        <v>94</v>
      </c>
      <c r="D5" s="14" t="str">
        <f t="shared" si="0"/>
        <v>Finalizada</v>
      </c>
    </row>
    <row r="6" spans="1:4" ht="28.5" customHeight="1" x14ac:dyDescent="0.3">
      <c r="A6" s="13">
        <v>3</v>
      </c>
      <c r="B6" s="13" t="s">
        <v>95</v>
      </c>
      <c r="C6" s="23" t="s">
        <v>96</v>
      </c>
      <c r="D6" s="14" t="str">
        <f t="shared" si="0"/>
        <v>Cancelada por el cliente</v>
      </c>
    </row>
    <row r="7" spans="1:4" ht="28.5" customHeight="1" x14ac:dyDescent="0.3">
      <c r="A7" s="13">
        <v>4</v>
      </c>
      <c r="B7" s="13" t="s">
        <v>97</v>
      </c>
      <c r="C7" s="23" t="s">
        <v>98</v>
      </c>
      <c r="D7" s="14" t="str">
        <f t="shared" si="0"/>
        <v>Cancelada por el barbero</v>
      </c>
    </row>
    <row r="8" spans="1:4" ht="42.75" customHeight="1" x14ac:dyDescent="0.3">
      <c r="A8" s="13">
        <v>5</v>
      </c>
      <c r="B8" s="13" t="s">
        <v>99</v>
      </c>
      <c r="C8" s="23" t="s">
        <v>100</v>
      </c>
      <c r="D8" s="14" t="str">
        <f t="shared" si="0"/>
        <v>El cliente se demoro</v>
      </c>
    </row>
    <row r="9" spans="1:4" ht="42.75" customHeight="1" x14ac:dyDescent="0.3">
      <c r="A9" s="13">
        <v>6</v>
      </c>
      <c r="B9" s="13" t="s">
        <v>101</v>
      </c>
      <c r="C9" s="23" t="s">
        <v>102</v>
      </c>
      <c r="D9" s="14" t="str">
        <f t="shared" si="0"/>
        <v>El barbero se demoro</v>
      </c>
    </row>
    <row r="10" spans="1:4" ht="57" customHeight="1" x14ac:dyDescent="0.3">
      <c r="A10" s="13">
        <v>7</v>
      </c>
      <c r="B10" s="13" t="s">
        <v>365</v>
      </c>
      <c r="C10" s="23" t="s">
        <v>104</v>
      </c>
      <c r="D10" s="14" t="str">
        <f t="shared" si="0"/>
        <v>Inasistencia del cliente</v>
      </c>
    </row>
    <row r="11" spans="1:4" x14ac:dyDescent="0.3">
      <c r="A11" s="13">
        <v>8</v>
      </c>
      <c r="B11" s="13" t="s">
        <v>366</v>
      </c>
      <c r="C11" s="6"/>
      <c r="D11" s="14" t="str">
        <f t="shared" si="0"/>
        <v>Inasistencia del barbero</v>
      </c>
    </row>
    <row r="13" spans="1:4" x14ac:dyDescent="0.3">
      <c r="C13" s="146" t="s">
        <v>367</v>
      </c>
    </row>
    <row r="16" spans="1:4" ht="28.5" customHeight="1" x14ac:dyDescent="0.3">
      <c r="A16" s="16"/>
      <c r="B16" s="17" t="s">
        <v>84</v>
      </c>
    </row>
    <row r="17" spans="1:2" ht="28.5" customHeight="1" x14ac:dyDescent="0.3">
      <c r="A17" s="18"/>
      <c r="B17" s="17" t="s">
        <v>85</v>
      </c>
    </row>
    <row r="18" spans="1:2" ht="28.5" customHeight="1" x14ac:dyDescent="0.3">
      <c r="A18" s="19"/>
      <c r="B18" s="17" t="s">
        <v>86</v>
      </c>
    </row>
    <row r="19" spans="1:2" ht="28.5" customHeight="1" x14ac:dyDescent="0.3">
      <c r="A19" s="20"/>
      <c r="B19" s="17" t="s">
        <v>87</v>
      </c>
    </row>
  </sheetData>
  <hyperlinks>
    <hyperlink ref="A1" location="'Modelo de Dominio'!A1" display="&lt;&lt;&lt;&lt; Ir al modulo de dominio" xr:uid="{75C2B5C3-6EFF-43E1-9AB7-416B48D7AB19}"/>
    <hyperlink ref="B1" location="'Objetos de Dominio'!A1" display="&lt;&lt;&lt;&lt; Ir a objetos de dominio" xr:uid="{43965643-A38D-4B9E-AD87-C2B20A6FA882}"/>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tabSelected="1" topLeftCell="O1" zoomScaleNormal="100" workbookViewId="0">
      <selection activeCell="T6" sqref="T6"/>
    </sheetView>
  </sheetViews>
  <sheetFormatPr baseColWidth="10" defaultColWidth="8.6640625" defaultRowHeight="14.4" x14ac:dyDescent="0.3"/>
  <cols>
    <col min="1" max="1" width="26.6640625" bestFit="1" customWidth="1"/>
    <col min="2" max="2" width="45" customWidth="1"/>
    <col min="3" max="3" width="30.44140625" bestFit="1" customWidth="1"/>
    <col min="4" max="4" width="23.664062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x14ac:dyDescent="0.3">
      <c r="A2" s="101" t="s">
        <v>42</v>
      </c>
      <c r="B2" s="101" t="s">
        <v>43</v>
      </c>
      <c r="C2" s="101" t="s">
        <v>44</v>
      </c>
      <c r="D2" s="101" t="s">
        <v>45</v>
      </c>
      <c r="E2" s="101" t="s">
        <v>46</v>
      </c>
      <c r="F2" s="101" t="s">
        <v>47</v>
      </c>
      <c r="G2" s="101" t="s">
        <v>48</v>
      </c>
      <c r="H2" s="101" t="s">
        <v>49</v>
      </c>
      <c r="I2" s="101" t="s">
        <v>50</v>
      </c>
      <c r="J2" s="101" t="s">
        <v>51</v>
      </c>
      <c r="K2" s="101" t="s">
        <v>52</v>
      </c>
      <c r="L2" s="101" t="s">
        <v>53</v>
      </c>
      <c r="M2" s="101" t="s">
        <v>54</v>
      </c>
      <c r="N2" s="101" t="s">
        <v>55</v>
      </c>
      <c r="O2" s="101" t="s">
        <v>56</v>
      </c>
      <c r="P2" s="101" t="s">
        <v>57</v>
      </c>
      <c r="Q2" s="101" t="s">
        <v>58</v>
      </c>
      <c r="R2" s="101" t="s">
        <v>59</v>
      </c>
      <c r="S2" s="101" t="s">
        <v>60</v>
      </c>
      <c r="T2" s="101" t="s">
        <v>61</v>
      </c>
      <c r="U2" s="101" t="s">
        <v>62</v>
      </c>
    </row>
    <row r="3" spans="1:21" ht="28.8" x14ac:dyDescent="0.3">
      <c r="A3" s="102" t="str">
        <f>'[1]M-Servicio'!A3</f>
        <v>id</v>
      </c>
      <c r="B3" s="103" t="str">
        <f>'M-Servicio'!A2</f>
        <v>Representa un identificador que hará unico cada objeto de dominio de este tipo, no se puede repetir</v>
      </c>
      <c r="C3" s="102" t="s">
        <v>63</v>
      </c>
      <c r="D3" s="102" t="s">
        <v>64</v>
      </c>
      <c r="E3" s="102" t="s">
        <v>63</v>
      </c>
      <c r="F3" s="102" t="s">
        <v>363</v>
      </c>
      <c r="G3" s="102" t="s">
        <v>363</v>
      </c>
      <c r="H3" s="102" t="s">
        <v>363</v>
      </c>
      <c r="I3" s="102" t="s">
        <v>363</v>
      </c>
      <c r="J3" s="102" t="s">
        <v>363</v>
      </c>
      <c r="K3" s="102" t="s">
        <v>363</v>
      </c>
      <c r="L3" s="102" t="s">
        <v>363</v>
      </c>
      <c r="M3" s="102" t="s">
        <v>363</v>
      </c>
      <c r="N3" s="102" t="s">
        <v>65</v>
      </c>
      <c r="O3" s="102" t="s">
        <v>363</v>
      </c>
      <c r="P3" s="102" t="s">
        <v>363</v>
      </c>
      <c r="Q3" s="102" t="s">
        <v>363</v>
      </c>
      <c r="R3" s="102" t="s">
        <v>363</v>
      </c>
      <c r="S3" s="102" t="s">
        <v>65</v>
      </c>
      <c r="T3" s="102"/>
      <c r="U3" s="102" t="s">
        <v>63</v>
      </c>
    </row>
    <row r="4" spans="1:21" ht="43.2" x14ac:dyDescent="0.3">
      <c r="A4" s="102" t="str">
        <f>'[1]M-Servicio'!C3</f>
        <v>nombre</v>
      </c>
      <c r="B4" s="103" t="str">
        <f>'M-Servicio'!B2</f>
        <v>Representa el nombre del servicio que va estar en la barberia, para que el barbero elija los servicios que el sabe hacer</v>
      </c>
      <c r="C4" s="102" t="s">
        <v>65</v>
      </c>
      <c r="D4" s="102" t="s">
        <v>66</v>
      </c>
      <c r="E4" s="102" t="s">
        <v>63</v>
      </c>
      <c r="F4" s="102">
        <v>3</v>
      </c>
      <c r="G4" s="102">
        <v>50</v>
      </c>
      <c r="H4" s="102" t="s">
        <v>363</v>
      </c>
      <c r="I4" s="102" t="s">
        <v>363</v>
      </c>
      <c r="J4" s="102" t="s">
        <v>363</v>
      </c>
      <c r="K4" s="102" t="s">
        <v>363</v>
      </c>
      <c r="L4" s="102" t="s">
        <v>363</v>
      </c>
      <c r="M4" s="102" t="s">
        <v>363</v>
      </c>
      <c r="N4" s="102" t="s">
        <v>65</v>
      </c>
      <c r="O4" s="102" t="s">
        <v>363</v>
      </c>
      <c r="P4" s="102" t="s">
        <v>363</v>
      </c>
      <c r="Q4" s="102" t="s">
        <v>63</v>
      </c>
      <c r="R4" s="102" t="s">
        <v>63</v>
      </c>
      <c r="S4" s="102" t="s">
        <v>65</v>
      </c>
      <c r="T4" s="102" t="s">
        <v>357</v>
      </c>
      <c r="U4" s="102" t="s">
        <v>65</v>
      </c>
    </row>
    <row r="5" spans="1:21" ht="43.2" x14ac:dyDescent="0.3">
      <c r="A5" s="102" t="str">
        <f>'[1]M-Servicio'!D3</f>
        <v>descripcion</v>
      </c>
      <c r="B5" s="103" t="str">
        <f>'M-Servicio'!C2</f>
        <v>Representa una descripcion de que va a hacer cada servicio en la barberia, para que el barbero sepa que hace el servicio</v>
      </c>
      <c r="C5" s="102" t="s">
        <v>65</v>
      </c>
      <c r="D5" s="102" t="s">
        <v>66</v>
      </c>
      <c r="E5" s="102" t="s">
        <v>63</v>
      </c>
      <c r="F5" s="102">
        <v>10</v>
      </c>
      <c r="G5" s="102">
        <v>200</v>
      </c>
      <c r="H5" s="102" t="s">
        <v>363</v>
      </c>
      <c r="I5" s="102" t="s">
        <v>363</v>
      </c>
      <c r="J5" s="102" t="s">
        <v>363</v>
      </c>
      <c r="K5" s="102" t="s">
        <v>363</v>
      </c>
      <c r="L5" s="102" t="s">
        <v>363</v>
      </c>
      <c r="M5" s="102" t="s">
        <v>363</v>
      </c>
      <c r="N5" s="102" t="s">
        <v>65</v>
      </c>
      <c r="O5" s="102" t="s">
        <v>363</v>
      </c>
      <c r="P5" s="102" t="s">
        <v>363</v>
      </c>
      <c r="Q5" s="102" t="s">
        <v>63</v>
      </c>
      <c r="R5" s="102" t="s">
        <v>63</v>
      </c>
      <c r="S5" s="102" t="s">
        <v>65</v>
      </c>
      <c r="T5" s="102" t="s">
        <v>357</v>
      </c>
      <c r="U5" s="102" t="s">
        <v>65</v>
      </c>
    </row>
    <row r="6" spans="1:21" ht="28.8" x14ac:dyDescent="0.3">
      <c r="A6" s="102" t="str">
        <f>'[1]M-Servicio'!E3</f>
        <v>precio</v>
      </c>
      <c r="B6" s="103" t="str">
        <f>'M-Servicio'!D2</f>
        <v>Representa cuanto va a valer el servicio en pesos colombianos</v>
      </c>
      <c r="C6" s="102" t="s">
        <v>65</v>
      </c>
      <c r="D6" s="102" t="s">
        <v>345</v>
      </c>
      <c r="E6" s="102" t="s">
        <v>63</v>
      </c>
      <c r="F6" s="102" t="s">
        <v>363</v>
      </c>
      <c r="G6" s="102" t="s">
        <v>363</v>
      </c>
      <c r="H6" s="102" t="s">
        <v>363</v>
      </c>
      <c r="I6" s="102" t="s">
        <v>363</v>
      </c>
      <c r="J6" s="102">
        <v>0</v>
      </c>
      <c r="K6" s="147">
        <v>2000000</v>
      </c>
      <c r="L6" s="103" t="s">
        <v>346</v>
      </c>
      <c r="M6" s="102" t="s">
        <v>363</v>
      </c>
      <c r="N6" s="102" t="s">
        <v>65</v>
      </c>
      <c r="O6" s="102" t="s">
        <v>363</v>
      </c>
      <c r="P6" s="102" t="s">
        <v>363</v>
      </c>
      <c r="Q6" s="102" t="s">
        <v>363</v>
      </c>
      <c r="R6" s="102" t="s">
        <v>363</v>
      </c>
      <c r="S6" s="102" t="s">
        <v>65</v>
      </c>
      <c r="T6" s="102">
        <v>0</v>
      </c>
      <c r="U6" s="102" t="s">
        <v>65</v>
      </c>
    </row>
    <row r="7" spans="1:21" ht="28.8" x14ac:dyDescent="0.3">
      <c r="A7" s="102" t="str">
        <f>'[1]M-Servicio'!F3</f>
        <v>disponible</v>
      </c>
      <c r="B7" s="103" t="str">
        <f>'M-Servicio'!E2</f>
        <v>Representa si el servicio sigue o no disponible en la barberia</v>
      </c>
      <c r="C7" s="102" t="s">
        <v>65</v>
      </c>
      <c r="D7" s="102" t="s">
        <v>107</v>
      </c>
      <c r="E7" s="102" t="s">
        <v>65</v>
      </c>
      <c r="F7" s="102" t="s">
        <v>363</v>
      </c>
      <c r="G7" s="102" t="s">
        <v>363</v>
      </c>
      <c r="H7" s="102" t="s">
        <v>363</v>
      </c>
      <c r="I7" s="102" t="s">
        <v>363</v>
      </c>
      <c r="J7" s="102" t="s">
        <v>363</v>
      </c>
      <c r="K7" s="102" t="s">
        <v>363</v>
      </c>
      <c r="L7" s="102" t="s">
        <v>363</v>
      </c>
      <c r="M7" s="102" t="s">
        <v>363</v>
      </c>
      <c r="N7" s="102" t="s">
        <v>65</v>
      </c>
      <c r="O7" s="102" t="s">
        <v>363</v>
      </c>
      <c r="P7" s="102" t="s">
        <v>363</v>
      </c>
      <c r="Q7" s="102" t="s">
        <v>363</v>
      </c>
      <c r="R7" s="102" t="s">
        <v>363</v>
      </c>
      <c r="S7" s="102" t="s">
        <v>65</v>
      </c>
      <c r="T7" s="102" t="s">
        <v>63</v>
      </c>
      <c r="U7" s="102" t="s">
        <v>65</v>
      </c>
    </row>
    <row r="8" spans="1:21" x14ac:dyDescent="0.3">
      <c r="A8" s="104"/>
      <c r="B8" s="104"/>
      <c r="C8" s="104"/>
      <c r="D8" s="104"/>
      <c r="E8" s="104"/>
      <c r="F8" s="104"/>
      <c r="G8" s="104"/>
      <c r="H8" s="104"/>
      <c r="I8" s="104"/>
      <c r="J8" s="104"/>
      <c r="K8" s="104"/>
      <c r="L8" s="104"/>
      <c r="M8" s="104"/>
      <c r="N8" s="104"/>
      <c r="O8" s="104"/>
      <c r="P8" s="104"/>
      <c r="Q8" s="104"/>
      <c r="R8" s="104"/>
      <c r="S8" s="104"/>
      <c r="T8" s="104"/>
      <c r="U8" s="104"/>
    </row>
    <row r="9" spans="1:21" x14ac:dyDescent="0.3">
      <c r="A9" s="105" t="s">
        <v>67</v>
      </c>
      <c r="B9" s="105" t="s">
        <v>68</v>
      </c>
      <c r="C9" s="105" t="s">
        <v>69</v>
      </c>
      <c r="D9" s="106"/>
      <c r="E9" s="106"/>
      <c r="F9" s="106"/>
      <c r="G9" s="106"/>
      <c r="H9" s="106"/>
      <c r="I9" s="106"/>
      <c r="J9" s="106"/>
      <c r="K9" s="106"/>
      <c r="L9" s="106"/>
      <c r="M9" s="106"/>
      <c r="N9" s="106"/>
      <c r="O9" s="106"/>
      <c r="P9" s="106"/>
      <c r="Q9" s="106"/>
      <c r="R9" s="106"/>
      <c r="S9" s="106"/>
      <c r="T9" s="106"/>
      <c r="U9" s="106"/>
    </row>
    <row r="10" spans="1:21" ht="28.8" x14ac:dyDescent="0.3">
      <c r="A10" s="107" t="str">
        <f>'[1]M-Servicio'!G3</f>
        <v xml:space="preserve">Combinacion única </v>
      </c>
      <c r="B10" s="108" t="str">
        <f>'[1]M-Servicio'!G2</f>
        <v>Combinacion única que indica que no puede existir más de un servicio con el mismo nombre</v>
      </c>
      <c r="C10" s="109" t="str">
        <f>A4</f>
        <v>nombre</v>
      </c>
      <c r="D10" s="104"/>
      <c r="E10" s="104"/>
      <c r="F10" s="104"/>
      <c r="G10" s="104"/>
      <c r="H10" s="104"/>
      <c r="I10" s="104"/>
      <c r="J10" s="104"/>
      <c r="K10" s="104"/>
      <c r="L10" s="104"/>
      <c r="M10" s="104"/>
      <c r="N10" s="104"/>
      <c r="O10" s="104"/>
      <c r="P10" s="104"/>
      <c r="Q10" s="104"/>
      <c r="R10" s="104"/>
      <c r="S10" s="104"/>
      <c r="T10" s="104"/>
      <c r="U10" s="104"/>
    </row>
    <row r="11" spans="1:21" x14ac:dyDescent="0.3">
      <c r="A11" s="111"/>
      <c r="B11" s="111"/>
      <c r="C11" s="111"/>
      <c r="D11" s="111"/>
      <c r="E11" s="111"/>
      <c r="F11" s="111"/>
      <c r="G11" s="111"/>
      <c r="H11" s="111"/>
      <c r="I11" s="111"/>
      <c r="J11" s="111"/>
      <c r="K11" s="111"/>
      <c r="L11" s="111"/>
      <c r="M11" s="111"/>
      <c r="N11" s="111"/>
      <c r="O11" s="111"/>
      <c r="P11" s="111"/>
      <c r="Q11" s="111"/>
      <c r="R11" s="111"/>
      <c r="S11" s="111"/>
      <c r="T11" s="111"/>
      <c r="U11" s="111"/>
    </row>
    <row r="12" spans="1:21" x14ac:dyDescent="0.3">
      <c r="A12" s="1"/>
      <c r="B12" s="1"/>
    </row>
    <row r="13" spans="1:21" x14ac:dyDescent="0.3">
      <c r="A13" s="1"/>
      <c r="B13" s="1"/>
    </row>
    <row r="14" spans="1:21" x14ac:dyDescent="0.3">
      <c r="A14" s="1"/>
      <c r="B14" s="1"/>
    </row>
    <row r="15" spans="1:21" x14ac:dyDescent="0.3">
      <c r="A15" s="1"/>
      <c r="B15" s="1"/>
    </row>
    <row r="16" spans="1:21" x14ac:dyDescent="0.3">
      <c r="A16" s="1"/>
      <c r="B16" s="1"/>
    </row>
    <row r="18" spans="1:3" x14ac:dyDescent="0.3">
      <c r="A18" s="112"/>
      <c r="B18" s="112"/>
      <c r="C18" s="112"/>
    </row>
    <row r="19" spans="1:3" x14ac:dyDescent="0.3">
      <c r="A19" s="1"/>
      <c r="B19" s="1"/>
    </row>
  </sheetData>
  <hyperlinks>
    <hyperlink ref="A1" location="'Modelo de Dominio'!A1" display="&lt;&lt;&lt;&lt; Ir al modulo de dominio" xr:uid="{C53D201E-F768-44B9-9E93-D07D705DE686}"/>
    <hyperlink ref="B1" location="'Objetos de Dominio'!A1" display="&lt;&lt;&lt;&lt; Ir a objetos de dominio" xr:uid="{E17B9FB7-C2AC-4EA1-8EB6-E7D01B08CF47}"/>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A1:B1"/>
    </sheetView>
  </sheetViews>
  <sheetFormatPr baseColWidth="10" defaultColWidth="10.6640625" defaultRowHeight="14.4" x14ac:dyDescent="0.3"/>
  <cols>
    <col min="1" max="1" width="27" customWidth="1"/>
    <col min="2" max="2" width="26.109375" customWidth="1"/>
    <col min="3" max="3" width="20.88671875" customWidth="1"/>
    <col min="4" max="4" width="22.88671875" customWidth="1"/>
    <col min="6" max="6" width="18.33203125" customWidth="1"/>
  </cols>
  <sheetData>
    <row r="1" spans="1:6" ht="14.25" customHeight="1" x14ac:dyDescent="0.3">
      <c r="A1" s="114" t="s">
        <v>1</v>
      </c>
      <c r="B1" s="114" t="s">
        <v>41</v>
      </c>
      <c r="C1" s="24"/>
      <c r="D1" s="25"/>
      <c r="E1" s="25"/>
      <c r="F1" s="15"/>
    </row>
    <row r="2" spans="1:6" ht="42.75" customHeight="1" x14ac:dyDescent="0.3">
      <c r="A2" s="26" t="s">
        <v>71</v>
      </c>
      <c r="B2" s="26" t="s">
        <v>108</v>
      </c>
      <c r="C2" s="26" t="s">
        <v>109</v>
      </c>
      <c r="D2" s="26" t="s">
        <v>110</v>
      </c>
      <c r="E2" s="26" t="s">
        <v>111</v>
      </c>
      <c r="F2" s="27" t="s">
        <v>112</v>
      </c>
    </row>
    <row r="3" spans="1:6" ht="14.25" customHeight="1" x14ac:dyDescent="0.3">
      <c r="A3" s="28" t="s">
        <v>74</v>
      </c>
      <c r="B3" s="29" t="s">
        <v>70</v>
      </c>
      <c r="C3" s="29" t="s">
        <v>90</v>
      </c>
      <c r="D3" s="30" t="s">
        <v>113</v>
      </c>
      <c r="E3" s="31" t="s">
        <v>114</v>
      </c>
      <c r="F3" s="32" t="s">
        <v>115</v>
      </c>
    </row>
    <row r="4" spans="1:6" ht="57" customHeight="1" x14ac:dyDescent="0.3">
      <c r="A4" s="33">
        <v>1</v>
      </c>
      <c r="B4" s="33" t="s">
        <v>116</v>
      </c>
      <c r="C4" s="34" t="s">
        <v>117</v>
      </c>
      <c r="D4" s="35">
        <v>22000</v>
      </c>
      <c r="E4" s="35" t="s">
        <v>118</v>
      </c>
      <c r="F4" s="13" t="str">
        <f>B4</f>
        <v>Motilada</v>
      </c>
    </row>
    <row r="5" spans="1:6" ht="57" customHeight="1" x14ac:dyDescent="0.3">
      <c r="A5" s="33">
        <v>2</v>
      </c>
      <c r="B5" s="33" t="s">
        <v>119</v>
      </c>
      <c r="C5" s="34" t="s">
        <v>120</v>
      </c>
      <c r="D5" s="35">
        <v>12000</v>
      </c>
      <c r="E5" s="35" t="s">
        <v>118</v>
      </c>
      <c r="F5" s="13" t="str">
        <f>B5</f>
        <v>Corte de barba</v>
      </c>
    </row>
    <row r="6" spans="1:6" ht="57" customHeight="1" x14ac:dyDescent="0.3">
      <c r="A6" s="33">
        <v>3</v>
      </c>
      <c r="B6" s="33" t="s">
        <v>121</v>
      </c>
      <c r="C6" s="34" t="s">
        <v>122</v>
      </c>
      <c r="D6" s="35">
        <v>15000</v>
      </c>
      <c r="E6" s="35" t="s">
        <v>118</v>
      </c>
      <c r="F6" s="13" t="str">
        <f>B6</f>
        <v>Perfilada de barba</v>
      </c>
    </row>
    <row r="7" spans="1:6" ht="57" customHeight="1" x14ac:dyDescent="0.3">
      <c r="A7" s="33">
        <v>4</v>
      </c>
      <c r="B7" s="34" t="s">
        <v>123</v>
      </c>
      <c r="C7" s="34" t="s">
        <v>124</v>
      </c>
      <c r="D7" s="35">
        <v>35000</v>
      </c>
      <c r="E7" s="35" t="s">
        <v>118</v>
      </c>
      <c r="F7" s="23" t="str">
        <f>B7</f>
        <v>Arreglo completo de barba con toalla caliente</v>
      </c>
    </row>
    <row r="13" spans="1:6" ht="28.5" customHeight="1" x14ac:dyDescent="0.3">
      <c r="A13" s="16"/>
      <c r="B13" s="17" t="s">
        <v>84</v>
      </c>
    </row>
    <row r="14" spans="1:6" ht="28.5" customHeight="1" x14ac:dyDescent="0.3">
      <c r="A14" s="18"/>
      <c r="B14" s="17" t="s">
        <v>85</v>
      </c>
    </row>
    <row r="15" spans="1:6" ht="42.75" customHeight="1" x14ac:dyDescent="0.3">
      <c r="A15" s="36"/>
      <c r="B15" s="17" t="s">
        <v>125</v>
      </c>
    </row>
    <row r="16" spans="1:6" ht="28.5" customHeight="1" x14ac:dyDescent="0.3">
      <c r="A16" s="37"/>
      <c r="B16" s="17" t="s">
        <v>86</v>
      </c>
    </row>
    <row r="17" spans="1:2" ht="28.5" customHeight="1" x14ac:dyDescent="0.3">
      <c r="A17" s="38"/>
      <c r="B17" s="17" t="s">
        <v>126</v>
      </c>
    </row>
    <row r="18" spans="1:2" ht="28.5" customHeight="1" x14ac:dyDescent="0.3">
      <c r="A18" s="39"/>
      <c r="B18" s="17" t="s">
        <v>127</v>
      </c>
    </row>
    <row r="19" spans="1:2" ht="28.5" customHeight="1" x14ac:dyDescent="0.3">
      <c r="A19" s="40"/>
      <c r="B19" s="17" t="s">
        <v>87</v>
      </c>
    </row>
  </sheetData>
  <hyperlinks>
    <hyperlink ref="A1" location="'Modelo de Dominio'!A1" display="&lt;&lt;&lt;&lt; Ir al modulo de dominio" xr:uid="{AE01C8C8-B0DB-4D62-8A4F-D09AFDEABA9D}"/>
    <hyperlink ref="B1" location="'Objetos de Dominio'!A1" display="&lt;&lt;&lt;&lt; Ir a objetos de dominio" xr:uid="{CC8C5821-450D-44C1-9DF0-2180237CDE76}"/>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9"/>
  <sheetViews>
    <sheetView topLeftCell="M1" zoomScaleNormal="100" workbookViewId="0">
      <selection activeCell="A3" sqref="A3:U3"/>
    </sheetView>
  </sheetViews>
  <sheetFormatPr baseColWidth="10" defaultColWidth="8.6640625" defaultRowHeight="14.4" x14ac:dyDescent="0.3"/>
  <cols>
    <col min="1" max="1" width="27" bestFit="1" customWidth="1"/>
    <col min="2" max="2" width="45" customWidth="1"/>
    <col min="3" max="3" width="30.44140625" bestFit="1" customWidth="1"/>
    <col min="4" max="4" width="24.2187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8" width="18" customWidth="1"/>
    <col min="19" max="19" width="21" bestFit="1" customWidth="1"/>
    <col min="20" max="20" width="24" bestFit="1" customWidth="1"/>
    <col min="21" max="21" width="18" customWidth="1"/>
  </cols>
  <sheetData>
    <row r="1" spans="1:21" x14ac:dyDescent="0.3">
      <c r="A1" s="114" t="s">
        <v>1</v>
      </c>
      <c r="B1" s="114" t="s">
        <v>41</v>
      </c>
    </row>
    <row r="2" spans="1:21" x14ac:dyDescent="0.3">
      <c r="A2" s="101" t="s">
        <v>42</v>
      </c>
      <c r="B2" s="101" t="s">
        <v>43</v>
      </c>
      <c r="C2" s="101" t="s">
        <v>44</v>
      </c>
      <c r="D2" s="101" t="s">
        <v>45</v>
      </c>
      <c r="E2" s="101" t="s">
        <v>46</v>
      </c>
      <c r="F2" s="101" t="s">
        <v>47</v>
      </c>
      <c r="G2" s="101" t="s">
        <v>48</v>
      </c>
      <c r="H2" s="101" t="s">
        <v>49</v>
      </c>
      <c r="I2" s="101" t="s">
        <v>50</v>
      </c>
      <c r="J2" s="101" t="s">
        <v>51</v>
      </c>
      <c r="K2" s="101" t="s">
        <v>52</v>
      </c>
      <c r="L2" s="101" t="s">
        <v>53</v>
      </c>
      <c r="M2" s="101" t="s">
        <v>54</v>
      </c>
      <c r="N2" s="101" t="s">
        <v>55</v>
      </c>
      <c r="O2" s="101" t="s">
        <v>56</v>
      </c>
      <c r="P2" s="101" t="s">
        <v>57</v>
      </c>
      <c r="Q2" s="101" t="s">
        <v>58</v>
      </c>
      <c r="R2" s="101" t="s">
        <v>59</v>
      </c>
      <c r="S2" s="101" t="s">
        <v>60</v>
      </c>
      <c r="T2" s="101" t="s">
        <v>61</v>
      </c>
      <c r="U2" s="101" t="s">
        <v>62</v>
      </c>
    </row>
    <row r="3" spans="1:21" ht="28.8" x14ac:dyDescent="0.3">
      <c r="A3" s="102" t="str">
        <f>'[1]M-Regla'!A3</f>
        <v>id</v>
      </c>
      <c r="B3" s="103" t="str">
        <f>'M-Regla'!A2</f>
        <v>Representa un identificador que hará unico cada objeto de dominio de este tipo, no se puede repetir</v>
      </c>
      <c r="C3" s="102" t="s">
        <v>63</v>
      </c>
      <c r="D3" s="102" t="s">
        <v>64</v>
      </c>
      <c r="E3" s="102" t="s">
        <v>63</v>
      </c>
      <c r="F3" s="102"/>
      <c r="G3" s="102"/>
      <c r="H3" s="102"/>
      <c r="I3" s="102"/>
      <c r="J3" s="102"/>
      <c r="K3" s="102"/>
      <c r="L3" s="102"/>
      <c r="M3" s="103"/>
      <c r="N3" s="102" t="s">
        <v>65</v>
      </c>
      <c r="O3" s="102" t="s">
        <v>65</v>
      </c>
      <c r="P3" s="102"/>
      <c r="Q3" s="102" t="s">
        <v>65</v>
      </c>
      <c r="R3" s="102" t="s">
        <v>65</v>
      </c>
      <c r="S3" s="102" t="s">
        <v>65</v>
      </c>
      <c r="T3" s="102"/>
      <c r="U3" s="102" t="s">
        <v>63</v>
      </c>
    </row>
    <row r="4" spans="1:21" ht="28.8" x14ac:dyDescent="0.3">
      <c r="A4" s="102" t="str">
        <f>'[1]M-Regla'!C3</f>
        <v>toleranciaTardanzaCliente</v>
      </c>
      <c r="B4" s="103" t="str">
        <f>'M-Regla'!B2</f>
        <v>Representa la cantidad de minutos maxima que un cliente puede llegar tarde</v>
      </c>
      <c r="C4" s="102" t="s">
        <v>65</v>
      </c>
      <c r="D4" s="102" t="s">
        <v>345</v>
      </c>
      <c r="E4" s="102" t="s">
        <v>65</v>
      </c>
      <c r="F4" s="102"/>
      <c r="G4" s="102"/>
      <c r="H4" s="102"/>
      <c r="I4" s="102"/>
      <c r="J4" s="102">
        <v>0</v>
      </c>
      <c r="K4" s="102"/>
      <c r="L4" s="102"/>
      <c r="M4" s="103"/>
      <c r="N4" s="102" t="s">
        <v>65</v>
      </c>
      <c r="O4" s="102" t="s">
        <v>65</v>
      </c>
      <c r="P4" s="102"/>
      <c r="Q4" s="102"/>
      <c r="R4" s="102"/>
      <c r="S4" s="102" t="s">
        <v>65</v>
      </c>
      <c r="T4" s="102">
        <v>0</v>
      </c>
      <c r="U4" s="102" t="s">
        <v>65</v>
      </c>
    </row>
    <row r="5" spans="1:21" ht="43.2" x14ac:dyDescent="0.3">
      <c r="A5" s="102" t="str">
        <f>'[1]M-Regla'!D3</f>
        <v>montoMultaTardanzaCliente</v>
      </c>
      <c r="B5" s="103" t="str">
        <f>'M-Regla'!C2</f>
        <v>Representa la cantidad de dinero que el cliente debe de pagar en pesos colombianos, por superar la toleranciaTardanza</v>
      </c>
      <c r="C5" s="102" t="s">
        <v>65</v>
      </c>
      <c r="D5" s="102" t="s">
        <v>345</v>
      </c>
      <c r="E5" s="102" t="s">
        <v>65</v>
      </c>
      <c r="F5" s="102"/>
      <c r="G5" s="102"/>
      <c r="H5" s="102"/>
      <c r="I5" s="102"/>
      <c r="J5" s="102">
        <v>0</v>
      </c>
      <c r="K5" s="102"/>
      <c r="L5" s="103" t="s">
        <v>347</v>
      </c>
      <c r="M5" s="103"/>
      <c r="N5" s="102" t="s">
        <v>65</v>
      </c>
      <c r="O5" s="102" t="s">
        <v>65</v>
      </c>
      <c r="P5" s="102"/>
      <c r="Q5" s="102"/>
      <c r="R5" s="102"/>
      <c r="S5" s="102" t="s">
        <v>65</v>
      </c>
      <c r="T5" s="102">
        <v>0</v>
      </c>
      <c r="U5" s="102" t="s">
        <v>65</v>
      </c>
    </row>
    <row r="6" spans="1:21" ht="43.2" x14ac:dyDescent="0.3">
      <c r="A6" s="102" t="str">
        <f>'[1]M-Regla'!E3</f>
        <v>numeroMultasMaxima</v>
      </c>
      <c r="B6" s="103" t="str">
        <f>'M-Regla'!D2</f>
        <v>Representa la maxima de multas que pueda tener un cliente sin pagar, a partir de esta cantidad se le hace un veto al cliente</v>
      </c>
      <c r="C6" s="102" t="s">
        <v>65</v>
      </c>
      <c r="D6" s="102" t="s">
        <v>345</v>
      </c>
      <c r="E6" s="102" t="s">
        <v>65</v>
      </c>
      <c r="F6" s="102"/>
      <c r="G6" s="102"/>
      <c r="H6" s="102"/>
      <c r="I6" s="102"/>
      <c r="J6" s="102">
        <v>0</v>
      </c>
      <c r="K6" s="102"/>
      <c r="L6" s="102"/>
      <c r="M6" s="103"/>
      <c r="N6" s="102" t="s">
        <v>65</v>
      </c>
      <c r="O6" s="102" t="s">
        <v>65</v>
      </c>
      <c r="P6" s="102"/>
      <c r="Q6" s="102"/>
      <c r="R6" s="102"/>
      <c r="S6" s="102" t="s">
        <v>65</v>
      </c>
      <c r="T6" s="102">
        <v>0</v>
      </c>
      <c r="U6" s="102" t="s">
        <v>65</v>
      </c>
    </row>
    <row r="7" spans="1:21" ht="57.6" x14ac:dyDescent="0.3">
      <c r="A7" s="102" t="str">
        <f>'[1]M-Regla'!F3</f>
        <v>toleranciaTardanzaBarbero</v>
      </c>
      <c r="B7" s="103" t="str">
        <f>'M-Regla'!E2</f>
        <v>Representa la cantidad de minutos que un barbero puede demorarse en atender a un cliente, en caso de que el barbero se demore mas de lo previsto en su cita anterior</v>
      </c>
      <c r="C7" s="102" t="s">
        <v>65</v>
      </c>
      <c r="D7" s="102" t="s">
        <v>345</v>
      </c>
      <c r="E7" s="102" t="s">
        <v>65</v>
      </c>
      <c r="F7" s="102"/>
      <c r="G7" s="102"/>
      <c r="H7" s="102"/>
      <c r="I7" s="102"/>
      <c r="J7" s="102">
        <v>0</v>
      </c>
      <c r="K7" s="102"/>
      <c r="L7" s="102"/>
      <c r="M7" s="103"/>
      <c r="N7" s="102" t="s">
        <v>65</v>
      </c>
      <c r="O7" s="102" t="s">
        <v>65</v>
      </c>
      <c r="P7" s="102"/>
      <c r="Q7" s="102"/>
      <c r="R7" s="102"/>
      <c r="S7" s="102" t="s">
        <v>65</v>
      </c>
      <c r="T7" s="102">
        <v>0</v>
      </c>
      <c r="U7" s="102" t="s">
        <v>65</v>
      </c>
    </row>
    <row r="8" spans="1:21" ht="43.2" x14ac:dyDescent="0.3">
      <c r="A8" s="102" t="str">
        <f>'[1]M-Regla'!G3</f>
        <v>porcentajeDescuentoCita</v>
      </c>
      <c r="B8" s="103" t="str">
        <f>'M-Regla'!F2</f>
        <v>Representa la cantidad cuanto descuento va a tener un cliente en la cita con el barbero, como recompesa por esperar al barbero mas de la tolerancia permitida</v>
      </c>
      <c r="C8" s="102" t="s">
        <v>65</v>
      </c>
      <c r="D8" s="102" t="s">
        <v>345</v>
      </c>
      <c r="E8" s="102" t="s">
        <v>65</v>
      </c>
      <c r="F8" s="102"/>
      <c r="G8" s="102"/>
      <c r="H8" s="102"/>
      <c r="I8" s="102"/>
      <c r="J8" s="102">
        <v>0</v>
      </c>
      <c r="K8" s="102">
        <v>100</v>
      </c>
      <c r="L8" s="103" t="s">
        <v>349</v>
      </c>
      <c r="M8" s="103"/>
      <c r="N8" s="102" t="s">
        <v>65</v>
      </c>
      <c r="O8" s="102" t="s">
        <v>65</v>
      </c>
      <c r="P8" s="102"/>
      <c r="Q8" s="102"/>
      <c r="R8" s="102"/>
      <c r="S8" s="102" t="s">
        <v>65</v>
      </c>
      <c r="T8" s="102">
        <v>0</v>
      </c>
      <c r="U8" s="102" t="s">
        <v>65</v>
      </c>
    </row>
    <row r="9" spans="1:21" x14ac:dyDescent="0.3">
      <c r="A9" s="7"/>
      <c r="B9" s="7"/>
    </row>
    <row r="10" spans="1:21" x14ac:dyDescent="0.3">
      <c r="A10" s="7"/>
      <c r="B10" s="7"/>
      <c r="E10" s="113" t="s">
        <v>348</v>
      </c>
    </row>
    <row r="11" spans="1:21" x14ac:dyDescent="0.3">
      <c r="A11" s="111"/>
      <c r="B11" s="111"/>
      <c r="C11" s="111"/>
      <c r="D11" s="111"/>
      <c r="E11" s="111"/>
      <c r="F11" s="111"/>
      <c r="G11" s="111"/>
      <c r="H11" s="111"/>
      <c r="I11" s="111"/>
      <c r="J11" s="111"/>
      <c r="K11" s="111"/>
      <c r="L11" s="111"/>
      <c r="M11" s="111"/>
      <c r="N11" s="111"/>
      <c r="O11" s="111"/>
      <c r="P11" s="111"/>
      <c r="Q11" s="111"/>
      <c r="R11" s="111"/>
      <c r="S11" s="111"/>
      <c r="T11" s="111"/>
      <c r="U11" s="111"/>
    </row>
    <row r="12" spans="1:21" x14ac:dyDescent="0.3">
      <c r="A12" s="1"/>
      <c r="B12" s="1"/>
    </row>
    <row r="13" spans="1:21" x14ac:dyDescent="0.3">
      <c r="A13" s="1"/>
      <c r="B13" s="1"/>
    </row>
    <row r="14" spans="1:21" x14ac:dyDescent="0.3">
      <c r="A14" s="1"/>
      <c r="B14" s="1"/>
    </row>
    <row r="15" spans="1:21" x14ac:dyDescent="0.3">
      <c r="A15" s="1"/>
      <c r="B15" s="1"/>
    </row>
    <row r="16" spans="1:21" x14ac:dyDescent="0.3">
      <c r="A16" s="1"/>
      <c r="B16" s="1"/>
    </row>
    <row r="17" spans="1:3" x14ac:dyDescent="0.3">
      <c r="A17" s="1"/>
      <c r="B17" s="1"/>
    </row>
    <row r="19" spans="1:3" x14ac:dyDescent="0.3">
      <c r="A19" s="112"/>
      <c r="B19" s="112"/>
      <c r="C19" s="112"/>
    </row>
  </sheetData>
  <hyperlinks>
    <hyperlink ref="A1" location="'Modelo de Dominio'!A1" display="&lt;&lt;&lt;&lt; Ir al modulo de dominio" xr:uid="{DF6E95E0-0BCF-4D3A-A3FB-4C8C077AA0F9}"/>
    <hyperlink ref="B1" location="'Objetos de Dominio'!A1" display="&lt;&lt;&lt;&lt; Ir a objetos de dominio" xr:uid="{5ED15844-8286-4FE1-AF94-32CE7071E4D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zoomScaleNormal="100" workbookViewId="0">
      <selection activeCell="B1" sqref="B1"/>
    </sheetView>
  </sheetViews>
  <sheetFormatPr baseColWidth="10" defaultColWidth="10.6640625" defaultRowHeight="14.4" x14ac:dyDescent="0.3"/>
  <cols>
    <col min="1" max="1" width="25" customWidth="1"/>
    <col min="2" max="2" width="26.88671875" customWidth="1"/>
    <col min="3" max="3" width="31.44140625" customWidth="1"/>
    <col min="4" max="4" width="34.44140625" customWidth="1"/>
    <col min="5" max="5" width="28.44140625" customWidth="1"/>
    <col min="6" max="6" width="29.88671875" customWidth="1"/>
  </cols>
  <sheetData>
    <row r="1" spans="1:7" ht="14.25" customHeight="1" x14ac:dyDescent="0.3">
      <c r="A1" s="114" t="s">
        <v>1</v>
      </c>
      <c r="B1" s="114" t="s">
        <v>41</v>
      </c>
    </row>
    <row r="2" spans="1:7" ht="48.75" customHeight="1" x14ac:dyDescent="0.3">
      <c r="A2" s="26" t="s">
        <v>71</v>
      </c>
      <c r="B2" s="27" t="s">
        <v>130</v>
      </c>
      <c r="C2" s="27" t="s">
        <v>131</v>
      </c>
      <c r="D2" s="27" t="s">
        <v>132</v>
      </c>
      <c r="E2" s="27" t="s">
        <v>133</v>
      </c>
      <c r="F2" s="27" t="s">
        <v>134</v>
      </c>
      <c r="G2" s="15"/>
    </row>
    <row r="3" spans="1:7" ht="14.25" customHeight="1" x14ac:dyDescent="0.3">
      <c r="A3" s="41" t="s">
        <v>74</v>
      </c>
      <c r="B3" s="42" t="s">
        <v>135</v>
      </c>
      <c r="C3" s="42" t="s">
        <v>136</v>
      </c>
      <c r="D3" s="42" t="s">
        <v>137</v>
      </c>
      <c r="E3" s="42" t="s">
        <v>138</v>
      </c>
      <c r="F3" s="42" t="s">
        <v>139</v>
      </c>
      <c r="G3" s="43"/>
    </row>
    <row r="4" spans="1:7" ht="14.25" customHeight="1" x14ac:dyDescent="0.3">
      <c r="A4" s="13">
        <v>1</v>
      </c>
      <c r="B4" s="13">
        <v>10</v>
      </c>
      <c r="C4" s="44">
        <v>10000</v>
      </c>
      <c r="D4" s="13">
        <v>3</v>
      </c>
      <c r="E4" s="13">
        <v>15</v>
      </c>
      <c r="F4" s="13">
        <v>10</v>
      </c>
      <c r="G4" s="15"/>
    </row>
    <row r="9" spans="1:7" ht="28.5" customHeight="1" x14ac:dyDescent="0.3">
      <c r="A9" s="16"/>
      <c r="B9" s="17" t="s">
        <v>84</v>
      </c>
    </row>
    <row r="10" spans="1:7" ht="28.5" customHeight="1" x14ac:dyDescent="0.3">
      <c r="A10" s="18"/>
      <c r="B10" s="17" t="s">
        <v>85</v>
      </c>
    </row>
    <row r="11" spans="1:7" ht="28.5" customHeight="1" x14ac:dyDescent="0.3">
      <c r="A11" s="45"/>
      <c r="B11" s="17" t="s">
        <v>126</v>
      </c>
    </row>
  </sheetData>
  <hyperlinks>
    <hyperlink ref="A1" location="'Modelo de Dominio'!A1" display="&lt;&lt;&lt;&lt; Ir al modulo de dominio" xr:uid="{B4D71C52-D67B-4E88-B37A-FB7A57AEFBAF}"/>
    <hyperlink ref="B1" location="'Objetos de Dominio'!A1" display="&lt;&lt;&lt;&lt; Ir a objetos de dominio" xr:uid="{F152DA2A-568B-4E89-9F23-3C997E2F5ECF}"/>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zoomScaleNormal="100" workbookViewId="0">
      <selection activeCell="A6" sqref="A6:C7"/>
    </sheetView>
  </sheetViews>
  <sheetFormatPr baseColWidth="10" defaultColWidth="8.6640625" defaultRowHeight="14.4" x14ac:dyDescent="0.3"/>
  <cols>
    <col min="1" max="1" width="26.6640625" bestFit="1" customWidth="1"/>
    <col min="2" max="2" width="45" customWidth="1"/>
    <col min="3" max="3" width="30.44140625" bestFit="1" customWidth="1"/>
    <col min="4" max="4" width="23.664062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s="145" customFormat="1" x14ac:dyDescent="0.3">
      <c r="A2" s="143" t="s">
        <v>42</v>
      </c>
      <c r="B2" s="144" t="s">
        <v>43</v>
      </c>
      <c r="C2" s="143" t="s">
        <v>44</v>
      </c>
      <c r="D2" s="143" t="s">
        <v>45</v>
      </c>
      <c r="E2" s="143" t="s">
        <v>46</v>
      </c>
      <c r="F2" s="143" t="s">
        <v>47</v>
      </c>
      <c r="G2" s="143" t="s">
        <v>48</v>
      </c>
      <c r="H2" s="143" t="s">
        <v>49</v>
      </c>
      <c r="I2" s="143" t="s">
        <v>50</v>
      </c>
      <c r="J2" s="143" t="s">
        <v>51</v>
      </c>
      <c r="K2" s="143" t="s">
        <v>52</v>
      </c>
      <c r="L2" s="143" t="s">
        <v>53</v>
      </c>
      <c r="M2" s="144" t="s">
        <v>54</v>
      </c>
      <c r="N2" s="143" t="s">
        <v>55</v>
      </c>
      <c r="O2" s="143" t="s">
        <v>56</v>
      </c>
      <c r="P2" s="143" t="s">
        <v>57</v>
      </c>
      <c r="Q2" s="143" t="s">
        <v>58</v>
      </c>
      <c r="R2" s="143" t="s">
        <v>59</v>
      </c>
      <c r="S2" s="143" t="s">
        <v>60</v>
      </c>
      <c r="T2" s="143" t="s">
        <v>61</v>
      </c>
      <c r="U2" s="143" t="s">
        <v>62</v>
      </c>
    </row>
    <row r="3" spans="1:21" ht="28.8" x14ac:dyDescent="0.3">
      <c r="A3" s="102" t="str">
        <f>'M-PrefijoCelular'!A3</f>
        <v>id</v>
      </c>
      <c r="B3" s="103" t="str">
        <f>'M-PrefijoCelular'!A2</f>
        <v>Representa un identificador que hará unico cada objeto de dominio de este tipo, no se puede repetir</v>
      </c>
      <c r="C3" s="102" t="s">
        <v>63</v>
      </c>
      <c r="D3" s="102" t="s">
        <v>64</v>
      </c>
      <c r="E3" s="102" t="s">
        <v>63</v>
      </c>
      <c r="F3" s="102" t="s">
        <v>363</v>
      </c>
      <c r="G3" s="102" t="s">
        <v>363</v>
      </c>
      <c r="H3" s="102" t="s">
        <v>363</v>
      </c>
      <c r="I3" s="102" t="s">
        <v>363</v>
      </c>
      <c r="J3" s="102" t="s">
        <v>363</v>
      </c>
      <c r="K3" s="102" t="s">
        <v>363</v>
      </c>
      <c r="L3" s="102" t="s">
        <v>363</v>
      </c>
      <c r="M3" s="103"/>
      <c r="N3" s="102" t="s">
        <v>65</v>
      </c>
      <c r="O3" s="102" t="s">
        <v>65</v>
      </c>
      <c r="P3" s="102" t="s">
        <v>363</v>
      </c>
      <c r="Q3" s="102" t="s">
        <v>65</v>
      </c>
      <c r="R3" s="102" t="s">
        <v>65</v>
      </c>
      <c r="S3" s="102" t="s">
        <v>65</v>
      </c>
      <c r="T3" s="102" t="s">
        <v>363</v>
      </c>
      <c r="U3" s="102" t="s">
        <v>63</v>
      </c>
    </row>
    <row r="4" spans="1:21" ht="28.8" x14ac:dyDescent="0.3">
      <c r="A4" s="102" t="str">
        <f>'M-PrefijoCelular'!B3</f>
        <v>prefijo</v>
      </c>
      <c r="B4" s="103" t="str">
        <f>'M-PrefijoCelular'!B2</f>
        <v>Representa el primer nombre del barbero que trabaja en barbería</v>
      </c>
      <c r="C4" s="102" t="s">
        <v>65</v>
      </c>
      <c r="D4" s="102" t="s">
        <v>66</v>
      </c>
      <c r="E4" s="102" t="s">
        <v>63</v>
      </c>
      <c r="F4" s="102">
        <v>2</v>
      </c>
      <c r="G4" s="102">
        <v>6</v>
      </c>
      <c r="H4" s="102" t="s">
        <v>363</v>
      </c>
      <c r="I4" s="102" t="s">
        <v>363</v>
      </c>
      <c r="J4" s="102" t="s">
        <v>363</v>
      </c>
      <c r="K4" s="102" t="s">
        <v>363</v>
      </c>
      <c r="L4" s="102"/>
      <c r="M4" s="103"/>
      <c r="N4" s="102" t="s">
        <v>65</v>
      </c>
      <c r="O4" s="102" t="s">
        <v>65</v>
      </c>
      <c r="P4" s="102" t="s">
        <v>363</v>
      </c>
      <c r="Q4" s="102" t="s">
        <v>63</v>
      </c>
      <c r="R4" s="102" t="s">
        <v>63</v>
      </c>
      <c r="S4" s="102" t="s">
        <v>65</v>
      </c>
      <c r="T4" s="102" t="s">
        <v>363</v>
      </c>
      <c r="U4" s="102" t="s">
        <v>65</v>
      </c>
    </row>
    <row r="6" spans="1:21" x14ac:dyDescent="0.3">
      <c r="A6" s="105" t="s">
        <v>67</v>
      </c>
      <c r="B6" s="105" t="s">
        <v>68</v>
      </c>
      <c r="C6" s="105" t="s">
        <v>69</v>
      </c>
    </row>
    <row r="7" spans="1:21" ht="28.8" x14ac:dyDescent="0.3">
      <c r="A7" s="107" t="str">
        <f>'M-PrefijoCelular'!C3</f>
        <v xml:space="preserve">Combinación única </v>
      </c>
      <c r="B7" s="108" t="str">
        <f>'M-PrefijoCelular'!C2</f>
        <v>Combinacion única que indica que no puede existir más un mismo prefijo</v>
      </c>
      <c r="C7" s="109" t="s">
        <v>140</v>
      </c>
    </row>
  </sheetData>
  <hyperlinks>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 ref="A1" location="'Modelo de Dominio'!A1" display="&lt;&lt;&lt;&lt; Ir al modulo de dominio" xr:uid="{EFDBDE6D-F1DB-4732-9DC1-76A0B26DCBB1}"/>
    <hyperlink ref="B1" location="'Objetos de Dominio'!A1" display="&lt;&lt;&lt;&lt; Ir a objetos de dominio" xr:uid="{3E93EE6F-F763-4D46-AD4F-7159B231C9B3}"/>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6640625" defaultRowHeight="14.4" x14ac:dyDescent="0.3"/>
  <cols>
    <col min="1" max="1" width="27" customWidth="1"/>
    <col min="2" max="2" width="26.109375" customWidth="1"/>
    <col min="3" max="3" width="19.6640625" customWidth="1"/>
  </cols>
  <sheetData>
    <row r="1" spans="1:3" ht="14.25" customHeight="1" x14ac:dyDescent="0.3">
      <c r="A1" s="114" t="s">
        <v>1</v>
      </c>
      <c r="B1" s="114" t="s">
        <v>41</v>
      </c>
    </row>
    <row r="2" spans="1:3" ht="31.5" customHeight="1" x14ac:dyDescent="0.3">
      <c r="A2" s="8" t="s">
        <v>71</v>
      </c>
      <c r="B2" s="8" t="s">
        <v>141</v>
      </c>
      <c r="C2" s="9" t="s">
        <v>142</v>
      </c>
    </row>
    <row r="3" spans="1:3" ht="14.25" customHeight="1" x14ac:dyDescent="0.3">
      <c r="A3" s="10" t="s">
        <v>74</v>
      </c>
      <c r="B3" s="11" t="s">
        <v>140</v>
      </c>
      <c r="C3" s="12" t="s">
        <v>75</v>
      </c>
    </row>
    <row r="4" spans="1:3" ht="14.25" customHeight="1" x14ac:dyDescent="0.3">
      <c r="A4" s="13">
        <v>1</v>
      </c>
      <c r="B4" s="13" t="s">
        <v>143</v>
      </c>
      <c r="C4" s="13" t="str">
        <f>B4</f>
        <v>+57</v>
      </c>
    </row>
    <row r="5" spans="1:3" ht="14.25" customHeight="1" x14ac:dyDescent="0.3">
      <c r="A5" s="13">
        <v>2</v>
      </c>
      <c r="B5" s="13" t="s">
        <v>144</v>
      </c>
      <c r="C5" s="13" t="str">
        <f>B5</f>
        <v>+91</v>
      </c>
    </row>
    <row r="6" spans="1:3" ht="14.25" customHeight="1" x14ac:dyDescent="0.3">
      <c r="A6" s="13">
        <v>3</v>
      </c>
      <c r="B6" s="13" t="s">
        <v>145</v>
      </c>
      <c r="C6" s="13" t="str">
        <f>B6</f>
        <v>+593</v>
      </c>
    </row>
    <row r="7" spans="1:3" ht="14.25" customHeight="1" x14ac:dyDescent="0.3">
      <c r="A7" s="13">
        <v>4</v>
      </c>
      <c r="B7" s="13" t="s">
        <v>146</v>
      </c>
      <c r="C7" s="13" t="str">
        <f>B7</f>
        <v>+58</v>
      </c>
    </row>
    <row r="8" spans="1:3" ht="14.25" customHeight="1" x14ac:dyDescent="0.3">
      <c r="A8" s="15"/>
      <c r="B8" s="15"/>
    </row>
    <row r="9" spans="1:3" ht="14.25" customHeight="1" x14ac:dyDescent="0.3">
      <c r="A9" s="15"/>
      <c r="B9" s="15"/>
    </row>
    <row r="13" spans="1:3" ht="28.5" customHeight="1" x14ac:dyDescent="0.3">
      <c r="A13" s="16"/>
      <c r="B13" s="17" t="s">
        <v>84</v>
      </c>
    </row>
    <row r="14" spans="1:3" ht="28.5" customHeight="1" x14ac:dyDescent="0.3">
      <c r="A14" s="18"/>
      <c r="B14" s="17" t="s">
        <v>85</v>
      </c>
    </row>
    <row r="15" spans="1:3" ht="28.5" customHeight="1" x14ac:dyDescent="0.3">
      <c r="A15" s="19"/>
      <c r="B15" s="17" t="s">
        <v>86</v>
      </c>
    </row>
    <row r="16" spans="1:3" ht="28.5" customHeight="1" x14ac:dyDescent="0.3">
      <c r="A16" s="20"/>
      <c r="B16" s="17" t="s">
        <v>87</v>
      </c>
    </row>
  </sheetData>
  <hyperlinks>
    <hyperlink ref="A1" location="'Modelo de Dominio'!A1" display="&lt;&lt;&lt;&lt; Ir al modulo de dominio" xr:uid="{FA355A2E-51D6-4C20-81BD-5BE30C660852}"/>
    <hyperlink ref="B1" location="'Objetos de Dominio'!A1" display="&lt;&lt;&lt;&lt; Ir a objetos de dominio" xr:uid="{71EFEC7E-CEF9-48AD-8908-DF3C82F4073C}"/>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6640625" defaultRowHeight="14.4" x14ac:dyDescent="0.3"/>
  <cols>
    <col min="1" max="1" width="26.6640625" bestFit="1" customWidth="1"/>
    <col min="2" max="2" width="45" customWidth="1"/>
    <col min="3" max="3" width="30.44140625" bestFit="1" customWidth="1"/>
    <col min="4" max="4" width="23.664062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s="145" customFormat="1" x14ac:dyDescent="0.3">
      <c r="A2" s="143" t="s">
        <v>42</v>
      </c>
      <c r="B2" s="144" t="s">
        <v>43</v>
      </c>
      <c r="C2" s="143" t="s">
        <v>44</v>
      </c>
      <c r="D2" s="143" t="s">
        <v>45</v>
      </c>
      <c r="E2" s="143" t="s">
        <v>46</v>
      </c>
      <c r="F2" s="143" t="s">
        <v>47</v>
      </c>
      <c r="G2" s="143" t="s">
        <v>48</v>
      </c>
      <c r="H2" s="143" t="s">
        <v>49</v>
      </c>
      <c r="I2" s="143" t="s">
        <v>50</v>
      </c>
      <c r="J2" s="143" t="s">
        <v>51</v>
      </c>
      <c r="K2" s="143" t="s">
        <v>52</v>
      </c>
      <c r="L2" s="143" t="s">
        <v>53</v>
      </c>
      <c r="M2" s="144" t="s">
        <v>54</v>
      </c>
      <c r="N2" s="143" t="s">
        <v>55</v>
      </c>
      <c r="O2" s="143" t="s">
        <v>56</v>
      </c>
      <c r="P2" s="143" t="s">
        <v>57</v>
      </c>
      <c r="Q2" s="143" t="s">
        <v>58</v>
      </c>
      <c r="R2" s="143" t="s">
        <v>59</v>
      </c>
      <c r="S2" s="143" t="s">
        <v>60</v>
      </c>
      <c r="T2" s="143" t="s">
        <v>61</v>
      </c>
      <c r="U2" s="143" t="s">
        <v>62</v>
      </c>
    </row>
    <row r="3" spans="1:21" ht="28.8" x14ac:dyDescent="0.3">
      <c r="A3" s="102" t="str">
        <f>'M-TipoMulta'!A3</f>
        <v>id</v>
      </c>
      <c r="B3" s="103" t="str">
        <f>'M-TipoMulta'!A2</f>
        <v>Representa un identificador que hará unico cada objeto de dominio de este tipo, no se puede repetir</v>
      </c>
      <c r="C3" s="102" t="s">
        <v>63</v>
      </c>
      <c r="D3" s="102" t="s">
        <v>64</v>
      </c>
      <c r="E3" s="102" t="s">
        <v>63</v>
      </c>
      <c r="F3" s="102" t="s">
        <v>363</v>
      </c>
      <c r="G3" s="102" t="s">
        <v>363</v>
      </c>
      <c r="H3" s="102" t="s">
        <v>363</v>
      </c>
      <c r="I3" s="102" t="s">
        <v>363</v>
      </c>
      <c r="J3" s="102" t="s">
        <v>363</v>
      </c>
      <c r="K3" s="102" t="s">
        <v>363</v>
      </c>
      <c r="L3" s="102" t="s">
        <v>363</v>
      </c>
      <c r="M3" s="102" t="s">
        <v>363</v>
      </c>
      <c r="N3" s="102" t="s">
        <v>65</v>
      </c>
      <c r="O3" s="102" t="s">
        <v>65</v>
      </c>
      <c r="P3" s="102" t="s">
        <v>363</v>
      </c>
      <c r="Q3" s="102" t="s">
        <v>65</v>
      </c>
      <c r="R3" s="102" t="s">
        <v>65</v>
      </c>
      <c r="S3" s="102" t="s">
        <v>65</v>
      </c>
      <c r="T3" s="102"/>
      <c r="U3" s="102" t="s">
        <v>63</v>
      </c>
    </row>
    <row r="4" spans="1:21" x14ac:dyDescent="0.3">
      <c r="A4" s="102" t="str">
        <f>'M-TipoMulta'!B3</f>
        <v>nombre</v>
      </c>
      <c r="B4" s="103" t="str">
        <f>'M-TipoMulta'!B2</f>
        <v>Representa el nombre del tipo de multa</v>
      </c>
      <c r="C4" s="102" t="s">
        <v>65</v>
      </c>
      <c r="D4" s="102" t="s">
        <v>66</v>
      </c>
      <c r="E4" s="102" t="s">
        <v>63</v>
      </c>
      <c r="F4" s="102">
        <v>4</v>
      </c>
      <c r="G4" s="102">
        <v>50</v>
      </c>
      <c r="H4" s="102" t="s">
        <v>363</v>
      </c>
      <c r="I4" s="102" t="s">
        <v>363</v>
      </c>
      <c r="J4" s="102" t="s">
        <v>363</v>
      </c>
      <c r="K4" s="102" t="s">
        <v>363</v>
      </c>
      <c r="L4" s="102" t="s">
        <v>363</v>
      </c>
      <c r="M4" s="102" t="s">
        <v>363</v>
      </c>
      <c r="N4" s="102" t="s">
        <v>65</v>
      </c>
      <c r="O4" s="102" t="s">
        <v>65</v>
      </c>
      <c r="P4" s="102" t="s">
        <v>363</v>
      </c>
      <c r="Q4" s="102" t="s">
        <v>63</v>
      </c>
      <c r="R4" s="102" t="s">
        <v>63</v>
      </c>
      <c r="S4" s="102" t="s">
        <v>65</v>
      </c>
      <c r="T4" s="102" t="s">
        <v>357</v>
      </c>
      <c r="U4" s="102" t="s">
        <v>65</v>
      </c>
    </row>
    <row r="5" spans="1:21" x14ac:dyDescent="0.3">
      <c r="A5" s="102" t="str">
        <f>'M-TipoMulta'!C3</f>
        <v>descripcion</v>
      </c>
      <c r="B5" s="103" t="str">
        <f>'M-TipoMulta'!C2</f>
        <v>Representa que hace cada tipo de multa</v>
      </c>
      <c r="C5" s="102" t="s">
        <v>65</v>
      </c>
      <c r="D5" s="102" t="s">
        <v>66</v>
      </c>
      <c r="E5" s="102" t="s">
        <v>63</v>
      </c>
      <c r="F5" s="102">
        <v>10</v>
      </c>
      <c r="G5" s="102">
        <v>300</v>
      </c>
      <c r="H5" s="102" t="s">
        <v>363</v>
      </c>
      <c r="I5" s="102" t="s">
        <v>363</v>
      </c>
      <c r="J5" s="102" t="s">
        <v>363</v>
      </c>
      <c r="K5" s="102" t="s">
        <v>363</v>
      </c>
      <c r="L5" s="102" t="s">
        <v>363</v>
      </c>
      <c r="M5" s="102" t="s">
        <v>363</v>
      </c>
      <c r="N5" s="102" t="s">
        <v>65</v>
      </c>
      <c r="O5" s="102" t="s">
        <v>65</v>
      </c>
      <c r="P5" s="102" t="s">
        <v>363</v>
      </c>
      <c r="Q5" s="102" t="s">
        <v>63</v>
      </c>
      <c r="R5" s="102" t="s">
        <v>63</v>
      </c>
      <c r="S5" s="102" t="s">
        <v>65</v>
      </c>
      <c r="T5" s="102" t="s">
        <v>357</v>
      </c>
      <c r="U5" s="102" t="s">
        <v>65</v>
      </c>
    </row>
    <row r="7" spans="1:21" x14ac:dyDescent="0.3">
      <c r="A7" s="105" t="s">
        <v>67</v>
      </c>
      <c r="B7" s="105" t="s">
        <v>68</v>
      </c>
      <c r="C7" s="105" t="s">
        <v>69</v>
      </c>
    </row>
    <row r="8" spans="1:21" ht="28.8" x14ac:dyDescent="0.3">
      <c r="A8" s="107" t="str">
        <f>'M-TipoMulta'!D3</f>
        <v>Combinación única</v>
      </c>
      <c r="B8" s="108" t="str">
        <f>'M-TipoMulta'!D2</f>
        <v xml:space="preserve">Combinación única indica que no puede existir más de un tipo de multa con el mismo nombre </v>
      </c>
      <c r="C8" s="109" t="s">
        <v>70</v>
      </c>
    </row>
  </sheetData>
  <hyperlinks>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 ref="A1" location="'Modelo de Dominio'!A1" display="&lt;&lt;&lt;&lt; Ir al modulo de dominio" xr:uid="{6D646B7A-CF4F-4E54-B6C7-C0E0FED83F0C}"/>
    <hyperlink ref="B1" location="'Objetos de Dominio'!A1" display="&lt;&lt;&lt;&lt; Ir a objetos de dominio" xr:uid="{198A50AE-2E59-4B19-870D-5C863BFA3179}"/>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1" sqref="C1"/>
    </sheetView>
  </sheetViews>
  <sheetFormatPr baseColWidth="10" defaultColWidth="10.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114" t="s">
        <v>1</v>
      </c>
      <c r="B1" s="114" t="s">
        <v>41</v>
      </c>
      <c r="C1" s="46"/>
    </row>
    <row r="2" spans="1:4" ht="39" customHeight="1" x14ac:dyDescent="0.3">
      <c r="A2" s="8" t="s">
        <v>71</v>
      </c>
      <c r="B2" s="8" t="s">
        <v>147</v>
      </c>
      <c r="C2" s="8" t="s">
        <v>148</v>
      </c>
      <c r="D2" s="9" t="s">
        <v>149</v>
      </c>
    </row>
    <row r="3" spans="1:4" ht="14.25" customHeight="1" x14ac:dyDescent="0.3">
      <c r="A3" s="10" t="s">
        <v>74</v>
      </c>
      <c r="B3" s="47" t="s">
        <v>70</v>
      </c>
      <c r="C3" s="48" t="s">
        <v>90</v>
      </c>
      <c r="D3" s="12" t="s">
        <v>150</v>
      </c>
    </row>
    <row r="4" spans="1:4" ht="43.2" x14ac:dyDescent="0.3">
      <c r="A4" s="13">
        <v>1</v>
      </c>
      <c r="B4" s="13" t="s">
        <v>151</v>
      </c>
      <c r="C4" s="23" t="s">
        <v>152</v>
      </c>
      <c r="D4" s="13" t="str">
        <f>B4</f>
        <v>Tardanza</v>
      </c>
    </row>
    <row r="5" spans="1:4" ht="43.2" x14ac:dyDescent="0.3">
      <c r="A5" s="13">
        <v>2</v>
      </c>
      <c r="B5" s="13" t="s">
        <v>103</v>
      </c>
      <c r="C5" s="23" t="s">
        <v>153</v>
      </c>
      <c r="D5" s="13" t="str">
        <f>B5</f>
        <v>Inasistencia</v>
      </c>
    </row>
    <row r="6" spans="1:4" ht="14.25" customHeight="1" x14ac:dyDescent="0.3">
      <c r="A6" s="15"/>
      <c r="B6" s="15"/>
      <c r="C6" s="15"/>
      <c r="D6" s="15"/>
    </row>
    <row r="7" spans="1:4" ht="14.25" customHeight="1" x14ac:dyDescent="0.3">
      <c r="A7" s="15"/>
      <c r="B7" s="15"/>
      <c r="C7" s="15"/>
      <c r="D7" s="15"/>
    </row>
    <row r="8" spans="1:4" ht="14.25" customHeight="1" x14ac:dyDescent="0.3">
      <c r="A8" s="15"/>
      <c r="B8" s="15"/>
      <c r="C8" s="15"/>
    </row>
    <row r="9" spans="1:4" ht="14.25" customHeight="1" x14ac:dyDescent="0.3">
      <c r="A9" s="15"/>
      <c r="B9" s="15"/>
      <c r="C9" s="15"/>
    </row>
    <row r="11" spans="1:4" ht="28.5" customHeight="1" x14ac:dyDescent="0.3">
      <c r="A11" s="16"/>
      <c r="B11" s="17" t="s">
        <v>84</v>
      </c>
    </row>
    <row r="12" spans="1:4" ht="28.5" customHeight="1" x14ac:dyDescent="0.3">
      <c r="A12" s="18"/>
      <c r="B12" s="17" t="s">
        <v>85</v>
      </c>
    </row>
    <row r="13" spans="1:4" ht="28.5" customHeight="1" x14ac:dyDescent="0.3">
      <c r="A13" s="49"/>
      <c r="B13" s="17" t="s">
        <v>154</v>
      </c>
      <c r="C13" s="17"/>
    </row>
    <row r="14" spans="1:4" ht="28.5" customHeight="1" x14ac:dyDescent="0.3">
      <c r="A14" s="19"/>
      <c r="B14" s="17" t="s">
        <v>86</v>
      </c>
      <c r="C14" s="17"/>
    </row>
    <row r="15" spans="1:4" ht="28.5" customHeight="1" x14ac:dyDescent="0.3">
      <c r="A15" s="20"/>
      <c r="B15" s="17" t="s">
        <v>87</v>
      </c>
      <c r="C15" s="17"/>
    </row>
    <row r="16" spans="1:4" ht="14.25" customHeight="1" x14ac:dyDescent="0.3">
      <c r="C16" s="17"/>
    </row>
    <row r="17" spans="3:3" ht="14.25" customHeight="1" x14ac:dyDescent="0.3">
      <c r="C17" s="17"/>
    </row>
  </sheetData>
  <hyperlinks>
    <hyperlink ref="A1" location="'Modelo de Dominio'!A1" display="&lt;&lt;&lt;&lt; Ir al modulo de dominio" xr:uid="{90909EA4-9CF6-4B1E-8CD3-2D126A1FA1B0}"/>
    <hyperlink ref="B1" location="'Objetos de Dominio'!A1" display="&lt;&lt;&lt;&lt; Ir a objetos de dominio" xr:uid="{40A8C4DC-A101-47B8-B766-E9F5B87939FE}"/>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4"/>
  <sheetViews>
    <sheetView zoomScaleNormal="100" workbookViewId="0">
      <selection activeCell="B1" sqref="B1"/>
    </sheetView>
  </sheetViews>
  <sheetFormatPr baseColWidth="10" defaultColWidth="8.6640625" defaultRowHeight="14.4" x14ac:dyDescent="0.3"/>
  <cols>
    <col min="1" max="1" width="26.6640625" bestFit="1" customWidth="1"/>
    <col min="2" max="2" width="45" customWidth="1"/>
    <col min="3" max="3" width="30.44140625" bestFit="1" customWidth="1"/>
    <col min="4" max="4" width="23.664062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s="145" customFormat="1" x14ac:dyDescent="0.3">
      <c r="A2" s="143" t="s">
        <v>42</v>
      </c>
      <c r="B2" s="144" t="s">
        <v>43</v>
      </c>
      <c r="C2" s="143" t="s">
        <v>44</v>
      </c>
      <c r="D2" s="143" t="s">
        <v>45</v>
      </c>
      <c r="E2" s="143" t="s">
        <v>46</v>
      </c>
      <c r="F2" s="143" t="s">
        <v>47</v>
      </c>
      <c r="G2" s="143" t="s">
        <v>48</v>
      </c>
      <c r="H2" s="143" t="s">
        <v>49</v>
      </c>
      <c r="I2" s="143" t="s">
        <v>50</v>
      </c>
      <c r="J2" s="143" t="s">
        <v>51</v>
      </c>
      <c r="K2" s="143" t="s">
        <v>52</v>
      </c>
      <c r="L2" s="143" t="s">
        <v>53</v>
      </c>
      <c r="M2" s="144" t="s">
        <v>54</v>
      </c>
      <c r="N2" s="143" t="s">
        <v>55</v>
      </c>
      <c r="O2" s="143" t="s">
        <v>56</v>
      </c>
      <c r="P2" s="143" t="s">
        <v>57</v>
      </c>
      <c r="Q2" s="143" t="s">
        <v>58</v>
      </c>
      <c r="R2" s="143" t="s">
        <v>59</v>
      </c>
      <c r="S2" s="143" t="s">
        <v>60</v>
      </c>
      <c r="T2" s="143" t="s">
        <v>61</v>
      </c>
      <c r="U2" s="143" t="s">
        <v>62</v>
      </c>
    </row>
    <row r="3" spans="1:21" ht="28.8" x14ac:dyDescent="0.3">
      <c r="A3" s="102" t="str">
        <f>'M-Barbero'!A3</f>
        <v>id</v>
      </c>
      <c r="B3" s="103" t="str">
        <f>'M-Barbero'!A2</f>
        <v>Representa un identificador que hará unico cada objeto de dominio de este tipo, no se puede repetir</v>
      </c>
      <c r="C3" s="102" t="s">
        <v>63</v>
      </c>
      <c r="D3" s="102" t="s">
        <v>64</v>
      </c>
      <c r="E3" s="102" t="s">
        <v>63</v>
      </c>
      <c r="F3" s="102"/>
      <c r="G3" s="102"/>
      <c r="H3" s="102"/>
      <c r="I3" s="102"/>
      <c r="J3" s="102"/>
      <c r="K3" s="102"/>
      <c r="L3" s="102"/>
      <c r="M3" s="103"/>
      <c r="N3" s="102" t="s">
        <v>65</v>
      </c>
      <c r="O3" s="102" t="s">
        <v>65</v>
      </c>
      <c r="P3" s="102"/>
      <c r="Q3" s="102" t="s">
        <v>65</v>
      </c>
      <c r="R3" s="102" t="s">
        <v>65</v>
      </c>
      <c r="S3" s="102" t="s">
        <v>65</v>
      </c>
      <c r="T3" s="102"/>
      <c r="U3" s="102" t="s">
        <v>63</v>
      </c>
    </row>
    <row r="4" spans="1:21" ht="28.8" x14ac:dyDescent="0.3">
      <c r="A4" s="102" t="str">
        <f>'M-Barbero'!B3</f>
        <v>primerNombre</v>
      </c>
      <c r="B4" s="103" t="str">
        <f>'M-Barbero'!B2</f>
        <v>Representa el primer nombre del barbero que trabaja en barbería</v>
      </c>
      <c r="C4" s="102" t="s">
        <v>65</v>
      </c>
      <c r="D4" s="102" t="s">
        <v>66</v>
      </c>
      <c r="E4" s="102" t="s">
        <v>63</v>
      </c>
      <c r="F4" s="102">
        <v>3</v>
      </c>
      <c r="G4" s="102">
        <v>100</v>
      </c>
      <c r="H4" s="102"/>
      <c r="I4" s="102"/>
      <c r="J4" s="102"/>
      <c r="K4" s="102"/>
      <c r="L4" s="102"/>
      <c r="M4" s="103"/>
      <c r="N4" s="102" t="s">
        <v>65</v>
      </c>
      <c r="O4" s="102" t="s">
        <v>65</v>
      </c>
      <c r="P4" s="102"/>
      <c r="Q4" s="102" t="s">
        <v>63</v>
      </c>
      <c r="R4" s="102" t="s">
        <v>63</v>
      </c>
      <c r="S4" s="102" t="s">
        <v>65</v>
      </c>
      <c r="T4" s="102"/>
      <c r="U4" s="102" t="s">
        <v>65</v>
      </c>
    </row>
    <row r="5" spans="1:21" ht="28.8" x14ac:dyDescent="0.3">
      <c r="A5" s="102" t="str">
        <f>'M-Barbero'!C3</f>
        <v>segundoNombre</v>
      </c>
      <c r="B5" s="103" t="str">
        <f>'M-Barbero'!C2</f>
        <v>Representa el segundo nombre del barbero que trabaja en barbería</v>
      </c>
      <c r="C5" s="102" t="s">
        <v>65</v>
      </c>
      <c r="D5" s="102" t="s">
        <v>66</v>
      </c>
      <c r="E5" s="102" t="s">
        <v>65</v>
      </c>
      <c r="F5" s="102">
        <v>3</v>
      </c>
      <c r="G5" s="102">
        <v>100</v>
      </c>
      <c r="H5" s="102"/>
      <c r="I5" s="102"/>
      <c r="J5" s="102"/>
      <c r="K5" s="102"/>
      <c r="L5" s="102"/>
      <c r="M5" s="103"/>
      <c r="N5" s="102" t="s">
        <v>65</v>
      </c>
      <c r="O5" s="102" t="s">
        <v>65</v>
      </c>
      <c r="P5" s="102"/>
      <c r="Q5" s="102" t="s">
        <v>63</v>
      </c>
      <c r="R5" s="102" t="s">
        <v>63</v>
      </c>
      <c r="S5" s="102" t="s">
        <v>65</v>
      </c>
      <c r="T5" s="102" t="s">
        <v>155</v>
      </c>
      <c r="U5" s="102" t="s">
        <v>65</v>
      </c>
    </row>
    <row r="6" spans="1:21" ht="28.8" x14ac:dyDescent="0.3">
      <c r="A6" s="102" t="str">
        <f>'M-Barbero'!D3</f>
        <v>primerApellido</v>
      </c>
      <c r="B6" s="103" t="str">
        <f>'M-Barbero'!D2</f>
        <v>Representa el primer apellido del barbero que trabaja en la barbería</v>
      </c>
      <c r="C6" s="102" t="s">
        <v>65</v>
      </c>
      <c r="D6" s="102" t="s">
        <v>66</v>
      </c>
      <c r="E6" s="102" t="s">
        <v>63</v>
      </c>
      <c r="F6" s="102">
        <v>3</v>
      </c>
      <c r="G6" s="102">
        <v>100</v>
      </c>
      <c r="H6" s="102"/>
      <c r="I6" s="102"/>
      <c r="J6" s="102"/>
      <c r="K6" s="102"/>
      <c r="L6" s="102"/>
      <c r="M6" s="103"/>
      <c r="N6" s="102" t="s">
        <v>65</v>
      </c>
      <c r="O6" s="102" t="s">
        <v>65</v>
      </c>
      <c r="P6" s="102"/>
      <c r="Q6" s="102" t="s">
        <v>63</v>
      </c>
      <c r="R6" s="102" t="s">
        <v>63</v>
      </c>
      <c r="S6" s="102" t="s">
        <v>65</v>
      </c>
      <c r="T6" s="102"/>
      <c r="U6" s="102" t="s">
        <v>65</v>
      </c>
    </row>
    <row r="7" spans="1:21" ht="28.8" x14ac:dyDescent="0.3">
      <c r="A7" s="102" t="str">
        <f>'M-Barbero'!E3</f>
        <v>segundoApellido</v>
      </c>
      <c r="B7" s="103" t="str">
        <f>'M-Barbero'!E2</f>
        <v>Representa el segundo apellido del barbero que trabaja en la barbería</v>
      </c>
      <c r="C7" s="102" t="s">
        <v>65</v>
      </c>
      <c r="D7" s="102" t="s">
        <v>66</v>
      </c>
      <c r="E7" s="102" t="s">
        <v>65</v>
      </c>
      <c r="F7" s="102">
        <v>3</v>
      </c>
      <c r="G7" s="102">
        <v>100</v>
      </c>
      <c r="H7" s="102"/>
      <c r="I7" s="102"/>
      <c r="J7" s="102"/>
      <c r="K7" s="102"/>
      <c r="L7" s="102"/>
      <c r="M7" s="103"/>
      <c r="N7" s="102" t="s">
        <v>65</v>
      </c>
      <c r="O7" s="102" t="s">
        <v>65</v>
      </c>
      <c r="P7" s="102"/>
      <c r="Q7" s="102" t="s">
        <v>63</v>
      </c>
      <c r="R7" s="102" t="s">
        <v>63</v>
      </c>
      <c r="S7" s="102" t="s">
        <v>65</v>
      </c>
      <c r="T7" s="102" t="s">
        <v>155</v>
      </c>
      <c r="U7" s="102" t="s">
        <v>65</v>
      </c>
    </row>
    <row r="8" spans="1:21" ht="28.8" x14ac:dyDescent="0.3">
      <c r="A8" s="102" t="str">
        <f>'M-Barbero'!F3</f>
        <v>prefijo</v>
      </c>
      <c r="B8" s="103" t="str">
        <f>'M-Barbero'!F2</f>
        <v>Representa cual es el prefijo del numero de celular del barbero</v>
      </c>
      <c r="C8" s="102" t="s">
        <v>65</v>
      </c>
      <c r="D8" s="102" t="s">
        <v>19</v>
      </c>
      <c r="E8" s="102" t="s">
        <v>63</v>
      </c>
      <c r="F8" s="102"/>
      <c r="G8" s="102"/>
      <c r="H8" s="102"/>
      <c r="I8" s="102"/>
      <c r="J8" s="102"/>
      <c r="K8" s="102"/>
      <c r="L8" s="102"/>
      <c r="M8" s="103"/>
      <c r="N8" s="102" t="s">
        <v>65</v>
      </c>
      <c r="O8" s="102"/>
      <c r="P8" s="102"/>
      <c r="Q8" s="102"/>
      <c r="R8" s="102"/>
      <c r="S8" s="102" t="s">
        <v>65</v>
      </c>
      <c r="T8" s="102"/>
      <c r="U8" s="102" t="s">
        <v>65</v>
      </c>
    </row>
    <row r="9" spans="1:21" ht="43.2" x14ac:dyDescent="0.3">
      <c r="A9" s="102" t="str">
        <f>'M-Barbero'!G3</f>
        <v>celular</v>
      </c>
      <c r="B9" s="103" t="str">
        <f>'M-Barbero'!G2</f>
        <v>Representa el número de celular del barbero, es el dato que el cliente necesita en caso de que tenga que contactarse con el</v>
      </c>
      <c r="C9" s="102" t="s">
        <v>65</v>
      </c>
      <c r="D9" s="102" t="s">
        <v>345</v>
      </c>
      <c r="E9" s="102" t="s">
        <v>63</v>
      </c>
      <c r="F9" s="102"/>
      <c r="G9" s="102"/>
      <c r="H9" s="102"/>
      <c r="I9" s="102"/>
      <c r="J9" s="102">
        <v>1000000</v>
      </c>
      <c r="K9" s="102">
        <v>9999999999</v>
      </c>
      <c r="L9" s="102" t="s">
        <v>156</v>
      </c>
      <c r="M9" s="103"/>
      <c r="N9" s="102" t="s">
        <v>65</v>
      </c>
      <c r="O9" s="102" t="s">
        <v>65</v>
      </c>
      <c r="P9" s="102"/>
      <c r="Q9" s="102"/>
      <c r="R9" s="102"/>
      <c r="S9" s="102" t="s">
        <v>63</v>
      </c>
      <c r="T9" s="102" t="s">
        <v>106</v>
      </c>
      <c r="U9" s="102" t="s">
        <v>65</v>
      </c>
    </row>
    <row r="10" spans="1:21" ht="57.6" x14ac:dyDescent="0.3">
      <c r="A10" s="102" t="str">
        <f>'M-Barbero'!J3</f>
        <v>vigente</v>
      </c>
      <c r="B10" s="103" t="str">
        <f>'M-Barbero'!J2</f>
        <v>Representa si el barbero sigue o no trabajando. Es un dato calculado, si el barbero tiene en su agenda un horario de trabajo si es vigente y si no tiene horario de trabajo dice no es vigente</v>
      </c>
      <c r="C10" s="102" t="s">
        <v>65</v>
      </c>
      <c r="D10" s="102" t="s">
        <v>107</v>
      </c>
      <c r="E10" s="102" t="s">
        <v>63</v>
      </c>
      <c r="F10" s="102"/>
      <c r="G10" s="102"/>
      <c r="H10" s="102"/>
      <c r="I10" s="102"/>
      <c r="J10" s="102"/>
      <c r="K10" s="102"/>
      <c r="L10" s="102"/>
      <c r="M10" s="103" t="s">
        <v>157</v>
      </c>
      <c r="N10" s="102" t="s">
        <v>63</v>
      </c>
      <c r="O10" s="102"/>
      <c r="P10" s="102"/>
      <c r="Q10" s="102"/>
      <c r="R10" s="102"/>
      <c r="S10" s="102" t="s">
        <v>65</v>
      </c>
      <c r="T10" s="102"/>
      <c r="U10" s="102" t="s">
        <v>65</v>
      </c>
    </row>
    <row r="12" spans="1:21" x14ac:dyDescent="0.3">
      <c r="A12" s="105" t="s">
        <v>67</v>
      </c>
      <c r="B12" s="105" t="s">
        <v>68</v>
      </c>
      <c r="C12" s="105" t="s">
        <v>69</v>
      </c>
    </row>
    <row r="13" spans="1:21" ht="23.4" customHeight="1" x14ac:dyDescent="0.3">
      <c r="A13" s="149" t="str">
        <f>'M-Barbero'!K3</f>
        <v>Combinación única  1</v>
      </c>
      <c r="B13" s="148" t="str">
        <f>'M-Barbero'!K2</f>
        <v>Combinacion única que indica que no puede existir más de un barbero con el mismo prefijo de celular y número de celular</v>
      </c>
      <c r="C13" s="109" t="str">
        <f>A8</f>
        <v>prefijo</v>
      </c>
    </row>
    <row r="14" spans="1:21" ht="21.6" customHeight="1" x14ac:dyDescent="0.3">
      <c r="A14" s="149"/>
      <c r="B14" s="148"/>
      <c r="C14" s="109" t="str">
        <f>A9</f>
        <v>celular</v>
      </c>
    </row>
  </sheetData>
  <mergeCells count="2">
    <mergeCell ref="B13:B14"/>
    <mergeCell ref="A13:A14"/>
  </mergeCells>
  <hyperlinks>
    <hyperlink ref="A3" location="'M-Barbero'!A3" display="'M-Barbero'!A3" xr:uid="{00000000-0004-0000-0E00-000002000000}"/>
    <hyperlink ref="B3" location="'M-Barbero'!A2" display="'M-Barbero'!A2" xr:uid="{00000000-0004-0000-0E00-000003000000}"/>
    <hyperlink ref="A4" location="'M-Barbero'!A3" display="'M-Barbero'!A3" xr:uid="{00000000-0004-0000-0E00-000004000000}"/>
    <hyperlink ref="B4" location="'M-Barbero'!A2" display="'M-Barbero'!A2" xr:uid="{00000000-0004-0000-0E00-000005000000}"/>
    <hyperlink ref="A5" location="'M-Barbero'!A3" display="'M-Barbero'!A3" xr:uid="{00000000-0004-0000-0E00-000006000000}"/>
    <hyperlink ref="B5" location="'M-Barbero'!A2" display="'M-Barbero'!A2" xr:uid="{00000000-0004-0000-0E00-000007000000}"/>
    <hyperlink ref="A6" location="'M-Barbero'!A3" display="'M-Barbero'!A3" xr:uid="{00000000-0004-0000-0E00-000008000000}"/>
    <hyperlink ref="B6" location="'M-Barbero'!A2" display="'M-Barbero'!A2" xr:uid="{00000000-0004-0000-0E00-000009000000}"/>
    <hyperlink ref="A7" location="'M-Barbero'!A3" display="'M-Barbero'!A3" xr:uid="{00000000-0004-0000-0E00-00000A000000}"/>
    <hyperlink ref="B7" location="'M-Barbero'!A2" display="'M-Barbero'!A2" xr:uid="{00000000-0004-0000-0E00-00000B000000}"/>
    <hyperlink ref="A8" location="'M-Barbero'!A3" display="'M-Barbero'!A3" xr:uid="{00000000-0004-0000-0E00-00000C000000}"/>
    <hyperlink ref="B8" location="'M-Barbero'!A2" display="'M-Barbero'!A2" xr:uid="{00000000-0004-0000-0E00-00000D000000}"/>
    <hyperlink ref="A9" location="'M-Barbero'!A3" display="'M-Barbero'!A3" xr:uid="{00000000-0004-0000-0E00-00000E000000}"/>
    <hyperlink ref="B9" location="'M-Barbero'!A2" display="'M-Barbero'!A2" xr:uid="{00000000-0004-0000-0E00-00000F000000}"/>
    <hyperlink ref="A10" location="'M-Barbero'!A3" display="'M-Barbero'!A3" xr:uid="{00000000-0004-0000-0E00-000014000000}"/>
    <hyperlink ref="B10" location="'M-Barbero'!A2" display="'M-Barbero'!A2" xr:uid="{00000000-0004-0000-0E00-000015000000}"/>
    <hyperlink ref="A13" location="'M-Barbero'!A3" display="'M-Barbero'!A3" xr:uid="{00000000-0004-0000-0E00-000016000000}"/>
    <hyperlink ref="B13" location="'M-Barbero'!A2" display="'M-Barbero'!A2" xr:uid="{00000000-0004-0000-0E00-000017000000}"/>
    <hyperlink ref="A1" location="'Modelo de Dominio'!A1" display="&lt;&lt;&lt;&lt; Ir al modulo de dominio" xr:uid="{7ABC23CF-1B73-4111-A077-A54CD6ED9029}"/>
    <hyperlink ref="B1" location="'Objetos de Dominio'!A1" display="&lt;&lt;&lt;&lt; Ir a objetos de dominio" xr:uid="{203EDF25-558A-423C-B25B-864FA5434F67}"/>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0"/>
  <sheetViews>
    <sheetView zoomScale="115" zoomScaleNormal="115" workbookViewId="0">
      <selection activeCell="A2" sqref="A2"/>
    </sheetView>
  </sheetViews>
  <sheetFormatPr baseColWidth="10" defaultColWidth="10.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4.33203125" customWidth="1"/>
    <col min="9" max="9" width="69" customWidth="1"/>
    <col min="10" max="10" width="33" customWidth="1"/>
    <col min="11" max="11" width="42" customWidth="1"/>
    <col min="12" max="12" width="45.6640625" customWidth="1"/>
  </cols>
  <sheetData>
    <row r="1" spans="1:12" ht="14.25" customHeight="1" x14ac:dyDescent="0.3">
      <c r="A1" s="114" t="s">
        <v>1</v>
      </c>
      <c r="B1" s="114" t="s">
        <v>41</v>
      </c>
      <c r="C1" s="21"/>
      <c r="D1" s="21"/>
      <c r="E1" s="21"/>
      <c r="F1" s="21"/>
    </row>
    <row r="2" spans="1:12" ht="39" customHeight="1" x14ac:dyDescent="0.3">
      <c r="A2" s="8" t="s">
        <v>71</v>
      </c>
      <c r="B2" s="8" t="s">
        <v>141</v>
      </c>
      <c r="C2" s="8" t="s">
        <v>159</v>
      </c>
      <c r="D2" s="8" t="s">
        <v>160</v>
      </c>
      <c r="E2" s="8" t="s">
        <v>161</v>
      </c>
      <c r="F2" s="8" t="s">
        <v>162</v>
      </c>
      <c r="G2" s="8" t="s">
        <v>163</v>
      </c>
      <c r="H2" s="8" t="s">
        <v>164</v>
      </c>
      <c r="I2" s="8" t="s">
        <v>165</v>
      </c>
      <c r="J2" s="8" t="s">
        <v>166</v>
      </c>
      <c r="K2" s="9" t="s">
        <v>167</v>
      </c>
      <c r="L2" s="9" t="s">
        <v>168</v>
      </c>
    </row>
    <row r="3" spans="1:12" ht="14.25" customHeight="1" x14ac:dyDescent="0.3">
      <c r="A3" s="10" t="s">
        <v>74</v>
      </c>
      <c r="B3" s="11" t="s">
        <v>169</v>
      </c>
      <c r="C3" s="11" t="s">
        <v>170</v>
      </c>
      <c r="D3" s="11" t="s">
        <v>171</v>
      </c>
      <c r="E3" s="11" t="s">
        <v>172</v>
      </c>
      <c r="F3" s="50" t="s">
        <v>140</v>
      </c>
      <c r="G3" s="11" t="s">
        <v>173</v>
      </c>
      <c r="H3" s="11" t="s">
        <v>158</v>
      </c>
      <c r="I3" s="11" t="s">
        <v>174</v>
      </c>
      <c r="J3" s="51" t="s">
        <v>175</v>
      </c>
      <c r="K3" s="12" t="s">
        <v>176</v>
      </c>
      <c r="L3" s="52" t="s">
        <v>177</v>
      </c>
    </row>
    <row r="4" spans="1:12" ht="14.25" customHeight="1" x14ac:dyDescent="0.3">
      <c r="A4" s="13">
        <v>1</v>
      </c>
      <c r="B4" s="13" t="s">
        <v>178</v>
      </c>
      <c r="C4" s="13" t="s">
        <v>179</v>
      </c>
      <c r="D4" s="13" t="s">
        <v>180</v>
      </c>
      <c r="E4" s="13" t="s">
        <v>181</v>
      </c>
      <c r="F4" s="53" t="str">
        <f>'M-PrefijoCelular'!C4</f>
        <v>+57</v>
      </c>
      <c r="G4" s="13">
        <v>3245627890</v>
      </c>
      <c r="H4" s="54" t="s">
        <v>182</v>
      </c>
      <c r="I4" s="55" t="s">
        <v>183</v>
      </c>
      <c r="J4" s="13" t="s">
        <v>118</v>
      </c>
      <c r="K4" s="13" t="str">
        <f>_xlfn.CONCAT(F4,"-",G4)</f>
        <v>+57-3245627890</v>
      </c>
      <c r="L4" s="13" t="str">
        <f>H4</f>
        <v>juanfer234535@gmail.com</v>
      </c>
    </row>
    <row r="5" spans="1:12" ht="14.25" customHeight="1" x14ac:dyDescent="0.3">
      <c r="A5" s="13">
        <v>2</v>
      </c>
      <c r="B5" s="13" t="s">
        <v>178</v>
      </c>
      <c r="C5" s="13" t="s">
        <v>184</v>
      </c>
      <c r="D5" s="13" t="s">
        <v>185</v>
      </c>
      <c r="E5" s="13" t="s">
        <v>186</v>
      </c>
      <c r="F5" s="53" t="str">
        <f>'M-PrefijoCelular'!C4</f>
        <v>+57</v>
      </c>
      <c r="G5" s="13">
        <v>3124518923</v>
      </c>
      <c r="H5" s="54" t="s">
        <v>187</v>
      </c>
      <c r="I5" s="55" t="s">
        <v>188</v>
      </c>
      <c r="J5" s="13" t="s">
        <v>118</v>
      </c>
      <c r="K5" s="13" t="str">
        <f>_xlfn.CONCAT(F5,"-",G5)</f>
        <v>+57-3124518923</v>
      </c>
      <c r="L5" s="13" t="str">
        <f>H5</f>
        <v>juandaviddd2525@gmail.com</v>
      </c>
    </row>
    <row r="6" spans="1:12" ht="14.25" customHeight="1" x14ac:dyDescent="0.3">
      <c r="A6" s="13">
        <v>3</v>
      </c>
      <c r="B6" s="13" t="s">
        <v>189</v>
      </c>
      <c r="C6" s="13"/>
      <c r="D6" s="13" t="s">
        <v>190</v>
      </c>
      <c r="E6" s="13"/>
      <c r="F6" s="53" t="str">
        <f>'M-PrefijoCelular'!C4</f>
        <v>+57</v>
      </c>
      <c r="G6" s="13">
        <v>3214533321</v>
      </c>
      <c r="H6" s="54" t="s">
        <v>191</v>
      </c>
      <c r="I6" s="55" t="s">
        <v>192</v>
      </c>
      <c r="J6" s="13" t="s">
        <v>118</v>
      </c>
      <c r="K6" s="13" t="str">
        <f>_xlfn.CONCAT(F6,"-",G6)</f>
        <v>+57-3214533321</v>
      </c>
      <c r="L6" s="13" t="str">
        <f>H6</f>
        <v>carlosbeladez@gmail.com</v>
      </c>
    </row>
    <row r="7" spans="1:12" ht="14.25" customHeight="1" x14ac:dyDescent="0.3">
      <c r="A7" s="13">
        <v>4</v>
      </c>
      <c r="B7" s="13" t="s">
        <v>193</v>
      </c>
      <c r="C7" s="13"/>
      <c r="D7" s="13" t="s">
        <v>194</v>
      </c>
      <c r="E7" s="13" t="s">
        <v>195</v>
      </c>
      <c r="F7" s="53" t="str">
        <f>'M-PrefijoCelular'!C5</f>
        <v>+91</v>
      </c>
      <c r="G7" s="13">
        <v>9876543210</v>
      </c>
      <c r="H7" s="54" t="s">
        <v>196</v>
      </c>
      <c r="I7" s="55" t="s">
        <v>197</v>
      </c>
      <c r="J7" s="13" t="s">
        <v>198</v>
      </c>
      <c r="K7" s="13" t="str">
        <f>_xlfn.CONCAT(F7,"-",G7)</f>
        <v>+91-9876543210</v>
      </c>
      <c r="L7" s="13" t="str">
        <f>H7</f>
        <v>andresramirezpatino123@gmail.com</v>
      </c>
    </row>
    <row r="8" spans="1:12" ht="14.25" customHeight="1" x14ac:dyDescent="0.3">
      <c r="A8" s="13">
        <v>5</v>
      </c>
      <c r="B8" s="13" t="s">
        <v>178</v>
      </c>
      <c r="C8" s="13" t="s">
        <v>189</v>
      </c>
      <c r="D8" s="13" t="s">
        <v>199</v>
      </c>
      <c r="E8" s="13" t="s">
        <v>200</v>
      </c>
      <c r="F8" s="53" t="str">
        <f>'M-PrefijoCelular'!C6</f>
        <v>+593</v>
      </c>
      <c r="G8" s="13">
        <v>998765432</v>
      </c>
      <c r="H8" s="54" t="s">
        <v>201</v>
      </c>
      <c r="I8" s="13" t="s">
        <v>202</v>
      </c>
      <c r="J8" s="13" t="s">
        <v>198</v>
      </c>
      <c r="K8" s="13" t="str">
        <f>_xlfn.CONCAT(F8,"-",G8)</f>
        <v>+593-998765432</v>
      </c>
      <c r="L8" s="13" t="str">
        <f>H8</f>
        <v>juancarloszambrano4394@gmail.com</v>
      </c>
    </row>
    <row r="14" spans="1:12" ht="28.5" customHeight="1" x14ac:dyDescent="0.3">
      <c r="A14" s="16"/>
      <c r="B14" s="17" t="s">
        <v>84</v>
      </c>
    </row>
    <row r="15" spans="1:12" ht="28.5" customHeight="1" x14ac:dyDescent="0.3">
      <c r="A15" s="18"/>
      <c r="B15" s="17" t="s">
        <v>85</v>
      </c>
    </row>
    <row r="16" spans="1:12" ht="28.5" customHeight="1" x14ac:dyDescent="0.3">
      <c r="A16" s="19"/>
      <c r="B16" s="17" t="s">
        <v>86</v>
      </c>
    </row>
    <row r="17" spans="1:2" ht="28.5" customHeight="1" x14ac:dyDescent="0.3">
      <c r="A17" s="36"/>
      <c r="B17" s="17" t="s">
        <v>203</v>
      </c>
    </row>
    <row r="18" spans="1:2" ht="28.5" customHeight="1" x14ac:dyDescent="0.3">
      <c r="A18" s="56"/>
      <c r="B18" s="17" t="s">
        <v>204</v>
      </c>
    </row>
    <row r="19" spans="1:2" ht="28.5" customHeight="1" x14ac:dyDescent="0.3">
      <c r="A19" s="20"/>
      <c r="B19" s="17" t="s">
        <v>205</v>
      </c>
    </row>
    <row r="20" spans="1:2" ht="28.5" customHeight="1" x14ac:dyDescent="0.3">
      <c r="A20" s="57"/>
      <c r="B20" s="17" t="s">
        <v>206</v>
      </c>
    </row>
  </sheetData>
  <hyperlinks>
    <hyperlink ref="F4" location="'M-PrefijoCelular'!A4" display="#'M-PrefijoCelular'.A4" xr:uid="{00000000-0004-0000-0F00-000002000000}"/>
    <hyperlink ref="H4" r:id="rId1" xr:uid="{00000000-0004-0000-0F00-000003000000}"/>
    <hyperlink ref="F5" location="'M-PrefijoCelular'!A4" display="#'M-PrefijoCelular'.A4" xr:uid="{00000000-0004-0000-0F00-000004000000}"/>
    <hyperlink ref="H5" r:id="rId2" xr:uid="{00000000-0004-0000-0F00-000005000000}"/>
    <hyperlink ref="F6" location="'M-PrefijoCelular'!A4" display="#'M-PrefijoCelular'.A4" xr:uid="{00000000-0004-0000-0F00-000006000000}"/>
    <hyperlink ref="H6" r:id="rId3" xr:uid="{00000000-0004-0000-0F00-000007000000}"/>
    <hyperlink ref="F7" location="'M-PrefijoCelular'!A5" display="#'M-PrefijoCelular'.A5" xr:uid="{00000000-0004-0000-0F00-000008000000}"/>
    <hyperlink ref="H7" r:id="rId4" xr:uid="{00000000-0004-0000-0F00-000009000000}"/>
    <hyperlink ref="F8" location="'M-PrefijoCelular'!A6" display="#'M-PrefijoCelular'.A6" xr:uid="{00000000-0004-0000-0F00-00000A000000}"/>
    <hyperlink ref="H8" r:id="rId5" xr:uid="{00000000-0004-0000-0F00-00000B000000}"/>
    <hyperlink ref="A1" location="'Modelo de Dominio'!A1" display="&lt;&lt;&lt;&lt; Ir al modulo de dominio" xr:uid="{5DB13066-132E-4E61-9608-99D8926CF8B4}"/>
    <hyperlink ref="B1" location="'Objetos de Dominio'!A1" display="&lt;&lt;&lt;&lt; Ir a objetos de dominio" xr:uid="{47920A2B-9620-428E-9A5C-9E7F279E4486}"/>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1"/>
  <sheetViews>
    <sheetView zoomScaleNormal="100" workbookViewId="0"/>
  </sheetViews>
  <sheetFormatPr baseColWidth="10" defaultColWidth="8.6640625" defaultRowHeight="14.4" x14ac:dyDescent="0.3"/>
  <cols>
    <col min="1" max="1" width="27" bestFit="1" customWidth="1"/>
    <col min="2" max="2" width="45" customWidth="1"/>
    <col min="3" max="3" width="30.44140625" bestFit="1" customWidth="1"/>
    <col min="4" max="4" width="24.21875" bestFit="1" customWidth="1"/>
    <col min="5" max="5" width="18" customWidth="1"/>
    <col min="6" max="6" width="23.77734375" bestFit="1" customWidth="1"/>
    <col min="7" max="7" width="24.109375" bestFit="1" customWidth="1"/>
    <col min="8" max="8" width="18" customWidth="1"/>
    <col min="9" max="9" width="19.109375" bestFit="1" customWidth="1"/>
    <col min="10" max="10" width="20.33203125" bestFit="1" customWidth="1"/>
    <col min="11" max="11" width="18.77734375" bestFit="1" customWidth="1"/>
    <col min="12"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x14ac:dyDescent="0.3">
      <c r="A2" s="101" t="s">
        <v>42</v>
      </c>
      <c r="B2" s="101" t="s">
        <v>43</v>
      </c>
      <c r="C2" s="101" t="s">
        <v>44</v>
      </c>
      <c r="D2" s="101" t="s">
        <v>45</v>
      </c>
      <c r="E2" s="101" t="s">
        <v>46</v>
      </c>
      <c r="F2" s="101" t="s">
        <v>47</v>
      </c>
      <c r="G2" s="101" t="s">
        <v>48</v>
      </c>
      <c r="H2" s="101" t="s">
        <v>49</v>
      </c>
      <c r="I2" s="101" t="s">
        <v>50</v>
      </c>
      <c r="J2" s="101" t="s">
        <v>51</v>
      </c>
      <c r="K2" s="101" t="s">
        <v>52</v>
      </c>
      <c r="L2" s="101" t="s">
        <v>53</v>
      </c>
      <c r="M2" s="101" t="s">
        <v>54</v>
      </c>
      <c r="N2" s="101" t="s">
        <v>55</v>
      </c>
      <c r="O2" s="101" t="s">
        <v>56</v>
      </c>
      <c r="P2" s="101" t="s">
        <v>57</v>
      </c>
      <c r="Q2" s="101" t="s">
        <v>58</v>
      </c>
      <c r="R2" s="101" t="s">
        <v>59</v>
      </c>
      <c r="S2" s="101" t="s">
        <v>60</v>
      </c>
      <c r="T2" s="101" t="s">
        <v>61</v>
      </c>
      <c r="U2" s="101" t="s">
        <v>62</v>
      </c>
    </row>
    <row r="3" spans="1:21" ht="28.8" x14ac:dyDescent="0.3">
      <c r="A3" s="102" t="str">
        <f>'M-Cliente'!A3</f>
        <v>id</v>
      </c>
      <c r="B3" s="103" t="str">
        <f>'M-Cliente'!A2</f>
        <v>Representa un identificador que hará unico cada objeto de dominio de este tipo, no se puede repetir</v>
      </c>
      <c r="C3" s="102" t="s">
        <v>63</v>
      </c>
      <c r="D3" s="102" t="s">
        <v>64</v>
      </c>
      <c r="E3" s="102" t="s">
        <v>63</v>
      </c>
      <c r="F3" s="102" t="s">
        <v>363</v>
      </c>
      <c r="G3" s="102" t="s">
        <v>363</v>
      </c>
      <c r="H3" s="102" t="s">
        <v>363</v>
      </c>
      <c r="I3" s="102" t="s">
        <v>363</v>
      </c>
      <c r="J3" s="102" t="s">
        <v>363</v>
      </c>
      <c r="K3" s="102" t="s">
        <v>363</v>
      </c>
      <c r="L3" s="102" t="s">
        <v>363</v>
      </c>
      <c r="M3" s="103"/>
      <c r="N3" s="102" t="s">
        <v>63</v>
      </c>
      <c r="O3" s="102" t="s">
        <v>65</v>
      </c>
      <c r="P3" s="102" t="s">
        <v>363</v>
      </c>
      <c r="Q3" s="102" t="s">
        <v>363</v>
      </c>
      <c r="R3" s="102" t="s">
        <v>363</v>
      </c>
      <c r="S3" s="102" t="s">
        <v>65</v>
      </c>
      <c r="T3" s="102"/>
      <c r="U3" s="102" t="s">
        <v>63</v>
      </c>
    </row>
    <row r="4" spans="1:21" ht="28.8" x14ac:dyDescent="0.3">
      <c r="A4" s="102" t="str">
        <f>'M-Cliente'!B3</f>
        <v>primerNombre</v>
      </c>
      <c r="B4" s="103" t="str">
        <f>'M-Cliente'!B2</f>
        <v>Representa el primer nombre de la persona, que va a estar llendo a la barberia para las citas</v>
      </c>
      <c r="C4" s="102" t="s">
        <v>65</v>
      </c>
      <c r="D4" s="102" t="s">
        <v>66</v>
      </c>
      <c r="E4" s="102" t="s">
        <v>63</v>
      </c>
      <c r="F4" s="102">
        <v>2</v>
      </c>
      <c r="G4" s="102">
        <v>50</v>
      </c>
      <c r="H4" s="102" t="s">
        <v>363</v>
      </c>
      <c r="I4" s="102" t="s">
        <v>363</v>
      </c>
      <c r="J4" s="102" t="s">
        <v>363</v>
      </c>
      <c r="K4" s="102" t="s">
        <v>363</v>
      </c>
      <c r="L4" s="102" t="s">
        <v>363</v>
      </c>
      <c r="M4" s="103"/>
      <c r="N4" s="102" t="s">
        <v>65</v>
      </c>
      <c r="O4" s="102" t="s">
        <v>65</v>
      </c>
      <c r="P4" s="102" t="s">
        <v>65</v>
      </c>
      <c r="Q4" s="102" t="s">
        <v>63</v>
      </c>
      <c r="R4" s="102" t="s">
        <v>63</v>
      </c>
      <c r="S4" s="102" t="s">
        <v>65</v>
      </c>
      <c r="T4" s="102" t="s">
        <v>357</v>
      </c>
      <c r="U4" s="102" t="s">
        <v>65</v>
      </c>
    </row>
    <row r="5" spans="1:21" ht="28.8" x14ac:dyDescent="0.3">
      <c r="A5" s="102" t="str">
        <f>'M-Cliente'!C3</f>
        <v>segundoNombre</v>
      </c>
      <c r="B5" s="103" t="str">
        <f>'M-Cliente'!C2</f>
        <v>Representa el segundo nombre de la persona, que va a estar llendo a la barberia para las citas</v>
      </c>
      <c r="C5" s="102" t="s">
        <v>65</v>
      </c>
      <c r="D5" s="102" t="s">
        <v>66</v>
      </c>
      <c r="E5" s="102" t="s">
        <v>65</v>
      </c>
      <c r="F5" s="102">
        <v>2</v>
      </c>
      <c r="G5" s="102">
        <v>50</v>
      </c>
      <c r="H5" s="102" t="s">
        <v>363</v>
      </c>
      <c r="I5" s="102" t="s">
        <v>363</v>
      </c>
      <c r="J5" s="102" t="s">
        <v>363</v>
      </c>
      <c r="K5" s="102" t="s">
        <v>363</v>
      </c>
      <c r="L5" s="102" t="s">
        <v>363</v>
      </c>
      <c r="M5" s="103"/>
      <c r="N5" s="102" t="s">
        <v>65</v>
      </c>
      <c r="O5" s="102" t="s">
        <v>65</v>
      </c>
      <c r="P5" s="102" t="s">
        <v>65</v>
      </c>
      <c r="Q5" s="102" t="s">
        <v>63</v>
      </c>
      <c r="R5" s="102" t="s">
        <v>63</v>
      </c>
      <c r="S5" s="102" t="s">
        <v>65</v>
      </c>
      <c r="T5" s="102" t="s">
        <v>357</v>
      </c>
      <c r="U5" s="102" t="s">
        <v>65</v>
      </c>
    </row>
    <row r="6" spans="1:21" ht="28.8" x14ac:dyDescent="0.3">
      <c r="A6" s="102" t="str">
        <f>'M-Cliente'!D3</f>
        <v>primerApellido</v>
      </c>
      <c r="B6" s="103" t="str">
        <f>'M-Cliente'!D2</f>
        <v>Representa el primer apellido de la persona, que va a estar llendo a la barberia para las citas</v>
      </c>
      <c r="C6" s="102" t="s">
        <v>65</v>
      </c>
      <c r="D6" s="102" t="s">
        <v>66</v>
      </c>
      <c r="E6" s="102" t="s">
        <v>63</v>
      </c>
      <c r="F6" s="102">
        <v>2</v>
      </c>
      <c r="G6" s="102">
        <v>50</v>
      </c>
      <c r="H6" s="102" t="s">
        <v>363</v>
      </c>
      <c r="I6" s="102" t="s">
        <v>363</v>
      </c>
      <c r="J6" s="102" t="s">
        <v>363</v>
      </c>
      <c r="K6" s="102" t="s">
        <v>363</v>
      </c>
      <c r="L6" s="102" t="s">
        <v>363</v>
      </c>
      <c r="M6" s="103"/>
      <c r="N6" s="102" t="s">
        <v>65</v>
      </c>
      <c r="O6" s="102" t="s">
        <v>65</v>
      </c>
      <c r="P6" s="102" t="s">
        <v>65</v>
      </c>
      <c r="Q6" s="102" t="s">
        <v>63</v>
      </c>
      <c r="R6" s="102" t="s">
        <v>63</v>
      </c>
      <c r="S6" s="102" t="s">
        <v>65</v>
      </c>
      <c r="T6" s="102" t="s">
        <v>357</v>
      </c>
      <c r="U6" s="102" t="s">
        <v>65</v>
      </c>
    </row>
    <row r="7" spans="1:21" ht="28.8" x14ac:dyDescent="0.3">
      <c r="A7" s="102" t="str">
        <f>'M-Cliente'!E3</f>
        <v>segundoApellido</v>
      </c>
      <c r="B7" s="103" t="str">
        <f>'M-Cliente'!E2</f>
        <v>Representa el segundo apellido de la persona, que va a estar llendo a la barberia para las citas</v>
      </c>
      <c r="C7" s="102" t="s">
        <v>65</v>
      </c>
      <c r="D7" s="102" t="s">
        <v>66</v>
      </c>
      <c r="E7" s="102" t="s">
        <v>65</v>
      </c>
      <c r="F7" s="102">
        <v>2</v>
      </c>
      <c r="G7" s="102">
        <v>50</v>
      </c>
      <c r="H7" s="102" t="s">
        <v>363</v>
      </c>
      <c r="I7" s="102" t="s">
        <v>363</v>
      </c>
      <c r="J7" s="102" t="s">
        <v>363</v>
      </c>
      <c r="K7" s="102" t="s">
        <v>363</v>
      </c>
      <c r="L7" s="102" t="s">
        <v>363</v>
      </c>
      <c r="M7" s="103"/>
      <c r="N7" s="102" t="s">
        <v>65</v>
      </c>
      <c r="O7" s="102" t="s">
        <v>65</v>
      </c>
      <c r="P7" s="102" t="s">
        <v>65</v>
      </c>
      <c r="Q7" s="102" t="s">
        <v>63</v>
      </c>
      <c r="R7" s="102" t="s">
        <v>63</v>
      </c>
      <c r="S7" s="102" t="s">
        <v>65</v>
      </c>
      <c r="T7" s="102" t="s">
        <v>357</v>
      </c>
      <c r="U7" s="102" t="s">
        <v>65</v>
      </c>
    </row>
    <row r="8" spans="1:21" ht="28.8" x14ac:dyDescent="0.3">
      <c r="A8" s="102" t="str">
        <f>'M-Cliente'!F3</f>
        <v>prefijoCelular</v>
      </c>
      <c r="B8" s="103" t="str">
        <f>'M-Cliente'!F2</f>
        <v>Representa cual es el prefijo del numero de celular del cliente</v>
      </c>
      <c r="C8" s="102" t="s">
        <v>65</v>
      </c>
      <c r="D8" s="124" t="s">
        <v>19</v>
      </c>
      <c r="E8" s="102" t="s">
        <v>63</v>
      </c>
      <c r="F8" s="102">
        <v>2</v>
      </c>
      <c r="G8" s="102">
        <v>4</v>
      </c>
      <c r="H8" s="102" t="s">
        <v>363</v>
      </c>
      <c r="I8" s="102" t="s">
        <v>363</v>
      </c>
      <c r="J8" s="102" t="s">
        <v>363</v>
      </c>
      <c r="K8" s="102" t="s">
        <v>363</v>
      </c>
      <c r="L8" s="103" t="s">
        <v>371</v>
      </c>
      <c r="M8" s="103" t="s">
        <v>356</v>
      </c>
      <c r="N8" s="102" t="s">
        <v>65</v>
      </c>
      <c r="O8" s="102" t="s">
        <v>65</v>
      </c>
      <c r="P8" s="102" t="s">
        <v>363</v>
      </c>
      <c r="Q8" s="102" t="s">
        <v>65</v>
      </c>
      <c r="R8" s="102" t="s">
        <v>65</v>
      </c>
      <c r="S8" s="102" t="s">
        <v>63</v>
      </c>
      <c r="T8" s="102" t="s">
        <v>350</v>
      </c>
      <c r="U8" s="102" t="s">
        <v>65</v>
      </c>
    </row>
    <row r="9" spans="1:21" ht="57.6" x14ac:dyDescent="0.3">
      <c r="A9" s="102" t="str">
        <f>'M-Cliente'!G3</f>
        <v>celular</v>
      </c>
      <c r="B9" s="103" t="str">
        <f>'M-Cliente'!G2</f>
        <v>Representa el numero de celular del cliente, es el dato que el barbero necesita en caso de que tenga que contactarse con el</v>
      </c>
      <c r="C9" s="102" t="s">
        <v>65</v>
      </c>
      <c r="D9" s="102" t="s">
        <v>66</v>
      </c>
      <c r="E9" s="102" t="s">
        <v>63</v>
      </c>
      <c r="F9" s="102">
        <v>4</v>
      </c>
      <c r="G9" s="102">
        <v>15</v>
      </c>
      <c r="H9" s="102" t="s">
        <v>363</v>
      </c>
      <c r="I9" s="102" t="s">
        <v>363</v>
      </c>
      <c r="J9" s="102" t="s">
        <v>363</v>
      </c>
      <c r="K9" s="102" t="s">
        <v>363</v>
      </c>
      <c r="L9" s="103" t="s">
        <v>351</v>
      </c>
      <c r="M9" s="103"/>
      <c r="N9" s="102" t="s">
        <v>65</v>
      </c>
      <c r="O9" s="102" t="s">
        <v>65</v>
      </c>
      <c r="P9" s="102" t="s">
        <v>65</v>
      </c>
      <c r="Q9" s="102" t="s">
        <v>63</v>
      </c>
      <c r="R9" s="102" t="s">
        <v>63</v>
      </c>
      <c r="S9" s="102" t="s">
        <v>63</v>
      </c>
      <c r="T9" s="102">
        <v>0</v>
      </c>
      <c r="U9" s="102" t="s">
        <v>65</v>
      </c>
    </row>
    <row r="10" spans="1:21" ht="43.2" x14ac:dyDescent="0.3">
      <c r="A10" s="102" t="str">
        <f>'M-Cliente'!I3</f>
        <v>multasSinPagar</v>
      </c>
      <c r="B10" s="103" t="str">
        <f>'M-Cliente'!I2</f>
        <v>Representa la cantidad de multas que tiene sin pagar en las citas que ha tenido, ya sea multa por tardanza o por no llegar</v>
      </c>
      <c r="C10" s="102" t="s">
        <v>65</v>
      </c>
      <c r="D10" s="102" t="s">
        <v>345</v>
      </c>
      <c r="E10" s="102" t="s">
        <v>63</v>
      </c>
      <c r="F10" s="102" t="s">
        <v>363</v>
      </c>
      <c r="G10" s="102" t="s">
        <v>363</v>
      </c>
      <c r="H10" s="102" t="s">
        <v>363</v>
      </c>
      <c r="I10" s="102" t="s">
        <v>363</v>
      </c>
      <c r="J10" s="102">
        <v>0</v>
      </c>
      <c r="K10" s="102">
        <v>3</v>
      </c>
      <c r="L10" s="102" t="s">
        <v>363</v>
      </c>
      <c r="M10" s="103" t="s">
        <v>352</v>
      </c>
      <c r="N10" s="102" t="s">
        <v>63</v>
      </c>
      <c r="O10" s="102" t="s">
        <v>65</v>
      </c>
      <c r="P10" s="102" t="s">
        <v>363</v>
      </c>
      <c r="Q10" s="102" t="s">
        <v>363</v>
      </c>
      <c r="R10" s="102" t="s">
        <v>363</v>
      </c>
      <c r="S10" s="102" t="s">
        <v>65</v>
      </c>
      <c r="T10" s="102">
        <v>0</v>
      </c>
      <c r="U10" s="102" t="s">
        <v>65</v>
      </c>
    </row>
    <row r="11" spans="1:21" ht="57.6" x14ac:dyDescent="0.3">
      <c r="A11" s="102" t="str">
        <f>'M-Cliente'!J3</f>
        <v>estaVetado</v>
      </c>
      <c r="B11" s="103" t="str">
        <f>'M-Cliente'!J2</f>
        <v>Representa si el cliente esta en estado de veto o no, cuando el cliente esta vetado el sistema no va a permitir agendar citas con este cliente con ningun barbero</v>
      </c>
      <c r="C11" s="102" t="s">
        <v>65</v>
      </c>
      <c r="D11" s="102" t="s">
        <v>107</v>
      </c>
      <c r="E11" s="102" t="s">
        <v>63</v>
      </c>
      <c r="F11" s="102" t="s">
        <v>363</v>
      </c>
      <c r="G11" s="102" t="s">
        <v>363</v>
      </c>
      <c r="H11" s="102" t="s">
        <v>363</v>
      </c>
      <c r="I11" s="102" t="s">
        <v>363</v>
      </c>
      <c r="J11" s="102" t="s">
        <v>363</v>
      </c>
      <c r="K11" s="102" t="s">
        <v>363</v>
      </c>
      <c r="L11" s="102" t="s">
        <v>363</v>
      </c>
      <c r="M11" s="103" t="s">
        <v>353</v>
      </c>
      <c r="N11" s="102" t="s">
        <v>63</v>
      </c>
      <c r="O11" s="102" t="s">
        <v>65</v>
      </c>
      <c r="P11" s="102" t="s">
        <v>363</v>
      </c>
      <c r="Q11" s="102" t="s">
        <v>363</v>
      </c>
      <c r="R11" s="102" t="s">
        <v>363</v>
      </c>
      <c r="S11" s="102" t="s">
        <v>65</v>
      </c>
      <c r="T11" s="102" t="s">
        <v>65</v>
      </c>
      <c r="U11" s="102" t="s">
        <v>65</v>
      </c>
    </row>
    <row r="12" spans="1:21" ht="57.6" x14ac:dyDescent="0.3">
      <c r="A12" s="102" t="str">
        <f>'M-Cliente'!K3</f>
        <v>cantidadDeDescuentoCitas</v>
      </c>
      <c r="B12" s="103" t="str">
        <f>'M-Cliente'!K2</f>
        <v>Representa la cantidad de citas que un cliente va a tener con descuento, cada inasistencia que un barbero le haga al cliente se le suma un descuento a la proxima cita</v>
      </c>
      <c r="C12" s="102" t="s">
        <v>65</v>
      </c>
      <c r="D12" s="102" t="s">
        <v>345</v>
      </c>
      <c r="E12" s="102" t="s">
        <v>63</v>
      </c>
      <c r="F12" s="102" t="s">
        <v>363</v>
      </c>
      <c r="G12" s="102" t="s">
        <v>363</v>
      </c>
      <c r="H12" s="102" t="s">
        <v>363</v>
      </c>
      <c r="I12" s="102" t="s">
        <v>363</v>
      </c>
      <c r="J12" s="102">
        <v>0</v>
      </c>
      <c r="K12" s="102"/>
      <c r="L12" s="102" t="s">
        <v>363</v>
      </c>
      <c r="M12" s="103" t="s">
        <v>372</v>
      </c>
      <c r="N12" s="102" t="s">
        <v>63</v>
      </c>
      <c r="O12" s="102" t="s">
        <v>65</v>
      </c>
      <c r="P12" s="102" t="s">
        <v>363</v>
      </c>
      <c r="Q12" s="102" t="s">
        <v>363</v>
      </c>
      <c r="R12" s="102" t="s">
        <v>363</v>
      </c>
      <c r="S12" s="102" t="s">
        <v>65</v>
      </c>
      <c r="T12" s="102">
        <v>0</v>
      </c>
      <c r="U12" s="102" t="s">
        <v>65</v>
      </c>
    </row>
    <row r="13" spans="1:21" x14ac:dyDescent="0.3">
      <c r="A13" s="104"/>
      <c r="B13" s="104"/>
      <c r="C13" s="104"/>
      <c r="D13" s="104"/>
      <c r="E13" s="104"/>
      <c r="F13" s="104"/>
      <c r="G13" s="104"/>
      <c r="H13" s="104"/>
      <c r="I13" s="104"/>
      <c r="J13" s="104"/>
      <c r="K13" s="104"/>
      <c r="L13" s="104"/>
      <c r="M13" s="104"/>
      <c r="N13" s="104"/>
      <c r="O13" s="104"/>
      <c r="P13" s="104"/>
      <c r="Q13" s="104"/>
      <c r="R13" s="104"/>
      <c r="S13" s="104"/>
      <c r="T13" s="104"/>
      <c r="U13" s="104"/>
    </row>
    <row r="14" spans="1:21" x14ac:dyDescent="0.3">
      <c r="A14" s="105" t="s">
        <v>67</v>
      </c>
      <c r="B14" s="105" t="s">
        <v>68</v>
      </c>
      <c r="C14" s="105" t="s">
        <v>69</v>
      </c>
      <c r="D14" s="106"/>
      <c r="E14" s="106"/>
      <c r="F14" s="106"/>
      <c r="G14" s="106"/>
      <c r="H14" s="106"/>
      <c r="I14" s="106"/>
      <c r="J14" s="106"/>
      <c r="K14" s="106"/>
      <c r="L14" s="106"/>
      <c r="M14" s="106"/>
      <c r="N14" s="106"/>
      <c r="O14" s="106"/>
      <c r="P14" s="106"/>
      <c r="Q14" s="106"/>
      <c r="R14" s="106"/>
      <c r="S14" s="106"/>
      <c r="T14" s="106"/>
      <c r="U14" s="106"/>
    </row>
    <row r="15" spans="1:21" x14ac:dyDescent="0.3">
      <c r="A15" s="150" t="str">
        <f>'M-Cliente'!L3</f>
        <v>Combinación única  1</v>
      </c>
      <c r="B15" s="151" t="str">
        <f>'M-Cliente'!L2</f>
        <v>Combinacion única que indica que no puede existir más de un cliente con el mismo prefijo de celular y número de celular</v>
      </c>
      <c r="C15" s="152" t="str">
        <f>A8</f>
        <v>prefijoCelular</v>
      </c>
      <c r="D15" s="104"/>
      <c r="E15" s="104"/>
      <c r="F15" s="104"/>
      <c r="G15" s="104"/>
      <c r="H15" s="104"/>
      <c r="I15" s="104"/>
      <c r="J15" s="104"/>
      <c r="K15" s="104"/>
      <c r="L15" s="104"/>
      <c r="M15" s="104"/>
      <c r="N15" s="104"/>
      <c r="O15" s="104"/>
      <c r="P15" s="104"/>
      <c r="Q15" s="104"/>
      <c r="R15" s="104"/>
      <c r="S15" s="104"/>
      <c r="T15" s="104"/>
      <c r="U15" s="104"/>
    </row>
    <row r="16" spans="1:21" x14ac:dyDescent="0.3">
      <c r="A16" s="150"/>
      <c r="B16" s="150"/>
      <c r="C16" s="153"/>
      <c r="D16" s="104"/>
      <c r="E16" s="104"/>
      <c r="F16" s="104"/>
      <c r="G16" s="104"/>
      <c r="H16" s="104"/>
      <c r="I16" s="104"/>
      <c r="J16" s="104"/>
      <c r="K16" s="104"/>
      <c r="L16" s="104"/>
      <c r="M16" s="104"/>
      <c r="N16" s="104"/>
      <c r="O16" s="104"/>
      <c r="P16" s="104"/>
      <c r="Q16" s="104"/>
      <c r="R16" s="104"/>
      <c r="S16" s="104"/>
      <c r="T16" s="104"/>
      <c r="U16" s="104"/>
    </row>
    <row r="17" spans="1:21" x14ac:dyDescent="0.3">
      <c r="A17" s="150"/>
      <c r="B17" s="150"/>
      <c r="C17" s="154"/>
      <c r="D17" s="104"/>
      <c r="E17" s="104"/>
      <c r="F17" s="104"/>
      <c r="G17" s="104"/>
      <c r="H17" s="104"/>
      <c r="I17" s="104"/>
      <c r="J17" s="104"/>
      <c r="K17" s="104"/>
      <c r="L17" s="104"/>
      <c r="M17" s="104"/>
      <c r="N17" s="104"/>
      <c r="O17" s="104"/>
      <c r="P17" s="104"/>
      <c r="Q17" s="104"/>
      <c r="R17" s="104"/>
      <c r="S17" s="104"/>
      <c r="T17" s="104"/>
      <c r="U17" s="104"/>
    </row>
    <row r="18" spans="1:21" x14ac:dyDescent="0.3">
      <c r="A18" s="150"/>
      <c r="B18" s="150"/>
      <c r="C18" s="155" t="str">
        <f>A9</f>
        <v>celular</v>
      </c>
      <c r="D18" s="104"/>
      <c r="E18" s="104"/>
      <c r="F18" s="104"/>
      <c r="G18" s="104"/>
      <c r="H18" s="104"/>
      <c r="I18" s="104"/>
      <c r="J18" s="104"/>
      <c r="K18" s="104"/>
      <c r="L18" s="104"/>
      <c r="M18" s="104"/>
      <c r="N18" s="104"/>
      <c r="O18" s="104"/>
      <c r="P18" s="104"/>
      <c r="Q18" s="104"/>
      <c r="R18" s="104"/>
      <c r="S18" s="104"/>
      <c r="T18" s="104"/>
      <c r="U18" s="104"/>
    </row>
    <row r="19" spans="1:21" x14ac:dyDescent="0.3">
      <c r="A19" s="150"/>
      <c r="B19" s="150"/>
      <c r="C19" s="155"/>
      <c r="D19" s="104"/>
      <c r="E19" s="104"/>
      <c r="F19" s="104"/>
      <c r="G19" s="104"/>
      <c r="H19" s="104"/>
      <c r="I19" s="104"/>
      <c r="J19" s="104"/>
      <c r="K19" s="104"/>
      <c r="L19" s="104"/>
      <c r="M19" s="104"/>
      <c r="N19" s="104"/>
      <c r="O19" s="104"/>
      <c r="P19" s="104"/>
      <c r="Q19" s="104"/>
      <c r="R19" s="104"/>
      <c r="S19" s="104"/>
      <c r="T19" s="104"/>
      <c r="U19" s="104"/>
    </row>
    <row r="20" spans="1:21" x14ac:dyDescent="0.3">
      <c r="A20" s="150"/>
      <c r="B20" s="150"/>
      <c r="C20" s="155"/>
      <c r="D20" s="104"/>
      <c r="E20" s="104"/>
      <c r="F20" s="104"/>
      <c r="G20" s="104"/>
      <c r="H20" s="104"/>
      <c r="I20" s="104"/>
      <c r="J20" s="104"/>
      <c r="K20" s="104"/>
      <c r="L20" s="104"/>
      <c r="M20" s="104"/>
      <c r="N20" s="104"/>
      <c r="O20" s="104"/>
      <c r="P20" s="104"/>
      <c r="Q20" s="104"/>
      <c r="R20" s="104"/>
      <c r="S20" s="104"/>
      <c r="T20" s="104"/>
      <c r="U20" s="104"/>
    </row>
    <row r="21" spans="1:21" x14ac:dyDescent="0.3">
      <c r="A21" s="110"/>
      <c r="B21" s="110"/>
    </row>
    <row r="22" spans="1:21" x14ac:dyDescent="0.3">
      <c r="A22" s="110"/>
      <c r="B22" s="110"/>
    </row>
    <row r="23" spans="1:21" x14ac:dyDescent="0.3">
      <c r="A23" s="110"/>
      <c r="B23" s="110"/>
    </row>
    <row r="24" spans="1:21" x14ac:dyDescent="0.3">
      <c r="A24" s="110"/>
      <c r="B24" s="110"/>
    </row>
    <row r="25" spans="1:21" x14ac:dyDescent="0.3">
      <c r="A25" s="110"/>
      <c r="B25" s="110"/>
    </row>
    <row r="26" spans="1:21" x14ac:dyDescent="0.3">
      <c r="A26" s="111"/>
      <c r="B26" s="111"/>
      <c r="C26" s="111"/>
      <c r="D26" s="111"/>
      <c r="E26" s="111"/>
      <c r="F26" s="111"/>
      <c r="G26" s="111"/>
      <c r="H26" s="111"/>
      <c r="I26" s="111"/>
      <c r="J26" s="111"/>
      <c r="K26" s="111"/>
      <c r="L26" s="111"/>
      <c r="M26" s="111"/>
      <c r="N26" s="111"/>
      <c r="O26" s="111"/>
      <c r="P26" s="111"/>
      <c r="Q26" s="111"/>
      <c r="R26" s="111"/>
      <c r="S26" s="111"/>
      <c r="T26" s="111"/>
      <c r="U26" s="111"/>
    </row>
    <row r="27" spans="1:21" x14ac:dyDescent="0.3">
      <c r="A27" s="1"/>
      <c r="B27" s="1"/>
    </row>
    <row r="28" spans="1:21" x14ac:dyDescent="0.3">
      <c r="A28" s="1"/>
      <c r="B28" s="1"/>
    </row>
    <row r="29" spans="1:21" x14ac:dyDescent="0.3">
      <c r="A29" s="1"/>
      <c r="B29" s="1"/>
    </row>
    <row r="30" spans="1:21" x14ac:dyDescent="0.3">
      <c r="A30" s="1"/>
      <c r="B30" s="1"/>
    </row>
    <row r="31" spans="1:21" x14ac:dyDescent="0.3">
      <c r="A31" s="1"/>
      <c r="B31" s="1"/>
    </row>
    <row r="32" spans="1:21" x14ac:dyDescent="0.3">
      <c r="A32" s="1"/>
      <c r="B32" s="1"/>
    </row>
    <row r="33" spans="1:3" x14ac:dyDescent="0.3">
      <c r="A33" s="1"/>
      <c r="B33" s="1"/>
    </row>
    <row r="34" spans="1:3" x14ac:dyDescent="0.3">
      <c r="A34" s="1"/>
      <c r="B34" s="1"/>
    </row>
    <row r="35" spans="1:3" x14ac:dyDescent="0.3">
      <c r="A35" s="1"/>
      <c r="B35" s="1"/>
    </row>
    <row r="36" spans="1:3" x14ac:dyDescent="0.3">
      <c r="A36" s="1"/>
      <c r="B36" s="1"/>
    </row>
    <row r="37" spans="1:3" x14ac:dyDescent="0.3">
      <c r="A37" s="1"/>
      <c r="B37" s="1"/>
    </row>
    <row r="39" spans="1:3" x14ac:dyDescent="0.3">
      <c r="A39" s="112"/>
      <c r="B39" s="112"/>
      <c r="C39" s="112"/>
    </row>
    <row r="40" spans="1:3" x14ac:dyDescent="0.3">
      <c r="A40" s="1"/>
      <c r="B40" s="1"/>
    </row>
    <row r="41" spans="1:3" x14ac:dyDescent="0.3">
      <c r="A41" s="1"/>
      <c r="B41" s="1"/>
    </row>
  </sheetData>
  <mergeCells count="4">
    <mergeCell ref="A15:A20"/>
    <mergeCell ref="B15:B20"/>
    <mergeCell ref="C15:C17"/>
    <mergeCell ref="C18:C20"/>
  </mergeCells>
  <hyperlinks>
    <hyperlink ref="A1" location="'Modelo de Dominio'!A1" display="&lt;&lt;&lt;&lt; Ir al modulo de dominio" xr:uid="{2B742E5F-CDF9-460B-BFE3-C7208C91E15C}"/>
    <hyperlink ref="B1" location="'Objetos de Dominio'!A1" display="&lt;&lt;&lt;&lt; Ir a objetos de dominio" xr:uid="{45C5A35E-B277-4B68-9A9A-6DA005C7EFEE}"/>
    <hyperlink ref="D8" location="'C-PrefijoCelular'!A1" display="PrefijoCelular" xr:uid="{42B7C07B-6E19-4CE7-BAF2-E39FBED0D0E4}"/>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9"/>
  <sheetViews>
    <sheetView topLeftCell="D1" zoomScale="130" zoomScaleNormal="130" workbookViewId="0">
      <selection activeCell="H4" sqref="H4"/>
    </sheetView>
  </sheetViews>
  <sheetFormatPr baseColWidth="10" defaultColWidth="10.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4.88671875" customWidth="1"/>
    <col min="8" max="8" width="27.6640625" customWidth="1"/>
    <col min="9" max="9" width="41.88671875" customWidth="1"/>
    <col min="10" max="10" width="35.88671875" bestFit="1" customWidth="1"/>
    <col min="11" max="11" width="40.77734375" bestFit="1" customWidth="1"/>
    <col min="12" max="12" width="28.21875" bestFit="1" customWidth="1"/>
  </cols>
  <sheetData>
    <row r="1" spans="1:12" ht="14.25" customHeight="1" x14ac:dyDescent="0.3">
      <c r="A1" s="114" t="s">
        <v>1</v>
      </c>
      <c r="B1" s="114" t="s">
        <v>41</v>
      </c>
      <c r="C1" s="54"/>
      <c r="D1" s="54"/>
      <c r="E1" s="54"/>
      <c r="F1" s="54"/>
      <c r="G1" s="13"/>
      <c r="H1" s="13"/>
      <c r="I1" s="13"/>
      <c r="J1" s="13"/>
      <c r="K1" s="13"/>
      <c r="L1" s="13"/>
    </row>
    <row r="2" spans="1:12" ht="37.5" customHeight="1" x14ac:dyDescent="0.3">
      <c r="A2" s="26" t="s">
        <v>71</v>
      </c>
      <c r="B2" s="26" t="s">
        <v>207</v>
      </c>
      <c r="C2" s="26" t="s">
        <v>208</v>
      </c>
      <c r="D2" s="26" t="s">
        <v>209</v>
      </c>
      <c r="E2" s="26" t="s">
        <v>210</v>
      </c>
      <c r="F2" s="26" t="s">
        <v>211</v>
      </c>
      <c r="G2" s="58" t="s">
        <v>212</v>
      </c>
      <c r="H2" s="58"/>
      <c r="I2" s="58" t="s">
        <v>213</v>
      </c>
      <c r="J2" s="58" t="s">
        <v>214</v>
      </c>
      <c r="K2" s="58" t="s">
        <v>369</v>
      </c>
      <c r="L2" s="59" t="s">
        <v>215</v>
      </c>
    </row>
    <row r="3" spans="1:12" ht="14.25" customHeight="1" x14ac:dyDescent="0.3">
      <c r="A3" s="10" t="s">
        <v>74</v>
      </c>
      <c r="B3" s="11" t="s">
        <v>169</v>
      </c>
      <c r="C3" s="11" t="s">
        <v>170</v>
      </c>
      <c r="D3" s="11" t="s">
        <v>171</v>
      </c>
      <c r="E3" s="11" t="s">
        <v>172</v>
      </c>
      <c r="F3" s="60" t="s">
        <v>216</v>
      </c>
      <c r="G3" s="11" t="s">
        <v>173</v>
      </c>
      <c r="H3" s="156" t="s">
        <v>370</v>
      </c>
      <c r="I3" s="51" t="s">
        <v>217</v>
      </c>
      <c r="J3" s="51" t="s">
        <v>218</v>
      </c>
      <c r="K3" s="51" t="s">
        <v>368</v>
      </c>
      <c r="L3" s="12" t="s">
        <v>176</v>
      </c>
    </row>
    <row r="4" spans="1:12" ht="14.25" customHeight="1" x14ac:dyDescent="0.3">
      <c r="A4" s="13">
        <v>1</v>
      </c>
      <c r="B4" s="13" t="s">
        <v>178</v>
      </c>
      <c r="C4" s="13"/>
      <c r="D4" s="13" t="s">
        <v>219</v>
      </c>
      <c r="E4" s="13"/>
      <c r="F4" s="53" t="str">
        <f>'M-PrefijoCelular'!C4</f>
        <v>+57</v>
      </c>
      <c r="G4" s="13">
        <v>3234528921</v>
      </c>
      <c r="H4" s="13"/>
      <c r="I4" s="13">
        <v>0</v>
      </c>
      <c r="J4" s="13" t="s">
        <v>198</v>
      </c>
      <c r="K4" s="13"/>
      <c r="L4" s="13" t="str">
        <f>_xlfn.CONCAT(F4,"-",G4)</f>
        <v>+57-3234528921</v>
      </c>
    </row>
    <row r="5" spans="1:12" ht="14.25" customHeight="1" x14ac:dyDescent="0.3">
      <c r="A5" s="13">
        <v>2</v>
      </c>
      <c r="B5" s="13" t="s">
        <v>220</v>
      </c>
      <c r="C5" s="13" t="s">
        <v>221</v>
      </c>
      <c r="D5" s="13" t="s">
        <v>194</v>
      </c>
      <c r="E5" s="13" t="s">
        <v>200</v>
      </c>
      <c r="F5" s="53" t="str">
        <f>'M-PrefijoCelular'!C4</f>
        <v>+57</v>
      </c>
      <c r="G5" s="13">
        <v>3161657782</v>
      </c>
      <c r="H5" s="13"/>
      <c r="I5" s="13">
        <v>0</v>
      </c>
      <c r="J5" s="13" t="s">
        <v>198</v>
      </c>
      <c r="K5" s="13"/>
      <c r="L5" s="13" t="str">
        <f>_xlfn.CONCAT(F5,"-",G5)</f>
        <v>+57-3161657782</v>
      </c>
    </row>
    <row r="6" spans="1:12" ht="14.25" customHeight="1" x14ac:dyDescent="0.3">
      <c r="A6" s="13">
        <v>3</v>
      </c>
      <c r="B6" s="13" t="s">
        <v>222</v>
      </c>
      <c r="C6" s="13"/>
      <c r="D6" s="13" t="s">
        <v>223</v>
      </c>
      <c r="E6" s="13" t="s">
        <v>194</v>
      </c>
      <c r="F6" s="53" t="str">
        <f>'M-PrefijoCelular'!C4</f>
        <v>+57</v>
      </c>
      <c r="G6" s="13">
        <v>3119884321</v>
      </c>
      <c r="H6" s="13"/>
      <c r="I6" s="13">
        <v>0</v>
      </c>
      <c r="J6" s="13" t="s">
        <v>198</v>
      </c>
      <c r="K6" s="13"/>
      <c r="L6" s="13" t="str">
        <f>_xlfn.CONCAT(F6,"-",G6)</f>
        <v>+57-3119884321</v>
      </c>
    </row>
    <row r="7" spans="1:12" ht="14.25" customHeight="1" x14ac:dyDescent="0.3">
      <c r="A7" s="13">
        <v>4</v>
      </c>
      <c r="B7" s="13" t="s">
        <v>224</v>
      </c>
      <c r="C7" s="13"/>
      <c r="D7" s="13" t="s">
        <v>225</v>
      </c>
      <c r="E7" s="13"/>
      <c r="F7" s="53" t="str">
        <f>'M-PrefijoCelular'!C7</f>
        <v>+58</v>
      </c>
      <c r="G7" s="13">
        <v>4127359182</v>
      </c>
      <c r="H7" s="13"/>
      <c r="I7" s="13">
        <v>1</v>
      </c>
      <c r="J7" s="13" t="s">
        <v>198</v>
      </c>
      <c r="K7" s="13"/>
      <c r="L7" s="13" t="str">
        <f>_xlfn.CONCAT(F7,"-",G7)</f>
        <v>+58-4127359182</v>
      </c>
    </row>
    <row r="8" spans="1:12" ht="14.25" customHeight="1" x14ac:dyDescent="0.3">
      <c r="A8" s="13">
        <v>5</v>
      </c>
      <c r="B8" s="13" t="s">
        <v>226</v>
      </c>
      <c r="C8" s="13" t="s">
        <v>227</v>
      </c>
      <c r="D8" s="13" t="s">
        <v>228</v>
      </c>
      <c r="E8" s="13" t="s">
        <v>229</v>
      </c>
      <c r="F8" s="53" t="str">
        <f>'M-PrefijoCelular'!C4</f>
        <v>+57</v>
      </c>
      <c r="G8" s="13">
        <v>3005544332</v>
      </c>
      <c r="H8" s="13"/>
      <c r="I8" s="13">
        <v>3</v>
      </c>
      <c r="J8" s="13" t="s">
        <v>118</v>
      </c>
      <c r="K8" s="13"/>
      <c r="L8" s="13" t="str">
        <f>_xlfn.CONCAT(F8,"-",G8)</f>
        <v>+57-3005544332</v>
      </c>
    </row>
    <row r="13" spans="1:12" ht="14.25" customHeight="1" x14ac:dyDescent="0.3">
      <c r="B13" s="17"/>
    </row>
    <row r="14" spans="1:12" ht="28.5" customHeight="1" x14ac:dyDescent="0.3">
      <c r="A14" s="16"/>
      <c r="B14" s="17" t="s">
        <v>84</v>
      </c>
    </row>
    <row r="15" spans="1:12" ht="28.5" customHeight="1" x14ac:dyDescent="0.3">
      <c r="A15" s="18"/>
      <c r="B15" s="17" t="s">
        <v>85</v>
      </c>
    </row>
    <row r="16" spans="1:12" ht="28.5" customHeight="1" x14ac:dyDescent="0.3">
      <c r="A16" s="19"/>
      <c r="B16" s="17" t="s">
        <v>86</v>
      </c>
    </row>
    <row r="17" spans="1:2" ht="28.5" customHeight="1" x14ac:dyDescent="0.3">
      <c r="A17" s="36"/>
      <c r="B17" s="17" t="s">
        <v>203</v>
      </c>
    </row>
    <row r="18" spans="1:2" ht="28.5" customHeight="1" x14ac:dyDescent="0.3">
      <c r="A18" s="56"/>
      <c r="B18" s="17" t="s">
        <v>204</v>
      </c>
    </row>
    <row r="19" spans="1:2" ht="28.5" customHeight="1" x14ac:dyDescent="0.3">
      <c r="A19" s="20"/>
      <c r="B19" s="17" t="s">
        <v>87</v>
      </c>
    </row>
  </sheetData>
  <hyperlinks>
    <hyperlink ref="F3" location="'M-PrefijoCelular'!A1" display="prefijoCelular" xr:uid="{00000000-0004-0000-1100-000002000000}"/>
    <hyperlink ref="F4" location="'M-PrefijoCelular'!A4" display="#'M-PrefijoCelular'.A4" xr:uid="{00000000-0004-0000-1100-000003000000}"/>
    <hyperlink ref="F5" location="'M-PrefijoCelular'!A4" display="#'M-PrefijoCelular'.A4" xr:uid="{00000000-0004-0000-1100-000004000000}"/>
    <hyperlink ref="F6" location="'M-PrefijoCelular'!A4" display="#'M-PrefijoCelular'.A4" xr:uid="{00000000-0004-0000-1100-000005000000}"/>
    <hyperlink ref="F7" location="'M-PrefijoCelular'!A7" display="#'M-PrefijoCelular'.A7" xr:uid="{00000000-0004-0000-1100-000006000000}"/>
    <hyperlink ref="F8" location="'M-PrefijoCelular'!A4" display="#'M-PrefijoCelular'.A4" xr:uid="{00000000-0004-0000-1100-000007000000}"/>
    <hyperlink ref="A1" location="'Modelo de Dominio'!A1" display="&lt;&lt;&lt;&lt; Ir al modulo de dominio" xr:uid="{C97E5F69-38A6-4CB4-AFA8-139CDCFC6E79}"/>
    <hyperlink ref="B1" location="'Objetos de Dominio'!A1" display="&lt;&lt;&lt;&lt; Ir a objetos de dominio" xr:uid="{943144D6-209E-4B81-AFD1-F33A6C003F7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1"/>
  <sheetViews>
    <sheetView zoomScaleNormal="100" workbookViewId="0">
      <selection activeCell="B1" sqref="B1"/>
    </sheetView>
  </sheetViews>
  <sheetFormatPr baseColWidth="10" defaultColWidth="8.6640625" defaultRowHeight="14.4" x14ac:dyDescent="0.3"/>
  <cols>
    <col min="1" max="1" width="26.6640625" bestFit="1" customWidth="1"/>
    <col min="2" max="2" width="45" customWidth="1"/>
    <col min="3" max="3" width="35.77734375" bestFit="1" customWidth="1"/>
    <col min="4" max="5" width="18" customWidth="1"/>
    <col min="6" max="6" width="23.77734375" bestFit="1" customWidth="1"/>
    <col min="7" max="12" width="18" customWidth="1"/>
    <col min="13" max="13" width="40" customWidth="1"/>
    <col min="14" max="14" width="18" customWidth="1"/>
    <col min="15" max="15" width="27.88671875" bestFit="1" customWidth="1"/>
    <col min="16" max="16" width="25" bestFit="1" customWidth="1"/>
    <col min="17" max="17" width="38.44140625" bestFit="1" customWidth="1"/>
    <col min="18" max="18" width="35.77734375" bestFit="1" customWidth="1"/>
    <col min="19" max="19" width="21" bestFit="1" customWidth="1"/>
    <col min="20" max="20" width="24" bestFit="1" customWidth="1"/>
    <col min="21" max="21" width="18" customWidth="1"/>
  </cols>
  <sheetData>
    <row r="1" spans="1:21" x14ac:dyDescent="0.3">
      <c r="A1" s="114" t="s">
        <v>1</v>
      </c>
      <c r="B1" s="114" t="s">
        <v>41</v>
      </c>
    </row>
    <row r="2" spans="1:21" x14ac:dyDescent="0.3">
      <c r="A2" s="101" t="s">
        <v>42</v>
      </c>
      <c r="B2" s="101" t="s">
        <v>43</v>
      </c>
      <c r="C2" s="101" t="s">
        <v>44</v>
      </c>
      <c r="D2" s="101" t="s">
        <v>45</v>
      </c>
      <c r="E2" s="101" t="s">
        <v>46</v>
      </c>
      <c r="F2" s="101" t="s">
        <v>47</v>
      </c>
      <c r="G2" s="101" t="s">
        <v>48</v>
      </c>
      <c r="H2" s="101" t="s">
        <v>49</v>
      </c>
      <c r="I2" s="101" t="s">
        <v>50</v>
      </c>
      <c r="J2" s="101" t="s">
        <v>51</v>
      </c>
      <c r="K2" s="101" t="s">
        <v>52</v>
      </c>
      <c r="L2" s="101" t="s">
        <v>53</v>
      </c>
      <c r="M2" s="101" t="s">
        <v>54</v>
      </c>
      <c r="N2" s="101" t="s">
        <v>55</v>
      </c>
      <c r="O2" s="101" t="s">
        <v>56</v>
      </c>
      <c r="P2" s="101" t="s">
        <v>57</v>
      </c>
      <c r="Q2" s="101" t="s">
        <v>58</v>
      </c>
      <c r="R2" s="101" t="s">
        <v>59</v>
      </c>
      <c r="S2" s="101" t="s">
        <v>60</v>
      </c>
      <c r="T2" s="101" t="s">
        <v>61</v>
      </c>
      <c r="U2" s="101" t="s">
        <v>62</v>
      </c>
    </row>
    <row r="3" spans="1:21" ht="28.8" x14ac:dyDescent="0.3">
      <c r="A3" s="102" t="str">
        <f>'M-HorarioBarberia'!A3</f>
        <v>id</v>
      </c>
      <c r="B3" s="103" t="str">
        <f>'M-HorarioBarberia'!A2</f>
        <v>Representa un identificador que hará unico cada objeto de dominio de este tipo, no se puede repetir</v>
      </c>
      <c r="C3" s="102" t="s">
        <v>63</v>
      </c>
      <c r="D3" s="102" t="s">
        <v>64</v>
      </c>
      <c r="E3" s="102" t="s">
        <v>63</v>
      </c>
      <c r="F3" s="102"/>
      <c r="G3" s="102"/>
      <c r="H3" s="102"/>
      <c r="I3" s="102"/>
      <c r="J3" s="102"/>
      <c r="K3" s="102"/>
      <c r="L3" s="102"/>
      <c r="M3" s="103"/>
      <c r="N3" s="102" t="s">
        <v>65</v>
      </c>
      <c r="O3" s="102" t="s">
        <v>65</v>
      </c>
      <c r="P3" s="102"/>
      <c r="Q3" s="102" t="s">
        <v>65</v>
      </c>
      <c r="R3" s="102" t="s">
        <v>65</v>
      </c>
      <c r="S3" s="102" t="s">
        <v>65</v>
      </c>
      <c r="T3" s="102"/>
      <c r="U3" s="102" t="s">
        <v>63</v>
      </c>
    </row>
    <row r="4" spans="1:21" ht="28.8" x14ac:dyDescent="0.3">
      <c r="A4" s="102" t="str">
        <f>'M-HorarioBarberia'!B3</f>
        <v>diaDeLaSemana</v>
      </c>
      <c r="B4" s="103" t="str">
        <f>'M-HorarioBarberia'!B2</f>
        <v>Representa el día de la semana en el que la barberia abre</v>
      </c>
      <c r="C4" s="102" t="s">
        <v>65</v>
      </c>
      <c r="D4" s="124" t="s">
        <v>8</v>
      </c>
      <c r="E4" s="102" t="s">
        <v>63</v>
      </c>
      <c r="F4" s="102"/>
      <c r="G4" s="102"/>
      <c r="H4" s="102"/>
      <c r="I4" s="102"/>
      <c r="J4" s="102"/>
      <c r="K4" s="102"/>
      <c r="L4" s="102"/>
      <c r="M4" s="103" t="s">
        <v>356</v>
      </c>
      <c r="N4" s="102" t="s">
        <v>65</v>
      </c>
      <c r="O4" s="102" t="s">
        <v>65</v>
      </c>
      <c r="P4" s="102"/>
      <c r="Q4" s="102" t="s">
        <v>65</v>
      </c>
      <c r="R4" s="102" t="s">
        <v>65</v>
      </c>
      <c r="S4" s="102" t="s">
        <v>65</v>
      </c>
      <c r="T4" s="102"/>
      <c r="U4" s="102" t="s">
        <v>65</v>
      </c>
    </row>
    <row r="5" spans="1:21" x14ac:dyDescent="0.3">
      <c r="A5" s="102" t="str">
        <f>'M-HorarioBarberia'!C3</f>
        <v>horaApertura</v>
      </c>
      <c r="B5" s="103" t="str">
        <f>'M-HorarioBarberia'!C2</f>
        <v>Representa la hora a la que abre la barbería</v>
      </c>
      <c r="C5" s="102" t="s">
        <v>65</v>
      </c>
      <c r="D5" s="102" t="s">
        <v>230</v>
      </c>
      <c r="E5" s="102" t="s">
        <v>65</v>
      </c>
      <c r="F5" s="102"/>
      <c r="G5" s="102"/>
      <c r="H5" s="102"/>
      <c r="I5" s="102"/>
      <c r="J5" s="102"/>
      <c r="K5" s="102"/>
      <c r="L5" s="102" t="s">
        <v>231</v>
      </c>
      <c r="M5" s="103"/>
      <c r="N5" s="102" t="s">
        <v>65</v>
      </c>
      <c r="O5" s="102" t="s">
        <v>65</v>
      </c>
      <c r="P5" s="102"/>
      <c r="Q5" s="102" t="s">
        <v>65</v>
      </c>
      <c r="R5" s="102" t="s">
        <v>65</v>
      </c>
      <c r="S5" s="102" t="s">
        <v>65</v>
      </c>
      <c r="T5" s="102" t="s">
        <v>232</v>
      </c>
      <c r="U5" s="102" t="s">
        <v>65</v>
      </c>
    </row>
    <row r="6" spans="1:21" x14ac:dyDescent="0.3">
      <c r="A6" s="102" t="str">
        <f>'M-HorarioBarberia'!D3</f>
        <v>horaCierre</v>
      </c>
      <c r="B6" s="103" t="str">
        <f>'M-HorarioBarberia'!D2</f>
        <v>Representa la hora a la que cierra la barbería</v>
      </c>
      <c r="C6" s="102" t="s">
        <v>65</v>
      </c>
      <c r="D6" s="102" t="s">
        <v>230</v>
      </c>
      <c r="E6" s="102" t="s">
        <v>63</v>
      </c>
      <c r="F6" s="102"/>
      <c r="G6" s="102"/>
      <c r="H6" s="102"/>
      <c r="I6" s="102"/>
      <c r="J6" s="102"/>
      <c r="K6" s="102"/>
      <c r="L6" s="102" t="s">
        <v>231</v>
      </c>
      <c r="M6" s="103" t="s">
        <v>233</v>
      </c>
      <c r="N6" s="102" t="s">
        <v>65</v>
      </c>
      <c r="O6" s="102" t="s">
        <v>65</v>
      </c>
      <c r="P6" s="102"/>
      <c r="Q6" s="102" t="s">
        <v>65</v>
      </c>
      <c r="R6" s="102" t="s">
        <v>65</v>
      </c>
      <c r="S6" s="102" t="s">
        <v>65</v>
      </c>
      <c r="T6" s="125" t="s">
        <v>232</v>
      </c>
      <c r="U6" s="102" t="s">
        <v>65</v>
      </c>
    </row>
    <row r="7" spans="1:21" x14ac:dyDescent="0.3">
      <c r="A7" s="104"/>
      <c r="B7" s="104"/>
      <c r="C7" s="104"/>
      <c r="D7" s="104"/>
      <c r="E7" s="104"/>
      <c r="F7" s="104"/>
      <c r="G7" s="104"/>
      <c r="H7" s="104"/>
      <c r="I7" s="104"/>
      <c r="J7" s="104"/>
      <c r="K7" s="104"/>
      <c r="L7" s="104"/>
      <c r="M7" s="104"/>
      <c r="N7" s="104"/>
      <c r="O7" s="104"/>
      <c r="P7" s="104"/>
      <c r="Q7" s="104"/>
      <c r="R7" s="104"/>
      <c r="S7" s="104"/>
      <c r="T7" s="104"/>
      <c r="U7" s="104"/>
    </row>
    <row r="8" spans="1:21" x14ac:dyDescent="0.3">
      <c r="A8" s="105" t="s">
        <v>67</v>
      </c>
      <c r="B8" s="105" t="s">
        <v>68</v>
      </c>
      <c r="C8" s="105" t="s">
        <v>69</v>
      </c>
      <c r="D8" s="106"/>
      <c r="E8" s="106"/>
      <c r="F8" s="106"/>
      <c r="G8" s="106"/>
      <c r="H8" s="106"/>
      <c r="I8" s="106"/>
      <c r="J8" s="106"/>
      <c r="K8" s="106"/>
      <c r="L8" s="106"/>
      <c r="M8" s="106"/>
      <c r="N8" s="106"/>
      <c r="O8" s="106"/>
      <c r="P8" s="106"/>
      <c r="Q8" s="106"/>
      <c r="R8" s="106"/>
      <c r="S8" s="106"/>
      <c r="T8" s="106"/>
      <c r="U8" s="106"/>
    </row>
    <row r="9" spans="1:21" x14ac:dyDescent="0.3">
      <c r="A9" s="150" t="str">
        <f>'M-HorarioBarberia'!E3</f>
        <v>Combinación única</v>
      </c>
      <c r="B9" s="151" t="str">
        <f>'M-HorarioBarberia'!E2</f>
        <v>Combinacion única que indica que no puede existir más de un horario con la misma barberia, dia de la semana, hora de apertura y cierre</v>
      </c>
      <c r="C9" s="109" t="str">
        <f>A4</f>
        <v>diaDeLaSemana</v>
      </c>
      <c r="D9" s="104"/>
      <c r="E9" s="104"/>
      <c r="F9" s="104"/>
      <c r="G9" s="104"/>
      <c r="H9" s="104"/>
      <c r="I9" s="104"/>
      <c r="J9" s="104"/>
      <c r="K9" s="104"/>
      <c r="L9" s="104"/>
      <c r="M9" s="104"/>
      <c r="N9" s="104"/>
      <c r="O9" s="104"/>
      <c r="P9" s="104"/>
      <c r="Q9" s="104"/>
      <c r="R9" s="104"/>
      <c r="S9" s="104"/>
      <c r="T9" s="104"/>
      <c r="U9" s="104"/>
    </row>
    <row r="10" spans="1:21" x14ac:dyDescent="0.3">
      <c r="A10" s="150"/>
      <c r="B10" s="150"/>
      <c r="C10" s="109" t="str">
        <f>A5</f>
        <v>horaApertura</v>
      </c>
      <c r="D10" s="104"/>
      <c r="E10" s="104"/>
      <c r="F10" s="104"/>
      <c r="G10" s="104"/>
      <c r="H10" s="104"/>
      <c r="I10" s="104"/>
      <c r="J10" s="104"/>
      <c r="K10" s="104"/>
      <c r="L10" s="104"/>
      <c r="M10" s="104"/>
      <c r="N10" s="104"/>
      <c r="O10" s="104"/>
      <c r="P10" s="104"/>
      <c r="Q10" s="104"/>
      <c r="R10" s="104"/>
      <c r="S10" s="104"/>
      <c r="T10" s="104"/>
      <c r="U10" s="104"/>
    </row>
    <row r="11" spans="1:21" x14ac:dyDescent="0.3">
      <c r="A11" s="150"/>
      <c r="B11" s="150"/>
      <c r="C11" s="109" t="str">
        <f>A6</f>
        <v>horaCierre</v>
      </c>
      <c r="D11" s="104"/>
      <c r="E11" s="104"/>
      <c r="F11" s="104"/>
      <c r="G11" s="104"/>
      <c r="H11" s="104"/>
      <c r="I11" s="104"/>
      <c r="J11" s="104"/>
      <c r="K11" s="104"/>
      <c r="L11" s="104"/>
      <c r="M11" s="104"/>
      <c r="N11" s="104"/>
      <c r="O11" s="104"/>
      <c r="P11" s="104"/>
      <c r="Q11" s="104"/>
      <c r="R11" s="104"/>
      <c r="S11" s="104"/>
      <c r="T11" s="104"/>
      <c r="U11" s="104"/>
    </row>
    <row r="12" spans="1:21" x14ac:dyDescent="0.3">
      <c r="A12" s="114"/>
      <c r="B12" s="114"/>
    </row>
    <row r="13" spans="1:21" x14ac:dyDescent="0.3">
      <c r="A13" s="114"/>
      <c r="B13" s="114"/>
    </row>
    <row r="14" spans="1:21" x14ac:dyDescent="0.3">
      <c r="A14" s="111"/>
      <c r="B14" s="111"/>
      <c r="C14" s="111"/>
      <c r="D14" s="111"/>
      <c r="E14" s="111"/>
      <c r="F14" s="111"/>
      <c r="G14" s="111"/>
      <c r="H14" s="111"/>
      <c r="I14" s="111"/>
      <c r="J14" s="111"/>
      <c r="K14" s="111"/>
      <c r="L14" s="111"/>
      <c r="M14" s="111"/>
      <c r="N14" s="111"/>
      <c r="O14" s="111"/>
      <c r="P14" s="111"/>
      <c r="Q14" s="111"/>
      <c r="R14" s="111"/>
      <c r="S14" s="111"/>
      <c r="T14" s="111"/>
      <c r="U14" s="111"/>
    </row>
    <row r="15" spans="1:21" x14ac:dyDescent="0.3">
      <c r="A15" s="1"/>
      <c r="B15" s="1"/>
    </row>
    <row r="16" spans="1:21" x14ac:dyDescent="0.3">
      <c r="A16" s="1"/>
      <c r="B16" s="1"/>
    </row>
    <row r="17" spans="1:3" x14ac:dyDescent="0.3">
      <c r="A17" s="1"/>
      <c r="B17" s="1"/>
    </row>
    <row r="18" spans="1:3" x14ac:dyDescent="0.3">
      <c r="A18" s="1"/>
      <c r="B18" s="1"/>
    </row>
    <row r="20" spans="1:3" x14ac:dyDescent="0.3">
      <c r="A20" s="112"/>
      <c r="B20" s="112"/>
      <c r="C20" s="112"/>
    </row>
    <row r="21" spans="1:3" x14ac:dyDescent="0.3">
      <c r="A21" s="1"/>
      <c r="B21" s="1"/>
    </row>
  </sheetData>
  <mergeCells count="2">
    <mergeCell ref="A9:A11"/>
    <mergeCell ref="B9:B11"/>
  </mergeCells>
  <hyperlinks>
    <hyperlink ref="A1" location="'Modelo de Dominio'!A1" display="&lt;&lt;&lt;&lt; Ir al modulo de dominio" xr:uid="{DAD4AF76-5401-4D78-A2CA-291E6E4C2EC2}"/>
    <hyperlink ref="B1" location="'Objetos de Dominio'!A1" display="&lt;&lt;&lt;&lt; Ir a objetos de dominio" xr:uid="{A0BF58C2-507B-472F-BF7F-BF5F373989AA}"/>
    <hyperlink ref="D4" location="'C-DiaSemana'!A1" display="DiaSemana" xr:uid="{9496482F-D45C-4E17-8AFE-4EE98D78479B}"/>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
  <sheetViews>
    <sheetView zoomScale="130" zoomScaleNormal="130" workbookViewId="0">
      <selection activeCell="B1" sqref="A1:B1"/>
    </sheetView>
  </sheetViews>
  <sheetFormatPr baseColWidth="10" defaultColWidth="10.6640625" defaultRowHeight="14.4" x14ac:dyDescent="0.3"/>
  <cols>
    <col min="1" max="1" width="27" customWidth="1"/>
    <col min="2" max="2" width="26.109375" customWidth="1"/>
    <col min="3" max="3" width="15.6640625" customWidth="1"/>
    <col min="4" max="4" width="17.44140625" customWidth="1"/>
    <col min="5" max="5" width="35.44140625" customWidth="1"/>
  </cols>
  <sheetData>
    <row r="1" spans="1:5" ht="14.25" customHeight="1" x14ac:dyDescent="0.3">
      <c r="A1" s="114" t="s">
        <v>1</v>
      </c>
      <c r="B1" s="114" t="s">
        <v>41</v>
      </c>
    </row>
    <row r="2" spans="1:5" ht="37.5" customHeight="1" x14ac:dyDescent="0.3">
      <c r="A2" s="58" t="s">
        <v>71</v>
      </c>
      <c r="B2" s="58" t="s">
        <v>234</v>
      </c>
      <c r="C2" s="58" t="s">
        <v>235</v>
      </c>
      <c r="D2" s="58" t="s">
        <v>236</v>
      </c>
      <c r="E2" s="58" t="s">
        <v>237</v>
      </c>
    </row>
    <row r="3" spans="1:5" ht="23.25" customHeight="1" x14ac:dyDescent="0.3">
      <c r="A3" s="10" t="s">
        <v>74</v>
      </c>
      <c r="B3" s="60" t="s">
        <v>238</v>
      </c>
      <c r="C3" s="61" t="s">
        <v>239</v>
      </c>
      <c r="D3" s="62" t="s">
        <v>240</v>
      </c>
      <c r="E3" s="63" t="s">
        <v>150</v>
      </c>
    </row>
    <row r="4" spans="1:5" ht="14.25" customHeight="1" x14ac:dyDescent="0.3">
      <c r="A4" s="13">
        <v>1</v>
      </c>
      <c r="B4" s="64" t="str">
        <f>'M-DiaSemana'!C4</f>
        <v>Lunes</v>
      </c>
      <c r="C4" s="65">
        <v>0.375</v>
      </c>
      <c r="D4" s="65">
        <v>0.79166666666666696</v>
      </c>
      <c r="E4" s="13" t="str">
        <f t="shared" ref="E4:E10" si="0">_xlfn.CONCAT(B4,"-",TEXT(C4,"hh:mm"),"-",TEXT(D4,"hh:mm"))</f>
        <v>Lunes-09:00-19:00</v>
      </c>
    </row>
    <row r="5" spans="1:5" ht="14.25" customHeight="1" x14ac:dyDescent="0.3">
      <c r="A5" s="13">
        <v>2</v>
      </c>
      <c r="B5" s="64" t="str">
        <f>'M-DiaSemana'!C5</f>
        <v>Martes</v>
      </c>
      <c r="C5" s="65">
        <v>0.375</v>
      </c>
      <c r="D5" s="65">
        <v>0.79166666666666696</v>
      </c>
      <c r="E5" s="13" t="str">
        <f t="shared" si="0"/>
        <v>Martes-09:00-19:00</v>
      </c>
    </row>
    <row r="6" spans="1:5" ht="14.25" customHeight="1" x14ac:dyDescent="0.3">
      <c r="A6" s="13">
        <v>3</v>
      </c>
      <c r="B6" s="64" t="str">
        <f>'M-DiaSemana'!C6</f>
        <v>Miércoles</v>
      </c>
      <c r="C6" s="65">
        <v>0.375</v>
      </c>
      <c r="D6" s="65">
        <v>0.79166666666666696</v>
      </c>
      <c r="E6" s="13" t="str">
        <f t="shared" si="0"/>
        <v>Miércoles-09:00-19:00</v>
      </c>
    </row>
    <row r="7" spans="1:5" ht="14.25" customHeight="1" x14ac:dyDescent="0.3">
      <c r="A7" s="13">
        <v>4</v>
      </c>
      <c r="B7" s="64" t="str">
        <f>'M-DiaSemana'!C7</f>
        <v>Jueves</v>
      </c>
      <c r="C7" s="65">
        <v>0.375</v>
      </c>
      <c r="D7" s="65">
        <v>0.79166666666666696</v>
      </c>
      <c r="E7" s="13" t="str">
        <f t="shared" si="0"/>
        <v>Jueves-09:00-19:00</v>
      </c>
    </row>
    <row r="8" spans="1:5" ht="14.25" customHeight="1" x14ac:dyDescent="0.3">
      <c r="A8" s="13">
        <v>5</v>
      </c>
      <c r="B8" s="64" t="str">
        <f>'M-DiaSemana'!C8</f>
        <v>Viernes</v>
      </c>
      <c r="C8" s="65">
        <v>0.375</v>
      </c>
      <c r="D8" s="65">
        <v>0.79166666666666696</v>
      </c>
      <c r="E8" s="13" t="str">
        <f t="shared" si="0"/>
        <v>Viernes-09:00-19:00</v>
      </c>
    </row>
    <row r="9" spans="1:5" ht="14.25" customHeight="1" x14ac:dyDescent="0.3">
      <c r="A9" s="13">
        <v>6</v>
      </c>
      <c r="B9" s="64" t="str">
        <f>'M-DiaSemana'!C9</f>
        <v>Sábado</v>
      </c>
      <c r="C9" s="66">
        <v>0.33333333333333298</v>
      </c>
      <c r="D9" s="65">
        <v>0.875</v>
      </c>
      <c r="E9" s="13" t="str">
        <f t="shared" si="0"/>
        <v>Sábado-08:00-21:00</v>
      </c>
    </row>
    <row r="10" spans="1:5" ht="14.25" customHeight="1" x14ac:dyDescent="0.3">
      <c r="A10" s="13">
        <v>7</v>
      </c>
      <c r="B10" s="64" t="str">
        <f>'M-DiaSemana'!C11</f>
        <v>Festivo</v>
      </c>
      <c r="C10" s="65">
        <v>0.41666666666666702</v>
      </c>
      <c r="D10" s="65">
        <v>0.625</v>
      </c>
      <c r="E10" s="13" t="str">
        <f t="shared" si="0"/>
        <v>Festivo-10:00-15:00</v>
      </c>
    </row>
    <row r="16" spans="1:5" ht="28.5" customHeight="1" x14ac:dyDescent="0.3">
      <c r="A16" s="16"/>
      <c r="B16" s="17" t="s">
        <v>84</v>
      </c>
    </row>
    <row r="17" spans="1:2" ht="28.5" customHeight="1" x14ac:dyDescent="0.3">
      <c r="A17" s="18"/>
      <c r="B17" s="17" t="s">
        <v>85</v>
      </c>
    </row>
    <row r="18" spans="1:2" ht="28.5" customHeight="1" x14ac:dyDescent="0.3">
      <c r="A18" s="36"/>
      <c r="B18" s="17" t="s">
        <v>203</v>
      </c>
    </row>
    <row r="19" spans="1:2" ht="28.5" customHeight="1" x14ac:dyDescent="0.3">
      <c r="A19" s="67"/>
      <c r="B19" s="17" t="s">
        <v>241</v>
      </c>
    </row>
    <row r="20" spans="1:2" ht="28.5" customHeight="1" x14ac:dyDescent="0.3">
      <c r="A20" s="20"/>
      <c r="B20" s="17" t="s">
        <v>87</v>
      </c>
    </row>
  </sheetData>
  <hyperlinks>
    <hyperlink ref="B3" location="'M-DiaSemana'!A1" display="diaDeLaSemana" xr:uid="{00000000-0004-0000-1300-000002000000}"/>
    <hyperlink ref="B4" location="'M-DiaSemana'!A4" display="#'M-DiaSemana'.A4" xr:uid="{00000000-0004-0000-1300-000003000000}"/>
    <hyperlink ref="B5" location="'M-DiaSemana'!A5" display="#'M-DiaSemana'.A5" xr:uid="{00000000-0004-0000-1300-000004000000}"/>
    <hyperlink ref="B6" location="'M-DiaSemana'!A6" display="#'M-DiaSemana'.A6" xr:uid="{00000000-0004-0000-1300-000005000000}"/>
    <hyperlink ref="B7" location="'M-DiaSemana'!A7" display="#'M-DiaSemana'.A7" xr:uid="{00000000-0004-0000-1300-000006000000}"/>
    <hyperlink ref="B8" location="'M-DiaSemana'!A8" display="#'M-DiaSemana'.A8" xr:uid="{00000000-0004-0000-1300-000007000000}"/>
    <hyperlink ref="B9" location="'M-DiaSemana'!A9" display="#'M-DiaSemana'.A9" xr:uid="{00000000-0004-0000-1300-000008000000}"/>
    <hyperlink ref="B10" location="'M-DiaSemana'!A11" display="#'M-DiaSemana'.A11" xr:uid="{00000000-0004-0000-1300-000009000000}"/>
    <hyperlink ref="A1" location="'Modelo de Dominio'!A1" display="&lt;&lt;&lt;&lt; Ir al modulo de dominio" xr:uid="{1D14E66C-5E3B-4D6C-96A9-5A3463AD5037}"/>
    <hyperlink ref="B1" location="'Objetos de Dominio'!A1" display="&lt;&lt;&lt;&lt; Ir a objetos de dominio" xr:uid="{E32561FA-E0AB-4052-9035-515BF5C4A4F5}"/>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2"/>
  <sheetViews>
    <sheetView zoomScaleNormal="100" workbookViewId="0">
      <selection activeCell="B1" sqref="B1"/>
    </sheetView>
  </sheetViews>
  <sheetFormatPr baseColWidth="10" defaultColWidth="8.6640625" defaultRowHeight="14.4" x14ac:dyDescent="0.3"/>
  <cols>
    <col min="1" max="1" width="26.6640625" bestFit="1" customWidth="1"/>
    <col min="2" max="2" width="45" customWidth="1"/>
    <col min="3" max="3" width="19.77734375" bestFit="1" customWidth="1"/>
    <col min="4" max="4" width="24.21875" bestFit="1" customWidth="1"/>
    <col min="5" max="12" width="18" customWidth="1"/>
    <col min="13" max="13" width="40" customWidth="1"/>
    <col min="14" max="21" width="18" customWidth="1"/>
  </cols>
  <sheetData>
    <row r="1" spans="1:21" x14ac:dyDescent="0.3">
      <c r="A1" s="114" t="s">
        <v>1</v>
      </c>
      <c r="B1" s="114" t="s">
        <v>41</v>
      </c>
    </row>
    <row r="2" spans="1:21" ht="43.2" x14ac:dyDescent="0.3">
      <c r="A2" s="127" t="s">
        <v>42</v>
      </c>
      <c r="B2" s="127" t="s">
        <v>43</v>
      </c>
      <c r="C2" s="127" t="s">
        <v>44</v>
      </c>
      <c r="D2" s="127" t="s">
        <v>45</v>
      </c>
      <c r="E2" s="127" t="s">
        <v>46</v>
      </c>
      <c r="F2" s="127" t="s">
        <v>47</v>
      </c>
      <c r="G2" s="127" t="s">
        <v>48</v>
      </c>
      <c r="H2" s="127" t="s">
        <v>49</v>
      </c>
      <c r="I2" s="127" t="s">
        <v>50</v>
      </c>
      <c r="J2" s="127" t="s">
        <v>51</v>
      </c>
      <c r="K2" s="127" t="s">
        <v>52</v>
      </c>
      <c r="L2" s="127" t="s">
        <v>53</v>
      </c>
      <c r="M2" s="127" t="s">
        <v>54</v>
      </c>
      <c r="N2" s="127" t="s">
        <v>55</v>
      </c>
      <c r="O2" s="127" t="s">
        <v>56</v>
      </c>
      <c r="P2" s="127" t="s">
        <v>57</v>
      </c>
      <c r="Q2" s="127" t="s">
        <v>58</v>
      </c>
      <c r="R2" s="127" t="s">
        <v>59</v>
      </c>
      <c r="S2" s="127" t="s">
        <v>60</v>
      </c>
      <c r="T2" s="127" t="s">
        <v>61</v>
      </c>
      <c r="U2" s="127" t="s">
        <v>62</v>
      </c>
    </row>
    <row r="3" spans="1:21" ht="28.8" x14ac:dyDescent="0.3">
      <c r="A3" s="129" t="str">
        <f>'M-BarberoServicio'!A3</f>
        <v>id</v>
      </c>
      <c r="B3" s="130" t="str">
        <f>'M-BarberoServicio'!A2</f>
        <v>Representa un identificador que hará unico cada objeto de dominio de este tipo, no se puede repetir</v>
      </c>
      <c r="C3" s="128" t="s">
        <v>63</v>
      </c>
      <c r="D3" s="128" t="s">
        <v>64</v>
      </c>
      <c r="E3" s="128" t="s">
        <v>63</v>
      </c>
      <c r="F3" s="128"/>
      <c r="G3" s="128"/>
      <c r="H3" s="128"/>
      <c r="I3" s="128"/>
      <c r="J3" s="128"/>
      <c r="K3" s="128"/>
      <c r="L3" s="128"/>
      <c r="M3" s="128"/>
      <c r="N3" s="128" t="s">
        <v>65</v>
      </c>
      <c r="O3" s="128" t="s">
        <v>65</v>
      </c>
      <c r="P3" s="128"/>
      <c r="Q3" s="128" t="s">
        <v>65</v>
      </c>
      <c r="R3" s="128" t="s">
        <v>65</v>
      </c>
      <c r="S3" s="128" t="s">
        <v>65</v>
      </c>
      <c r="T3" s="128"/>
      <c r="U3" s="128" t="s">
        <v>63</v>
      </c>
    </row>
    <row r="4" spans="1:21" x14ac:dyDescent="0.3">
      <c r="A4" s="129" t="str">
        <f>'M-BarberoServicio'!B3</f>
        <v>barbero</v>
      </c>
      <c r="B4" s="130" t="str">
        <f>'M-BarberoServicio'!B2</f>
        <v>Representa el nombre y apellidos del barbero</v>
      </c>
      <c r="C4" s="128" t="s">
        <v>65</v>
      </c>
      <c r="D4" s="131" t="s">
        <v>23</v>
      </c>
      <c r="E4" s="128" t="s">
        <v>63</v>
      </c>
      <c r="F4" s="128"/>
      <c r="G4" s="128"/>
      <c r="H4" s="128"/>
      <c r="I4" s="128"/>
      <c r="J4" s="128"/>
      <c r="K4" s="128"/>
      <c r="L4" s="128"/>
      <c r="M4" s="103" t="s">
        <v>356</v>
      </c>
      <c r="N4" s="128" t="s">
        <v>65</v>
      </c>
      <c r="O4" s="128"/>
      <c r="P4" s="128"/>
      <c r="Q4" s="128"/>
      <c r="R4" s="128"/>
      <c r="S4" s="128" t="s">
        <v>65</v>
      </c>
      <c r="T4" s="128"/>
      <c r="U4" s="128" t="s">
        <v>65</v>
      </c>
    </row>
    <row r="5" spans="1:21" x14ac:dyDescent="0.3">
      <c r="A5" s="129" t="str">
        <f>'M-BarberoServicio'!C3</f>
        <v>servicio</v>
      </c>
      <c r="B5" s="130" t="str">
        <f>'M-BarberoServicio'!C2</f>
        <v xml:space="preserve">Representa el nombre del servicio de la barberia </v>
      </c>
      <c r="C5" s="128" t="s">
        <v>65</v>
      </c>
      <c r="D5" s="131" t="s">
        <v>15</v>
      </c>
      <c r="E5" s="128" t="s">
        <v>63</v>
      </c>
      <c r="F5" s="128"/>
      <c r="G5" s="128"/>
      <c r="H5" s="128"/>
      <c r="I5" s="128"/>
      <c r="J5" s="128"/>
      <c r="K5" s="128"/>
      <c r="L5" s="128"/>
      <c r="M5" s="103" t="s">
        <v>356</v>
      </c>
      <c r="N5" s="128" t="s">
        <v>65</v>
      </c>
      <c r="O5" s="128"/>
      <c r="P5" s="128"/>
      <c r="Q5" s="128"/>
      <c r="R5" s="128"/>
      <c r="S5" s="128" t="s">
        <v>65</v>
      </c>
      <c r="T5" s="128"/>
      <c r="U5" s="128" t="s">
        <v>65</v>
      </c>
    </row>
    <row r="6" spans="1:21" ht="57.6" x14ac:dyDescent="0.3">
      <c r="A6" s="129" t="str">
        <f>'M-BarberoServicio'!D3</f>
        <v>duracionServicio</v>
      </c>
      <c r="B6" s="130" t="str">
        <f>'M-BarberoServicio'!D2</f>
        <v>Representa la cantidad de minutos que un barbero tarda en realizar un servicio, esta duracion el barbero debe de ser consiente de cuanto se demora en realizarlo</v>
      </c>
      <c r="C6" s="128" t="s">
        <v>65</v>
      </c>
      <c r="D6" s="128" t="s">
        <v>345</v>
      </c>
      <c r="E6" s="128" t="s">
        <v>63</v>
      </c>
      <c r="F6" s="128"/>
      <c r="G6" s="128"/>
      <c r="H6" s="128"/>
      <c r="I6" s="128"/>
      <c r="J6" s="128">
        <v>1</v>
      </c>
      <c r="K6" s="128"/>
      <c r="L6" s="128" t="s">
        <v>128</v>
      </c>
      <c r="M6" s="128"/>
      <c r="N6" s="128" t="s">
        <v>65</v>
      </c>
      <c r="O6" s="128" t="s">
        <v>65</v>
      </c>
      <c r="P6" s="128"/>
      <c r="Q6" s="128"/>
      <c r="R6" s="128"/>
      <c r="S6" s="128" t="s">
        <v>65</v>
      </c>
      <c r="T6" s="128" t="s">
        <v>106</v>
      </c>
      <c r="U6" s="128" t="s">
        <v>65</v>
      </c>
    </row>
    <row r="7" spans="1:21" ht="72" x14ac:dyDescent="0.3">
      <c r="A7" s="129" t="str">
        <f>'M-BarberoServicio'!E3</f>
        <v>tiempoExtra</v>
      </c>
      <c r="B7" s="130" t="str">
        <f>'M-BarberoServicio'!E2</f>
        <v>Representa la cantidad de minutos que un barbero pone de tiempo extra en las citas de su agenda, cada barbero usa este tiempo porque hay ocaciones que la cita se puede demorar más de lo previsto. Este tiempo les ayuda a evitar que se les retrase la agenda</v>
      </c>
      <c r="C7" s="128" t="s">
        <v>65</v>
      </c>
      <c r="D7" s="128" t="s">
        <v>345</v>
      </c>
      <c r="E7" s="128" t="s">
        <v>65</v>
      </c>
      <c r="F7" s="128"/>
      <c r="G7" s="128"/>
      <c r="H7" s="128"/>
      <c r="I7" s="128"/>
      <c r="J7" s="128">
        <v>0</v>
      </c>
      <c r="K7" s="128"/>
      <c r="L7" s="128" t="s">
        <v>128</v>
      </c>
      <c r="M7" s="128"/>
      <c r="N7" s="128" t="s">
        <v>65</v>
      </c>
      <c r="O7" s="128" t="s">
        <v>65</v>
      </c>
      <c r="P7" s="128"/>
      <c r="Q7" s="128"/>
      <c r="R7" s="128"/>
      <c r="S7" s="128" t="s">
        <v>65</v>
      </c>
      <c r="T7" s="128" t="s">
        <v>106</v>
      </c>
      <c r="U7" s="128" t="s">
        <v>65</v>
      </c>
    </row>
    <row r="8" spans="1:21" ht="28.8" x14ac:dyDescent="0.3">
      <c r="A8" s="129" t="str">
        <f>'M-BarberoServicio'!F3</f>
        <v>vigente</v>
      </c>
      <c r="B8" s="130" t="str">
        <f>'M-BarberoServicio'!F2</f>
        <v>Representa si el barbero sigue o no presentando el servicio en la barbería</v>
      </c>
      <c r="C8" s="128" t="s">
        <v>65</v>
      </c>
      <c r="D8" s="128" t="s">
        <v>107</v>
      </c>
      <c r="E8" s="128" t="s">
        <v>63</v>
      </c>
      <c r="F8" s="128"/>
      <c r="G8" s="128"/>
      <c r="H8" s="128"/>
      <c r="I8" s="128"/>
      <c r="J8" s="128"/>
      <c r="K8" s="128"/>
      <c r="L8" s="128"/>
      <c r="M8" s="128"/>
      <c r="N8" s="128" t="s">
        <v>65</v>
      </c>
      <c r="O8" s="128"/>
      <c r="P8" s="128"/>
      <c r="Q8" s="128"/>
      <c r="R8" s="128"/>
      <c r="S8" s="128" t="s">
        <v>65</v>
      </c>
      <c r="T8" s="128" t="s">
        <v>63</v>
      </c>
      <c r="U8" s="128" t="s">
        <v>65</v>
      </c>
    </row>
    <row r="9" spans="1:21" x14ac:dyDescent="0.3">
      <c r="A9" s="126"/>
      <c r="B9" s="126"/>
      <c r="C9" s="126"/>
      <c r="D9" s="126"/>
      <c r="E9" s="126"/>
      <c r="F9" s="126"/>
      <c r="G9" s="126"/>
      <c r="H9" s="126"/>
      <c r="I9" s="126"/>
      <c r="J9" s="126"/>
      <c r="K9" s="126"/>
      <c r="L9" s="126"/>
      <c r="M9" s="126"/>
      <c r="N9" s="126"/>
      <c r="O9" s="126"/>
      <c r="P9" s="126"/>
      <c r="Q9" s="126"/>
      <c r="R9" s="126"/>
      <c r="S9" s="126"/>
      <c r="T9" s="126"/>
      <c r="U9" s="126"/>
    </row>
    <row r="10" spans="1:21" x14ac:dyDescent="0.3">
      <c r="A10" s="105" t="s">
        <v>67</v>
      </c>
      <c r="B10" s="105" t="s">
        <v>68</v>
      </c>
      <c r="C10" s="105" t="s">
        <v>69</v>
      </c>
      <c r="D10" s="126"/>
      <c r="E10" s="126"/>
      <c r="F10" s="126"/>
      <c r="G10" s="126"/>
      <c r="H10" s="126"/>
      <c r="I10" s="126"/>
      <c r="J10" s="126"/>
      <c r="K10" s="126"/>
      <c r="L10" s="126"/>
      <c r="M10" s="126"/>
      <c r="N10" s="126"/>
      <c r="O10" s="126"/>
      <c r="P10" s="126"/>
      <c r="Q10" s="126"/>
      <c r="R10" s="126"/>
      <c r="S10" s="126"/>
      <c r="T10" s="126"/>
      <c r="U10" s="126"/>
    </row>
    <row r="11" spans="1:21" x14ac:dyDescent="0.3">
      <c r="A11" s="149" t="str">
        <f>'M-BarberoServicio'!G3</f>
        <v>Combinación única</v>
      </c>
      <c r="B11" s="148" t="str">
        <f>'M-BarberoServicio'!G2</f>
        <v>Combinación única que indica que un mismo barbero no puede aparecer dos veces ofreciendo el mismo servicio</v>
      </c>
      <c r="C11" s="107" t="s">
        <v>248</v>
      </c>
      <c r="D11" s="126"/>
      <c r="E11" s="126"/>
      <c r="F11" s="126"/>
      <c r="G11" s="126"/>
      <c r="H11" s="126"/>
      <c r="I11" s="126"/>
      <c r="J11" s="126"/>
      <c r="K11" s="126"/>
      <c r="L11" s="126"/>
      <c r="M11" s="126"/>
      <c r="N11" s="126"/>
      <c r="O11" s="126"/>
      <c r="P11" s="126"/>
      <c r="Q11" s="126"/>
      <c r="R11" s="126"/>
      <c r="S11" s="126"/>
      <c r="T11" s="126"/>
      <c r="U11" s="126"/>
    </row>
    <row r="12" spans="1:21" x14ac:dyDescent="0.3">
      <c r="A12" s="149"/>
      <c r="B12" s="148"/>
      <c r="C12" s="107" t="s">
        <v>249</v>
      </c>
    </row>
  </sheetData>
  <mergeCells count="2">
    <mergeCell ref="A11:A12"/>
    <mergeCell ref="B11:B12"/>
  </mergeCells>
  <hyperlinks>
    <hyperlink ref="A1" location="'Modelo de Dominio'!A1" display="&lt;&lt;&lt;&lt; Ir al modulo de dominio" xr:uid="{0A49FF6E-5D37-4242-A924-4E8D8B1DD1D4}"/>
    <hyperlink ref="B1" location="'Objetos de Dominio'!A1" display="&lt;&lt;&lt;&lt; Ir a objetos de dominio" xr:uid="{E3394F73-01FD-4F04-B0AF-E58EF29D2160}"/>
    <hyperlink ref="D4" location="'C-Barbero'!A1" display="Barbero" xr:uid="{F4D5DA48-FC8F-48B5-A25A-431C1609487C}"/>
    <hyperlink ref="D5" location="'C-Servicio'!A1" display="Servicio" xr:uid="{4F305197-DF77-403F-997C-4D243B585B34}"/>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42" customWidth="1"/>
    <col min="4" max="4" width="40.33203125" customWidth="1"/>
    <col min="5" max="6" width="35.6640625" customWidth="1"/>
    <col min="7" max="7" width="56.88671875" customWidth="1"/>
  </cols>
  <sheetData>
    <row r="1" spans="1:7" ht="14.25" customHeight="1" x14ac:dyDescent="0.3">
      <c r="A1" s="114" t="s">
        <v>1</v>
      </c>
      <c r="B1" s="114" t="s">
        <v>41</v>
      </c>
    </row>
    <row r="2" spans="1:7" ht="51.75" customHeight="1" x14ac:dyDescent="0.3">
      <c r="A2" s="26" t="s">
        <v>71</v>
      </c>
      <c r="B2" s="68" t="s">
        <v>242</v>
      </c>
      <c r="C2" s="26" t="s">
        <v>243</v>
      </c>
      <c r="D2" s="26" t="s">
        <v>244</v>
      </c>
      <c r="E2" s="26" t="s">
        <v>245</v>
      </c>
      <c r="F2" s="26" t="s">
        <v>246</v>
      </c>
      <c r="G2" s="27" t="s">
        <v>247</v>
      </c>
    </row>
    <row r="3" spans="1:7" ht="14.25" customHeight="1" x14ac:dyDescent="0.3">
      <c r="A3" s="41" t="s">
        <v>74</v>
      </c>
      <c r="B3" s="69" t="s">
        <v>248</v>
      </c>
      <c r="C3" s="69" t="s">
        <v>249</v>
      </c>
      <c r="D3" s="70" t="s">
        <v>250</v>
      </c>
      <c r="E3" s="70" t="s">
        <v>251</v>
      </c>
      <c r="F3" s="71" t="s">
        <v>175</v>
      </c>
      <c r="G3" s="72" t="s">
        <v>150</v>
      </c>
    </row>
    <row r="4" spans="1:7" ht="14.25" customHeight="1" x14ac:dyDescent="0.3">
      <c r="A4" s="13">
        <v>1</v>
      </c>
      <c r="B4" s="53" t="str">
        <f>_xlfn.CONCAT('M-Barbero'!B4," ",'M-Barbero'!D4)</f>
        <v>Juan García</v>
      </c>
      <c r="C4" s="53" t="str">
        <f>'M-Servicio'!B4</f>
        <v>Motilada</v>
      </c>
      <c r="D4" s="55">
        <v>45</v>
      </c>
      <c r="E4" s="55">
        <v>15</v>
      </c>
      <c r="F4" s="55" t="s">
        <v>118</v>
      </c>
      <c r="G4" s="13" t="str">
        <f t="shared" ref="G4:G12" si="0">_xlfn.CONCAT(B4,"-",C4)</f>
        <v>Juan García-Motilada</v>
      </c>
    </row>
    <row r="5" spans="1:7" ht="14.25" customHeight="1" x14ac:dyDescent="0.3">
      <c r="A5" s="13">
        <v>2</v>
      </c>
      <c r="B5" s="53" t="str">
        <f>_xlfn.CONCAT('M-Barbero'!B5," ",'M-Barbero'!D5)</f>
        <v>Juan Ortiz</v>
      </c>
      <c r="C5" s="53" t="str">
        <f>'M-Servicio'!B5</f>
        <v>Corte de barba</v>
      </c>
      <c r="D5" s="55">
        <v>10</v>
      </c>
      <c r="E5" s="55">
        <v>5</v>
      </c>
      <c r="F5" s="55" t="s">
        <v>118</v>
      </c>
      <c r="G5" s="13" t="str">
        <f t="shared" si="0"/>
        <v>Juan Ortiz-Corte de barba</v>
      </c>
    </row>
    <row r="6" spans="1:7" ht="14.25" customHeight="1" x14ac:dyDescent="0.3">
      <c r="A6" s="13">
        <v>3</v>
      </c>
      <c r="B6" s="53" t="str">
        <f>_xlfn.CONCAT('M-Barbero'!B6," ",'M-Barbero'!D6)</f>
        <v>Carlos Arbeladez</v>
      </c>
      <c r="C6" s="53" t="str">
        <f>'M-Servicio'!B6</f>
        <v>Perfilada de barba</v>
      </c>
      <c r="D6" s="55">
        <v>15</v>
      </c>
      <c r="E6" s="55">
        <v>5</v>
      </c>
      <c r="F6" s="55" t="s">
        <v>118</v>
      </c>
      <c r="G6" s="13" t="str">
        <f t="shared" si="0"/>
        <v>Carlos Arbeladez-Perfilada de barba</v>
      </c>
    </row>
    <row r="7" spans="1:7" ht="14.25" customHeight="1" x14ac:dyDescent="0.3">
      <c r="A7" s="13">
        <v>4</v>
      </c>
      <c r="B7" s="53" t="str">
        <f>_xlfn.CONCAT('M-Barbero'!B7," ",'M-Barbero'!D7)</f>
        <v>Andres Ramirez</v>
      </c>
      <c r="C7" s="53" t="str">
        <f>'M-Servicio'!B7</f>
        <v>Arreglo completo de barba con toalla caliente</v>
      </c>
      <c r="D7" s="55">
        <v>40</v>
      </c>
      <c r="E7" s="55">
        <v>10</v>
      </c>
      <c r="F7" s="55" t="s">
        <v>118</v>
      </c>
      <c r="G7" s="13" t="str">
        <f t="shared" si="0"/>
        <v>Andres Ramirez-Arreglo completo de barba con toalla caliente</v>
      </c>
    </row>
    <row r="8" spans="1:7" ht="14.25" customHeight="1" x14ac:dyDescent="0.3">
      <c r="A8" s="13">
        <v>5</v>
      </c>
      <c r="B8" s="53" t="str">
        <f>_xlfn.CONCAT('M-Barbero'!B5," ",'M-Barbero'!D5)</f>
        <v>Juan Ortiz</v>
      </c>
      <c r="C8" s="53" t="str">
        <f>'M-Servicio'!B4</f>
        <v>Motilada</v>
      </c>
      <c r="D8" s="55">
        <v>40</v>
      </c>
      <c r="E8" s="55">
        <v>10</v>
      </c>
      <c r="F8" s="55" t="s">
        <v>118</v>
      </c>
      <c r="G8" s="13" t="str">
        <f t="shared" si="0"/>
        <v>Juan Ortiz-Motilada</v>
      </c>
    </row>
    <row r="9" spans="1:7" ht="14.25" customHeight="1" x14ac:dyDescent="0.3">
      <c r="A9" s="13">
        <v>6</v>
      </c>
      <c r="B9" s="53" t="str">
        <f>_xlfn.CONCAT('M-Barbero'!B6," ",'M-Barbero'!D6)</f>
        <v>Carlos Arbeladez</v>
      </c>
      <c r="C9" s="53" t="str">
        <f>'M-Servicio'!B5</f>
        <v>Corte de barba</v>
      </c>
      <c r="D9" s="55">
        <v>15</v>
      </c>
      <c r="E9" s="55">
        <v>5</v>
      </c>
      <c r="F9" s="55" t="s">
        <v>118</v>
      </c>
      <c r="G9" s="13" t="str">
        <f t="shared" si="0"/>
        <v>Carlos Arbeladez-Corte de barba</v>
      </c>
    </row>
    <row r="10" spans="1:7" ht="14.25" customHeight="1" x14ac:dyDescent="0.3">
      <c r="A10" s="13">
        <v>7</v>
      </c>
      <c r="B10" s="53" t="str">
        <f>_xlfn.CONCAT('M-Barbero'!B4," ",'M-Barbero'!D4)</f>
        <v>Juan García</v>
      </c>
      <c r="C10" s="53" t="str">
        <f>'M-Servicio'!B6</f>
        <v>Perfilada de barba</v>
      </c>
      <c r="D10" s="55">
        <v>20</v>
      </c>
      <c r="E10" s="55">
        <v>5</v>
      </c>
      <c r="F10" s="55" t="s">
        <v>118</v>
      </c>
      <c r="G10" s="13" t="str">
        <f t="shared" si="0"/>
        <v>Juan García-Perfilada de barba</v>
      </c>
    </row>
    <row r="11" spans="1:7" ht="14.25" customHeight="1" x14ac:dyDescent="0.3">
      <c r="A11" s="13">
        <v>8</v>
      </c>
      <c r="B11" s="53" t="str">
        <f>_xlfn.CONCAT('M-Barbero'!B7," ",'M-Barbero'!D7)</f>
        <v>Andres Ramirez</v>
      </c>
      <c r="C11" s="53" t="str">
        <f>'M-Servicio'!B4</f>
        <v>Motilada</v>
      </c>
      <c r="D11" s="55">
        <v>50</v>
      </c>
      <c r="E11" s="55">
        <v>15</v>
      </c>
      <c r="F11" s="55" t="s">
        <v>118</v>
      </c>
      <c r="G11" s="13" t="str">
        <f t="shared" si="0"/>
        <v>Andres Ramirez-Motilada</v>
      </c>
    </row>
    <row r="12" spans="1:7" ht="14.25" customHeight="1" x14ac:dyDescent="0.3">
      <c r="A12" s="13">
        <v>9</v>
      </c>
      <c r="B12" s="53" t="str">
        <f>_xlfn.CONCAT('M-Barbero'!B8," ",'M-Barbero'!D8)</f>
        <v>Juan Zambrano</v>
      </c>
      <c r="C12" s="53" t="str">
        <f>'M-Servicio'!B5</f>
        <v>Corte de barba</v>
      </c>
      <c r="D12" s="55">
        <v>12</v>
      </c>
      <c r="E12" s="55">
        <v>5</v>
      </c>
      <c r="F12" s="55" t="s">
        <v>118</v>
      </c>
      <c r="G12" s="13" t="str">
        <f t="shared" si="0"/>
        <v>Juan Zambrano-Corte de barba</v>
      </c>
    </row>
  </sheetData>
  <hyperlinks>
    <hyperlink ref="B3" location="'M-Barbero'!A1" display="barbero" xr:uid="{00000000-0004-0000-1500-000002000000}"/>
    <hyperlink ref="C3" location="'M-Servicio'!A1" display="servicio" xr:uid="{00000000-0004-0000-1500-000003000000}"/>
    <hyperlink ref="B4" location="'M-Barbero'!A4" display="#'M-Barbero'.A4" xr:uid="{00000000-0004-0000-1500-000004000000}"/>
    <hyperlink ref="C4" location="'M-Servicio'!A4" display="#'M-Servicio'.A4" xr:uid="{00000000-0004-0000-1500-000005000000}"/>
    <hyperlink ref="B5" location="'M-Barbero'!A5" display="#'M-Barbero'.A5" xr:uid="{00000000-0004-0000-1500-000006000000}"/>
    <hyperlink ref="C5" location="'M-Servicio'!A5" display="#'M-Servicio'.A5" xr:uid="{00000000-0004-0000-1500-000007000000}"/>
    <hyperlink ref="B6" location="'M-Barbero'!A6" display="#'M-Barbero'.A6" xr:uid="{00000000-0004-0000-1500-000008000000}"/>
    <hyperlink ref="C6" location="'M-Servicio'!A6" display="#'M-Servicio'.A6" xr:uid="{00000000-0004-0000-1500-000009000000}"/>
    <hyperlink ref="B7" location="'M-Barbero'!A7" display="#'M-Barbero'.A7" xr:uid="{00000000-0004-0000-1500-00000A000000}"/>
    <hyperlink ref="C7" location="'M-Servicio'!A7" display="#'M-Servicio'.A7" xr:uid="{00000000-0004-0000-1500-00000B000000}"/>
    <hyperlink ref="B8" location="'M-Barbero'!A5" display="#'M-Barbero'.A5" xr:uid="{00000000-0004-0000-1500-00000C000000}"/>
    <hyperlink ref="C8" location="'M-Servicio'!A4" display="#'M-Servicio'.A4" xr:uid="{00000000-0004-0000-1500-00000D000000}"/>
    <hyperlink ref="B9" location="'M-Barbero'!A6" display="#'M-Barbero'.A6" xr:uid="{00000000-0004-0000-1500-00000E000000}"/>
    <hyperlink ref="C9" location="'M-Servicio'!A5" display="#'M-Servicio'.A5" xr:uid="{00000000-0004-0000-1500-00000F000000}"/>
    <hyperlink ref="B10" location="'M-Barbero'!A4" display="#'M-Barbero'.A4" xr:uid="{00000000-0004-0000-1500-000010000000}"/>
    <hyperlink ref="C10" location="'M-Servicio'!A6" display="#'M-Servicio'.A6" xr:uid="{00000000-0004-0000-1500-000011000000}"/>
    <hyperlink ref="B11" location="'M-Barbero'!A7" display="#'M-Barbero'.A7" xr:uid="{00000000-0004-0000-1500-000012000000}"/>
    <hyperlink ref="C11" location="'M-Servicio'!A4" display="#'M-Servicio'.A4" xr:uid="{00000000-0004-0000-1500-000013000000}"/>
    <hyperlink ref="B12" location="'M-Barbero'!A8" display="#'M-Barbero'.A8" xr:uid="{00000000-0004-0000-1500-000014000000}"/>
    <hyperlink ref="C12" location="'M-Servicio'!A5" display="#'M-Servicio'.A5" xr:uid="{00000000-0004-0000-1500-000015000000}"/>
    <hyperlink ref="A1" location="'Modelo de Dominio'!A1" display="&lt;&lt;&lt;&lt; Ir al modulo de dominio" xr:uid="{2E426461-DF07-4898-B444-722B74166F79}"/>
    <hyperlink ref="B1" location="'Objetos de Dominio'!A1" display="&lt;&lt;&lt;&lt; Ir a objetos de dominio" xr:uid="{77665DB2-C4A9-4465-8CE9-3E596FCD550E}"/>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7"/>
  <sheetViews>
    <sheetView topLeftCell="H1" zoomScaleNormal="100" workbookViewId="0">
      <selection activeCell="M4" sqref="M4"/>
    </sheetView>
  </sheetViews>
  <sheetFormatPr baseColWidth="10" defaultColWidth="8.6640625" defaultRowHeight="14.4" x14ac:dyDescent="0.3"/>
  <cols>
    <col min="1" max="1" width="26.6640625" bestFit="1" customWidth="1"/>
    <col min="2" max="2" width="51.88671875" customWidth="1"/>
    <col min="3" max="3" width="43" bestFit="1" customWidth="1"/>
    <col min="4" max="4" width="25" bestFit="1" customWidth="1"/>
    <col min="5" max="12" width="18" customWidth="1"/>
    <col min="13" max="13" width="40" customWidth="1"/>
    <col min="14" max="21" width="18" customWidth="1"/>
  </cols>
  <sheetData>
    <row r="1" spans="1:21" x14ac:dyDescent="0.3">
      <c r="A1" s="114" t="s">
        <v>1</v>
      </c>
      <c r="B1" s="114" t="s">
        <v>41</v>
      </c>
    </row>
    <row r="2" spans="1:21" ht="43.2" x14ac:dyDescent="0.3">
      <c r="A2" s="127" t="s">
        <v>42</v>
      </c>
      <c r="B2" s="127" t="s">
        <v>43</v>
      </c>
      <c r="C2" s="127" t="s">
        <v>44</v>
      </c>
      <c r="D2" s="127" t="s">
        <v>45</v>
      </c>
      <c r="E2" s="127" t="s">
        <v>46</v>
      </c>
      <c r="F2" s="127" t="s">
        <v>47</v>
      </c>
      <c r="G2" s="127" t="s">
        <v>48</v>
      </c>
      <c r="H2" s="127" t="s">
        <v>49</v>
      </c>
      <c r="I2" s="127" t="s">
        <v>50</v>
      </c>
      <c r="J2" s="127" t="s">
        <v>51</v>
      </c>
      <c r="K2" s="127" t="s">
        <v>52</v>
      </c>
      <c r="L2" s="127" t="s">
        <v>53</v>
      </c>
      <c r="M2" s="127" t="s">
        <v>54</v>
      </c>
      <c r="N2" s="127" t="s">
        <v>55</v>
      </c>
      <c r="O2" s="127" t="s">
        <v>56</v>
      </c>
      <c r="P2" s="127" t="s">
        <v>57</v>
      </c>
      <c r="Q2" s="127" t="s">
        <v>58</v>
      </c>
      <c r="R2" s="127" t="s">
        <v>59</v>
      </c>
      <c r="S2" s="127" t="s">
        <v>60</v>
      </c>
      <c r="T2" s="127" t="s">
        <v>61</v>
      </c>
      <c r="U2" s="127" t="s">
        <v>62</v>
      </c>
    </row>
    <row r="3" spans="1:21" ht="28.8" x14ac:dyDescent="0.3">
      <c r="A3" s="129" t="str">
        <f>'M-HorarioBarbero'!A3</f>
        <v>id</v>
      </c>
      <c r="B3" s="130" t="str">
        <f>'M-HorarioBarbero'!A2</f>
        <v>Representa un identificador que hará unico cada objeto de dominio de este tipo, no se puede repetir</v>
      </c>
      <c r="C3" s="128" t="s">
        <v>63</v>
      </c>
      <c r="D3" s="128" t="s">
        <v>64</v>
      </c>
      <c r="E3" s="128" t="s">
        <v>63</v>
      </c>
      <c r="F3" s="128"/>
      <c r="G3" s="128"/>
      <c r="H3" s="128"/>
      <c r="I3" s="128"/>
      <c r="J3" s="128"/>
      <c r="K3" s="128"/>
      <c r="L3" s="128"/>
      <c r="M3" s="128"/>
      <c r="N3" s="128" t="s">
        <v>65</v>
      </c>
      <c r="O3" s="128" t="s">
        <v>65</v>
      </c>
      <c r="P3" s="128"/>
      <c r="Q3" s="128" t="s">
        <v>65</v>
      </c>
      <c r="R3" s="128" t="s">
        <v>65</v>
      </c>
      <c r="S3" s="128" t="s">
        <v>65</v>
      </c>
      <c r="T3" s="128"/>
      <c r="U3" s="128" t="s">
        <v>63</v>
      </c>
    </row>
    <row r="4" spans="1:21" x14ac:dyDescent="0.3">
      <c r="A4" s="129" t="str">
        <f>'M-HorarioBarbero'!B3</f>
        <v>barbero</v>
      </c>
      <c r="B4" s="130" t="str">
        <f>'M-HorarioBarbero'!B2</f>
        <v>Referencia a que barbero va a ser dueño de esta agenda</v>
      </c>
      <c r="C4" s="128" t="s">
        <v>65</v>
      </c>
      <c r="D4" s="131" t="s">
        <v>23</v>
      </c>
      <c r="E4" s="128" t="s">
        <v>63</v>
      </c>
      <c r="F4" s="128"/>
      <c r="G4" s="128"/>
      <c r="H4" s="128"/>
      <c r="I4" s="128"/>
      <c r="J4" s="128"/>
      <c r="K4" s="128"/>
      <c r="L4" s="128"/>
      <c r="M4" s="103" t="s">
        <v>356</v>
      </c>
      <c r="N4" s="128" t="s">
        <v>65</v>
      </c>
      <c r="O4" s="128"/>
      <c r="P4" s="128"/>
      <c r="Q4" s="128"/>
      <c r="R4" s="128"/>
      <c r="S4" s="128" t="s">
        <v>65</v>
      </c>
      <c r="T4" s="128"/>
      <c r="U4" s="128" t="s">
        <v>65</v>
      </c>
    </row>
    <row r="5" spans="1:21" ht="28.8" x14ac:dyDescent="0.3">
      <c r="A5" s="129" t="str">
        <f>'M-HorarioBarbero'!C3</f>
        <v>horarioDeLaBarberia</v>
      </c>
      <c r="B5" s="130" t="str">
        <f>'M-HorarioBarbero'!C2</f>
        <v>Hace referencia a la agenda del barbero en la que queda guardado este horario de trabajo</v>
      </c>
      <c r="C5" s="128" t="s">
        <v>65</v>
      </c>
      <c r="D5" s="131" t="s">
        <v>27</v>
      </c>
      <c r="E5" s="128" t="s">
        <v>63</v>
      </c>
      <c r="F5" s="128"/>
      <c r="G5" s="128"/>
      <c r="H5" s="128"/>
      <c r="I5" s="128"/>
      <c r="J5" s="128"/>
      <c r="K5" s="128"/>
      <c r="L5" s="128"/>
      <c r="M5" s="103" t="s">
        <v>356</v>
      </c>
      <c r="N5" s="128" t="s">
        <v>65</v>
      </c>
      <c r="O5" s="128"/>
      <c r="P5" s="128"/>
      <c r="Q5" s="128"/>
      <c r="R5" s="128"/>
      <c r="S5" s="128" t="s">
        <v>65</v>
      </c>
      <c r="T5" s="128"/>
      <c r="U5" s="128" t="s">
        <v>65</v>
      </c>
    </row>
    <row r="6" spans="1:21" ht="28.8" x14ac:dyDescent="0.3">
      <c r="A6" s="129" t="str">
        <f>'M-HorarioBarbero'!D3</f>
        <v>horaInicio</v>
      </c>
      <c r="B6" s="130" t="str">
        <f>'M-HorarioBarbero'!D2</f>
        <v>Representa la hora en la que el barbero empieza a estar disponible ese dia</v>
      </c>
      <c r="C6" s="128" t="s">
        <v>65</v>
      </c>
      <c r="D6" s="128" t="s">
        <v>230</v>
      </c>
      <c r="E6" s="128" t="s">
        <v>65</v>
      </c>
      <c r="F6" s="128"/>
      <c r="G6" s="128"/>
      <c r="H6" s="128"/>
      <c r="I6" s="128"/>
      <c r="J6" s="128"/>
      <c r="K6" s="128"/>
      <c r="L6" s="128" t="s">
        <v>231</v>
      </c>
      <c r="M6" s="139" t="s">
        <v>252</v>
      </c>
      <c r="N6" s="128" t="s">
        <v>65</v>
      </c>
      <c r="O6" s="128"/>
      <c r="P6" s="128"/>
      <c r="Q6" s="128"/>
      <c r="R6" s="128"/>
      <c r="S6" s="128" t="s">
        <v>65</v>
      </c>
      <c r="T6" s="128" t="s">
        <v>232</v>
      </c>
      <c r="U6" s="128" t="s">
        <v>65</v>
      </c>
    </row>
    <row r="7" spans="1:21" ht="57.6" x14ac:dyDescent="0.3">
      <c r="A7" s="129" t="str">
        <f>'M-HorarioBarbero'!E3</f>
        <v>horaFinal</v>
      </c>
      <c r="B7" s="130" t="str">
        <f>'M-HorarioBarbero'!E2</f>
        <v>Representa la hora en la que el barbero deja de estar disponible ese día, junto con horaInicio, es lo que la aplicación usa para saber si hay campo para agendar una cita nueva.</v>
      </c>
      <c r="C7" s="128" t="s">
        <v>65</v>
      </c>
      <c r="D7" s="128" t="s">
        <v>230</v>
      </c>
      <c r="E7" s="128" t="s">
        <v>63</v>
      </c>
      <c r="F7" s="128"/>
      <c r="G7" s="128"/>
      <c r="H7" s="128"/>
      <c r="I7" s="128"/>
      <c r="J7" s="128"/>
      <c r="K7" s="128"/>
      <c r="L7" s="128" t="s">
        <v>231</v>
      </c>
      <c r="M7" s="139" t="s">
        <v>253</v>
      </c>
      <c r="N7" s="128" t="s">
        <v>65</v>
      </c>
      <c r="O7" s="128"/>
      <c r="P7" s="128"/>
      <c r="Q7" s="128"/>
      <c r="R7" s="128"/>
      <c r="S7" s="128" t="s">
        <v>65</v>
      </c>
      <c r="T7" s="128" t="s">
        <v>232</v>
      </c>
      <c r="U7" s="128" t="s">
        <v>65</v>
      </c>
    </row>
    <row r="8" spans="1:21" ht="43.2" x14ac:dyDescent="0.3">
      <c r="A8" s="129" t="str">
        <f>'M-HorarioBarbero'!F3</f>
        <v>fechaCreacion</v>
      </c>
      <c r="B8" s="130" t="str">
        <f>'M-HorarioBarbero'!F2</f>
        <v>Representa la fecha en el que el barbero creo esta agenda. Es un dato calculado que toma la fecha de hoy cuando el barbero crea la agenda</v>
      </c>
      <c r="C8" s="128" t="s">
        <v>65</v>
      </c>
      <c r="D8" s="128" t="s">
        <v>254</v>
      </c>
      <c r="E8" s="128" t="s">
        <v>63</v>
      </c>
      <c r="F8" s="128"/>
      <c r="G8" s="128"/>
      <c r="H8" s="128"/>
      <c r="I8" s="128"/>
      <c r="J8" s="128"/>
      <c r="K8" s="128"/>
      <c r="L8" s="128"/>
      <c r="M8" s="139" t="s">
        <v>255</v>
      </c>
      <c r="N8" s="128" t="s">
        <v>63</v>
      </c>
      <c r="O8" s="128"/>
      <c r="P8" s="128"/>
      <c r="Q8" s="128"/>
      <c r="R8" s="128"/>
      <c r="S8" s="128" t="s">
        <v>65</v>
      </c>
      <c r="T8" s="128"/>
      <c r="U8" s="128" t="s">
        <v>65</v>
      </c>
    </row>
    <row r="9" spans="1:21" s="138" customFormat="1" ht="57.6" x14ac:dyDescent="0.3">
      <c r="A9" s="135" t="str">
        <f>'M-HorarioBarbero'!G3</f>
        <v>fechaDesactivacion</v>
      </c>
      <c r="B9" s="136" t="str">
        <f>'M-HorarioBarbero'!G2</f>
        <v>Representa la fecha en el que el barbero decidio que ya no va a trabaja más en este horario. Es un dato calculo que toma la fecha de hoy cuando el barbero dice que ya no es vigente</v>
      </c>
      <c r="C9" s="137" t="s">
        <v>65</v>
      </c>
      <c r="D9" s="137" t="s">
        <v>254</v>
      </c>
      <c r="E9" s="137" t="s">
        <v>65</v>
      </c>
      <c r="F9" s="137"/>
      <c r="G9" s="137"/>
      <c r="H9" s="137"/>
      <c r="I9" s="137"/>
      <c r="J9" s="137"/>
      <c r="K9" s="137"/>
      <c r="L9" s="137"/>
      <c r="M9" s="137" t="s">
        <v>256</v>
      </c>
      <c r="N9" s="137" t="s">
        <v>63</v>
      </c>
      <c r="O9" s="137"/>
      <c r="P9" s="137"/>
      <c r="Q9" s="137"/>
      <c r="R9" s="137"/>
      <c r="S9" s="137" t="s">
        <v>65</v>
      </c>
      <c r="T9" s="137" t="s">
        <v>257</v>
      </c>
      <c r="U9" s="137" t="s">
        <v>65</v>
      </c>
    </row>
    <row r="10" spans="1:21" ht="43.2" x14ac:dyDescent="0.3">
      <c r="A10" s="129" t="str">
        <f>'M-HorarioBarbero'!H3</f>
        <v>vigente</v>
      </c>
      <c r="B10" s="130" t="str">
        <f>'M-HorarioBarbero'!H2</f>
        <v>Representa si este horario lo sigue o no usando el barbero. Una vez que el barbero cambie este estado a no vigente, no se puede volver a cambiar</v>
      </c>
      <c r="C10" s="128" t="s">
        <v>65</v>
      </c>
      <c r="D10" s="128" t="s">
        <v>107</v>
      </c>
      <c r="E10" s="128" t="s">
        <v>63</v>
      </c>
      <c r="F10" s="128"/>
      <c r="G10" s="128"/>
      <c r="H10" s="128"/>
      <c r="I10" s="128"/>
      <c r="J10" s="128"/>
      <c r="K10" s="128"/>
      <c r="L10" s="128"/>
      <c r="M10" s="139" t="s">
        <v>258</v>
      </c>
      <c r="N10" s="128" t="s">
        <v>65</v>
      </c>
      <c r="O10" s="128"/>
      <c r="P10" s="128"/>
      <c r="Q10" s="128"/>
      <c r="R10" s="128"/>
      <c r="S10" s="128" t="s">
        <v>65</v>
      </c>
      <c r="T10" s="128" t="s">
        <v>63</v>
      </c>
      <c r="U10" s="128" t="s">
        <v>65</v>
      </c>
    </row>
    <row r="12" spans="1:21" x14ac:dyDescent="0.3">
      <c r="A12" s="105" t="s">
        <v>67</v>
      </c>
      <c r="B12" s="105" t="s">
        <v>68</v>
      </c>
      <c r="C12" s="105" t="s">
        <v>69</v>
      </c>
    </row>
    <row r="13" spans="1:21" x14ac:dyDescent="0.3">
      <c r="A13" s="149" t="str">
        <f>'M-HorarioBarbero'!I3</f>
        <v>Combinación única</v>
      </c>
      <c r="B13" s="148"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107" t="str">
        <f>A4</f>
        <v>barbero</v>
      </c>
    </row>
    <row r="14" spans="1:21" x14ac:dyDescent="0.3">
      <c r="A14" s="149"/>
      <c r="B14" s="148"/>
      <c r="C14" s="107" t="str">
        <f>A5</f>
        <v>horarioDeLaBarberia</v>
      </c>
    </row>
    <row r="15" spans="1:21" x14ac:dyDescent="0.3">
      <c r="A15" s="149"/>
      <c r="B15" s="148"/>
      <c r="C15" s="107" t="str">
        <f>A6</f>
        <v>horaInicio</v>
      </c>
    </row>
    <row r="16" spans="1:21" x14ac:dyDescent="0.3">
      <c r="A16" s="149"/>
      <c r="B16" s="148"/>
      <c r="C16" s="107" t="str">
        <f>A7</f>
        <v>horaFinal</v>
      </c>
    </row>
    <row r="17" spans="1:3" x14ac:dyDescent="0.3">
      <c r="A17" s="149"/>
      <c r="B17" s="148"/>
      <c r="C17" s="107" t="str">
        <f>A10</f>
        <v>vigente</v>
      </c>
    </row>
  </sheetData>
  <mergeCells count="2">
    <mergeCell ref="B13:B17"/>
    <mergeCell ref="A13:A17"/>
  </mergeCells>
  <hyperlinks>
    <hyperlink ref="A13" location="'M-HorarioBarbero'!A3" display="'M-HorarioBarbero'!A3" xr:uid="{00000000-0004-0000-1600-000012000000}"/>
    <hyperlink ref="B13" location="'M-HorarioBarbero'!A2" display="'M-HorarioBarbero'!A2" xr:uid="{00000000-0004-0000-1600-000013000000}"/>
    <hyperlink ref="A1" location="'Modelo de Dominio'!A1" display="&lt;&lt;&lt;&lt; Ir al modulo de dominio" xr:uid="{507EAD57-DE11-4E7A-B682-D4B9C94579DA}"/>
    <hyperlink ref="B1" location="'Objetos de Dominio'!A1" display="&lt;&lt;&lt;&lt; Ir a objetos de dominio" xr:uid="{EF5A540E-1406-45DB-B9A6-0E9EF40EDA38}"/>
    <hyperlink ref="D4" location="'C-Barbero'!A1" display="Barbero" xr:uid="{F812CB5B-196B-475C-BBD4-22946549A383}"/>
    <hyperlink ref="D5" location="'C-HorarioBarberia'!A1" display="HorarioBarberia" xr:uid="{C3ADCB01-3018-405A-82B2-8420B5EFD362}"/>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1"/>
  <sheetViews>
    <sheetView topLeftCell="E1" zoomScale="115" zoomScaleNormal="115" workbookViewId="0">
      <selection activeCell="H11" sqref="H11"/>
    </sheetView>
  </sheetViews>
  <sheetFormatPr baseColWidth="10" defaultColWidth="10.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7.44140625" customWidth="1"/>
    <col min="8" max="8" width="26" customWidth="1"/>
    <col min="9" max="9" width="41.44140625" customWidth="1"/>
  </cols>
  <sheetData>
    <row r="1" spans="1:9" ht="14.25" customHeight="1" x14ac:dyDescent="0.3">
      <c r="A1" s="114" t="s">
        <v>1</v>
      </c>
      <c r="B1" s="114" t="s">
        <v>41</v>
      </c>
      <c r="C1" s="46"/>
      <c r="D1" s="46"/>
      <c r="E1" s="46"/>
      <c r="F1" s="46"/>
      <c r="G1" s="46"/>
      <c r="H1" s="46"/>
    </row>
    <row r="2" spans="1:9" ht="49.2" x14ac:dyDescent="0.3">
      <c r="A2" s="26" t="s">
        <v>71</v>
      </c>
      <c r="B2" s="26" t="s">
        <v>259</v>
      </c>
      <c r="C2" s="26" t="s">
        <v>260</v>
      </c>
      <c r="D2" s="26" t="s">
        <v>358</v>
      </c>
      <c r="E2" s="26" t="s">
        <v>359</v>
      </c>
      <c r="F2" s="26" t="s">
        <v>261</v>
      </c>
      <c r="G2" s="26" t="s">
        <v>262</v>
      </c>
      <c r="H2" s="26" t="s">
        <v>263</v>
      </c>
      <c r="I2" s="27" t="s">
        <v>360</v>
      </c>
    </row>
    <row r="3" spans="1:9" ht="14.25" customHeight="1" x14ac:dyDescent="0.3">
      <c r="A3" s="41" t="s">
        <v>74</v>
      </c>
      <c r="B3" s="69" t="s">
        <v>248</v>
      </c>
      <c r="C3" s="69" t="s">
        <v>264</v>
      </c>
      <c r="D3" s="73" t="s">
        <v>265</v>
      </c>
      <c r="E3" s="73" t="s">
        <v>266</v>
      </c>
      <c r="F3" s="74" t="s">
        <v>267</v>
      </c>
      <c r="G3" s="74" t="s">
        <v>268</v>
      </c>
      <c r="H3" s="71" t="s">
        <v>175</v>
      </c>
      <c r="I3" s="32" t="s">
        <v>150</v>
      </c>
    </row>
    <row r="4" spans="1:9" ht="28.5" customHeight="1" x14ac:dyDescent="0.3">
      <c r="A4" s="13">
        <v>1</v>
      </c>
      <c r="B4" s="75" t="str">
        <f>'M-Barbero'!K4</f>
        <v>+57-3245627890</v>
      </c>
      <c r="C4" s="75" t="str">
        <f>'M-HorarioBarberia'!E4</f>
        <v>Lunes-09:00-19:00</v>
      </c>
      <c r="D4" s="65">
        <v>0.41666666666666702</v>
      </c>
      <c r="E4" s="65">
        <v>0.66666666666666696</v>
      </c>
      <c r="F4" s="76">
        <v>45780</v>
      </c>
      <c r="G4" s="76" t="s">
        <v>269</v>
      </c>
      <c r="H4" s="65" t="s">
        <v>118</v>
      </c>
      <c r="I4" s="23" t="str">
        <f>_xlfn.CONCAT(B4,"-",C4,"-",TEXT(D4,"hh:mm"),"-",TEXT(E4,"hh:mm"),"-",H4)</f>
        <v>+57-3245627890-Lunes-09:00-19:00-10:00-16:00-si</v>
      </c>
    </row>
    <row r="5" spans="1:9" ht="28.5" customHeight="1" x14ac:dyDescent="0.3">
      <c r="A5" s="13">
        <v>2</v>
      </c>
      <c r="B5" s="75" t="str">
        <f>'M-Barbero'!K5</f>
        <v>+57-3124518923</v>
      </c>
      <c r="C5" s="75" t="str">
        <f>'M-HorarioBarberia'!E5</f>
        <v>Martes-09:00-19:00</v>
      </c>
      <c r="D5" s="65">
        <v>0.375</v>
      </c>
      <c r="E5" s="65">
        <v>0.625</v>
      </c>
      <c r="F5" s="76">
        <v>45718</v>
      </c>
      <c r="G5" s="76" t="s">
        <v>269</v>
      </c>
      <c r="H5" s="65" t="s">
        <v>118</v>
      </c>
      <c r="I5" s="23" t="str">
        <f t="shared" ref="I5:I8" si="0">_xlfn.CONCAT(B5,"-",C5,"-",TEXT(D5,"hh:mm"),"-",TEXT(E5,"hh:mm"),"-",H5)</f>
        <v>+57-3124518923-Martes-09:00-19:00-09:00-15:00-si</v>
      </c>
    </row>
    <row r="6" spans="1:9" ht="28.5" customHeight="1" x14ac:dyDescent="0.3">
      <c r="A6" s="13">
        <v>3</v>
      </c>
      <c r="B6" s="75" t="str">
        <f>'M-Barbero'!K6</f>
        <v>+57-3214533321</v>
      </c>
      <c r="C6" s="75" t="str">
        <f>'M-HorarioBarberia'!E7</f>
        <v>Jueves-09:00-19:00</v>
      </c>
      <c r="D6" s="65">
        <v>0.54166666666666696</v>
      </c>
      <c r="E6" s="65">
        <v>0.79166666666666696</v>
      </c>
      <c r="F6" s="76">
        <v>44917</v>
      </c>
      <c r="G6" s="77" t="s">
        <v>269</v>
      </c>
      <c r="H6" s="65" t="s">
        <v>118</v>
      </c>
      <c r="I6" s="23" t="str">
        <f t="shared" si="0"/>
        <v>+57-3214533321-Jueves-09:00-19:00-13:00-19:00-si</v>
      </c>
    </row>
    <row r="7" spans="1:9" ht="28.5" customHeight="1" x14ac:dyDescent="0.3">
      <c r="A7" s="13">
        <v>4</v>
      </c>
      <c r="B7" s="75" t="str">
        <f>'M-Barbero'!K7</f>
        <v>+91-9876543210</v>
      </c>
      <c r="C7" s="75" t="str">
        <f>'M-HorarioBarberia'!E9</f>
        <v>Sábado-08:00-21:00</v>
      </c>
      <c r="D7" s="65">
        <v>0.33333333333333298</v>
      </c>
      <c r="E7" s="65">
        <v>0.58333333333333304</v>
      </c>
      <c r="F7" s="78">
        <v>45915</v>
      </c>
      <c r="G7" s="76">
        <v>46023</v>
      </c>
      <c r="H7" s="79" t="s">
        <v>198</v>
      </c>
      <c r="I7" s="23" t="str">
        <f t="shared" si="0"/>
        <v>+91-9876543210-Sábado-08:00-21:00-08:00-14:00-no</v>
      </c>
    </row>
    <row r="8" spans="1:9" ht="28.5" customHeight="1" x14ac:dyDescent="0.3">
      <c r="A8" s="13">
        <v>5</v>
      </c>
      <c r="B8" s="75" t="str">
        <f>'M-Barbero'!K7</f>
        <v>+91-9876543210</v>
      </c>
      <c r="C8" s="75" t="str">
        <f>'M-HorarioBarberia'!E10</f>
        <v>Festivo-10:00-15:00</v>
      </c>
      <c r="D8" s="65">
        <v>0.5</v>
      </c>
      <c r="E8" s="65">
        <v>0.625</v>
      </c>
      <c r="F8" s="78">
        <v>46054</v>
      </c>
      <c r="G8" s="76">
        <v>46083</v>
      </c>
      <c r="H8" s="79" t="s">
        <v>198</v>
      </c>
      <c r="I8" s="23" t="str">
        <f t="shared" si="0"/>
        <v>+91-9876543210-Festivo-10:00-15:00-12:00-15:00-no</v>
      </c>
    </row>
    <row r="10" spans="1:9" ht="14.25" customHeight="1" x14ac:dyDescent="0.3">
      <c r="G10" s="80"/>
    </row>
    <row r="14" spans="1:9" ht="28.5" customHeight="1" x14ac:dyDescent="0.3">
      <c r="A14" s="16"/>
      <c r="B14" s="17" t="s">
        <v>84</v>
      </c>
      <c r="C14" s="17"/>
    </row>
    <row r="15" spans="1:9" ht="28.5" customHeight="1" x14ac:dyDescent="0.3">
      <c r="A15" s="18"/>
      <c r="B15" s="17" t="s">
        <v>85</v>
      </c>
      <c r="C15" s="17"/>
    </row>
    <row r="16" spans="1:9" ht="28.5" customHeight="1" x14ac:dyDescent="0.3">
      <c r="A16" s="36"/>
      <c r="B16" s="17" t="s">
        <v>203</v>
      </c>
      <c r="C16" s="17"/>
    </row>
    <row r="17" spans="1:3" ht="28.5" customHeight="1" x14ac:dyDescent="0.3">
      <c r="A17" s="37"/>
      <c r="B17" s="17" t="s">
        <v>86</v>
      </c>
      <c r="C17" s="17"/>
    </row>
    <row r="18" spans="1:3" ht="28.5" customHeight="1" x14ac:dyDescent="0.3">
      <c r="A18" s="67"/>
      <c r="B18" s="17" t="s">
        <v>241</v>
      </c>
      <c r="C18" s="17"/>
    </row>
    <row r="19" spans="1:3" ht="28.5" customHeight="1" x14ac:dyDescent="0.3">
      <c r="A19" s="81"/>
      <c r="B19" s="17" t="s">
        <v>270</v>
      </c>
      <c r="C19" s="17"/>
    </row>
    <row r="20" spans="1:3" ht="28.5" customHeight="1" x14ac:dyDescent="0.3">
      <c r="A20" s="39"/>
      <c r="B20" s="17" t="s">
        <v>271</v>
      </c>
      <c r="C20" s="17"/>
    </row>
    <row r="21" spans="1:3" ht="28.5" customHeight="1" x14ac:dyDescent="0.3">
      <c r="A21" s="20"/>
      <c r="B21" s="17" t="s">
        <v>87</v>
      </c>
      <c r="C21" s="17"/>
    </row>
  </sheetData>
  <hyperlinks>
    <hyperlink ref="B3" location="'M-Barbero'!A1" display="barbero" xr:uid="{00000000-0004-0000-1700-000002000000}"/>
    <hyperlink ref="C3" location="'M-HorarioBarberia'!A1" display="horarioDeLaBarberia" xr:uid="{00000000-0004-0000-1700-000003000000}"/>
    <hyperlink ref="B4" location="'M-Barbero'!A4" display="#'M-Barbero'.A4" xr:uid="{00000000-0004-0000-1700-000004000000}"/>
    <hyperlink ref="C4" location="'M-HorarioBarberia'!A4" display="#'M-HorarioBarberia'.A4" xr:uid="{00000000-0004-0000-1700-000005000000}"/>
    <hyperlink ref="B5" location="'M-Barbero'!A5" display="#'M-Barbero'.A5" xr:uid="{00000000-0004-0000-1700-000006000000}"/>
    <hyperlink ref="C5" location="'M-HorarioBarberia'!A5" display="#'M-HorarioBarberia'.A5" xr:uid="{00000000-0004-0000-1700-000007000000}"/>
    <hyperlink ref="B6" location="'M-Barbero'!A6" display="#'M-Barbero'.A6" xr:uid="{00000000-0004-0000-1700-000008000000}"/>
    <hyperlink ref="C6" location="'M-HorarioBarberia'!A7" display="#'M-HorarioBarberia'.A7" xr:uid="{00000000-0004-0000-1700-000009000000}"/>
    <hyperlink ref="B7" location="'M-Barbero'!A7" display="#'M-Barbero'.A7" xr:uid="{00000000-0004-0000-1700-00000A000000}"/>
    <hyperlink ref="C7" location="'M-HorarioBarberia'!A9" display="#'M-HorarioBarberia'.A9" xr:uid="{00000000-0004-0000-1700-00000B000000}"/>
    <hyperlink ref="B8" location="'M-Barbero'!A7" display="#'M-Barbero'.A7" xr:uid="{00000000-0004-0000-1700-00000C000000}"/>
    <hyperlink ref="C8" location="'M-HorarioBarberia'!A10" display="#'M-HorarioBarberia'.A10" xr:uid="{00000000-0004-0000-1700-00000D000000}"/>
    <hyperlink ref="A1" location="'Modelo de Dominio'!A1" display="&lt;&lt;&lt;&lt; Ir al modulo de dominio" xr:uid="{18518867-1BF4-499D-BB7A-F9A06D249E4E}"/>
    <hyperlink ref="B1" location="'Objetos de Dominio'!A1" display="&lt;&lt;&lt;&lt; Ir a objetos de dominio" xr:uid="{D33709BD-31C7-4F20-91DA-D1717A2EBDFF}"/>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9"/>
  <sheetViews>
    <sheetView zoomScaleNormal="100" workbookViewId="0">
      <selection activeCell="A7" sqref="A7:C9"/>
    </sheetView>
  </sheetViews>
  <sheetFormatPr baseColWidth="10" defaultColWidth="8.6640625" defaultRowHeight="14.4" x14ac:dyDescent="0.3"/>
  <cols>
    <col min="1" max="1" width="26.6640625" bestFit="1" customWidth="1"/>
    <col min="2" max="2" width="45" customWidth="1"/>
    <col min="3" max="3" width="21.5546875" bestFit="1" customWidth="1"/>
    <col min="4" max="4" width="24.6640625" bestFit="1" customWidth="1"/>
    <col min="5" max="12" width="18" customWidth="1"/>
    <col min="13" max="13" width="40" customWidth="1"/>
    <col min="14" max="21" width="18" customWidth="1"/>
  </cols>
  <sheetData>
    <row r="1" spans="1:21" x14ac:dyDescent="0.3">
      <c r="A1" s="114" t="s">
        <v>1</v>
      </c>
      <c r="B1" s="114" t="s">
        <v>41</v>
      </c>
    </row>
    <row r="2" spans="1:21" ht="43.2" x14ac:dyDescent="0.3">
      <c r="A2" s="127" t="s">
        <v>42</v>
      </c>
      <c r="B2" s="127" t="s">
        <v>43</v>
      </c>
      <c r="C2" s="127" t="s">
        <v>44</v>
      </c>
      <c r="D2" s="127" t="s">
        <v>45</v>
      </c>
      <c r="E2" s="127" t="s">
        <v>46</v>
      </c>
      <c r="F2" s="127" t="s">
        <v>47</v>
      </c>
      <c r="G2" s="127" t="s">
        <v>48</v>
      </c>
      <c r="H2" s="127" t="s">
        <v>49</v>
      </c>
      <c r="I2" s="127" t="s">
        <v>50</v>
      </c>
      <c r="J2" s="127" t="s">
        <v>51</v>
      </c>
      <c r="K2" s="127" t="s">
        <v>52</v>
      </c>
      <c r="L2" s="127" t="s">
        <v>53</v>
      </c>
      <c r="M2" s="127" t="s">
        <v>54</v>
      </c>
      <c r="N2" s="127" t="s">
        <v>55</v>
      </c>
      <c r="O2" s="127" t="s">
        <v>56</v>
      </c>
      <c r="P2" s="127" t="s">
        <v>57</v>
      </c>
      <c r="Q2" s="127" t="s">
        <v>58</v>
      </c>
      <c r="R2" s="127" t="s">
        <v>59</v>
      </c>
      <c r="S2" s="127" t="s">
        <v>60</v>
      </c>
      <c r="T2" s="127" t="s">
        <v>61</v>
      </c>
      <c r="U2" s="127" t="s">
        <v>62</v>
      </c>
    </row>
    <row r="3" spans="1:21" ht="28.8" x14ac:dyDescent="0.3">
      <c r="A3" s="129" t="str">
        <f>'M-Agenda'!A3</f>
        <v>id</v>
      </c>
      <c r="B3" s="130" t="str">
        <f>'M-Agenda'!A2</f>
        <v>Representa un identificador que hará unico cada objeto de dominio de este tipo, no se puede repetir</v>
      </c>
      <c r="C3" s="128" t="s">
        <v>63</v>
      </c>
      <c r="D3" s="128" t="s">
        <v>64</v>
      </c>
      <c r="E3" s="128" t="s">
        <v>63</v>
      </c>
      <c r="F3" s="128"/>
      <c r="G3" s="128"/>
      <c r="H3" s="128"/>
      <c r="I3" s="128"/>
      <c r="J3" s="128"/>
      <c r="K3" s="128"/>
      <c r="L3" s="128"/>
      <c r="M3" s="128"/>
      <c r="N3" s="128" t="s">
        <v>65</v>
      </c>
      <c r="O3" s="128" t="s">
        <v>65</v>
      </c>
      <c r="P3" s="128"/>
      <c r="Q3" s="128" t="s">
        <v>65</v>
      </c>
      <c r="R3" s="128" t="s">
        <v>65</v>
      </c>
      <c r="S3" s="128" t="s">
        <v>65</v>
      </c>
      <c r="T3" s="128"/>
      <c r="U3" s="128" t="s">
        <v>63</v>
      </c>
    </row>
    <row r="4" spans="1:21" ht="43.2" x14ac:dyDescent="0.3">
      <c r="A4" s="129" t="str">
        <f>'M-Agenda'!B3</f>
        <v>horarioDelBarbero</v>
      </c>
      <c r="B4" s="130" t="str">
        <f>'M-Agenda'!B2</f>
        <v>Hace referencia al horario de trabajo del barbero (día de la semana, hora de inicio y hora final) al que pertenece esta agenda</v>
      </c>
      <c r="C4" s="128" t="s">
        <v>65</v>
      </c>
      <c r="D4" s="131" t="s">
        <v>31</v>
      </c>
      <c r="E4" s="128" t="s">
        <v>63</v>
      </c>
      <c r="F4" s="128"/>
      <c r="G4" s="128"/>
      <c r="H4" s="128"/>
      <c r="I4" s="128"/>
      <c r="J4" s="128"/>
      <c r="K4" s="128"/>
      <c r="L4" s="128"/>
      <c r="M4" s="103" t="s">
        <v>356</v>
      </c>
      <c r="N4" s="128" t="s">
        <v>65</v>
      </c>
      <c r="O4" s="128"/>
      <c r="P4" s="128"/>
      <c r="Q4" s="128"/>
      <c r="R4" s="128"/>
      <c r="S4" s="128" t="s">
        <v>65</v>
      </c>
      <c r="T4" s="128"/>
      <c r="U4" s="128" t="s">
        <v>65</v>
      </c>
    </row>
    <row r="5" spans="1:21" ht="28.8" x14ac:dyDescent="0.3">
      <c r="A5" s="129" t="str">
        <f>'M-Agenda'!C3</f>
        <v>fecha</v>
      </c>
      <c r="B5" s="130" t="str">
        <f>'M-Agenda'!C2</f>
        <v>Representa la fecha específica en el que la agenda va a guardar las citas de ese barbero</v>
      </c>
      <c r="C5" s="128" t="s">
        <v>65</v>
      </c>
      <c r="D5" s="140" t="s">
        <v>254</v>
      </c>
      <c r="E5" s="128" t="s">
        <v>63</v>
      </c>
      <c r="F5" s="128"/>
      <c r="G5" s="128"/>
      <c r="H5" s="128"/>
      <c r="I5" s="128"/>
      <c r="J5" s="128"/>
      <c r="K5" s="128"/>
      <c r="L5" s="128" t="s">
        <v>272</v>
      </c>
      <c r="M5" s="103"/>
      <c r="N5" s="128" t="s">
        <v>65</v>
      </c>
      <c r="O5" s="128"/>
      <c r="P5" s="128"/>
      <c r="Q5" s="128"/>
      <c r="R5" s="128"/>
      <c r="S5" s="128" t="s">
        <v>65</v>
      </c>
      <c r="T5" s="128" t="s">
        <v>257</v>
      </c>
      <c r="U5" s="128" t="s">
        <v>65</v>
      </c>
    </row>
    <row r="7" spans="1:21" x14ac:dyDescent="0.3">
      <c r="A7" s="105" t="s">
        <v>67</v>
      </c>
      <c r="B7" s="105" t="s">
        <v>68</v>
      </c>
      <c r="C7" s="105" t="s">
        <v>69</v>
      </c>
    </row>
    <row r="8" spans="1:21" ht="21" customHeight="1" x14ac:dyDescent="0.3">
      <c r="A8" s="149" t="str">
        <f>'M-Agenda'!D3</f>
        <v xml:space="preserve">Combinación única </v>
      </c>
      <c r="B8" s="148" t="str">
        <f>'M-Agenda'!D2</f>
        <v>Combinación única que indica que un mismo horario de barbero no puede tener más de una agenda para el mismo día</v>
      </c>
      <c r="C8" s="107" t="str">
        <f>A4</f>
        <v>horarioDelBarbero</v>
      </c>
    </row>
    <row r="9" spans="1:21" ht="22.2" customHeight="1" x14ac:dyDescent="0.3">
      <c r="A9" s="149"/>
      <c r="B9" s="148"/>
      <c r="C9" s="107" t="str">
        <f>A5</f>
        <v>fecha</v>
      </c>
    </row>
  </sheetData>
  <mergeCells count="2">
    <mergeCell ref="B8:B9"/>
    <mergeCell ref="A8:A9"/>
  </mergeCells>
  <hyperlinks>
    <hyperlink ref="A3" location="'M-Agenda'!A3" display="'M-Agenda'!A3" xr:uid="{00000000-0004-0000-1800-000002000000}"/>
    <hyperlink ref="B3" location="'M-Agenda'!A2" display="'M-Agenda'!A2" xr:uid="{00000000-0004-0000-1800-000003000000}"/>
    <hyperlink ref="A4" location="'M-Agenda'!A3" display="'M-Agenda'!A3" xr:uid="{00000000-0004-0000-1800-000004000000}"/>
    <hyperlink ref="B4" location="'M-Agenda'!A2" display="'M-Agenda'!A2" xr:uid="{00000000-0004-0000-1800-000005000000}"/>
    <hyperlink ref="A5" location="'M-Agenda'!A3" display="'M-Agenda'!A3" xr:uid="{00000000-0004-0000-1800-000006000000}"/>
    <hyperlink ref="B5" location="'M-Agenda'!A2" display="'M-Agenda'!A2" xr:uid="{00000000-0004-0000-1800-000007000000}"/>
    <hyperlink ref="A8" location="'M-Agenda'!A3" display="'M-Agenda'!A3" xr:uid="{00000000-0004-0000-1800-000008000000}"/>
    <hyperlink ref="B8" location="'M-Agenda'!A2" display="'M-Agenda'!A2" xr:uid="{00000000-0004-0000-1800-000009000000}"/>
    <hyperlink ref="A1" location="'Modelo de Dominio'!A1" display="&lt;&lt;&lt;&lt; Ir al modulo de dominio" xr:uid="{38D07ABB-E7F8-4D78-B552-B0F6E779B177}"/>
    <hyperlink ref="B1" location="'Objetos de Dominio'!A1" display="&lt;&lt;&lt;&lt; Ir a objetos de dominio" xr:uid="{9A253C73-638C-46FC-AC64-5EFE9C5BE194}"/>
    <hyperlink ref="D4" location="'C-HorarioBarbero'!A1" display="HorarioBarbero" xr:uid="{9A62AB8C-0BB4-49DF-B4A8-388720F35296}"/>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22"/>
  <sheetViews>
    <sheetView zoomScale="115" zoomScaleNormal="115" workbookViewId="0">
      <selection activeCell="C3" sqref="C3"/>
    </sheetView>
  </sheetViews>
  <sheetFormatPr baseColWidth="10" defaultColWidth="10.6640625" defaultRowHeight="14.4" x14ac:dyDescent="0.3"/>
  <cols>
    <col min="1" max="1" width="25" customWidth="1"/>
    <col min="2" max="2" width="48.44140625" customWidth="1"/>
    <col min="3" max="3" width="33.77734375" bestFit="1" customWidth="1"/>
    <col min="4" max="4" width="55.6640625" customWidth="1"/>
  </cols>
  <sheetData>
    <row r="1" spans="1:4" ht="14.25" customHeight="1" x14ac:dyDescent="0.3">
      <c r="A1" s="114" t="s">
        <v>1</v>
      </c>
      <c r="B1" s="114" t="s">
        <v>41</v>
      </c>
      <c r="C1" s="21"/>
    </row>
    <row r="2" spans="1:4" ht="36" customHeight="1" x14ac:dyDescent="0.3">
      <c r="A2" s="8" t="s">
        <v>71</v>
      </c>
      <c r="B2" s="8" t="s">
        <v>273</v>
      </c>
      <c r="C2" s="8" t="s">
        <v>361</v>
      </c>
      <c r="D2" s="9" t="s">
        <v>274</v>
      </c>
    </row>
    <row r="3" spans="1:4" ht="14.25" customHeight="1" x14ac:dyDescent="0.3">
      <c r="A3" s="10" t="s">
        <v>74</v>
      </c>
      <c r="B3" s="69" t="s">
        <v>275</v>
      </c>
      <c r="C3" s="82" t="s">
        <v>276</v>
      </c>
      <c r="D3" s="12" t="s">
        <v>75</v>
      </c>
    </row>
    <row r="4" spans="1:4" ht="14.25" customHeight="1" x14ac:dyDescent="0.3">
      <c r="A4" s="13">
        <v>1</v>
      </c>
      <c r="B4" s="53" t="str">
        <f>'M-HorarioBarbero'!I4</f>
        <v>+57-3245627890-Lunes-09:00-19:00-10:00-16:00-si</v>
      </c>
      <c r="C4" s="117">
        <v>46265</v>
      </c>
      <c r="D4" s="13" t="str">
        <f t="shared" ref="D4:D12" si="0">_xlfn.CONCAT(B4,"-",TEXT(C4,"dd/mm/yyyy"))</f>
        <v>+57-3245627890-Lunes-09:00-19:00-10:00-16:00-si-31/08/2026</v>
      </c>
    </row>
    <row r="5" spans="1:4" ht="14.25" customHeight="1" x14ac:dyDescent="0.3">
      <c r="A5" s="13">
        <v>2</v>
      </c>
      <c r="B5" s="53" t="str">
        <f>'M-HorarioBarbero'!I5</f>
        <v>+57-3124518923-Martes-09:00-19:00-09:00-15:00-si</v>
      </c>
      <c r="C5" s="117">
        <v>46091</v>
      </c>
      <c r="D5" s="13" t="str">
        <f t="shared" si="0"/>
        <v>+57-3124518923-Martes-09:00-19:00-09:00-15:00-si-10/03/2026</v>
      </c>
    </row>
    <row r="6" spans="1:4" ht="14.25" customHeight="1" x14ac:dyDescent="0.3">
      <c r="A6" s="13">
        <v>3</v>
      </c>
      <c r="B6" s="53" t="str">
        <f>'M-HorarioBarbero'!I6</f>
        <v>+57-3214533321-Jueves-09:00-19:00-13:00-19:00-si</v>
      </c>
      <c r="C6" s="117">
        <v>46156</v>
      </c>
      <c r="D6" s="13" t="str">
        <f t="shared" si="0"/>
        <v>+57-3214533321-Jueves-09:00-19:00-13:00-19:00-si-14/05/2026</v>
      </c>
    </row>
    <row r="7" spans="1:4" ht="14.25" customHeight="1" x14ac:dyDescent="0.3">
      <c r="A7" s="13">
        <v>4</v>
      </c>
      <c r="B7" s="53" t="str">
        <f>'M-HorarioBarbero'!I8</f>
        <v>+91-9876543210-Festivo-10:00-15:00-12:00-15:00-no</v>
      </c>
      <c r="C7" s="117">
        <v>46073</v>
      </c>
      <c r="D7" s="13" t="str">
        <f t="shared" si="0"/>
        <v>+91-9876543210-Festivo-10:00-15:00-12:00-15:00-no-20/02/2026</v>
      </c>
    </row>
    <row r="8" spans="1:4" ht="14.25" customHeight="1" x14ac:dyDescent="0.3">
      <c r="A8" s="13">
        <v>5</v>
      </c>
      <c r="B8" s="53" t="str">
        <f>'M-HorarioBarbero'!I7</f>
        <v>+91-9876543210-Sábado-08:00-21:00-08:00-14:00-no</v>
      </c>
      <c r="C8" s="117">
        <v>45983</v>
      </c>
      <c r="D8" s="13" t="str">
        <f t="shared" si="0"/>
        <v>+91-9876543210-Sábado-08:00-21:00-08:00-14:00-no-22/11/2025</v>
      </c>
    </row>
    <row r="9" spans="1:4" ht="14.25" customHeight="1" x14ac:dyDescent="0.3">
      <c r="A9" s="13">
        <v>6</v>
      </c>
      <c r="B9" s="53" t="str">
        <f>'M-HorarioBarbero'!I6</f>
        <v>+57-3214533321-Jueves-09:00-19:00-13:00-19:00-si</v>
      </c>
      <c r="C9" s="117">
        <v>46240</v>
      </c>
      <c r="D9" s="13" t="str">
        <f t="shared" si="0"/>
        <v>+57-3214533321-Jueves-09:00-19:00-13:00-19:00-si-06/08/2026</v>
      </c>
    </row>
    <row r="10" spans="1:4" ht="14.25" customHeight="1" x14ac:dyDescent="0.3">
      <c r="A10" s="13">
        <v>7</v>
      </c>
      <c r="B10" s="53" t="str">
        <f>'M-HorarioBarbero'!I4</f>
        <v>+57-3245627890-Lunes-09:00-19:00-10:00-16:00-si</v>
      </c>
      <c r="C10" s="117">
        <v>46174</v>
      </c>
      <c r="D10" s="13" t="str">
        <f t="shared" si="0"/>
        <v>+57-3245627890-Lunes-09:00-19:00-10:00-16:00-si-01/06/2026</v>
      </c>
    </row>
    <row r="11" spans="1:4" ht="14.25" customHeight="1" x14ac:dyDescent="0.3">
      <c r="A11" s="13">
        <v>8</v>
      </c>
      <c r="B11" s="53" t="str">
        <f>'M-HorarioBarbero'!I5</f>
        <v>+57-3124518923-Martes-09:00-19:00-09:00-15:00-si</v>
      </c>
      <c r="C11" s="117">
        <v>46189</v>
      </c>
      <c r="D11" s="13" t="str">
        <f t="shared" si="0"/>
        <v>+57-3124518923-Martes-09:00-19:00-09:00-15:00-si-16/06/2026</v>
      </c>
    </row>
    <row r="12" spans="1:4" ht="14.25" customHeight="1" x14ac:dyDescent="0.3">
      <c r="A12" s="13">
        <v>9</v>
      </c>
      <c r="B12" s="53" t="str">
        <f>'M-HorarioBarbero'!I6</f>
        <v>+57-3214533321-Jueves-09:00-19:00-13:00-19:00-si</v>
      </c>
      <c r="C12" s="117">
        <v>46205</v>
      </c>
      <c r="D12" s="13" t="str">
        <f t="shared" si="0"/>
        <v>+57-3214533321-Jueves-09:00-19:00-13:00-19:00-si-02/07/2026</v>
      </c>
    </row>
    <row r="13" spans="1:4" ht="14.25" customHeight="1" x14ac:dyDescent="0.3">
      <c r="B13" s="17"/>
    </row>
    <row r="14" spans="1:4" ht="14.25" customHeight="1" x14ac:dyDescent="0.3">
      <c r="B14" s="17"/>
    </row>
    <row r="15" spans="1:4" ht="14.25" customHeight="1" x14ac:dyDescent="0.3">
      <c r="B15" s="17"/>
    </row>
    <row r="16" spans="1:4" ht="14.25" customHeight="1" x14ac:dyDescent="0.3">
      <c r="B16" s="17"/>
    </row>
    <row r="17" spans="1:2" ht="14.25" customHeight="1" x14ac:dyDescent="0.3">
      <c r="B17" s="17"/>
    </row>
    <row r="18" spans="1:2" ht="14.25" customHeight="1" x14ac:dyDescent="0.3">
      <c r="A18" s="16"/>
      <c r="B18" s="17" t="s">
        <v>84</v>
      </c>
    </row>
    <row r="19" spans="1:2" ht="27.75" customHeight="1" x14ac:dyDescent="0.3">
      <c r="A19" s="18"/>
      <c r="B19" s="17" t="s">
        <v>85</v>
      </c>
    </row>
    <row r="20" spans="1:2" ht="14.25" customHeight="1" x14ac:dyDescent="0.3">
      <c r="A20" s="36"/>
      <c r="B20" t="s">
        <v>203</v>
      </c>
    </row>
    <row r="21" spans="1:2" ht="14.25" customHeight="1" x14ac:dyDescent="0.3">
      <c r="A21" s="118"/>
      <c r="B21" t="s">
        <v>277</v>
      </c>
    </row>
    <row r="22" spans="1:2" ht="14.25" customHeight="1" x14ac:dyDescent="0.3">
      <c r="A22" s="20"/>
      <c r="B22" t="s">
        <v>87</v>
      </c>
    </row>
  </sheetData>
  <hyperlinks>
    <hyperlink ref="B3" location="'M-HorarioBarbero'!A1" display="horarioDelBarbero" xr:uid="{00000000-0004-0000-1900-000002000000}"/>
    <hyperlink ref="B4" location="'M-HorarioBarbero'!A4" display="#'M-HorarioBarbero'.A4" xr:uid="{00000000-0004-0000-1900-000003000000}"/>
    <hyperlink ref="B5" location="'M-HorarioBarbero'!A5" display="#'M-HorarioBarbero'.A5" xr:uid="{00000000-0004-0000-1900-000004000000}"/>
    <hyperlink ref="B6" location="'M-HorarioBarbero'!A6" display="#'M-HorarioBarbero'.A6" xr:uid="{00000000-0004-0000-1900-000005000000}"/>
    <hyperlink ref="B7" location="'M-HorarioBarbero'!A8" display="#'M-HorarioBarbero'.A8" xr:uid="{00000000-0004-0000-1900-000006000000}"/>
    <hyperlink ref="B8" location="'M-HorarioBarbero'!A7" display="#'M-HorarioBarbero'.A7" xr:uid="{00000000-0004-0000-1900-000007000000}"/>
    <hyperlink ref="B9" location="'M-HorarioBarbero'!A6" display="#'M-HorarioBarbero'.A6" xr:uid="{00000000-0004-0000-1900-000008000000}"/>
    <hyperlink ref="B10" location="'M-HorarioBarbero'!A4" display="#'M-HorarioBarbero'.A4" xr:uid="{00000000-0004-0000-1900-000009000000}"/>
    <hyperlink ref="B11" location="'M-HorarioBarbero'!A5" display="#'M-HorarioBarbero'.A5" xr:uid="{00000000-0004-0000-1900-00000A000000}"/>
    <hyperlink ref="B12" location="'M-HorarioBarbero'!A6" display="#'M-HorarioBarbero'.A6" xr:uid="{00000000-0004-0000-1900-00000B000000}"/>
    <hyperlink ref="A1" location="'Modelo de Dominio'!A1" display="&lt;&lt;&lt;&lt; Ir al modulo de dominio" xr:uid="{0DDE5063-85B2-4DAC-96E3-CDE4B85D5B5E}"/>
    <hyperlink ref="B1" location="'Objetos de Dominio'!A1" display="&lt;&lt;&lt;&lt; Ir a objetos de dominio" xr:uid="{E9515652-83DD-4EF3-AB96-2BED32968179}"/>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1"/>
  <sheetViews>
    <sheetView topLeftCell="A12" zoomScaleNormal="100" workbookViewId="0">
      <selection activeCell="A19" sqref="A19:C21"/>
    </sheetView>
  </sheetViews>
  <sheetFormatPr baseColWidth="10" defaultColWidth="8.6640625" defaultRowHeight="14.4" x14ac:dyDescent="0.3"/>
  <cols>
    <col min="1" max="1" width="26.6640625" bestFit="1" customWidth="1"/>
    <col min="2" max="2" width="45" customWidth="1"/>
    <col min="3" max="3" width="18" customWidth="1"/>
    <col min="4" max="4" width="24.21875" bestFit="1" customWidth="1"/>
    <col min="5" max="12" width="18" customWidth="1"/>
    <col min="13" max="13" width="40" customWidth="1"/>
    <col min="14" max="21" width="18" customWidth="1"/>
  </cols>
  <sheetData>
    <row r="1" spans="1:21" x14ac:dyDescent="0.3">
      <c r="A1" s="114" t="s">
        <v>1</v>
      </c>
      <c r="B1" s="114" t="s">
        <v>41</v>
      </c>
    </row>
    <row r="2" spans="1:21" ht="43.2" x14ac:dyDescent="0.3">
      <c r="A2" s="127" t="s">
        <v>42</v>
      </c>
      <c r="B2" s="127" t="s">
        <v>43</v>
      </c>
      <c r="C2" s="127" t="s">
        <v>44</v>
      </c>
      <c r="D2" s="127" t="s">
        <v>45</v>
      </c>
      <c r="E2" s="127" t="s">
        <v>46</v>
      </c>
      <c r="F2" s="127" t="s">
        <v>47</v>
      </c>
      <c r="G2" s="127" t="s">
        <v>48</v>
      </c>
      <c r="H2" s="127" t="s">
        <v>49</v>
      </c>
      <c r="I2" s="127" t="s">
        <v>50</v>
      </c>
      <c r="J2" s="127" t="s">
        <v>51</v>
      </c>
      <c r="K2" s="127" t="s">
        <v>52</v>
      </c>
      <c r="L2" s="127" t="s">
        <v>53</v>
      </c>
      <c r="M2" s="127" t="s">
        <v>54</v>
      </c>
      <c r="N2" s="127" t="s">
        <v>55</v>
      </c>
      <c r="O2" s="127" t="s">
        <v>56</v>
      </c>
      <c r="P2" s="127" t="s">
        <v>57</v>
      </c>
      <c r="Q2" s="127" t="s">
        <v>58</v>
      </c>
      <c r="R2" s="127" t="s">
        <v>59</v>
      </c>
      <c r="S2" s="127" t="s">
        <v>60</v>
      </c>
      <c r="T2" s="127" t="s">
        <v>61</v>
      </c>
      <c r="U2" s="127" t="s">
        <v>62</v>
      </c>
    </row>
    <row r="3" spans="1:21" ht="28.8" x14ac:dyDescent="0.3">
      <c r="A3" s="129" t="str">
        <f>'M-Cita'!A3</f>
        <v>id</v>
      </c>
      <c r="B3" s="130" t="str">
        <f>'M-Cita'!A2</f>
        <v>Representa un identificador que hará unico cada objeto de dominio de este tipo, no se puede repetir</v>
      </c>
      <c r="C3" s="128" t="s">
        <v>63</v>
      </c>
      <c r="D3" s="128" t="s">
        <v>64</v>
      </c>
      <c r="E3" s="128" t="s">
        <v>63</v>
      </c>
      <c r="F3" s="128"/>
      <c r="G3" s="128"/>
      <c r="H3" s="128"/>
      <c r="I3" s="128"/>
      <c r="J3" s="128"/>
      <c r="K3" s="128"/>
      <c r="L3" s="128"/>
      <c r="M3" s="128"/>
      <c r="N3" s="128" t="s">
        <v>65</v>
      </c>
      <c r="O3" s="128" t="s">
        <v>65</v>
      </c>
      <c r="P3" s="128"/>
      <c r="Q3" s="128" t="s">
        <v>65</v>
      </c>
      <c r="R3" s="128" t="s">
        <v>65</v>
      </c>
      <c r="S3" s="128" t="s">
        <v>65</v>
      </c>
      <c r="T3" s="128"/>
      <c r="U3" s="128" t="s">
        <v>63</v>
      </c>
    </row>
    <row r="4" spans="1:21" ht="43.2" x14ac:dyDescent="0.3">
      <c r="A4" s="129" t="str">
        <f>'M-Cita'!B3</f>
        <v>cliente</v>
      </c>
      <c r="B4" s="130" t="str">
        <f>'M-Cita'!B2</f>
        <v>Representa a cuál cliente le pertenece esta cita</v>
      </c>
      <c r="C4" s="128" t="s">
        <v>65</v>
      </c>
      <c r="D4" s="131" t="s">
        <v>25</v>
      </c>
      <c r="E4" s="128" t="s">
        <v>63</v>
      </c>
      <c r="F4" s="128"/>
      <c r="G4" s="128"/>
      <c r="H4" s="128"/>
      <c r="I4" s="128"/>
      <c r="J4" s="128"/>
      <c r="K4" s="128"/>
      <c r="L4" s="128"/>
      <c r="M4" s="103" t="s">
        <v>278</v>
      </c>
      <c r="N4" s="128" t="s">
        <v>65</v>
      </c>
      <c r="O4" s="128"/>
      <c r="P4" s="128"/>
      <c r="Q4" s="128"/>
      <c r="R4" s="128"/>
      <c r="S4" s="128" t="s">
        <v>65</v>
      </c>
      <c r="T4" s="128"/>
      <c r="U4" s="128" t="s">
        <v>65</v>
      </c>
    </row>
    <row r="5" spans="1:21" x14ac:dyDescent="0.3">
      <c r="A5" s="129" t="str">
        <f>'M-Cita'!C3</f>
        <v>agenda</v>
      </c>
      <c r="B5" s="130" t="str">
        <f>'M-Cita'!C2</f>
        <v>Referencia en cual agenda va a estar esta cita</v>
      </c>
      <c r="C5" s="128" t="s">
        <v>65</v>
      </c>
      <c r="D5" s="131" t="s">
        <v>33</v>
      </c>
      <c r="E5" s="128" t="s">
        <v>63</v>
      </c>
      <c r="F5" s="128"/>
      <c r="G5" s="128"/>
      <c r="H5" s="128"/>
      <c r="I5" s="128"/>
      <c r="J5" s="128"/>
      <c r="K5" s="128"/>
      <c r="L5" s="128"/>
      <c r="M5" s="103"/>
      <c r="N5" s="128" t="s">
        <v>65</v>
      </c>
      <c r="O5" s="128"/>
      <c r="P5" s="128"/>
      <c r="Q5" s="128"/>
      <c r="R5" s="128"/>
      <c r="S5" s="128" t="s">
        <v>65</v>
      </c>
      <c r="T5" s="128"/>
      <c r="U5" s="128" t="s">
        <v>65</v>
      </c>
    </row>
    <row r="6" spans="1:21" s="138" customFormat="1" ht="57.6" x14ac:dyDescent="0.3">
      <c r="A6" s="137" t="str">
        <f>'M-Cita'!D3</f>
        <v>regla</v>
      </c>
      <c r="B6" s="137" t="str">
        <f>'M-Cita'!D2</f>
        <v>Hace referencia a la Regla vigente de la barbería en el momento de agendar; de ahí salen las tolerancias, el monto de multa fija y el porcentaje de descuento que aplican a esta cita</v>
      </c>
      <c r="C6" s="137" t="s">
        <v>65</v>
      </c>
      <c r="D6" s="141" t="s">
        <v>17</v>
      </c>
      <c r="E6" s="137" t="s">
        <v>63</v>
      </c>
      <c r="F6" s="137"/>
      <c r="G6" s="137"/>
      <c r="H6" s="137"/>
      <c r="I6" s="137"/>
      <c r="J6" s="137"/>
      <c r="K6" s="137"/>
      <c r="L6" s="137"/>
      <c r="M6" s="137" t="s">
        <v>279</v>
      </c>
      <c r="N6" s="137" t="s">
        <v>65</v>
      </c>
      <c r="O6" s="137"/>
      <c r="P6" s="137"/>
      <c r="Q6" s="137"/>
      <c r="R6" s="137"/>
      <c r="S6" s="137" t="s">
        <v>65</v>
      </c>
      <c r="T6" s="137"/>
      <c r="U6" s="137" t="s">
        <v>65</v>
      </c>
    </row>
    <row r="7" spans="1:21" ht="43.2" x14ac:dyDescent="0.3">
      <c r="A7" s="129" t="str">
        <f>'M-Cita'!E3</f>
        <v>estado</v>
      </c>
      <c r="B7" s="130" t="str">
        <f>'M-Cita'!E2</f>
        <v>Representa en qué estado se encuentra esta cita puntual: agendada, finalizada, cancelada, con tardanza del cliente o del barbero, o inasistencia</v>
      </c>
      <c r="C7" s="128" t="s">
        <v>65</v>
      </c>
      <c r="D7" s="131" t="s">
        <v>13</v>
      </c>
      <c r="E7" s="128" t="s">
        <v>63</v>
      </c>
      <c r="F7" s="128"/>
      <c r="G7" s="128"/>
      <c r="H7" s="128"/>
      <c r="I7" s="128"/>
      <c r="J7" s="128"/>
      <c r="K7" s="128"/>
      <c r="L7" s="128"/>
      <c r="M7" s="128"/>
      <c r="N7" s="128" t="s">
        <v>65</v>
      </c>
      <c r="O7" s="128"/>
      <c r="P7" s="128"/>
      <c r="Q7" s="128"/>
      <c r="R7" s="128"/>
      <c r="S7" s="128" t="s">
        <v>65</v>
      </c>
      <c r="T7" s="128"/>
      <c r="U7" s="128" t="s">
        <v>65</v>
      </c>
    </row>
    <row r="8" spans="1:21" ht="28.8" x14ac:dyDescent="0.3">
      <c r="A8" s="129" t="str">
        <f>'M-Cita'!F3</f>
        <v>horaInicio</v>
      </c>
      <c r="B8" s="130" t="str">
        <f>'M-Cita'!F2</f>
        <v>Representa la hora en la que se va a realizar la cita al cliente</v>
      </c>
      <c r="C8" s="128" t="s">
        <v>65</v>
      </c>
      <c r="D8" s="140" t="s">
        <v>230</v>
      </c>
      <c r="E8" s="128" t="s">
        <v>65</v>
      </c>
      <c r="F8" s="128"/>
      <c r="G8" s="128"/>
      <c r="H8" s="128"/>
      <c r="I8" s="128"/>
      <c r="J8" s="128"/>
      <c r="K8" s="128"/>
      <c r="L8" s="128" t="s">
        <v>231</v>
      </c>
      <c r="M8" s="103"/>
      <c r="N8" s="128" t="s">
        <v>65</v>
      </c>
      <c r="O8" s="128"/>
      <c r="P8" s="128"/>
      <c r="Q8" s="128"/>
      <c r="R8" s="128"/>
      <c r="S8" s="128" t="s">
        <v>65</v>
      </c>
      <c r="T8" s="128" t="s">
        <v>232</v>
      </c>
      <c r="U8" s="128" t="s">
        <v>65</v>
      </c>
    </row>
    <row r="9" spans="1:21" ht="43.2" x14ac:dyDescent="0.3">
      <c r="A9" s="129" t="str">
        <f>'M-Cita'!G3</f>
        <v>horaFinEstimada</v>
      </c>
      <c r="B9" s="130" t="str">
        <f>'M-Cita'!G2</f>
        <v>Representa la hora en la que se espera que termine la cita, sumando horaInicio más la duración total de los servicios pedidos. Es un dato calculado</v>
      </c>
      <c r="C9" s="128" t="s">
        <v>65</v>
      </c>
      <c r="D9" s="140" t="s">
        <v>230</v>
      </c>
      <c r="E9" s="128" t="s">
        <v>63</v>
      </c>
      <c r="F9" s="128"/>
      <c r="G9" s="128"/>
      <c r="H9" s="128"/>
      <c r="I9" s="128"/>
      <c r="J9" s="128"/>
      <c r="K9" s="128"/>
      <c r="L9" s="128"/>
      <c r="M9" s="103" t="s">
        <v>280</v>
      </c>
      <c r="N9" s="128" t="s">
        <v>63</v>
      </c>
      <c r="O9" s="128"/>
      <c r="P9" s="128"/>
      <c r="Q9" s="128"/>
      <c r="R9" s="128"/>
      <c r="S9" s="128" t="s">
        <v>65</v>
      </c>
      <c r="T9" s="128"/>
      <c r="U9" s="128" t="s">
        <v>65</v>
      </c>
    </row>
    <row r="10" spans="1:21" s="138" customFormat="1" ht="57.6" x14ac:dyDescent="0.3">
      <c r="A10" s="137" t="str">
        <f>'M-Cita'!H3</f>
        <v>horaLlegadaCliente</v>
      </c>
      <c r="B10" s="137" t="str">
        <f>'M-Cita'!H2</f>
        <v>Representa la hora real en la que el cliente llegó a la barbería para esta cita. Su valor por defecto es 00:00 y es permitido: significa que el cliente aún no ha llegado</v>
      </c>
      <c r="C10" s="137" t="s">
        <v>65</v>
      </c>
      <c r="D10" s="137" t="s">
        <v>230</v>
      </c>
      <c r="E10" s="137" t="s">
        <v>65</v>
      </c>
      <c r="F10" s="137"/>
      <c r="G10" s="137"/>
      <c r="H10" s="137"/>
      <c r="I10" s="137"/>
      <c r="J10" s="137"/>
      <c r="K10" s="137"/>
      <c r="L10" s="137" t="s">
        <v>231</v>
      </c>
      <c r="M10" s="137"/>
      <c r="N10" s="137" t="s">
        <v>65</v>
      </c>
      <c r="O10" s="137"/>
      <c r="P10" s="137"/>
      <c r="Q10" s="137"/>
      <c r="R10" s="137"/>
      <c r="S10" s="137" t="s">
        <v>65</v>
      </c>
      <c r="T10" s="137" t="s">
        <v>232</v>
      </c>
      <c r="U10" s="137" t="s">
        <v>65</v>
      </c>
    </row>
    <row r="11" spans="1:21" ht="57.6" x14ac:dyDescent="0.3">
      <c r="A11" s="129" t="str">
        <f>'M-Cita'!J3</f>
        <v>horaInicioAtencion</v>
      </c>
      <c r="B11" s="130" t="str">
        <f>'M-Cita'!J2</f>
        <v>Representa la hora real en la que el barbero empezó a atender al cliente. Su valor por defecto es 00:00 y es permitido: significa que la atención aún no ha comenzado</v>
      </c>
      <c r="C11" s="128" t="s">
        <v>65</v>
      </c>
      <c r="D11" s="128" t="s">
        <v>230</v>
      </c>
      <c r="E11" s="128" t="s">
        <v>65</v>
      </c>
      <c r="F11" s="128"/>
      <c r="G11" s="128"/>
      <c r="H11" s="128"/>
      <c r="I11" s="128"/>
      <c r="J11" s="128"/>
      <c r="K11" s="128"/>
      <c r="L11" s="128" t="s">
        <v>231</v>
      </c>
      <c r="M11" s="128"/>
      <c r="N11" s="128" t="s">
        <v>65</v>
      </c>
      <c r="O11" s="128"/>
      <c r="P11" s="128"/>
      <c r="Q11" s="128"/>
      <c r="R11" s="128"/>
      <c r="S11" s="128" t="s">
        <v>65</v>
      </c>
      <c r="T11" s="128" t="s">
        <v>232</v>
      </c>
      <c r="U11" s="128" t="s">
        <v>65</v>
      </c>
    </row>
    <row r="12" spans="1:21" ht="57.6" x14ac:dyDescent="0.3">
      <c r="A12" s="129" t="str">
        <f>'M-Cita'!K3</f>
        <v>horaFinAtencion</v>
      </c>
      <c r="B12" s="130" t="str">
        <f>'M-Cita'!K2</f>
        <v>Representa la hora real en la que el barbero terminó de atender al cliente. Su valor por defecto es 00:00 y es permitido: significa que la atención aún no ha terminado</v>
      </c>
      <c r="C12" s="128" t="s">
        <v>65</v>
      </c>
      <c r="D12" s="140" t="s">
        <v>230</v>
      </c>
      <c r="E12" s="128" t="s">
        <v>65</v>
      </c>
      <c r="F12" s="128"/>
      <c r="G12" s="128"/>
      <c r="H12" s="128"/>
      <c r="I12" s="128"/>
      <c r="J12" s="128"/>
      <c r="K12" s="128"/>
      <c r="L12" s="128" t="s">
        <v>231</v>
      </c>
      <c r="M12" s="103"/>
      <c r="N12" s="128" t="s">
        <v>65</v>
      </c>
      <c r="O12" s="128"/>
      <c r="P12" s="128"/>
      <c r="Q12" s="128"/>
      <c r="R12" s="128"/>
      <c r="S12" s="128" t="s">
        <v>65</v>
      </c>
      <c r="T12" s="128" t="s">
        <v>232</v>
      </c>
      <c r="U12" s="128" t="s">
        <v>65</v>
      </c>
    </row>
    <row r="13" spans="1:21" ht="57.6" x14ac:dyDescent="0.3">
      <c r="A13" s="129" t="str">
        <f>'M-Cita'!L3</f>
        <v>duracion</v>
      </c>
      <c r="B13" s="130" t="str">
        <f>'M-Cita'!L2</f>
        <v>Representa la cantidad total de minutos que va a durar la cita, sumando la duración de cada servicio pedido más el tiempo extra de cada uno. Es un dato calculado</v>
      </c>
      <c r="C13" s="128" t="s">
        <v>65</v>
      </c>
      <c r="D13" s="140" t="s">
        <v>345</v>
      </c>
      <c r="E13" s="128" t="s">
        <v>65</v>
      </c>
      <c r="F13" s="128"/>
      <c r="G13" s="128"/>
      <c r="H13" s="128"/>
      <c r="I13" s="128"/>
      <c r="J13" s="128"/>
      <c r="K13" s="128"/>
      <c r="L13" s="128"/>
      <c r="M13" s="103" t="s">
        <v>281</v>
      </c>
      <c r="N13" s="128" t="s">
        <v>63</v>
      </c>
      <c r="O13" s="128"/>
      <c r="P13" s="128"/>
      <c r="Q13" s="128"/>
      <c r="R13" s="128"/>
      <c r="S13" s="128" t="s">
        <v>65</v>
      </c>
      <c r="T13" s="128"/>
      <c r="U13" s="128" t="s">
        <v>65</v>
      </c>
    </row>
    <row r="14" spans="1:21" s="138" customFormat="1" ht="43.2" x14ac:dyDescent="0.3">
      <c r="A14" s="137" t="str">
        <f>'M-Cita'!M3</f>
        <v>minutosTardanzaCliente</v>
      </c>
      <c r="B14" s="137" t="str">
        <f>'M-Cita'!M2</f>
        <v>Representa cuántos minutos después de horaInicio llegó el cliente. Si llegó a tiempo o aún no ha llegado su valor es 0. Es un dato calculado</v>
      </c>
      <c r="C14" s="137" t="s">
        <v>65</v>
      </c>
      <c r="D14" s="137" t="s">
        <v>345</v>
      </c>
      <c r="E14" s="137" t="s">
        <v>65</v>
      </c>
      <c r="F14" s="137"/>
      <c r="G14" s="137"/>
      <c r="H14" s="137"/>
      <c r="I14" s="137"/>
      <c r="J14" s="137"/>
      <c r="K14" s="137"/>
      <c r="L14" s="137"/>
      <c r="M14" s="137" t="s">
        <v>282</v>
      </c>
      <c r="N14" s="137" t="s">
        <v>63</v>
      </c>
      <c r="O14" s="137"/>
      <c r="P14" s="137"/>
      <c r="Q14" s="137"/>
      <c r="R14" s="137"/>
      <c r="S14" s="137" t="s">
        <v>65</v>
      </c>
      <c r="T14" s="137"/>
      <c r="U14" s="137" t="s">
        <v>65</v>
      </c>
    </row>
    <row r="15" spans="1:21" ht="43.2" x14ac:dyDescent="0.3">
      <c r="A15" s="129" t="str">
        <f>'M-Cita'!N3</f>
        <v>minutosDemoraBarbero</v>
      </c>
      <c r="B15" s="130" t="str">
        <f>'M-Cita'!N2</f>
        <v>Representa cuántos minutos después de la llegada del cliente empezó el barbero a atenderlo. Si no hubo demora su valor es 0. Es un dato calculado</v>
      </c>
      <c r="C15" s="128" t="s">
        <v>65</v>
      </c>
      <c r="D15" s="128" t="s">
        <v>345</v>
      </c>
      <c r="E15" s="128" t="s">
        <v>65</v>
      </c>
      <c r="F15" s="128"/>
      <c r="G15" s="128"/>
      <c r="H15" s="128"/>
      <c r="I15" s="128"/>
      <c r="J15" s="128"/>
      <c r="K15" s="128"/>
      <c r="L15" s="128"/>
      <c r="M15" s="128" t="s">
        <v>283</v>
      </c>
      <c r="N15" s="128" t="s">
        <v>63</v>
      </c>
      <c r="O15" s="128"/>
      <c r="P15" s="128"/>
      <c r="Q15" s="128"/>
      <c r="R15" s="128"/>
      <c r="S15" s="128" t="s">
        <v>65</v>
      </c>
      <c r="T15" s="128"/>
      <c r="U15" s="128" t="s">
        <v>65</v>
      </c>
    </row>
    <row r="16" spans="1:21" ht="72" x14ac:dyDescent="0.3">
      <c r="A16" s="129" t="str">
        <f>'M-Cita'!O3</f>
        <v>porcentajeDescuentoAplicado</v>
      </c>
      <c r="B16" s="130" t="str">
        <f>'M-Cita'!O2</f>
        <v>Representa el porcentaje de descuento aplicado al cliente en esta cita, cuando minutosDemoraBarbero supera la toleranciaTardanzaBarbero de Regla. Su valor por defecto es 0 y es permitido. Es un dato auto generado: copia de Regla.porcentajeDescuentoCita</v>
      </c>
      <c r="C16" s="128" t="s">
        <v>65</v>
      </c>
      <c r="D16" s="140" t="s">
        <v>345</v>
      </c>
      <c r="E16" s="128" t="s">
        <v>65</v>
      </c>
      <c r="F16" s="128"/>
      <c r="G16" s="128"/>
      <c r="H16" s="128"/>
      <c r="I16" s="128"/>
      <c r="J16" s="128"/>
      <c r="K16" s="128"/>
      <c r="L16" s="128" t="s">
        <v>129</v>
      </c>
      <c r="M16" s="103" t="s">
        <v>284</v>
      </c>
      <c r="N16" s="128" t="s">
        <v>65</v>
      </c>
      <c r="O16" s="128"/>
      <c r="P16" s="128"/>
      <c r="Q16" s="128"/>
      <c r="R16" s="128"/>
      <c r="S16" s="128" t="s">
        <v>65</v>
      </c>
      <c r="T16" s="128" t="s">
        <v>106</v>
      </c>
      <c r="U16" s="128" t="s">
        <v>63</v>
      </c>
    </row>
    <row r="17" spans="1:21" ht="57.6" x14ac:dyDescent="0.3">
      <c r="A17" s="129" t="str">
        <f>'M-Cita'!P3</f>
        <v>precioFinal</v>
      </c>
      <c r="B17" s="130" t="str">
        <f>'M-Cita'!P2</f>
        <v>Representa cuánto debe pagar el cliente por los servicios de esta cita: la suma de los precios de sus CitaServicio, menos el descuento si aplicó. Es un dato calculado</v>
      </c>
      <c r="C17" s="128" t="s">
        <v>65</v>
      </c>
      <c r="D17" s="140" t="s">
        <v>345</v>
      </c>
      <c r="E17" s="128" t="s">
        <v>63</v>
      </c>
      <c r="F17" s="128"/>
      <c r="G17" s="128"/>
      <c r="H17" s="128"/>
      <c r="I17" s="128"/>
      <c r="J17" s="128"/>
      <c r="K17" s="128"/>
      <c r="L17" s="128" t="s">
        <v>105</v>
      </c>
      <c r="M17" s="103" t="s">
        <v>285</v>
      </c>
      <c r="N17" s="128" t="s">
        <v>63</v>
      </c>
      <c r="O17" s="128"/>
      <c r="P17" s="128"/>
      <c r="Q17" s="128"/>
      <c r="R17" s="128"/>
      <c r="S17" s="128" t="s">
        <v>65</v>
      </c>
      <c r="T17" s="128"/>
      <c r="U17" s="128" t="s">
        <v>65</v>
      </c>
    </row>
    <row r="19" spans="1:21" x14ac:dyDescent="0.3">
      <c r="A19" s="105" t="s">
        <v>67</v>
      </c>
      <c r="B19" s="105" t="s">
        <v>68</v>
      </c>
      <c r="C19" s="105" t="s">
        <v>69</v>
      </c>
    </row>
    <row r="20" spans="1:21" ht="43.2" customHeight="1" x14ac:dyDescent="0.3">
      <c r="A20" s="149" t="str">
        <f>'M-Cita'!Q3</f>
        <v>Combinación única</v>
      </c>
      <c r="B20" s="148" t="str">
        <f>'M-Cita'!Q2</f>
        <v>Combinación única que indica que una misma agenda no puede tener dos citas que empiecen a la misma hora</v>
      </c>
      <c r="C20" s="107" t="str">
        <f>A5</f>
        <v>agenda</v>
      </c>
    </row>
    <row r="21" spans="1:21" x14ac:dyDescent="0.3">
      <c r="A21" s="149"/>
      <c r="B21" s="148"/>
      <c r="C21" s="107" t="str">
        <f>A8</f>
        <v>horaInicio</v>
      </c>
    </row>
  </sheetData>
  <mergeCells count="2">
    <mergeCell ref="B20:B21"/>
    <mergeCell ref="A20:A21"/>
  </mergeCells>
  <hyperlinks>
    <hyperlink ref="A3" location="'M-Cita'!A3" display="'M-Cita'!A3" xr:uid="{00000000-0004-0000-1A00-000002000000}"/>
    <hyperlink ref="B3" location="'M-Cita'!A2" display="'M-Cita'!A2" xr:uid="{00000000-0004-0000-1A00-000003000000}"/>
    <hyperlink ref="A4" location="'M-Cita'!A3" display="'M-Cita'!A3" xr:uid="{00000000-0004-0000-1A00-000004000000}"/>
    <hyperlink ref="B4" location="'M-Cita'!A2" display="'M-Cita'!A2" xr:uid="{00000000-0004-0000-1A00-000005000000}"/>
    <hyperlink ref="A5" location="'M-Cita'!A3" display="'M-Cita'!A3" xr:uid="{00000000-0004-0000-1A00-000006000000}"/>
    <hyperlink ref="B5" location="'M-Cita'!A2" display="'M-Cita'!A2" xr:uid="{00000000-0004-0000-1A00-000007000000}"/>
    <hyperlink ref="A6" location="'M-Cita'!A3" display="'M-Cita'!A3" xr:uid="{00000000-0004-0000-1A00-000008000000}"/>
    <hyperlink ref="B6" location="'M-Cita'!A2" display="'M-Cita'!A2" xr:uid="{00000000-0004-0000-1A00-000009000000}"/>
    <hyperlink ref="A7" location="'M-Cita'!A3" display="'M-Cita'!A3" xr:uid="{00000000-0004-0000-1A00-00000A000000}"/>
    <hyperlink ref="B7" location="'M-Cita'!A2" display="'M-Cita'!A2" xr:uid="{00000000-0004-0000-1A00-00000B000000}"/>
    <hyperlink ref="A8" location="'M-Cita'!A3" display="'M-Cita'!A3" xr:uid="{00000000-0004-0000-1A00-00000C000000}"/>
    <hyperlink ref="B8" location="'M-Cita'!A2" display="'M-Cita'!A2" xr:uid="{00000000-0004-0000-1A00-00000D000000}"/>
    <hyperlink ref="A9" location="'M-Cita'!A3" display="'M-Cita'!A3" xr:uid="{00000000-0004-0000-1A00-00000E000000}"/>
    <hyperlink ref="B9" location="'M-Cita'!A2" display="'M-Cita'!A2" xr:uid="{00000000-0004-0000-1A00-00000F000000}"/>
    <hyperlink ref="A10" location="'M-Cita'!A3" display="'M-Cita'!A3" xr:uid="{00000000-0004-0000-1A00-000010000000}"/>
    <hyperlink ref="B10" location="'M-Cita'!A2" display="'M-Cita'!A2" xr:uid="{00000000-0004-0000-1A00-000011000000}"/>
    <hyperlink ref="A11" location="'M-Cita'!A3" display="'M-Cita'!A3" xr:uid="{00000000-0004-0000-1A00-000012000000}"/>
    <hyperlink ref="B11" location="'M-Cita'!A2" display="'M-Cita'!A2" xr:uid="{00000000-0004-0000-1A00-000013000000}"/>
    <hyperlink ref="A12" location="'M-Cita'!A3" display="'M-Cita'!A3" xr:uid="{00000000-0004-0000-1A00-000014000000}"/>
    <hyperlink ref="B12" location="'M-Cita'!A2" display="'M-Cita'!A2" xr:uid="{00000000-0004-0000-1A00-000015000000}"/>
    <hyperlink ref="A13" location="'M-Cita'!A3" display="'M-Cita'!A3" xr:uid="{00000000-0004-0000-1A00-000016000000}"/>
    <hyperlink ref="B13" location="'M-Cita'!A2" display="'M-Cita'!A2" xr:uid="{00000000-0004-0000-1A00-000017000000}"/>
    <hyperlink ref="A14" location="'M-Cita'!A3" display="'M-Cita'!A3" xr:uid="{00000000-0004-0000-1A00-000018000000}"/>
    <hyperlink ref="B14" location="'M-Cita'!A2" display="'M-Cita'!A2" xr:uid="{00000000-0004-0000-1A00-000019000000}"/>
    <hyperlink ref="A15" location="'M-Cita'!A3" display="'M-Cita'!A3" xr:uid="{00000000-0004-0000-1A00-00001A000000}"/>
    <hyperlink ref="B15" location="'M-Cita'!A2" display="'M-Cita'!A2" xr:uid="{00000000-0004-0000-1A00-00001B000000}"/>
    <hyperlink ref="A16" location="'M-Cita'!A3" display="'M-Cita'!A3" xr:uid="{00000000-0004-0000-1A00-00001C000000}"/>
    <hyperlink ref="B16" location="'M-Cita'!A2" display="'M-Cita'!A2" xr:uid="{00000000-0004-0000-1A00-00001D000000}"/>
    <hyperlink ref="A17" location="'M-Cita'!A3" display="'M-Cita'!A3" xr:uid="{00000000-0004-0000-1A00-00001E000000}"/>
    <hyperlink ref="B17" location="'M-Cita'!A2" display="'M-Cita'!A2" xr:uid="{00000000-0004-0000-1A00-00001F000000}"/>
    <hyperlink ref="A20" location="'M-Cita'!A3" display="'M-Cita'!A3" xr:uid="{00000000-0004-0000-1A00-000020000000}"/>
    <hyperlink ref="B20" location="'M-Cita'!A2" display="'M-Cita'!A2" xr:uid="{00000000-0004-0000-1A00-000021000000}"/>
    <hyperlink ref="A1" location="'Modelo de Dominio'!A1" display="&lt;&lt;&lt;&lt; Ir al modulo de dominio" xr:uid="{B535F886-B73B-43FD-8527-B599EE4F48E8}"/>
    <hyperlink ref="B1" location="'Objetos de Dominio'!A1" display="&lt;&lt;&lt;&lt; Ir a objetos de dominio" xr:uid="{9949B9E7-6C55-4662-9E63-9B801F8E66A0}"/>
    <hyperlink ref="D4" location="'C-Cliente'!A1" display="Cliente" xr:uid="{AE211944-4741-4625-8685-CF86ED5349E8}"/>
    <hyperlink ref="D5" location="'C-Agenda'!A1" display="Agenda" xr:uid="{7C2C350C-3675-49A9-8FF6-B3D85CC7700E}"/>
    <hyperlink ref="D6" location="'C-Regla'!A1" display="Regla" xr:uid="{FF72C03E-CEFF-467D-BA7B-7B5235221714}"/>
    <hyperlink ref="D7" location="'C-Estado'!A1" display="Estado" xr:uid="{7521AACB-A8FE-4057-9097-7F5C6820DD47}"/>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Q24"/>
  <sheetViews>
    <sheetView topLeftCell="D1" zoomScale="124" zoomScaleNormal="124" workbookViewId="0">
      <selection activeCell="I10" sqref="I10"/>
    </sheetView>
  </sheetViews>
  <sheetFormatPr baseColWidth="10" defaultColWidth="10.6640625" defaultRowHeight="14.4" x14ac:dyDescent="0.3"/>
  <cols>
    <col min="1" max="1" width="25" customWidth="1"/>
    <col min="2" max="2" width="27.5546875" customWidth="1"/>
    <col min="3" max="5" width="26.109375" customWidth="1"/>
    <col min="6" max="8" width="19.88671875" customWidth="1"/>
    <col min="9" max="9" width="23.44140625" bestFit="1" customWidth="1"/>
    <col min="10" max="12" width="19.88671875" customWidth="1"/>
    <col min="13" max="14" width="23" customWidth="1"/>
    <col min="15" max="16" width="26.77734375" customWidth="1"/>
    <col min="17" max="17" width="36" customWidth="1"/>
  </cols>
  <sheetData>
    <row r="1" spans="1:17" ht="14.25" customHeight="1" x14ac:dyDescent="0.3">
      <c r="A1" s="114" t="s">
        <v>1</v>
      </c>
      <c r="B1" s="114" t="s">
        <v>41</v>
      </c>
    </row>
    <row r="2" spans="1:17" ht="68.400000000000006" x14ac:dyDescent="0.3">
      <c r="A2" s="83" t="s">
        <v>71</v>
      </c>
      <c r="B2" s="83" t="s">
        <v>286</v>
      </c>
      <c r="C2" s="83" t="s">
        <v>287</v>
      </c>
      <c r="D2" s="83" t="s">
        <v>288</v>
      </c>
      <c r="E2" s="83" t="s">
        <v>289</v>
      </c>
      <c r="F2" s="83" t="s">
        <v>290</v>
      </c>
      <c r="G2" s="83" t="s">
        <v>291</v>
      </c>
      <c r="H2" s="83" t="s">
        <v>292</v>
      </c>
      <c r="I2" s="83"/>
      <c r="J2" s="83" t="s">
        <v>293</v>
      </c>
      <c r="K2" s="83" t="s">
        <v>294</v>
      </c>
      <c r="L2" s="83" t="s">
        <v>295</v>
      </c>
      <c r="M2" s="83" t="s">
        <v>296</v>
      </c>
      <c r="N2" s="83" t="s">
        <v>297</v>
      </c>
      <c r="O2" s="83" t="s">
        <v>298</v>
      </c>
      <c r="P2" s="83" t="s">
        <v>299</v>
      </c>
      <c r="Q2" s="83" t="s">
        <v>300</v>
      </c>
    </row>
    <row r="3" spans="1:17" ht="14.25" customHeight="1" x14ac:dyDescent="0.3">
      <c r="A3" s="84" t="s">
        <v>74</v>
      </c>
      <c r="B3" s="69" t="s">
        <v>301</v>
      </c>
      <c r="C3" s="69" t="s">
        <v>302</v>
      </c>
      <c r="D3" s="69" t="s">
        <v>303</v>
      </c>
      <c r="E3" s="69" t="s">
        <v>304</v>
      </c>
      <c r="F3" s="62" t="s">
        <v>265</v>
      </c>
      <c r="G3" s="62" t="s">
        <v>305</v>
      </c>
      <c r="H3" s="62" t="s">
        <v>306</v>
      </c>
      <c r="I3" s="62" t="s">
        <v>362</v>
      </c>
      <c r="J3" s="62" t="s">
        <v>307</v>
      </c>
      <c r="K3" s="62" t="s">
        <v>308</v>
      </c>
      <c r="L3" s="85" t="s">
        <v>309</v>
      </c>
      <c r="M3" s="85" t="s">
        <v>310</v>
      </c>
      <c r="N3" s="85" t="s">
        <v>311</v>
      </c>
      <c r="O3" s="85" t="s">
        <v>312</v>
      </c>
      <c r="P3" s="85" t="s">
        <v>313</v>
      </c>
      <c r="Q3" s="86" t="s">
        <v>150</v>
      </c>
    </row>
    <row r="4" spans="1:17" ht="43.2" x14ac:dyDescent="0.3">
      <c r="A4" s="13">
        <v>1</v>
      </c>
      <c r="B4" s="53" t="str">
        <f>_xlfn.CONCAT('M-Cliente'!B4," ",'M-Cliente'!C4," ", 'M-Cliente'!D4," ",'M-Cliente'!E4)</f>
        <v xml:space="preserve">Juan  Gómez </v>
      </c>
      <c r="C4" s="87" t="str">
        <f>'M-Agenda'!D4</f>
        <v>+57-3245627890-Lunes-09:00-19:00-10:00-16:00-si-31/08/2026</v>
      </c>
      <c r="D4" s="87">
        <f>'M-Regla'!A4</f>
        <v>1</v>
      </c>
      <c r="E4" s="87" t="str">
        <f>'M-Estado'!D4</f>
        <v>Agendada</v>
      </c>
      <c r="F4" s="88">
        <v>0.41666666666666702</v>
      </c>
      <c r="G4" s="88">
        <f t="shared" ref="G4:G13" si="0">F4+TIME(0,L4,0)</f>
        <v>0.4583333333333337</v>
      </c>
      <c r="H4" s="88">
        <v>0</v>
      </c>
      <c r="I4" s="88">
        <v>0</v>
      </c>
      <c r="J4" s="88">
        <v>0</v>
      </c>
      <c r="K4" s="88">
        <v>0</v>
      </c>
      <c r="L4" s="89">
        <f>SUMIF('M-CitaServicio'!$B$4:$B$14,Q4,'M-CitaServicio'!$E$4:$E$14)+SUMIF('M-CitaServicio'!$B$4:$B$14,Q4,'M-CitaServicio'!$F$4:$F$14)</f>
        <v>60</v>
      </c>
      <c r="M4" s="90">
        <f t="shared" ref="M4:M13" si="1">IF(H4=TIME(0,0,0),0,MAX(0,(H4-F4)*1440))</f>
        <v>0</v>
      </c>
      <c r="N4" s="90">
        <f t="shared" ref="N4:N13" si="2">IF(J4=TIME(0,0,0),0,MAX(0,(J4-MAX(H4,F4))*1440))</f>
        <v>0</v>
      </c>
      <c r="O4" s="90">
        <v>0</v>
      </c>
      <c r="P4" s="91">
        <f>SUMIF('M-CitaServicio'!$B$4:$B$14,Q4,'M-CitaServicio'!$D$4:$D$14)*(1-O4/100)</f>
        <v>22000</v>
      </c>
      <c r="Q4" s="23" t="str">
        <f t="shared" ref="Q4:Q13" si="3">_xlfn.CONCAT(C4,"-",TEXT(F4,"hh:mm"))</f>
        <v>+57-3245627890-Lunes-09:00-19:00-10:00-16:00-si-31/08/2026-10:00</v>
      </c>
    </row>
    <row r="5" spans="1:17" ht="41.25" customHeight="1" x14ac:dyDescent="0.3">
      <c r="A5" s="13">
        <v>2</v>
      </c>
      <c r="B5" s="53" t="str">
        <f>_xlfn.CONCAT('M-Cliente'!B5," ",'M-Cliente'!C5," ", 'M-Cliente'!D5," ",'M-Cliente'!E5)</f>
        <v>Jose Miguel Ramirez Perez</v>
      </c>
      <c r="C5" s="87" t="str">
        <f>'M-Agenda'!D5</f>
        <v>+57-3124518923-Martes-09:00-19:00-09:00-15:00-si-10/03/2026</v>
      </c>
      <c r="D5" s="87">
        <f>'M-Regla'!A4</f>
        <v>1</v>
      </c>
      <c r="E5" s="87" t="str">
        <f>'M-Estado'!D5</f>
        <v>Finalizada</v>
      </c>
      <c r="F5" s="88">
        <v>0.39583333333333298</v>
      </c>
      <c r="G5" s="88">
        <f t="shared" si="0"/>
        <v>0.40624999999999967</v>
      </c>
      <c r="H5" s="88">
        <v>0.39444444444444399</v>
      </c>
      <c r="I5" s="88">
        <v>0.3923611111111111</v>
      </c>
      <c r="J5" s="88">
        <v>0.39583333333333298</v>
      </c>
      <c r="K5" s="88">
        <v>0.40625</v>
      </c>
      <c r="L5" s="89">
        <f>SUMIF('M-CitaServicio'!$B$4:$B$14,Q5,'M-CitaServicio'!$E$4:$E$14)+SUMIF('M-CitaServicio'!$B$4:$B$14,Q5,'M-CitaServicio'!$F$4:$F$14)</f>
        <v>15</v>
      </c>
      <c r="M5" s="90">
        <f t="shared" si="1"/>
        <v>0</v>
      </c>
      <c r="N5" s="90">
        <f t="shared" si="2"/>
        <v>0</v>
      </c>
      <c r="O5" s="90">
        <v>0</v>
      </c>
      <c r="P5" s="91">
        <f>SUMIF('M-CitaServicio'!$B$4:$B$14,Q5,'M-CitaServicio'!$D$4:$D$14)*(1-O5/100)</f>
        <v>12000</v>
      </c>
      <c r="Q5" s="23" t="str">
        <f t="shared" si="3"/>
        <v>+57-3124518923-Martes-09:00-19:00-09:00-15:00-si-10/03/2026-09:30</v>
      </c>
    </row>
    <row r="6" spans="1:17" ht="41.25" customHeight="1" x14ac:dyDescent="0.3">
      <c r="A6" s="13">
        <v>3</v>
      </c>
      <c r="B6" s="53" t="str">
        <f>_xlfn.CONCAT('M-Cliente'!B6," ",'M-Cliente'!C6," ", 'M-Cliente'!D6," ",'M-Cliente'!E6)</f>
        <v>Simon  Ochoa Ramirez</v>
      </c>
      <c r="C6" s="87" t="str">
        <f>'M-Agenda'!D6</f>
        <v>+57-3214533321-Jueves-09:00-19:00-13:00-19:00-si-14/05/2026</v>
      </c>
      <c r="D6" s="87">
        <f>'M-Regla'!A4</f>
        <v>1</v>
      </c>
      <c r="E6" s="87" t="str">
        <f>'M-Estado'!D8</f>
        <v>El cliente se demoro</v>
      </c>
      <c r="F6" s="88">
        <v>0.54166666666666696</v>
      </c>
      <c r="G6" s="88">
        <f t="shared" si="0"/>
        <v>0.5555555555555558</v>
      </c>
      <c r="H6" s="88">
        <v>0.55208333333333304</v>
      </c>
      <c r="I6" s="88">
        <v>0.54305555555555551</v>
      </c>
      <c r="J6" s="88">
        <v>0.55208333333333304</v>
      </c>
      <c r="K6" s="88">
        <v>0.56597222222222199</v>
      </c>
      <c r="L6" s="89">
        <f>SUMIF('M-CitaServicio'!$B$4:$B$14,Q6,'M-CitaServicio'!$E$4:$E$14)+SUMIF('M-CitaServicio'!$B$4:$B$14,Q6,'M-CitaServicio'!$F$4:$F$14)</f>
        <v>20</v>
      </c>
      <c r="M6" s="90">
        <f t="shared" si="1"/>
        <v>14.999999999999147</v>
      </c>
      <c r="N6" s="90">
        <f t="shared" si="2"/>
        <v>0</v>
      </c>
      <c r="O6" s="90">
        <v>0</v>
      </c>
      <c r="P6" s="91">
        <f>SUMIF('M-CitaServicio'!$B$4:$B$14,Q6,'M-CitaServicio'!$D$4:$D$14)*(1-O6/100)</f>
        <v>15000</v>
      </c>
      <c r="Q6" s="23" t="str">
        <f t="shared" si="3"/>
        <v>+57-3214533321-Jueves-09:00-19:00-13:00-19:00-si-14/05/2026-13:00</v>
      </c>
    </row>
    <row r="7" spans="1:17" ht="41.25" customHeight="1" x14ac:dyDescent="0.3">
      <c r="A7" s="13">
        <v>4</v>
      </c>
      <c r="B7" s="53" t="str">
        <f>_xlfn.CONCAT('M-Cliente'!B7," ",'M-Cliente'!C7," ", 'M-Cliente'!D7," ",'M-Cliente'!E7)</f>
        <v xml:space="preserve">Alexis  Gallego </v>
      </c>
      <c r="C7" s="87" t="str">
        <f>'M-Agenda'!D8</f>
        <v>+91-9876543210-Sábado-08:00-21:00-08:00-14:00-no-22/11/2025</v>
      </c>
      <c r="D7" s="87">
        <f>'M-Regla'!A4</f>
        <v>1</v>
      </c>
      <c r="E7" s="87" t="str">
        <f>'M-Estado'!D10</f>
        <v>Inasistencia del cliente</v>
      </c>
      <c r="F7" s="88">
        <v>0.54166666666666696</v>
      </c>
      <c r="G7" s="88">
        <f t="shared" si="0"/>
        <v>0.57638888888888917</v>
      </c>
      <c r="H7" s="88">
        <v>0</v>
      </c>
      <c r="I7" s="88">
        <v>0.52777777777777779</v>
      </c>
      <c r="J7" s="88">
        <v>0</v>
      </c>
      <c r="K7" s="88">
        <v>0</v>
      </c>
      <c r="L7" s="89">
        <f>SUMIF('M-CitaServicio'!$B$4:$B$14,Q7,'M-CitaServicio'!$E$4:$E$14)+SUMIF('M-CitaServicio'!$B$4:$B$14,Q7,'M-CitaServicio'!$F$4:$F$14)</f>
        <v>50</v>
      </c>
      <c r="M7" s="90">
        <f t="shared" si="1"/>
        <v>0</v>
      </c>
      <c r="N7" s="90">
        <f t="shared" si="2"/>
        <v>0</v>
      </c>
      <c r="O7" s="90">
        <v>0</v>
      </c>
      <c r="P7" s="91">
        <f>SUMIF('M-CitaServicio'!$B$4:$B$14,Q7,'M-CitaServicio'!$D$4:$D$14)*(1-O7/100)</f>
        <v>35000</v>
      </c>
      <c r="Q7" s="23" t="str">
        <f t="shared" si="3"/>
        <v>+91-9876543210-Sábado-08:00-21:00-08:00-14:00-no-22/11/2025-13:00</v>
      </c>
    </row>
    <row r="8" spans="1:17" ht="41.25" customHeight="1" x14ac:dyDescent="0.3">
      <c r="A8" s="13">
        <v>5</v>
      </c>
      <c r="B8" s="53" t="str">
        <f>_xlfn.CONCAT('M-Cliente'!B7," ",'M-Cliente'!C7," ", 'M-Cliente'!D7," ",'M-Cliente'!E7)</f>
        <v xml:space="preserve">Alexis  Gallego </v>
      </c>
      <c r="C8" s="87" t="str">
        <f>'M-Agenda'!D9</f>
        <v>+57-3214533321-Jueves-09:00-19:00-13:00-19:00-si-06/08/2026</v>
      </c>
      <c r="D8" s="87">
        <f>'M-Regla'!A4</f>
        <v>1</v>
      </c>
      <c r="E8" s="87" t="str">
        <f>'M-Estado'!D9</f>
        <v>El barbero se demoro</v>
      </c>
      <c r="F8" s="88">
        <v>0.75</v>
      </c>
      <c r="G8" s="88">
        <f t="shared" si="0"/>
        <v>0.76388888888888884</v>
      </c>
      <c r="H8" s="88">
        <v>0.74861111111111101</v>
      </c>
      <c r="I8" s="88">
        <v>0.76388888888888884</v>
      </c>
      <c r="J8" s="88">
        <v>0.76388888888888895</v>
      </c>
      <c r="K8" s="88">
        <v>0.77777777777777801</v>
      </c>
      <c r="L8" s="89">
        <f>SUMIF('M-CitaServicio'!$B$4:$B$14,Q8,'M-CitaServicio'!$E$4:$E$14)+SUMIF('M-CitaServicio'!$B$4:$B$14,Q8,'M-CitaServicio'!$F$4:$F$14)</f>
        <v>20</v>
      </c>
      <c r="M8" s="90">
        <f t="shared" si="1"/>
        <v>0</v>
      </c>
      <c r="N8" s="90">
        <f t="shared" si="2"/>
        <v>20.000000000000089</v>
      </c>
      <c r="O8" s="90">
        <v>10</v>
      </c>
      <c r="P8" s="91">
        <f>SUMIF('M-CitaServicio'!$B$4:$B$14,Q8,'M-CitaServicio'!$D$4:$D$14)*(1-O8/100)</f>
        <v>10800</v>
      </c>
      <c r="Q8" s="23" t="str">
        <f t="shared" si="3"/>
        <v>+57-3214533321-Jueves-09:00-19:00-13:00-19:00-si-06/08/2026-18:00</v>
      </c>
    </row>
    <row r="9" spans="1:17" ht="41.25" customHeight="1" x14ac:dyDescent="0.3">
      <c r="A9" s="13">
        <v>6</v>
      </c>
      <c r="B9" s="53" t="str">
        <f>_xlfn.CONCAT('M-Cliente'!B4," ",'M-Cliente'!C4," ", 'M-Cliente'!D4," ",'M-Cliente'!E4)</f>
        <v xml:space="preserve">Juan  Gómez </v>
      </c>
      <c r="C9" s="87" t="str">
        <f>'M-Agenda'!D7</f>
        <v>+91-9876543210-Festivo-10:00-15:00-12:00-15:00-no-20/02/2026</v>
      </c>
      <c r="D9" s="87">
        <f>'M-Regla'!A4</f>
        <v>1</v>
      </c>
      <c r="E9" s="87" t="str">
        <f>'M-Estado'!D5</f>
        <v>Finalizada</v>
      </c>
      <c r="F9" s="88">
        <v>0.58333333333333304</v>
      </c>
      <c r="G9" s="88">
        <f t="shared" si="0"/>
        <v>0.61805555555555525</v>
      </c>
      <c r="H9" s="88">
        <v>0.58194444444444504</v>
      </c>
      <c r="I9" s="88">
        <v>0.58333333333333337</v>
      </c>
      <c r="J9" s="88">
        <v>0.58333333333333304</v>
      </c>
      <c r="K9" s="88">
        <v>0.61805555555555602</v>
      </c>
      <c r="L9" s="89">
        <f>SUMIF('M-CitaServicio'!$B$4:$B$14,Q9,'M-CitaServicio'!$E$4:$E$14)+SUMIF('M-CitaServicio'!$B$4:$B$14,Q9,'M-CitaServicio'!$F$4:$F$14)</f>
        <v>50</v>
      </c>
      <c r="M9" s="90">
        <f t="shared" si="1"/>
        <v>0</v>
      </c>
      <c r="N9" s="90">
        <f t="shared" si="2"/>
        <v>0</v>
      </c>
      <c r="O9" s="90">
        <v>0</v>
      </c>
      <c r="P9" s="91">
        <f>SUMIF('M-CitaServicio'!$B$4:$B$14,Q9,'M-CitaServicio'!$D$4:$D$14)*(1-O9/100)</f>
        <v>35000</v>
      </c>
      <c r="Q9" s="23" t="str">
        <f t="shared" si="3"/>
        <v>+91-9876543210-Festivo-10:00-15:00-12:00-15:00-no-20/02/2026-14:00</v>
      </c>
    </row>
    <row r="10" spans="1:17" ht="41.25" customHeight="1" x14ac:dyDescent="0.3">
      <c r="A10" s="13">
        <v>7</v>
      </c>
      <c r="B10" s="53" t="str">
        <f>_xlfn.CONCAT('M-Cliente'!B8," ",'M-Cliente'!C8," ", 'M-Cliente'!D8," ",'M-Cliente'!E8)</f>
        <v>Kevin Andrés Muñoz Salazar</v>
      </c>
      <c r="C10" s="87" t="str">
        <f>'M-Agenda'!D10</f>
        <v>+57-3245627890-Lunes-09:00-19:00-10:00-16:00-si-01/06/2026</v>
      </c>
      <c r="D10" s="87">
        <f>'M-Regla'!A4</f>
        <v>1</v>
      </c>
      <c r="E10" s="87" t="str">
        <f>'M-Estado'!D10</f>
        <v>Inasistencia del cliente</v>
      </c>
      <c r="F10" s="88">
        <v>0.41666666666666702</v>
      </c>
      <c r="G10" s="88">
        <f t="shared" si="0"/>
        <v>0.4583333333333337</v>
      </c>
      <c r="H10" s="88">
        <v>0</v>
      </c>
      <c r="I10" s="88"/>
      <c r="J10" s="88">
        <v>0</v>
      </c>
      <c r="K10" s="88">
        <v>0</v>
      </c>
      <c r="L10" s="89">
        <f>SUMIF('M-CitaServicio'!$B$4:$B$14,Q10,'M-CitaServicio'!$E$4:$E$14)+SUMIF('M-CitaServicio'!$B$4:$B$14,Q10,'M-CitaServicio'!$F$4:$F$14)</f>
        <v>60</v>
      </c>
      <c r="M10" s="90">
        <f t="shared" si="1"/>
        <v>0</v>
      </c>
      <c r="N10" s="90">
        <f t="shared" si="2"/>
        <v>0</v>
      </c>
      <c r="O10" s="90">
        <v>0</v>
      </c>
      <c r="P10" s="91">
        <f>SUMIF('M-CitaServicio'!$B$4:$B$14,Q10,'M-CitaServicio'!$D$4:$D$14)*(1-O10/100)</f>
        <v>22000</v>
      </c>
      <c r="Q10" s="23" t="str">
        <f t="shared" si="3"/>
        <v>+57-3245627890-Lunes-09:00-19:00-10:00-16:00-si-01/06/2026-10:00</v>
      </c>
    </row>
    <row r="11" spans="1:17" ht="41.25" customHeight="1" x14ac:dyDescent="0.3">
      <c r="A11" s="13">
        <v>8</v>
      </c>
      <c r="B11" s="53" t="str">
        <f>_xlfn.CONCAT('M-Cliente'!B8," ",'M-Cliente'!C8," ", 'M-Cliente'!D8," ",'M-Cliente'!E8)</f>
        <v>Kevin Andrés Muñoz Salazar</v>
      </c>
      <c r="C11" s="87" t="str">
        <f>'M-Agenda'!D11</f>
        <v>+57-3124518923-Martes-09:00-19:00-09:00-15:00-si-16/06/2026</v>
      </c>
      <c r="D11" s="87">
        <f>'M-Regla'!A4</f>
        <v>1</v>
      </c>
      <c r="E11" s="87" t="str">
        <f>'M-Estado'!D10</f>
        <v>Inasistencia del cliente</v>
      </c>
      <c r="F11" s="88">
        <v>0.375</v>
      </c>
      <c r="G11" s="88">
        <f t="shared" si="0"/>
        <v>0.38541666666666669</v>
      </c>
      <c r="H11" s="88">
        <v>0</v>
      </c>
      <c r="I11" s="88"/>
      <c r="J11" s="88">
        <v>0</v>
      </c>
      <c r="K11" s="88">
        <v>0</v>
      </c>
      <c r="L11" s="89">
        <f>SUMIF('M-CitaServicio'!$B$4:$B$14,Q11,'M-CitaServicio'!$E$4:$E$14)+SUMIF('M-CitaServicio'!$B$4:$B$14,Q11,'M-CitaServicio'!$F$4:$F$14)</f>
        <v>15</v>
      </c>
      <c r="M11" s="90">
        <f t="shared" si="1"/>
        <v>0</v>
      </c>
      <c r="N11" s="90">
        <f t="shared" si="2"/>
        <v>0</v>
      </c>
      <c r="O11" s="90">
        <v>0</v>
      </c>
      <c r="P11" s="91">
        <f>SUMIF('M-CitaServicio'!$B$4:$B$14,Q11,'M-CitaServicio'!$D$4:$D$14)*(1-O11/100)</f>
        <v>12000</v>
      </c>
      <c r="Q11" s="23" t="str">
        <f t="shared" si="3"/>
        <v>+57-3124518923-Martes-09:00-19:00-09:00-15:00-si-16/06/2026-09:00</v>
      </c>
    </row>
    <row r="12" spans="1:17" ht="41.25" customHeight="1" x14ac:dyDescent="0.3">
      <c r="A12" s="13">
        <v>9</v>
      </c>
      <c r="B12" s="53" t="str">
        <f>_xlfn.CONCAT('M-Cliente'!B8," ",'M-Cliente'!C8," ", 'M-Cliente'!D8," ",'M-Cliente'!E8)</f>
        <v>Kevin Andrés Muñoz Salazar</v>
      </c>
      <c r="C12" s="87" t="str">
        <f>'M-Agenda'!D12</f>
        <v>+57-3214533321-Jueves-09:00-19:00-13:00-19:00-si-02/07/2026</v>
      </c>
      <c r="D12" s="87">
        <f>'M-Regla'!A4</f>
        <v>1</v>
      </c>
      <c r="E12" s="87" t="str">
        <f>'M-Estado'!D10</f>
        <v>Inasistencia del cliente</v>
      </c>
      <c r="F12" s="88">
        <v>0.625</v>
      </c>
      <c r="G12" s="88">
        <f t="shared" si="0"/>
        <v>0.63888888888888884</v>
      </c>
      <c r="H12" s="88">
        <v>0</v>
      </c>
      <c r="I12" s="88"/>
      <c r="J12" s="88">
        <v>0</v>
      </c>
      <c r="K12" s="88">
        <v>0</v>
      </c>
      <c r="L12" s="89">
        <f>SUMIF('M-CitaServicio'!$B$4:$B$14,Q12,'M-CitaServicio'!$E$4:$E$14)+SUMIF('M-CitaServicio'!$B$4:$B$14,Q12,'M-CitaServicio'!$F$4:$F$14)</f>
        <v>20</v>
      </c>
      <c r="M12" s="90">
        <f t="shared" si="1"/>
        <v>0</v>
      </c>
      <c r="N12" s="90">
        <f t="shared" si="2"/>
        <v>0</v>
      </c>
      <c r="O12" s="90">
        <v>0</v>
      </c>
      <c r="P12" s="91">
        <f>SUMIF('M-CitaServicio'!$B$4:$B$14,Q12,'M-CitaServicio'!$D$4:$D$14)*(1-O12/100)</f>
        <v>15000</v>
      </c>
      <c r="Q12" s="23" t="str">
        <f t="shared" si="3"/>
        <v>+57-3214533321-Jueves-09:00-19:00-13:00-19:00-si-02/07/2026-15:00</v>
      </c>
    </row>
    <row r="13" spans="1:17" s="15" customFormat="1" ht="43.2" x14ac:dyDescent="0.3">
      <c r="A13" s="13">
        <v>10</v>
      </c>
      <c r="B13" s="53" t="str">
        <f>_xlfn.CONCAT('M-Cliente'!B5," ",'M-Cliente'!C5," ", 'M-Cliente'!D5," ",'M-Cliente'!E5)</f>
        <v>Jose Miguel Ramirez Perez</v>
      </c>
      <c r="C13" s="87" t="str">
        <f>'M-Agenda'!D6</f>
        <v>+57-3214533321-Jueves-09:00-19:00-13:00-19:00-si-14/05/2026</v>
      </c>
      <c r="D13" s="53">
        <f>'M-Regla'!A4</f>
        <v>1</v>
      </c>
      <c r="E13" s="53" t="str">
        <f>'M-Estado'!D5</f>
        <v>Finalizada</v>
      </c>
      <c r="F13" s="88">
        <v>0.5625</v>
      </c>
      <c r="G13" s="88">
        <f t="shared" si="0"/>
        <v>0.59027777777777779</v>
      </c>
      <c r="H13" s="88">
        <v>0.56111111111111101</v>
      </c>
      <c r="I13" s="88"/>
      <c r="J13" s="88">
        <v>0.5625</v>
      </c>
      <c r="K13" s="88">
        <v>0.59027777777777801</v>
      </c>
      <c r="L13" s="89">
        <f>SUMIF('M-CitaServicio'!$B$4:$B$14,Q13,'M-CitaServicio'!$E$4:$E$14)+SUMIF('M-CitaServicio'!$B$4:$B$14,Q13,'M-CitaServicio'!$F$4:$F$14)</f>
        <v>40</v>
      </c>
      <c r="M13" s="90">
        <f t="shared" si="1"/>
        <v>0</v>
      </c>
      <c r="N13" s="90">
        <f t="shared" si="2"/>
        <v>0</v>
      </c>
      <c r="O13" s="90">
        <v>0</v>
      </c>
      <c r="P13" s="91">
        <f>SUMIF('M-CitaServicio'!$B$4:$B$14,Q13,'M-CitaServicio'!$D$4:$D$14)*(1-O13/100)</f>
        <v>27000</v>
      </c>
      <c r="Q13" s="23" t="str">
        <f t="shared" si="3"/>
        <v>+57-3214533321-Jueves-09:00-19:00-13:00-19:00-si-14/05/2026-13:30</v>
      </c>
    </row>
    <row r="14" spans="1:17" ht="14.25" customHeight="1" x14ac:dyDescent="0.3">
      <c r="B14" s="17"/>
    </row>
    <row r="15" spans="1:17" ht="27.75" customHeight="1" x14ac:dyDescent="0.3"/>
    <row r="16" spans="1:17" ht="27.75" customHeight="1" x14ac:dyDescent="0.3"/>
    <row r="17" spans="1:2" ht="27.75" customHeight="1" x14ac:dyDescent="0.3"/>
    <row r="18" spans="1:2" ht="27.75" customHeight="1" x14ac:dyDescent="0.3"/>
    <row r="19" spans="1:2" ht="28.5" customHeight="1" x14ac:dyDescent="0.3">
      <c r="A19" s="16"/>
      <c r="B19" s="17" t="s">
        <v>84</v>
      </c>
    </row>
    <row r="20" spans="1:2" ht="28.5" customHeight="1" x14ac:dyDescent="0.3">
      <c r="A20" s="18"/>
      <c r="B20" s="17" t="s">
        <v>85</v>
      </c>
    </row>
    <row r="21" spans="1:2" ht="28.5" customHeight="1" x14ac:dyDescent="0.3">
      <c r="A21" s="36"/>
      <c r="B21" s="17" t="s">
        <v>203</v>
      </c>
    </row>
    <row r="22" spans="1:2" ht="28.5" customHeight="1" x14ac:dyDescent="0.3">
      <c r="A22" s="37"/>
      <c r="B22" s="17" t="s">
        <v>86</v>
      </c>
    </row>
    <row r="23" spans="1:2" ht="28.5" customHeight="1" x14ac:dyDescent="0.3">
      <c r="A23" s="67"/>
      <c r="B23" s="17" t="s">
        <v>241</v>
      </c>
    </row>
    <row r="24" spans="1:2" ht="28.5" customHeight="1" x14ac:dyDescent="0.3">
      <c r="A24" s="20"/>
      <c r="B24" s="17" t="s">
        <v>87</v>
      </c>
    </row>
  </sheetData>
  <hyperlinks>
    <hyperlink ref="B3" location="'M-Cliente'!A1" display="cliente" xr:uid="{00000000-0004-0000-1B00-000002000000}"/>
    <hyperlink ref="C3" location="'M-Agenda'!A1" display="agenda" xr:uid="{00000000-0004-0000-1B00-000003000000}"/>
    <hyperlink ref="B4" location="'M-Cliente'!A4" display="#'M-Cliente'.A4" xr:uid="{00000000-0004-0000-1B00-000004000000}"/>
    <hyperlink ref="C4" location="'M-Agenda'!A4" display="#'M-Agenda'.A4" xr:uid="{00000000-0004-0000-1B00-000005000000}"/>
    <hyperlink ref="D4" location="'M-Regla'!A4" display="#'M-Regla'.A4" xr:uid="{00000000-0004-0000-1B00-000006000000}"/>
    <hyperlink ref="E4" location="'M-Estado'!A4" display="#'M-Estado'.A4" xr:uid="{00000000-0004-0000-1B00-000007000000}"/>
    <hyperlink ref="L4" location="'M-CitaServicio'!A4" display="#'M-CitaServicio'.A4" xr:uid="{00000000-0004-0000-1B00-000008000000}"/>
    <hyperlink ref="P4" location="'M-CitaServicio'!A4" display="#'M-CitaServicio'.A4" xr:uid="{00000000-0004-0000-1B00-000009000000}"/>
    <hyperlink ref="B5" location="'M-Cliente'!A5" display="#'M-Cliente'.A5" xr:uid="{00000000-0004-0000-1B00-00000A000000}"/>
    <hyperlink ref="C5" location="'M-Agenda'!A5" display="#'M-Agenda'.A5" xr:uid="{00000000-0004-0000-1B00-00000B000000}"/>
    <hyperlink ref="D5" location="'M-Regla'!A4" display="#'M-Regla'.A4" xr:uid="{00000000-0004-0000-1B00-00000C000000}"/>
    <hyperlink ref="E5" location="'M-Estado'!A5" display="#'M-Estado'.A5" xr:uid="{00000000-0004-0000-1B00-00000D000000}"/>
    <hyperlink ref="L5" location="'M-CitaServicio'!A4" display="#'M-CitaServicio'.A4" xr:uid="{00000000-0004-0000-1B00-00000E000000}"/>
    <hyperlink ref="P5" location="'M-CitaServicio'!A4" display="#'M-CitaServicio'.A4" xr:uid="{00000000-0004-0000-1B00-00000F000000}"/>
    <hyperlink ref="B6" location="'M-Cliente'!A6" display="#'M-Cliente'.A6" xr:uid="{00000000-0004-0000-1B00-000010000000}"/>
    <hyperlink ref="C6" location="'M-Agenda'!A6" display="#'M-Agenda'.A6" xr:uid="{00000000-0004-0000-1B00-000011000000}"/>
    <hyperlink ref="D6" location="'M-Regla'!A4" display="#'M-Regla'.A4" xr:uid="{00000000-0004-0000-1B00-000012000000}"/>
    <hyperlink ref="E6" location="'M-Estado'!A8" display="#'M-Estado'.A8" xr:uid="{00000000-0004-0000-1B00-000013000000}"/>
    <hyperlink ref="L6" location="'M-CitaServicio'!A4" display="#'M-CitaServicio'.A4" xr:uid="{00000000-0004-0000-1B00-000014000000}"/>
    <hyperlink ref="P6" location="'M-CitaServicio'!A4" display="#'M-CitaServicio'.A4" xr:uid="{00000000-0004-0000-1B00-000015000000}"/>
    <hyperlink ref="B7" location="'M-Cliente'!A7" display="#'M-Cliente'.A7" xr:uid="{00000000-0004-0000-1B00-000016000000}"/>
    <hyperlink ref="C7" location="'M-Agenda'!A8" display="#'M-Agenda'.A8" xr:uid="{00000000-0004-0000-1B00-000017000000}"/>
    <hyperlink ref="D7" location="'M-Regla'!A4" display="#'M-Regla'.A4" xr:uid="{00000000-0004-0000-1B00-000018000000}"/>
    <hyperlink ref="E7" location="'M-Estado'!A10" display="#'M-Estado'.A10" xr:uid="{00000000-0004-0000-1B00-000019000000}"/>
    <hyperlink ref="L7" location="'M-CitaServicio'!A4" display="#'M-CitaServicio'.A4" xr:uid="{00000000-0004-0000-1B00-00001A000000}"/>
    <hyperlink ref="P7" location="'M-CitaServicio'!A4" display="#'M-CitaServicio'.A4" xr:uid="{00000000-0004-0000-1B00-00001B000000}"/>
    <hyperlink ref="B8" location="'M-Cliente'!A7" display="#'M-Cliente'.A7" xr:uid="{00000000-0004-0000-1B00-00001C000000}"/>
    <hyperlink ref="C8" location="'M-Agenda'!A9" display="#'M-Agenda'.A9" xr:uid="{00000000-0004-0000-1B00-00001D000000}"/>
    <hyperlink ref="D8" location="'M-Regla'!A4" display="#'M-Regla'.A4" xr:uid="{00000000-0004-0000-1B00-00001E000000}"/>
    <hyperlink ref="E8" location="'M-Estado'!A9" display="#'M-Estado'.A9" xr:uid="{00000000-0004-0000-1B00-00001F000000}"/>
    <hyperlink ref="L8" location="'M-CitaServicio'!A4" display="#'M-CitaServicio'.A4" xr:uid="{00000000-0004-0000-1B00-000020000000}"/>
    <hyperlink ref="P8" location="'M-CitaServicio'!A4" display="#'M-CitaServicio'.A4" xr:uid="{00000000-0004-0000-1B00-000021000000}"/>
    <hyperlink ref="B9" location="'M-Cliente'!A4" display="#'M-Cliente'.A4" xr:uid="{00000000-0004-0000-1B00-000022000000}"/>
    <hyperlink ref="C9" location="'M-Agenda'!A7" display="#'M-Agenda'.A7" xr:uid="{00000000-0004-0000-1B00-000023000000}"/>
    <hyperlink ref="D9" location="'M-Regla'!A4" display="#'M-Regla'.A4" xr:uid="{00000000-0004-0000-1B00-000024000000}"/>
    <hyperlink ref="E9" location="'M-Estado'!A5" display="#'M-Estado'.A5" xr:uid="{00000000-0004-0000-1B00-000025000000}"/>
    <hyperlink ref="L9" location="'M-CitaServicio'!A4" display="#'M-CitaServicio'.A4" xr:uid="{00000000-0004-0000-1B00-000026000000}"/>
    <hyperlink ref="P9" location="'M-CitaServicio'!A4" display="#'M-CitaServicio'.A4" xr:uid="{00000000-0004-0000-1B00-000027000000}"/>
    <hyperlink ref="B10" location="'M-Cliente'!A8" display="#'M-Cliente'.A8" xr:uid="{00000000-0004-0000-1B00-000028000000}"/>
    <hyperlink ref="C10" location="'M-Agenda'!A10" display="#'M-Agenda'.A10" xr:uid="{00000000-0004-0000-1B00-000029000000}"/>
    <hyperlink ref="D10" location="'M-Regla'!A4" display="#'M-Regla'.A4" xr:uid="{00000000-0004-0000-1B00-00002A000000}"/>
    <hyperlink ref="E10" location="'M-Estado'!A10" display="#'M-Estado'.A10" xr:uid="{00000000-0004-0000-1B00-00002B000000}"/>
    <hyperlink ref="L10" location="'M-CitaServicio'!A4" display="#'M-CitaServicio'.A4" xr:uid="{00000000-0004-0000-1B00-00002C000000}"/>
    <hyperlink ref="P10" location="'M-CitaServicio'!A4" display="#'M-CitaServicio'.A4" xr:uid="{00000000-0004-0000-1B00-00002D000000}"/>
    <hyperlink ref="B11" location="'M-Cliente'!A8" display="#'M-Cliente'.A8" xr:uid="{00000000-0004-0000-1B00-00002E000000}"/>
    <hyperlink ref="C11" location="'M-Agenda'!A11" display="#'M-Agenda'.A11" xr:uid="{00000000-0004-0000-1B00-00002F000000}"/>
    <hyperlink ref="D11" location="'M-Regla'!A4" display="#'M-Regla'.A4" xr:uid="{00000000-0004-0000-1B00-000030000000}"/>
    <hyperlink ref="E11" location="'M-Estado'!A10" display="#'M-Estado'.A10" xr:uid="{00000000-0004-0000-1B00-000031000000}"/>
    <hyperlink ref="L11" location="'M-CitaServicio'!A4" display="#'M-CitaServicio'.A4" xr:uid="{00000000-0004-0000-1B00-000032000000}"/>
    <hyperlink ref="P11" location="'M-CitaServicio'!A4" display="#'M-CitaServicio'.A4" xr:uid="{00000000-0004-0000-1B00-000033000000}"/>
    <hyperlink ref="B12" location="'M-Cliente'!A8" display="#'M-Cliente'.A8" xr:uid="{00000000-0004-0000-1B00-000034000000}"/>
    <hyperlink ref="C12" location="'M-Agenda'!A12" display="#'M-Agenda'.A12" xr:uid="{00000000-0004-0000-1B00-000035000000}"/>
    <hyperlink ref="D12" location="'M-Regla'!A4" display="#'M-Regla'.A4" xr:uid="{00000000-0004-0000-1B00-000036000000}"/>
    <hyperlink ref="E12" location="'M-Estado'!A10" display="#'M-Estado'.A10" xr:uid="{00000000-0004-0000-1B00-000037000000}"/>
    <hyperlink ref="L12" location="'M-CitaServicio'!A4" display="#'M-CitaServicio'.A4" xr:uid="{00000000-0004-0000-1B00-000038000000}"/>
    <hyperlink ref="P12" location="'M-CitaServicio'!A4" display="#'M-CitaServicio'.A4" xr:uid="{00000000-0004-0000-1B00-000039000000}"/>
    <hyperlink ref="B13" location="'M-Cliente'!A5" display="#'M-Cliente'.A5" xr:uid="{00000000-0004-0000-1B00-00003A000000}"/>
    <hyperlink ref="C13" location="'M-Agenda'!A6" display="#'M-Agenda'.A6" xr:uid="{00000000-0004-0000-1B00-00003B000000}"/>
    <hyperlink ref="D13" location="'M-Regla'!A4" display="#'M-Regla'.A4" xr:uid="{00000000-0004-0000-1B00-00003C000000}"/>
    <hyperlink ref="E13" location="'M-Estado'!A5" display="#'M-Estado'.A5" xr:uid="{00000000-0004-0000-1B00-00003D000000}"/>
    <hyperlink ref="L13" location="'M-CitaServicio'!A4" display="#'M-CitaServicio'.A4" xr:uid="{00000000-0004-0000-1B00-00003E000000}"/>
    <hyperlink ref="P13" location="'M-CitaServicio'!A4" display="#'M-CitaServicio'.A4" xr:uid="{00000000-0004-0000-1B00-00003F000000}"/>
    <hyperlink ref="A1" location="'Modelo de Dominio'!A1" display="&lt;&lt;&lt;&lt; Ir al modulo de dominio" xr:uid="{03E53E49-BD5C-4DD3-B018-244D590D2BCA}"/>
    <hyperlink ref="B1" location="'Objetos de Dominio'!A1" display="&lt;&lt;&lt;&lt; Ir a objetos de dominio" xr:uid="{6DA985A2-AEBA-41AA-AE0B-5E8B33EE98CF}"/>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2"/>
  <sheetViews>
    <sheetView topLeftCell="A6" zoomScaleNormal="100" workbookViewId="0">
      <selection activeCell="A10" sqref="A10:C12"/>
    </sheetView>
  </sheetViews>
  <sheetFormatPr baseColWidth="10" defaultColWidth="8.6640625" defaultRowHeight="14.4" x14ac:dyDescent="0.3"/>
  <cols>
    <col min="1" max="1" width="26.6640625" bestFit="1" customWidth="1"/>
    <col min="2" max="2" width="45" customWidth="1"/>
    <col min="3" max="3" width="19.77734375" bestFit="1" customWidth="1"/>
    <col min="4" max="4" width="24.77734375" bestFit="1" customWidth="1"/>
    <col min="5" max="12" width="18" customWidth="1"/>
    <col min="13" max="13" width="40" customWidth="1"/>
    <col min="14" max="21" width="18" customWidth="1"/>
  </cols>
  <sheetData>
    <row r="1" spans="1:21" x14ac:dyDescent="0.3">
      <c r="A1" s="114" t="s">
        <v>1</v>
      </c>
      <c r="B1" s="114" t="s">
        <v>41</v>
      </c>
    </row>
    <row r="2" spans="1:21" ht="43.2" x14ac:dyDescent="0.3">
      <c r="A2" s="127" t="s">
        <v>42</v>
      </c>
      <c r="B2" s="127" t="s">
        <v>43</v>
      </c>
      <c r="C2" s="127" t="s">
        <v>44</v>
      </c>
      <c r="D2" s="127" t="s">
        <v>45</v>
      </c>
      <c r="E2" s="127" t="s">
        <v>46</v>
      </c>
      <c r="F2" s="127" t="s">
        <v>47</v>
      </c>
      <c r="G2" s="127" t="s">
        <v>48</v>
      </c>
      <c r="H2" s="127" t="s">
        <v>49</v>
      </c>
      <c r="I2" s="127" t="s">
        <v>50</v>
      </c>
      <c r="J2" s="127" t="s">
        <v>51</v>
      </c>
      <c r="K2" s="127" t="s">
        <v>52</v>
      </c>
      <c r="L2" s="127" t="s">
        <v>53</v>
      </c>
      <c r="M2" s="127" t="s">
        <v>54</v>
      </c>
      <c r="N2" s="127" t="s">
        <v>55</v>
      </c>
      <c r="O2" s="127" t="s">
        <v>56</v>
      </c>
      <c r="P2" s="127" t="s">
        <v>57</v>
      </c>
      <c r="Q2" s="127" t="s">
        <v>58</v>
      </c>
      <c r="R2" s="127" t="s">
        <v>59</v>
      </c>
      <c r="S2" s="127" t="s">
        <v>60</v>
      </c>
      <c r="T2" s="127" t="s">
        <v>61</v>
      </c>
      <c r="U2" s="127" t="s">
        <v>62</v>
      </c>
    </row>
    <row r="3" spans="1:21" ht="28.8" x14ac:dyDescent="0.3">
      <c r="A3" s="129" t="str">
        <f>'M-CitaServicio'!A3</f>
        <v>id</v>
      </c>
      <c r="B3" s="130" t="str">
        <f>'M-CitaServicio'!A2</f>
        <v>Representa un identificador que hará unico cada objeto de dominio de este tipo, no se puede repetir</v>
      </c>
      <c r="C3" s="128" t="s">
        <v>63</v>
      </c>
      <c r="D3" s="128" t="s">
        <v>64</v>
      </c>
      <c r="E3" s="128" t="s">
        <v>63</v>
      </c>
      <c r="F3" s="128"/>
      <c r="G3" s="128"/>
      <c r="H3" s="128"/>
      <c r="I3" s="128"/>
      <c r="J3" s="128"/>
      <c r="K3" s="128"/>
      <c r="L3" s="128"/>
      <c r="M3" s="128"/>
      <c r="N3" s="128" t="s">
        <v>65</v>
      </c>
      <c r="O3" s="128" t="s">
        <v>65</v>
      </c>
      <c r="P3" s="128"/>
      <c r="Q3" s="128" t="s">
        <v>65</v>
      </c>
      <c r="R3" s="128" t="s">
        <v>65</v>
      </c>
      <c r="S3" s="128" t="s">
        <v>65</v>
      </c>
      <c r="T3" s="128"/>
      <c r="U3" s="128" t="s">
        <v>63</v>
      </c>
    </row>
    <row r="4" spans="1:21" s="138" customFormat="1" ht="28.8" x14ac:dyDescent="0.3">
      <c r="A4" s="137" t="str">
        <f>'M-CitaServicio'!B3</f>
        <v>cita</v>
      </c>
      <c r="B4" s="137" t="str">
        <f>'M-CitaServicio'!B2</f>
        <v>Hace referencia a la cita a la que pertenece este servicio pedido</v>
      </c>
      <c r="C4" s="137" t="s">
        <v>65</v>
      </c>
      <c r="D4" s="141" t="s">
        <v>35</v>
      </c>
      <c r="E4" s="137" t="s">
        <v>63</v>
      </c>
      <c r="F4" s="137"/>
      <c r="G4" s="137"/>
      <c r="H4" s="137"/>
      <c r="I4" s="137"/>
      <c r="J4" s="137"/>
      <c r="K4" s="137"/>
      <c r="L4" s="137"/>
      <c r="M4" s="103" t="s">
        <v>356</v>
      </c>
      <c r="N4" s="137" t="s">
        <v>65</v>
      </c>
      <c r="O4" s="137"/>
      <c r="P4" s="137"/>
      <c r="Q4" s="137"/>
      <c r="R4" s="137"/>
      <c r="S4" s="137" t="s">
        <v>65</v>
      </c>
      <c r="T4" s="137"/>
      <c r="U4" s="137" t="s">
        <v>65</v>
      </c>
    </row>
    <row r="5" spans="1:21" ht="57.6" x14ac:dyDescent="0.3">
      <c r="A5" s="129" t="str">
        <f>'M-CitaServicio'!C3</f>
        <v>barberoServicio</v>
      </c>
      <c r="B5" s="130" t="str">
        <f>'M-CitaServicio'!C2</f>
        <v>Hace referencia a qué servicio, de qué barbero específico, se pidió en esta cita. No se referencia el Servicio directamente porque un barbero podría no ofrecerlo</v>
      </c>
      <c r="C5" s="128" t="s">
        <v>65</v>
      </c>
      <c r="D5" s="131" t="s">
        <v>29</v>
      </c>
      <c r="E5" s="128" t="s">
        <v>63</v>
      </c>
      <c r="F5" s="128"/>
      <c r="G5" s="128"/>
      <c r="H5" s="128"/>
      <c r="I5" s="128"/>
      <c r="J5" s="128"/>
      <c r="K5" s="128"/>
      <c r="L5" s="128"/>
      <c r="M5" s="103" t="s">
        <v>356</v>
      </c>
      <c r="N5" s="128" t="s">
        <v>65</v>
      </c>
      <c r="O5" s="128"/>
      <c r="P5" s="128"/>
      <c r="Q5" s="128"/>
      <c r="R5" s="128"/>
      <c r="S5" s="128" t="s">
        <v>65</v>
      </c>
      <c r="T5" s="128"/>
      <c r="U5" s="128" t="s">
        <v>65</v>
      </c>
    </row>
    <row r="6" spans="1:21" s="138" customFormat="1" ht="72" x14ac:dyDescent="0.3">
      <c r="A6" s="137" t="str">
        <f>'M-CitaServicio'!D3</f>
        <v>precioServicio</v>
      </c>
      <c r="B6" s="137" t="str">
        <f>'M-CitaServicio'!D2</f>
        <v>Representa el precio que tenía el servicio en el momento en que se agendó esta cita. Es un dato auto generado: copia de Servicio.precio, para que cambios futuros en el precio del catálogo no alteren una cita ya registrada</v>
      </c>
      <c r="C6" s="137" t="s">
        <v>65</v>
      </c>
      <c r="D6" s="137" t="s">
        <v>345</v>
      </c>
      <c r="E6" s="137" t="s">
        <v>63</v>
      </c>
      <c r="F6" s="137"/>
      <c r="G6" s="137"/>
      <c r="H6" s="137"/>
      <c r="I6" s="137"/>
      <c r="J6" s="137"/>
      <c r="K6" s="137"/>
      <c r="L6" s="137" t="s">
        <v>105</v>
      </c>
      <c r="M6" s="137" t="s">
        <v>314</v>
      </c>
      <c r="N6" s="137" t="s">
        <v>65</v>
      </c>
      <c r="O6" s="137"/>
      <c r="P6" s="137"/>
      <c r="Q6" s="137"/>
      <c r="R6" s="137"/>
      <c r="S6" s="137" t="s">
        <v>65</v>
      </c>
      <c r="T6" s="137"/>
      <c r="U6" s="137" t="s">
        <v>63</v>
      </c>
    </row>
    <row r="7" spans="1:21" ht="57.6" x14ac:dyDescent="0.3">
      <c r="A7" s="129" t="str">
        <f>'M-CitaServicio'!E3</f>
        <v>duracionServicio</v>
      </c>
      <c r="B7" s="130" t="str">
        <f>'M-CitaServicio'!E2</f>
        <v>Representa la duración en minutos que tenía el servicio para ese barbero en el momento en que se agendó esta cita. Es un dato auto generado: copia de BarberoServicio.duracionServicio</v>
      </c>
      <c r="C7" s="128" t="s">
        <v>65</v>
      </c>
      <c r="D7" s="128" t="s">
        <v>345</v>
      </c>
      <c r="E7" s="128" t="s">
        <v>63</v>
      </c>
      <c r="F7" s="128"/>
      <c r="G7" s="128"/>
      <c r="H7" s="128"/>
      <c r="I7" s="128"/>
      <c r="J7" s="128"/>
      <c r="K7" s="128"/>
      <c r="L7" s="128" t="s">
        <v>128</v>
      </c>
      <c r="M7" s="139" t="s">
        <v>315</v>
      </c>
      <c r="N7" s="128" t="s">
        <v>65</v>
      </c>
      <c r="O7" s="128"/>
      <c r="P7" s="128"/>
      <c r="Q7" s="128"/>
      <c r="R7" s="128"/>
      <c r="S7" s="128" t="s">
        <v>65</v>
      </c>
      <c r="T7" s="128"/>
      <c r="U7" s="128" t="s">
        <v>63</v>
      </c>
    </row>
    <row r="8" spans="1:21" s="138" customFormat="1" ht="86.4" x14ac:dyDescent="0.3">
      <c r="A8" s="137" t="str">
        <f>'M-CitaServicio'!F3</f>
        <v>tiempoExtra</v>
      </c>
      <c r="B8" s="137" t="str">
        <f>'M-CitaServicio'!F2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8" s="137" t="s">
        <v>65</v>
      </c>
      <c r="D8" s="137" t="s">
        <v>345</v>
      </c>
      <c r="E8" s="137" t="s">
        <v>63</v>
      </c>
      <c r="F8" s="137"/>
      <c r="G8" s="137"/>
      <c r="H8" s="137"/>
      <c r="I8" s="137"/>
      <c r="J8" s="137"/>
      <c r="K8" s="137"/>
      <c r="L8" s="137" t="s">
        <v>128</v>
      </c>
      <c r="M8" s="137" t="s">
        <v>316</v>
      </c>
      <c r="N8" s="137" t="s">
        <v>65</v>
      </c>
      <c r="O8" s="137"/>
      <c r="P8" s="137"/>
      <c r="Q8" s="137"/>
      <c r="R8" s="137"/>
      <c r="S8" s="137" t="s">
        <v>65</v>
      </c>
      <c r="T8" s="137"/>
      <c r="U8" s="137" t="s">
        <v>63</v>
      </c>
    </row>
    <row r="10" spans="1:21" x14ac:dyDescent="0.3">
      <c r="A10" s="105" t="s">
        <v>67</v>
      </c>
      <c r="B10" s="105" t="s">
        <v>68</v>
      </c>
      <c r="C10" s="105" t="s">
        <v>69</v>
      </c>
    </row>
    <row r="11" spans="1:21" ht="57.6" customHeight="1" x14ac:dyDescent="0.3">
      <c r="A11" s="149" t="str">
        <f>'M-CitaServicio'!G3</f>
        <v xml:space="preserve">Combinación única </v>
      </c>
      <c r="B11" s="148" t="str">
        <f>'M-CitaServicio'!G2</f>
        <v>Combinación única que indica que un mismo servicio no se puede pedir dos veces en la misma cita, es decir que CitaServicio no puede tener la misma cita y el barberoServicio</v>
      </c>
      <c r="C11" s="107" t="str">
        <f>A4</f>
        <v>cita</v>
      </c>
    </row>
    <row r="12" spans="1:21" x14ac:dyDescent="0.3">
      <c r="A12" s="149"/>
      <c r="B12" s="148"/>
      <c r="C12" s="107" t="str">
        <f>A5</f>
        <v>barberoServicio</v>
      </c>
    </row>
  </sheetData>
  <mergeCells count="2">
    <mergeCell ref="B11:B12"/>
    <mergeCell ref="A11:A12"/>
  </mergeCells>
  <hyperlinks>
    <hyperlink ref="A3" location="'M-CitaServicio'!A3" display="'M-CitaServicio'!A3" xr:uid="{00000000-0004-0000-1C00-000002000000}"/>
    <hyperlink ref="B3" location="'M-CitaServicio'!A2" display="'M-CitaServicio'!A2" xr:uid="{00000000-0004-0000-1C00-000003000000}"/>
    <hyperlink ref="A4" location="'M-CitaServicio'!A3" display="'M-CitaServicio'!A3" xr:uid="{00000000-0004-0000-1C00-000004000000}"/>
    <hyperlink ref="B4" location="'M-CitaServicio'!A2" display="'M-CitaServicio'!A2" xr:uid="{00000000-0004-0000-1C00-000005000000}"/>
    <hyperlink ref="A5" location="'M-CitaServicio'!A3" display="'M-CitaServicio'!A3" xr:uid="{00000000-0004-0000-1C00-000006000000}"/>
    <hyperlink ref="B5" location="'M-CitaServicio'!A2" display="'M-CitaServicio'!A2" xr:uid="{00000000-0004-0000-1C00-000007000000}"/>
    <hyperlink ref="A6" location="'M-CitaServicio'!A3" display="'M-CitaServicio'!A3" xr:uid="{00000000-0004-0000-1C00-000008000000}"/>
    <hyperlink ref="B6" location="'M-CitaServicio'!A2" display="'M-CitaServicio'!A2" xr:uid="{00000000-0004-0000-1C00-000009000000}"/>
    <hyperlink ref="A7" location="'M-CitaServicio'!A3" display="'M-CitaServicio'!A3" xr:uid="{00000000-0004-0000-1C00-00000A000000}"/>
    <hyperlink ref="B7" location="'M-CitaServicio'!A2" display="'M-CitaServicio'!A2" xr:uid="{00000000-0004-0000-1C00-00000B000000}"/>
    <hyperlink ref="A8" location="'M-CitaServicio'!A3" display="'M-CitaServicio'!A3" xr:uid="{00000000-0004-0000-1C00-00000C000000}"/>
    <hyperlink ref="B8" location="'M-CitaServicio'!A2" display="'M-CitaServicio'!A2" xr:uid="{00000000-0004-0000-1C00-00000D000000}"/>
    <hyperlink ref="A11" location="'M-CitaServicio'!A3" display="'M-CitaServicio'!A3" xr:uid="{00000000-0004-0000-1C00-00000E000000}"/>
    <hyperlink ref="B11" location="'M-CitaServicio'!A2" display="'M-CitaServicio'!A2" xr:uid="{00000000-0004-0000-1C00-00000F000000}"/>
    <hyperlink ref="A1" location="'Modelo de Dominio'!A1" display="&lt;&lt;&lt;&lt; Ir al modulo de dominio" xr:uid="{56362173-C7E2-4DC3-BFDC-24D75348BF5F}"/>
    <hyperlink ref="B1" location="'Objetos de Dominio'!A1" display="&lt;&lt;&lt;&lt; Ir a objetos de dominio" xr:uid="{235C6DA3-D607-4380-926F-C7463DF0C6DD}"/>
    <hyperlink ref="D4" location="'C-Cita'!A1" display="Cita" xr:uid="{6A7A7DD7-77D8-4E50-93F3-EE09C1779CF3}"/>
    <hyperlink ref="D5" location="'C-BarberoServicio'!A1" display="BarberoServicio" xr:uid="{108DC3D3-C793-4EFD-B95F-B3B8F89BE8BC}"/>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24"/>
  <sheetViews>
    <sheetView zoomScale="130" zoomScaleNormal="130" workbookViewId="0">
      <selection activeCell="B3" sqref="B3:C3"/>
    </sheetView>
  </sheetViews>
  <sheetFormatPr baseColWidth="10" defaultColWidth="10.6640625" defaultRowHeight="14.4" x14ac:dyDescent="0.3"/>
  <cols>
    <col min="1" max="1" width="27" customWidth="1"/>
    <col min="2" max="2" width="33.6640625" customWidth="1"/>
    <col min="3" max="3" width="26.109375" customWidth="1"/>
    <col min="4" max="4" width="36.109375" bestFit="1" customWidth="1"/>
    <col min="5" max="5" width="26.109375" customWidth="1"/>
    <col min="6" max="6" width="45.44140625" bestFit="1" customWidth="1"/>
    <col min="7" max="7" width="29.33203125" bestFit="1" customWidth="1"/>
  </cols>
  <sheetData>
    <row r="1" spans="1:7" ht="14.25" customHeight="1" x14ac:dyDescent="0.3">
      <c r="A1" s="114" t="s">
        <v>1</v>
      </c>
      <c r="B1" s="114" t="s">
        <v>41</v>
      </c>
      <c r="C1" s="21"/>
      <c r="D1" s="21"/>
      <c r="E1" s="21"/>
    </row>
    <row r="2" spans="1:7" ht="44.25" customHeight="1" x14ac:dyDescent="0.3">
      <c r="A2" s="8" t="s">
        <v>71</v>
      </c>
      <c r="B2" s="8" t="s">
        <v>317</v>
      </c>
      <c r="C2" s="8" t="s">
        <v>318</v>
      </c>
      <c r="D2" s="8" t="s">
        <v>319</v>
      </c>
      <c r="E2" s="8" t="s">
        <v>320</v>
      </c>
      <c r="F2" s="120" t="s">
        <v>321</v>
      </c>
      <c r="G2" s="9" t="s">
        <v>322</v>
      </c>
    </row>
    <row r="3" spans="1:7" ht="14.25" customHeight="1" x14ac:dyDescent="0.3">
      <c r="A3" s="10" t="s">
        <v>74</v>
      </c>
      <c r="B3" s="142" t="s">
        <v>323</v>
      </c>
      <c r="C3" s="142" t="s">
        <v>324</v>
      </c>
      <c r="D3" s="85" t="s">
        <v>325</v>
      </c>
      <c r="E3" s="85" t="s">
        <v>250</v>
      </c>
      <c r="F3" s="85" t="s">
        <v>251</v>
      </c>
      <c r="G3" s="12" t="s">
        <v>75</v>
      </c>
    </row>
    <row r="4" spans="1:7" ht="43.2" x14ac:dyDescent="0.3">
      <c r="A4" s="13">
        <v>1</v>
      </c>
      <c r="B4" s="119" t="str">
        <f>'M-Cita'!Q4</f>
        <v>+57-3245627890-Lunes-09:00-19:00-10:00-16:00-si-31/08/2026-10:00</v>
      </c>
      <c r="C4" s="119" t="str">
        <f>'M-BarberoServicio'!G4</f>
        <v>Juan García-Motilada</v>
      </c>
      <c r="D4" s="91">
        <f>'M-Servicio'!D4</f>
        <v>22000</v>
      </c>
      <c r="E4" s="89">
        <f>'M-BarberoServicio'!D4</f>
        <v>45</v>
      </c>
      <c r="F4" s="89">
        <f>'M-BarberoServicio'!E4</f>
        <v>15</v>
      </c>
      <c r="G4" s="22" t="str">
        <f t="shared" ref="G4:G14" si="0">_xlfn.CONCAT(B4,"-",C4)</f>
        <v>+57-3245627890-Lunes-09:00-19:00-10:00-16:00-si-31/08/2026-10:00-Juan García-Motilada</v>
      </c>
    </row>
    <row r="5" spans="1:7" ht="43.2" x14ac:dyDescent="0.3">
      <c r="A5" s="13">
        <v>2</v>
      </c>
      <c r="B5" s="87" t="str">
        <f>'M-Cita'!Q5</f>
        <v>+57-3124518923-Martes-09:00-19:00-09:00-15:00-si-10/03/2026-09:30</v>
      </c>
      <c r="C5" s="87" t="str">
        <f>'M-BarberoServicio'!G5</f>
        <v>Juan Ortiz-Corte de barba</v>
      </c>
      <c r="D5" s="91">
        <f>'M-Servicio'!D5</f>
        <v>12000</v>
      </c>
      <c r="E5" s="89">
        <f>'M-BarberoServicio'!D5</f>
        <v>10</v>
      </c>
      <c r="F5" s="89">
        <f>'M-BarberoServicio'!E5</f>
        <v>5</v>
      </c>
      <c r="G5" s="22" t="str">
        <f t="shared" si="0"/>
        <v>+57-3124518923-Martes-09:00-19:00-09:00-15:00-si-10/03/2026-09:30-Juan Ortiz-Corte de barba</v>
      </c>
    </row>
    <row r="6" spans="1:7" ht="57.6" x14ac:dyDescent="0.3">
      <c r="A6" s="13">
        <v>3</v>
      </c>
      <c r="B6" s="87" t="str">
        <f>'M-Cita'!Q6</f>
        <v>+57-3214533321-Jueves-09:00-19:00-13:00-19:00-si-14/05/2026-13:00</v>
      </c>
      <c r="C6" s="87" t="str">
        <f>'M-BarberoServicio'!G6</f>
        <v>Carlos Arbeladez-Perfilada de barba</v>
      </c>
      <c r="D6" s="91">
        <f>'M-Servicio'!D6</f>
        <v>15000</v>
      </c>
      <c r="E6" s="89">
        <f>'M-BarberoServicio'!D6</f>
        <v>15</v>
      </c>
      <c r="F6" s="89">
        <f>'M-BarberoServicio'!E6</f>
        <v>5</v>
      </c>
      <c r="G6" s="22" t="str">
        <f t="shared" si="0"/>
        <v>+57-3214533321-Jueves-09:00-19:00-13:00-19:00-si-14/05/2026-13:00-Carlos Arbeladez-Perfilada de barba</v>
      </c>
    </row>
    <row r="7" spans="1:7" ht="72" x14ac:dyDescent="0.3">
      <c r="A7" s="13">
        <v>4</v>
      </c>
      <c r="B7" s="87" t="str">
        <f>'M-Cita'!Q7</f>
        <v>+91-9876543210-Sábado-08:00-21:00-08:00-14:00-no-22/11/2025-13:00</v>
      </c>
      <c r="C7" s="87" t="str">
        <f>'M-BarberoServicio'!G7</f>
        <v>Andres Ramirez-Arreglo completo de barba con toalla caliente</v>
      </c>
      <c r="D7" s="91">
        <f>'M-Servicio'!D7</f>
        <v>35000</v>
      </c>
      <c r="E7" s="89">
        <f>'M-BarberoServicio'!D7</f>
        <v>40</v>
      </c>
      <c r="F7" s="89">
        <f>'M-BarberoServicio'!E7</f>
        <v>10</v>
      </c>
      <c r="G7" s="22" t="str">
        <f t="shared" si="0"/>
        <v>+91-9876543210-Sábado-08:00-21:00-08:00-14:00-no-22/11/2025-13:00-Andres Ramirez-Arreglo completo de barba con toalla caliente</v>
      </c>
    </row>
    <row r="8" spans="1:7" ht="57.6" x14ac:dyDescent="0.3">
      <c r="A8" s="13">
        <v>5</v>
      </c>
      <c r="B8" s="87" t="str">
        <f>'M-Cita'!Q8</f>
        <v>+57-3214533321-Jueves-09:00-19:00-13:00-19:00-si-06/08/2026-18:00</v>
      </c>
      <c r="C8" s="87" t="str">
        <f>'M-BarberoServicio'!G9</f>
        <v>Carlos Arbeladez-Corte de barba</v>
      </c>
      <c r="D8" s="91">
        <f>'M-Servicio'!D5</f>
        <v>12000</v>
      </c>
      <c r="E8" s="89">
        <f>'M-BarberoServicio'!D9</f>
        <v>15</v>
      </c>
      <c r="F8" s="89">
        <f>'M-BarberoServicio'!E9</f>
        <v>5</v>
      </c>
      <c r="G8" s="22" t="str">
        <f t="shared" si="0"/>
        <v>+57-3214533321-Jueves-09:00-19:00-13:00-19:00-si-06/08/2026-18:00-Carlos Arbeladez-Corte de barba</v>
      </c>
    </row>
    <row r="9" spans="1:7" ht="72" x14ac:dyDescent="0.3">
      <c r="A9" s="13">
        <v>6</v>
      </c>
      <c r="B9" s="87" t="str">
        <f>'M-Cita'!Q9</f>
        <v>+91-9876543210-Festivo-10:00-15:00-12:00-15:00-no-20/02/2026-14:00</v>
      </c>
      <c r="C9" s="87" t="str">
        <f>'M-BarberoServicio'!G7</f>
        <v>Andres Ramirez-Arreglo completo de barba con toalla caliente</v>
      </c>
      <c r="D9" s="91">
        <f>'M-Servicio'!D7</f>
        <v>35000</v>
      </c>
      <c r="E9" s="89">
        <f>'M-BarberoServicio'!D7</f>
        <v>40</v>
      </c>
      <c r="F9" s="89">
        <f>'M-BarberoServicio'!E7</f>
        <v>10</v>
      </c>
      <c r="G9" s="22" t="str">
        <f t="shared" si="0"/>
        <v>+91-9876543210-Festivo-10:00-15:00-12:00-15:00-no-20/02/2026-14:00-Andres Ramirez-Arreglo completo de barba con toalla caliente</v>
      </c>
    </row>
    <row r="10" spans="1:7" ht="43.2" x14ac:dyDescent="0.3">
      <c r="A10" s="13">
        <v>7</v>
      </c>
      <c r="B10" s="87" t="str">
        <f>'M-Cita'!Q10</f>
        <v>+57-3245627890-Lunes-09:00-19:00-10:00-16:00-si-01/06/2026-10:00</v>
      </c>
      <c r="C10" s="87" t="str">
        <f>'M-BarberoServicio'!G4</f>
        <v>Juan García-Motilada</v>
      </c>
      <c r="D10" s="91">
        <f>'M-Servicio'!D4</f>
        <v>22000</v>
      </c>
      <c r="E10" s="89">
        <f>'M-BarberoServicio'!D4</f>
        <v>45</v>
      </c>
      <c r="F10" s="89">
        <f>'M-BarberoServicio'!E4</f>
        <v>15</v>
      </c>
      <c r="G10" s="23" t="str">
        <f t="shared" si="0"/>
        <v>+57-3245627890-Lunes-09:00-19:00-10:00-16:00-si-01/06/2026-10:00-Juan García-Motilada</v>
      </c>
    </row>
    <row r="11" spans="1:7" ht="43.2" x14ac:dyDescent="0.3">
      <c r="A11" s="13">
        <v>8</v>
      </c>
      <c r="B11" s="87" t="str">
        <f>'M-Cita'!Q11</f>
        <v>+57-3124518923-Martes-09:00-19:00-09:00-15:00-si-16/06/2026-09:00</v>
      </c>
      <c r="C11" s="87" t="str">
        <f>'M-BarberoServicio'!G5</f>
        <v>Juan Ortiz-Corte de barba</v>
      </c>
      <c r="D11" s="91">
        <f>'M-Servicio'!D5</f>
        <v>12000</v>
      </c>
      <c r="E11" s="89">
        <f>'M-BarberoServicio'!D5</f>
        <v>10</v>
      </c>
      <c r="F11" s="89">
        <f>'M-BarberoServicio'!E5</f>
        <v>5</v>
      </c>
      <c r="G11" s="23" t="str">
        <f t="shared" si="0"/>
        <v>+57-3124518923-Martes-09:00-19:00-09:00-15:00-si-16/06/2026-09:00-Juan Ortiz-Corte de barba</v>
      </c>
    </row>
    <row r="12" spans="1:7" ht="57.6" x14ac:dyDescent="0.3">
      <c r="A12" s="13">
        <v>9</v>
      </c>
      <c r="B12" s="87" t="str">
        <f>'M-Cita'!Q12</f>
        <v>+57-3214533321-Jueves-09:00-19:00-13:00-19:00-si-02/07/2026-15:00</v>
      </c>
      <c r="C12" s="87" t="str">
        <f>'M-BarberoServicio'!G6</f>
        <v>Carlos Arbeladez-Perfilada de barba</v>
      </c>
      <c r="D12" s="91">
        <f>'M-Servicio'!D6</f>
        <v>15000</v>
      </c>
      <c r="E12" s="89">
        <f>'M-BarberoServicio'!D6</f>
        <v>15</v>
      </c>
      <c r="F12" s="89">
        <f>'M-BarberoServicio'!E6</f>
        <v>5</v>
      </c>
      <c r="G12" s="23" t="str">
        <f t="shared" si="0"/>
        <v>+57-3214533321-Jueves-09:00-19:00-13:00-19:00-si-02/07/2026-15:00-Carlos Arbeladez-Perfilada de barba</v>
      </c>
    </row>
    <row r="13" spans="1:7" ht="57.6" x14ac:dyDescent="0.3">
      <c r="A13" s="13">
        <v>10</v>
      </c>
      <c r="B13" s="87" t="str">
        <f>'M-Cita'!Q13</f>
        <v>+57-3214533321-Jueves-09:00-19:00-13:00-19:00-si-14/05/2026-13:30</v>
      </c>
      <c r="C13" s="87" t="str">
        <f>'M-BarberoServicio'!G6</f>
        <v>Carlos Arbeladez-Perfilada de barba</v>
      </c>
      <c r="D13" s="91">
        <f>'M-Servicio'!D6</f>
        <v>15000</v>
      </c>
      <c r="E13" s="89">
        <f>'M-BarberoServicio'!D6</f>
        <v>15</v>
      </c>
      <c r="F13" s="89">
        <f>'M-BarberoServicio'!E6</f>
        <v>5</v>
      </c>
      <c r="G13" s="23" t="str">
        <f t="shared" si="0"/>
        <v>+57-3214533321-Jueves-09:00-19:00-13:00-19:00-si-14/05/2026-13:30-Carlos Arbeladez-Perfilada de barba</v>
      </c>
    </row>
    <row r="14" spans="1:7" ht="57.6" x14ac:dyDescent="0.3">
      <c r="A14" s="13">
        <v>11</v>
      </c>
      <c r="B14" s="87" t="str">
        <f>'M-Cita'!Q13</f>
        <v>+57-3214533321-Jueves-09:00-19:00-13:00-19:00-si-14/05/2026-13:30</v>
      </c>
      <c r="C14" s="87" t="str">
        <f>'M-BarberoServicio'!G9</f>
        <v>Carlos Arbeladez-Corte de barba</v>
      </c>
      <c r="D14" s="91">
        <f>'M-Servicio'!D5</f>
        <v>12000</v>
      </c>
      <c r="E14" s="89">
        <f>'M-BarberoServicio'!D9</f>
        <v>15</v>
      </c>
      <c r="F14" s="89">
        <f>'M-BarberoServicio'!E9</f>
        <v>5</v>
      </c>
      <c r="G14" s="23" t="str">
        <f t="shared" si="0"/>
        <v>+57-3214533321-Jueves-09:00-19:00-13:00-19:00-si-14/05/2026-13:30-Carlos Arbeladez-Corte de barba</v>
      </c>
    </row>
    <row r="15" spans="1:7" ht="28.5" customHeight="1" x14ac:dyDescent="0.3">
      <c r="B15" s="17"/>
    </row>
    <row r="16" spans="1:7" ht="28.5" customHeight="1" x14ac:dyDescent="0.3">
      <c r="B16" s="17"/>
    </row>
    <row r="17" spans="1:2" ht="28.5" customHeight="1" x14ac:dyDescent="0.3">
      <c r="B17" s="17"/>
    </row>
    <row r="18" spans="1:2" ht="28.5" customHeight="1" x14ac:dyDescent="0.3">
      <c r="B18" s="17"/>
    </row>
    <row r="19" spans="1:2" ht="28.5" customHeight="1" x14ac:dyDescent="0.3">
      <c r="B19" s="17"/>
    </row>
    <row r="20" spans="1:2" ht="28.5" customHeight="1" x14ac:dyDescent="0.3">
      <c r="A20" s="16"/>
      <c r="B20" s="17" t="s">
        <v>84</v>
      </c>
    </row>
    <row r="21" spans="1:2" ht="28.5" customHeight="1" x14ac:dyDescent="0.3">
      <c r="A21" s="18"/>
      <c r="B21" s="17" t="s">
        <v>85</v>
      </c>
    </row>
    <row r="22" spans="1:2" ht="28.5" customHeight="1" x14ac:dyDescent="0.3">
      <c r="A22" s="36"/>
      <c r="B22" s="17" t="s">
        <v>203</v>
      </c>
    </row>
    <row r="23" spans="1:2" ht="14.25" customHeight="1" x14ac:dyDescent="0.3">
      <c r="A23" s="38"/>
      <c r="B23" t="s">
        <v>126</v>
      </c>
    </row>
    <row r="24" spans="1:2" ht="14.25" customHeight="1" x14ac:dyDescent="0.3">
      <c r="A24" s="20"/>
      <c r="B24" t="s">
        <v>87</v>
      </c>
    </row>
  </sheetData>
  <hyperlinks>
    <hyperlink ref="B4" location="'M-Cita'!A4" display="#'M-Cita'.A4" xr:uid="{00000000-0004-0000-1D00-000002000000}"/>
    <hyperlink ref="C4" location="'M-BarberoServicio'!A4" display="#'M-BarberoServicio'.A4" xr:uid="{00000000-0004-0000-1D00-000003000000}"/>
    <hyperlink ref="D4" location="'M-Servicio'!A4" display="#'M-Servicio'.A4" xr:uid="{00000000-0004-0000-1D00-000004000000}"/>
    <hyperlink ref="E4" location="'M-BarberoServicio'!A4" display="#'M-BarberoServicio'.A4" xr:uid="{00000000-0004-0000-1D00-000005000000}"/>
    <hyperlink ref="F4" location="'M-BarberoServicio'!A4" display="#'M-BarberoServicio'.A4" xr:uid="{00000000-0004-0000-1D00-000006000000}"/>
    <hyperlink ref="B5" location="'M-Cita'!A5" display="#'M-Cita'.A5" xr:uid="{00000000-0004-0000-1D00-000007000000}"/>
    <hyperlink ref="C5" location="'M-BarberoServicio'!A5" display="#'M-BarberoServicio'.A5" xr:uid="{00000000-0004-0000-1D00-000008000000}"/>
    <hyperlink ref="D5" location="'M-Servicio'!A5" display="#'M-Servicio'.A5" xr:uid="{00000000-0004-0000-1D00-000009000000}"/>
    <hyperlink ref="E5" location="'M-BarberoServicio'!A5" display="#'M-BarberoServicio'.A5" xr:uid="{00000000-0004-0000-1D00-00000A000000}"/>
    <hyperlink ref="F5" location="'M-BarberoServicio'!A5" display="#'M-BarberoServicio'.A5" xr:uid="{00000000-0004-0000-1D00-00000B000000}"/>
    <hyperlink ref="B6" location="'M-Cita'!A6" display="#'M-Cita'.A6" xr:uid="{00000000-0004-0000-1D00-00000C000000}"/>
    <hyperlink ref="C6" location="'M-BarberoServicio'!A6" display="#'M-BarberoServicio'.A6" xr:uid="{00000000-0004-0000-1D00-00000D000000}"/>
    <hyperlink ref="D6" location="'M-Servicio'!A6" display="#'M-Servicio'.A6" xr:uid="{00000000-0004-0000-1D00-00000E000000}"/>
    <hyperlink ref="E6" location="'M-BarberoServicio'!A6" display="#'M-BarberoServicio'.A6" xr:uid="{00000000-0004-0000-1D00-00000F000000}"/>
    <hyperlink ref="F6" location="'M-BarberoServicio'!A6" display="#'M-BarberoServicio'.A6" xr:uid="{00000000-0004-0000-1D00-000010000000}"/>
    <hyperlink ref="B7" location="'M-Cita'!A7" display="#'M-Cita'.A7" xr:uid="{00000000-0004-0000-1D00-000011000000}"/>
    <hyperlink ref="C7" location="'M-BarberoServicio'!A7" display="#'M-BarberoServicio'.A7" xr:uid="{00000000-0004-0000-1D00-000012000000}"/>
    <hyperlink ref="D7" location="'M-Servicio'!A7" display="#'M-Servicio'.A7" xr:uid="{00000000-0004-0000-1D00-000013000000}"/>
    <hyperlink ref="E7" location="'M-BarberoServicio'!A7" display="#'M-BarberoServicio'.A7" xr:uid="{00000000-0004-0000-1D00-000014000000}"/>
    <hyperlink ref="F7" location="'M-BarberoServicio'!A7" display="#'M-BarberoServicio'.A7" xr:uid="{00000000-0004-0000-1D00-000015000000}"/>
    <hyperlink ref="B8" location="'M-Cita'!A8" display="#'M-Cita'.A8" xr:uid="{00000000-0004-0000-1D00-000016000000}"/>
    <hyperlink ref="C8" location="'M-BarberoServicio'!A9" display="#'M-BarberoServicio'.A9" xr:uid="{00000000-0004-0000-1D00-000017000000}"/>
    <hyperlink ref="D8" location="'M-Servicio'!A5" display="#'M-Servicio'.A5" xr:uid="{00000000-0004-0000-1D00-000018000000}"/>
    <hyperlink ref="E8" location="'M-BarberoServicio'!A9" display="#'M-BarberoServicio'.A9" xr:uid="{00000000-0004-0000-1D00-000019000000}"/>
    <hyperlink ref="F8" location="'M-BarberoServicio'!A9" display="#'M-BarberoServicio'.A9" xr:uid="{00000000-0004-0000-1D00-00001A000000}"/>
    <hyperlink ref="B9" location="'M-Cita'!A9" display="#'M-Cita'.A9" xr:uid="{00000000-0004-0000-1D00-00001B000000}"/>
    <hyperlink ref="C9" location="'M-BarberoServicio'!A7" display="#'M-BarberoServicio'.A7" xr:uid="{00000000-0004-0000-1D00-00001C000000}"/>
    <hyperlink ref="D9" location="'M-Servicio'!A7" display="#'M-Servicio'.A7" xr:uid="{00000000-0004-0000-1D00-00001D000000}"/>
    <hyperlink ref="E9" location="'M-BarberoServicio'!A7" display="#'M-BarberoServicio'.A7" xr:uid="{00000000-0004-0000-1D00-00001E000000}"/>
    <hyperlink ref="F9" location="'M-BarberoServicio'!A7" display="#'M-BarberoServicio'.A7" xr:uid="{00000000-0004-0000-1D00-00001F000000}"/>
    <hyperlink ref="B10" location="'M-Cita'!A10" display="#'M-Cita'.A10" xr:uid="{00000000-0004-0000-1D00-000020000000}"/>
    <hyperlink ref="C10" location="'M-BarberoServicio'!A4" display="#'M-BarberoServicio'.A4" xr:uid="{00000000-0004-0000-1D00-000021000000}"/>
    <hyperlink ref="D10" location="'M-Servicio'!A4" display="#'M-Servicio'.A4" xr:uid="{00000000-0004-0000-1D00-000022000000}"/>
    <hyperlink ref="E10" location="'M-BarberoServicio'!A4" display="#'M-BarberoServicio'.A4" xr:uid="{00000000-0004-0000-1D00-000023000000}"/>
    <hyperlink ref="F10" location="'M-BarberoServicio'!A4" display="#'M-BarberoServicio'.A4" xr:uid="{00000000-0004-0000-1D00-000024000000}"/>
    <hyperlink ref="B11" location="'M-Cita'!A11" display="#'M-Cita'.A11" xr:uid="{00000000-0004-0000-1D00-000025000000}"/>
    <hyperlink ref="C11" location="'M-BarberoServicio'!A5" display="#'M-BarberoServicio'.A5" xr:uid="{00000000-0004-0000-1D00-000026000000}"/>
    <hyperlink ref="D11" location="'M-Servicio'!A5" display="#'M-Servicio'.A5" xr:uid="{00000000-0004-0000-1D00-000027000000}"/>
    <hyperlink ref="E11" location="'M-BarberoServicio'!A5" display="#'M-BarberoServicio'.A5" xr:uid="{00000000-0004-0000-1D00-000028000000}"/>
    <hyperlink ref="F11" location="'M-BarberoServicio'!A5" display="#'M-BarberoServicio'.A5" xr:uid="{00000000-0004-0000-1D00-000029000000}"/>
    <hyperlink ref="B12" location="'M-Cita'!A12" display="#'M-Cita'.A12" xr:uid="{00000000-0004-0000-1D00-00002A000000}"/>
    <hyperlink ref="C12" location="'M-BarberoServicio'!A6" display="#'M-BarberoServicio'.A6" xr:uid="{00000000-0004-0000-1D00-00002B000000}"/>
    <hyperlink ref="D12" location="'M-Servicio'!A6" display="#'M-Servicio'.A6" xr:uid="{00000000-0004-0000-1D00-00002C000000}"/>
    <hyperlink ref="E12" location="'M-BarberoServicio'!A6" display="#'M-BarberoServicio'.A6" xr:uid="{00000000-0004-0000-1D00-00002D000000}"/>
    <hyperlink ref="F12" location="'M-BarberoServicio'!A6" display="#'M-BarberoServicio'.A6" xr:uid="{00000000-0004-0000-1D00-00002E000000}"/>
    <hyperlink ref="B13" location="'M-Cita'!A13" display="#'M-Cita'.A13" xr:uid="{00000000-0004-0000-1D00-00002F000000}"/>
    <hyperlink ref="C13" location="'M-BarberoServicio'!A6" display="#'M-BarberoServicio'.A6" xr:uid="{00000000-0004-0000-1D00-000030000000}"/>
    <hyperlink ref="D13" location="'M-Servicio'!A6" display="#'M-Servicio'.A6" xr:uid="{00000000-0004-0000-1D00-000031000000}"/>
    <hyperlink ref="E13" location="'M-BarberoServicio'!A6" display="#'M-BarberoServicio'.A6" xr:uid="{00000000-0004-0000-1D00-000032000000}"/>
    <hyperlink ref="F13" location="'M-BarberoServicio'!A6" display="#'M-BarberoServicio'.A6" xr:uid="{00000000-0004-0000-1D00-000033000000}"/>
    <hyperlink ref="B14" location="'M-Cita'!A13" display="#'M-Cita'.A13" xr:uid="{00000000-0004-0000-1D00-000034000000}"/>
    <hyperlink ref="C14" location="'M-BarberoServicio'!A9" display="#'M-BarberoServicio'.A9" xr:uid="{00000000-0004-0000-1D00-000035000000}"/>
    <hyperlink ref="D14" location="'M-Servicio'!A5" display="#'M-Servicio'.A5" xr:uid="{00000000-0004-0000-1D00-000036000000}"/>
    <hyperlink ref="E14" location="'M-BarberoServicio'!A9" display="#'M-BarberoServicio'.A9" xr:uid="{00000000-0004-0000-1D00-000037000000}"/>
    <hyperlink ref="F14" location="'M-BarberoServicio'!A9" display="#'M-BarberoServicio'.A9" xr:uid="{00000000-0004-0000-1D00-000038000000}"/>
    <hyperlink ref="A1" location="'Modelo de Dominio'!A1" display="&lt;&lt;&lt;&lt; Ir al modulo de dominio" xr:uid="{4D344349-71DE-4F0F-AABC-F82ADFC04750}"/>
    <hyperlink ref="B1" location="'Objetos de Dominio'!A1" display="&lt;&lt;&lt;&lt; Ir a objetos de dominio" xr:uid="{027ACFBF-516B-42E2-B0E6-BA401C1DC019}"/>
    <hyperlink ref="B3" location="'M-Cita'!A1" display="cita" xr:uid="{B2DB143F-AD46-4F3E-AE9C-2CAF67821ECB}"/>
    <hyperlink ref="C3" location="'M-BarberoServicio'!A1" display="barberoServicio" xr:uid="{DADD0AC6-A6A5-4809-9C45-2E86D1B2C897}"/>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2"/>
  <sheetViews>
    <sheetView topLeftCell="L6" zoomScaleNormal="100" workbookViewId="0">
      <selection activeCell="E9" sqref="E9"/>
    </sheetView>
  </sheetViews>
  <sheetFormatPr baseColWidth="10" defaultColWidth="8.6640625" defaultRowHeight="14.4" x14ac:dyDescent="0.3"/>
  <cols>
    <col min="1" max="1" width="26.6640625" bestFit="1" customWidth="1"/>
    <col min="2" max="2" width="45" customWidth="1"/>
    <col min="3" max="3" width="19.77734375" bestFit="1" customWidth="1"/>
    <col min="4" max="4" width="24.21875" bestFit="1" customWidth="1"/>
    <col min="5" max="12" width="18" customWidth="1"/>
    <col min="13" max="13" width="40" customWidth="1"/>
    <col min="14" max="21" width="18" customWidth="1"/>
  </cols>
  <sheetData>
    <row r="1" spans="1:21" x14ac:dyDescent="0.3">
      <c r="A1" s="114" t="s">
        <v>1</v>
      </c>
      <c r="B1" s="114" t="s">
        <v>41</v>
      </c>
    </row>
    <row r="2" spans="1:21" s="134" customFormat="1" ht="43.2" x14ac:dyDescent="0.3">
      <c r="A2" s="127" t="s">
        <v>42</v>
      </c>
      <c r="B2" s="127" t="s">
        <v>43</v>
      </c>
      <c r="C2" s="127" t="s">
        <v>44</v>
      </c>
      <c r="D2" s="127" t="s">
        <v>45</v>
      </c>
      <c r="E2" s="127" t="s">
        <v>46</v>
      </c>
      <c r="F2" s="127" t="s">
        <v>47</v>
      </c>
      <c r="G2" s="127" t="s">
        <v>48</v>
      </c>
      <c r="H2" s="127" t="s">
        <v>49</v>
      </c>
      <c r="I2" s="127" t="s">
        <v>50</v>
      </c>
      <c r="J2" s="127" t="s">
        <v>51</v>
      </c>
      <c r="K2" s="127" t="s">
        <v>52</v>
      </c>
      <c r="L2" s="127" t="s">
        <v>53</v>
      </c>
      <c r="M2" s="127" t="s">
        <v>54</v>
      </c>
      <c r="N2" s="127" t="s">
        <v>55</v>
      </c>
      <c r="O2" s="127" t="s">
        <v>56</v>
      </c>
      <c r="P2" s="127" t="s">
        <v>57</v>
      </c>
      <c r="Q2" s="127" t="s">
        <v>58</v>
      </c>
      <c r="R2" s="127" t="s">
        <v>59</v>
      </c>
      <c r="S2" s="127" t="s">
        <v>60</v>
      </c>
      <c r="T2" s="127" t="s">
        <v>61</v>
      </c>
      <c r="U2" s="127" t="s">
        <v>62</v>
      </c>
    </row>
    <row r="3" spans="1:21" ht="28.8" x14ac:dyDescent="0.3">
      <c r="A3" s="129" t="str">
        <f>'M-Multa'!A3</f>
        <v>id</v>
      </c>
      <c r="B3" s="130" t="str">
        <f>'M-Multa'!A2</f>
        <v>Representa un identificador que hará unico cada objeto de dominio de este tipo, no se puede repetir</v>
      </c>
      <c r="C3" s="128" t="s">
        <v>63</v>
      </c>
      <c r="D3" s="128" t="s">
        <v>64</v>
      </c>
      <c r="E3" s="128" t="s">
        <v>63</v>
      </c>
      <c r="F3" s="128"/>
      <c r="G3" s="128"/>
      <c r="H3" s="128"/>
      <c r="I3" s="128"/>
      <c r="J3" s="128"/>
      <c r="K3" s="128"/>
      <c r="L3" s="128"/>
      <c r="M3" s="139"/>
      <c r="N3" s="128" t="s">
        <v>65</v>
      </c>
      <c r="O3" s="128" t="s">
        <v>65</v>
      </c>
      <c r="P3" s="128"/>
      <c r="Q3" s="128" t="s">
        <v>65</v>
      </c>
      <c r="R3" s="128" t="s">
        <v>65</v>
      </c>
      <c r="S3" s="128" t="s">
        <v>65</v>
      </c>
      <c r="T3" s="128"/>
      <c r="U3" s="128" t="s">
        <v>63</v>
      </c>
    </row>
    <row r="4" spans="1:21" ht="57.6" x14ac:dyDescent="0.3">
      <c r="A4" s="137" t="str">
        <f>'M-Multa'!B3</f>
        <v>cita</v>
      </c>
      <c r="B4" s="137" t="str">
        <f>'M-Multa'!B2</f>
        <v>Hace referencia a la cita puntual que el cliente incumplió (llegando tarde fuera de la tolerancia o no presentándose), de esa cita es de donde sale el valor de monto si fue el caso de no presentase</v>
      </c>
      <c r="C4" s="137" t="s">
        <v>65</v>
      </c>
      <c r="D4" s="141" t="s">
        <v>35</v>
      </c>
      <c r="E4" s="137" t="s">
        <v>63</v>
      </c>
      <c r="F4" s="137"/>
      <c r="G4" s="137"/>
      <c r="H4" s="137"/>
      <c r="I4" s="137"/>
      <c r="J4" s="137"/>
      <c r="K4" s="137"/>
      <c r="L4" s="137"/>
      <c r="M4" s="137"/>
      <c r="N4" s="137" t="s">
        <v>65</v>
      </c>
      <c r="O4" s="137"/>
      <c r="P4" s="137"/>
      <c r="Q4" s="137"/>
      <c r="R4" s="137"/>
      <c r="S4" s="137" t="s">
        <v>65</v>
      </c>
      <c r="T4" s="137"/>
      <c r="U4" s="137" t="s">
        <v>65</v>
      </c>
    </row>
    <row r="5" spans="1:21" ht="28.8" x14ac:dyDescent="0.3">
      <c r="A5" s="129" t="str">
        <f>'M-Multa'!C3</f>
        <v>tipo</v>
      </c>
      <c r="B5" s="130" t="str">
        <f>'M-Multa'!C2</f>
        <v>Hace referencia al tipo de multa -tardanza o inasistencia- según lo que haya ocurrido con la cita</v>
      </c>
      <c r="C5" s="128" t="s">
        <v>65</v>
      </c>
      <c r="D5" s="131" t="s">
        <v>21</v>
      </c>
      <c r="E5" s="128" t="s">
        <v>63</v>
      </c>
      <c r="F5" s="128"/>
      <c r="G5" s="128"/>
      <c r="H5" s="128"/>
      <c r="I5" s="128"/>
      <c r="J5" s="128"/>
      <c r="K5" s="128"/>
      <c r="L5" s="128"/>
      <c r="M5" s="139"/>
      <c r="N5" s="128" t="s">
        <v>65</v>
      </c>
      <c r="O5" s="128"/>
      <c r="P5" s="128"/>
      <c r="Q5" s="128"/>
      <c r="R5" s="128"/>
      <c r="S5" s="128" t="s">
        <v>65</v>
      </c>
      <c r="T5" s="128"/>
      <c r="U5" s="128" t="s">
        <v>65</v>
      </c>
    </row>
    <row r="6" spans="1:21" ht="72" x14ac:dyDescent="0.3">
      <c r="A6" s="137" t="str">
        <f>'M-Multa'!D3</f>
        <v>monto</v>
      </c>
      <c r="B6" s="137"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37" t="s">
        <v>65</v>
      </c>
      <c r="D6" s="137" t="s">
        <v>345</v>
      </c>
      <c r="E6" s="137" t="s">
        <v>63</v>
      </c>
      <c r="F6" s="137"/>
      <c r="G6" s="137"/>
      <c r="H6" s="137"/>
      <c r="I6" s="137"/>
      <c r="J6" s="137"/>
      <c r="K6" s="137"/>
      <c r="L6" s="137" t="s">
        <v>105</v>
      </c>
      <c r="M6" s="137" t="s">
        <v>326</v>
      </c>
      <c r="N6" s="137" t="s">
        <v>65</v>
      </c>
      <c r="O6" s="137"/>
      <c r="P6" s="137"/>
      <c r="Q6" s="137"/>
      <c r="R6" s="137"/>
      <c r="S6" s="137" t="s">
        <v>65</v>
      </c>
      <c r="T6" s="137"/>
      <c r="U6" s="137" t="s">
        <v>63</v>
      </c>
    </row>
    <row r="7" spans="1:21" ht="86.4" x14ac:dyDescent="0.3">
      <c r="A7" s="129" t="str">
        <f>'M-Multa'!E3</f>
        <v>horaGeneracion</v>
      </c>
      <c r="B7" s="130"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28" t="s">
        <v>65</v>
      </c>
      <c r="D7" s="128" t="s">
        <v>230</v>
      </c>
      <c r="E7" s="128" t="s">
        <v>63</v>
      </c>
      <c r="F7" s="128"/>
      <c r="G7" s="128"/>
      <c r="H7" s="128"/>
      <c r="I7" s="128"/>
      <c r="J7" s="128"/>
      <c r="K7" s="128"/>
      <c r="L7" s="128"/>
      <c r="M7" s="139" t="s">
        <v>327</v>
      </c>
      <c r="N7" s="128" t="s">
        <v>65</v>
      </c>
      <c r="O7" s="128"/>
      <c r="P7" s="128"/>
      <c r="Q7" s="128"/>
      <c r="R7" s="128"/>
      <c r="S7" s="128" t="s">
        <v>65</v>
      </c>
      <c r="T7" s="128"/>
      <c r="U7" s="128" t="s">
        <v>63</v>
      </c>
    </row>
    <row r="8" spans="1:21" ht="43.2" x14ac:dyDescent="0.3">
      <c r="A8" s="137" t="str">
        <f>'M-Multa'!F3</f>
        <v>fechaHoraPago</v>
      </c>
      <c r="B8" s="137" t="str">
        <f>'M-Multa'!F2</f>
        <v>Representa la fecha y hora en la que el cliente pagó esta multa. Su valor por defecto es 01/01/1000 00:00 y es permitido: significa que la multa sigue sin pagar</v>
      </c>
      <c r="C8" s="137" t="s">
        <v>65</v>
      </c>
      <c r="D8" s="137" t="s">
        <v>328</v>
      </c>
      <c r="E8" s="137" t="s">
        <v>65</v>
      </c>
      <c r="F8" s="137"/>
      <c r="G8" s="137"/>
      <c r="H8" s="137"/>
      <c r="I8" s="137"/>
      <c r="J8" s="137"/>
      <c r="K8" s="137"/>
      <c r="L8" s="137" t="s">
        <v>329</v>
      </c>
      <c r="M8" s="137"/>
      <c r="N8" s="137" t="s">
        <v>65</v>
      </c>
      <c r="O8" s="137"/>
      <c r="P8" s="137"/>
      <c r="Q8" s="137"/>
      <c r="R8" s="137"/>
      <c r="S8" s="137" t="s">
        <v>65</v>
      </c>
      <c r="T8" s="137" t="s">
        <v>330</v>
      </c>
      <c r="U8" s="137" t="s">
        <v>65</v>
      </c>
    </row>
    <row r="9" spans="1:21" ht="43.2" x14ac:dyDescent="0.3">
      <c r="A9" s="129" t="str">
        <f>'M-Multa'!G3</f>
        <v>pagada</v>
      </c>
      <c r="B9" s="130" t="str">
        <f>'M-Multa'!G2</f>
        <v>Representa si el cliente ya pagó o no esta multa, es el dato que se revisa para decidir si un cliente llega al número de multas sin pagar que activa el veto</v>
      </c>
      <c r="C9" s="128" t="s">
        <v>65</v>
      </c>
      <c r="D9" s="128" t="s">
        <v>107</v>
      </c>
      <c r="E9" s="128" t="s">
        <v>63</v>
      </c>
      <c r="F9" s="128"/>
      <c r="G9" s="128"/>
      <c r="H9" s="128"/>
      <c r="I9" s="128"/>
      <c r="J9" s="128"/>
      <c r="K9" s="128"/>
      <c r="L9" s="128"/>
      <c r="M9" s="139"/>
      <c r="N9" s="128" t="s">
        <v>65</v>
      </c>
      <c r="O9" s="128"/>
      <c r="P9" s="128"/>
      <c r="Q9" s="128"/>
      <c r="R9" s="128"/>
      <c r="S9" s="128" t="s">
        <v>65</v>
      </c>
      <c r="T9" s="128" t="s">
        <v>65</v>
      </c>
      <c r="U9" s="128" t="s">
        <v>65</v>
      </c>
    </row>
    <row r="11" spans="1:21" x14ac:dyDescent="0.3">
      <c r="A11" s="105" t="s">
        <v>67</v>
      </c>
      <c r="B11" s="105" t="s">
        <v>68</v>
      </c>
      <c r="C11" s="105" t="s">
        <v>69</v>
      </c>
    </row>
    <row r="12" spans="1:21" ht="28.8" x14ac:dyDescent="0.3">
      <c r="A12" s="132" t="str">
        <f>'M-Multa'!H3</f>
        <v>Combinación única</v>
      </c>
      <c r="B12" s="133" t="str">
        <f>'M-Multa'!H2</f>
        <v>Combinación única que indica que una misma cita no puede generar más de una multa</v>
      </c>
      <c r="C12" s="107" t="str">
        <f>A4</f>
        <v>cita</v>
      </c>
    </row>
  </sheetData>
  <hyperlinks>
    <hyperlink ref="A3" location="'M-Multa'!A3" display="'M-Multa'!A3" xr:uid="{00000000-0004-0000-1E00-000002000000}"/>
    <hyperlink ref="B3" location="'M-Multa'!A2" display="'M-Multa'!A2" xr:uid="{00000000-0004-0000-1E00-000003000000}"/>
    <hyperlink ref="A4" location="'M-Multa'!A3" display="'M-Multa'!A3" xr:uid="{00000000-0004-0000-1E00-000004000000}"/>
    <hyperlink ref="B4" location="'M-Multa'!A2" display="'M-Multa'!A2" xr:uid="{00000000-0004-0000-1E00-000005000000}"/>
    <hyperlink ref="A5" location="'M-Multa'!A3" display="'M-Multa'!A3" xr:uid="{00000000-0004-0000-1E00-000006000000}"/>
    <hyperlink ref="B5" location="'M-Multa'!A2" display="'M-Multa'!A2" xr:uid="{00000000-0004-0000-1E00-000007000000}"/>
    <hyperlink ref="A6" location="'M-Multa'!A3" display="'M-Multa'!A3" xr:uid="{00000000-0004-0000-1E00-000008000000}"/>
    <hyperlink ref="B6" location="'M-Multa'!A2" display="'M-Multa'!A2" xr:uid="{00000000-0004-0000-1E00-000009000000}"/>
    <hyperlink ref="A7" location="'M-Multa'!A3" display="'M-Multa'!A3" xr:uid="{00000000-0004-0000-1E00-00000A000000}"/>
    <hyperlink ref="B7" location="'M-Multa'!A2" display="'M-Multa'!A2" xr:uid="{00000000-0004-0000-1E00-00000B000000}"/>
    <hyperlink ref="A8" location="'M-Multa'!A3" display="'M-Multa'!A3" xr:uid="{00000000-0004-0000-1E00-00000C000000}"/>
    <hyperlink ref="B8" location="'M-Multa'!A2" display="'M-Multa'!A2" xr:uid="{00000000-0004-0000-1E00-00000D000000}"/>
    <hyperlink ref="A9" location="'M-Multa'!A3" display="'M-Multa'!A3" xr:uid="{00000000-0004-0000-1E00-00000E000000}"/>
    <hyperlink ref="B9" location="'M-Multa'!A2" display="'M-Multa'!A2" xr:uid="{00000000-0004-0000-1E00-00000F000000}"/>
    <hyperlink ref="A12" location="'M-Multa'!A3" display="'M-Multa'!A3" xr:uid="{00000000-0004-0000-1E00-000010000000}"/>
    <hyperlink ref="B12" location="'M-Multa'!A2" display="'M-Multa'!A2" xr:uid="{00000000-0004-0000-1E00-000011000000}"/>
    <hyperlink ref="A1" location="'Modelo de Dominio'!A1" display="&lt;&lt;&lt;&lt; Ir al modulo de dominio" xr:uid="{0CCF97A6-89AF-4F34-95AE-E704604900A9}"/>
    <hyperlink ref="B1" location="'Objetos de Dominio'!A1" display="&lt;&lt;&lt;&lt; Ir a objetos de dominio" xr:uid="{E7E0B4C8-260A-4E37-8E14-AA3FD9E1478F}"/>
    <hyperlink ref="D4" location="'C-Cita'!A1" display="Cita" xr:uid="{FB6BAEDC-A9C8-4EFE-8A12-E14E94DD9348}"/>
    <hyperlink ref="D5" location="'C-TipoMulta'!A1" display="TipoMulta" xr:uid="{1F0F6E9F-2BC2-41CC-96F4-5718378731F6}"/>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21"/>
  <sheetViews>
    <sheetView zoomScaleNormal="100" workbookViewId="0">
      <selection activeCell="A2" sqref="A2"/>
    </sheetView>
  </sheetViews>
  <sheetFormatPr baseColWidth="10" defaultColWidth="10.6640625" defaultRowHeight="14.4" x14ac:dyDescent="0.3"/>
  <cols>
    <col min="1" max="1" width="25" customWidth="1"/>
    <col min="2" max="2" width="33.6640625" customWidth="1"/>
    <col min="3" max="3" width="24.6640625" customWidth="1"/>
    <col min="4" max="4" width="35.5546875" customWidth="1"/>
    <col min="5" max="5" width="40.88671875" bestFit="1" customWidth="1"/>
    <col min="6" max="6" width="35.5546875" customWidth="1"/>
    <col min="7" max="7" width="27.109375" customWidth="1"/>
    <col min="8" max="8" width="30.44140625" customWidth="1"/>
  </cols>
  <sheetData>
    <row r="1" spans="1:8" ht="14.25" customHeight="1" x14ac:dyDescent="0.3">
      <c r="A1" s="114" t="s">
        <v>1</v>
      </c>
      <c r="B1" s="114" t="s">
        <v>41</v>
      </c>
    </row>
    <row r="2" spans="1:8" ht="54" customHeight="1" x14ac:dyDescent="0.3">
      <c r="A2" s="83" t="s">
        <v>71</v>
      </c>
      <c r="B2" s="83" t="s">
        <v>331</v>
      </c>
      <c r="C2" s="83" t="s">
        <v>332</v>
      </c>
      <c r="D2" s="83" t="s">
        <v>333</v>
      </c>
      <c r="E2" s="83" t="s">
        <v>334</v>
      </c>
      <c r="F2" s="83" t="s">
        <v>335</v>
      </c>
      <c r="G2" s="83" t="s">
        <v>336</v>
      </c>
      <c r="H2" s="83" t="s">
        <v>337</v>
      </c>
    </row>
    <row r="3" spans="1:8" ht="14.25" customHeight="1" x14ac:dyDescent="0.3">
      <c r="A3" s="84" t="s">
        <v>74</v>
      </c>
      <c r="B3" s="69" t="s">
        <v>323</v>
      </c>
      <c r="C3" s="60" t="s">
        <v>338</v>
      </c>
      <c r="D3" s="85" t="s">
        <v>339</v>
      </c>
      <c r="E3" s="62" t="s">
        <v>340</v>
      </c>
      <c r="F3" s="92" t="s">
        <v>341</v>
      </c>
      <c r="G3" s="93" t="s">
        <v>342</v>
      </c>
      <c r="H3" s="12" t="s">
        <v>150</v>
      </c>
    </row>
    <row r="4" spans="1:8" ht="42.75" customHeight="1" x14ac:dyDescent="0.3">
      <c r="A4" s="13">
        <v>1</v>
      </c>
      <c r="B4" s="87" t="str">
        <f>'M-Cita'!Q6</f>
        <v>+57-3214533321-Jueves-09:00-19:00-13:00-19:00-si-14/05/2026-13:00</v>
      </c>
      <c r="C4" s="53" t="str">
        <f>'M-TipoMulta'!D4</f>
        <v>Tardanza</v>
      </c>
      <c r="D4" s="91">
        <f>'M-Regla'!C4</f>
        <v>10000</v>
      </c>
      <c r="E4" s="94">
        <f>'M-Cita'!H6</f>
        <v>0.55208333333333304</v>
      </c>
      <c r="F4" s="121">
        <v>46233.416666666664</v>
      </c>
      <c r="G4" s="13" t="s">
        <v>118</v>
      </c>
      <c r="H4" s="23" t="str">
        <f>B4</f>
        <v>+57-3214533321-Jueves-09:00-19:00-13:00-19:00-si-14/05/2026-13:00</v>
      </c>
    </row>
    <row r="5" spans="1:8" ht="42.75" customHeight="1" x14ac:dyDescent="0.3">
      <c r="A5" s="13">
        <v>2</v>
      </c>
      <c r="B5" s="87" t="str">
        <f>'M-Cita'!Q7</f>
        <v>+91-9876543210-Sábado-08:00-21:00-08:00-14:00-no-22/11/2025-13:00</v>
      </c>
      <c r="C5" s="53" t="str">
        <f>'M-TipoMulta'!D5</f>
        <v>Inasistencia</v>
      </c>
      <c r="D5" s="91">
        <f>'M-Cita'!P7</f>
        <v>35000</v>
      </c>
      <c r="E5" s="94">
        <f>'M-Cita'!G7</f>
        <v>0.57638888888888917</v>
      </c>
      <c r="F5" s="13" t="s">
        <v>343</v>
      </c>
      <c r="G5" s="13" t="s">
        <v>198</v>
      </c>
      <c r="H5" s="23" t="str">
        <f>B5</f>
        <v>+91-9876543210-Sábado-08:00-21:00-08:00-14:00-no-22/11/2025-13:00</v>
      </c>
    </row>
    <row r="6" spans="1:8" ht="57" customHeight="1" x14ac:dyDescent="0.3">
      <c r="A6" s="13">
        <v>3</v>
      </c>
      <c r="B6" s="87" t="str">
        <f>'M-Cita'!Q10</f>
        <v>+57-3245627890-Lunes-09:00-19:00-10:00-16:00-si-01/06/2026-10:00</v>
      </c>
      <c r="C6" s="53" t="str">
        <f>'M-TipoMulta'!D5</f>
        <v>Inasistencia</v>
      </c>
      <c r="D6" s="91">
        <f>'M-Cita'!P10</f>
        <v>22000</v>
      </c>
      <c r="E6" s="94">
        <f>'M-Cita'!G10</f>
        <v>0.4583333333333337</v>
      </c>
      <c r="F6" s="13" t="s">
        <v>343</v>
      </c>
      <c r="G6" s="13" t="s">
        <v>198</v>
      </c>
      <c r="H6" s="23" t="str">
        <f>B6</f>
        <v>+57-3245627890-Lunes-09:00-19:00-10:00-16:00-si-01/06/2026-10:00</v>
      </c>
    </row>
    <row r="7" spans="1:8" ht="57" customHeight="1" x14ac:dyDescent="0.3">
      <c r="A7" s="13">
        <v>4</v>
      </c>
      <c r="B7" s="87" t="str">
        <f>'M-Cita'!Q11</f>
        <v>+57-3124518923-Martes-09:00-19:00-09:00-15:00-si-16/06/2026-09:00</v>
      </c>
      <c r="C7" s="53" t="str">
        <f>'M-TipoMulta'!D5</f>
        <v>Inasistencia</v>
      </c>
      <c r="D7" s="91">
        <f>'M-Cita'!P11</f>
        <v>12000</v>
      </c>
      <c r="E7" s="94">
        <f>'M-Cita'!G11</f>
        <v>0.38541666666666669</v>
      </c>
      <c r="F7" s="13" t="s">
        <v>343</v>
      </c>
      <c r="G7" s="13" t="s">
        <v>198</v>
      </c>
      <c r="H7" s="23" t="str">
        <f>B7</f>
        <v>+57-3124518923-Martes-09:00-19:00-09:00-15:00-si-16/06/2026-09:00</v>
      </c>
    </row>
    <row r="8" spans="1:8" ht="57" customHeight="1" x14ac:dyDescent="0.3">
      <c r="A8" s="13">
        <v>5</v>
      </c>
      <c r="B8" s="87" t="str">
        <f>'M-Cita'!Q12</f>
        <v>+57-3214533321-Jueves-09:00-19:00-13:00-19:00-si-02/07/2026-15:00</v>
      </c>
      <c r="C8" s="53" t="str">
        <f>'M-TipoMulta'!D5</f>
        <v>Inasistencia</v>
      </c>
      <c r="D8" s="91">
        <f>'M-Cita'!P12</f>
        <v>15000</v>
      </c>
      <c r="E8" s="94">
        <f>'M-Cita'!G12</f>
        <v>0.63888888888888884</v>
      </c>
      <c r="F8" s="13" t="s">
        <v>343</v>
      </c>
      <c r="G8" s="13" t="s">
        <v>198</v>
      </c>
      <c r="H8" s="23" t="str">
        <f>B8</f>
        <v>+57-3214533321-Jueves-09:00-19:00-13:00-19:00-si-02/07/2026-15:00</v>
      </c>
    </row>
    <row r="14" spans="1:8" ht="28.5" customHeight="1" x14ac:dyDescent="0.3">
      <c r="A14" s="95"/>
      <c r="B14" s="17" t="s">
        <v>84</v>
      </c>
    </row>
    <row r="15" spans="1:8" ht="28.5" customHeight="1" x14ac:dyDescent="0.3">
      <c r="A15" s="96"/>
      <c r="B15" s="17" t="s">
        <v>85</v>
      </c>
    </row>
    <row r="16" spans="1:8" ht="28.5" customHeight="1" x14ac:dyDescent="0.3">
      <c r="A16" s="97"/>
      <c r="B16" s="17" t="s">
        <v>125</v>
      </c>
    </row>
    <row r="17" spans="1:2" ht="14.25" customHeight="1" x14ac:dyDescent="0.3">
      <c r="A17" s="98"/>
      <c r="B17" s="17" t="s">
        <v>344</v>
      </c>
    </row>
    <row r="18" spans="1:2" ht="14.25" customHeight="1" x14ac:dyDescent="0.3">
      <c r="A18" s="122"/>
      <c r="B18" s="17" t="s">
        <v>354</v>
      </c>
    </row>
    <row r="19" spans="1:2" ht="14.25" customHeight="1" x14ac:dyDescent="0.3">
      <c r="A19" s="123"/>
      <c r="B19" s="17" t="s">
        <v>355</v>
      </c>
    </row>
    <row r="20" spans="1:2" ht="14.25" customHeight="1" x14ac:dyDescent="0.3">
      <c r="A20" s="99"/>
      <c r="B20" t="s">
        <v>127</v>
      </c>
    </row>
    <row r="21" spans="1:2" ht="14.25" customHeight="1" x14ac:dyDescent="0.3">
      <c r="A21" s="100"/>
      <c r="B21" t="s">
        <v>87</v>
      </c>
    </row>
  </sheetData>
  <hyperlinks>
    <hyperlink ref="B3" location="'M-Cita'!A1" display="cita" xr:uid="{00000000-0004-0000-1F00-000002000000}"/>
    <hyperlink ref="C3" location="'M-TipoMulta'!A1" display="tipo" xr:uid="{00000000-0004-0000-1F00-000003000000}"/>
    <hyperlink ref="B4" location="'M-Cita'!A6" display="#'M-Cita'.A6" xr:uid="{00000000-0004-0000-1F00-000004000000}"/>
    <hyperlink ref="C4" location="'M-TipoMulta'!A4" display="#'M-TipoMulta'.A4" xr:uid="{00000000-0004-0000-1F00-000005000000}"/>
    <hyperlink ref="D4" location="'M-Regla'!A4" display="#'M-Regla'.A4" xr:uid="{00000000-0004-0000-1F00-000006000000}"/>
    <hyperlink ref="E4" location="'M-Cita'!A6" display="#'M-Cita'.A6" xr:uid="{00000000-0004-0000-1F00-000007000000}"/>
    <hyperlink ref="B5" location="'M-Cita'!A7" display="#'M-Cita'.A7" xr:uid="{00000000-0004-0000-1F00-000009000000}"/>
    <hyperlink ref="C5" location="'M-TipoMulta'!A5" display="#'M-TipoMulta'.A5" xr:uid="{00000000-0004-0000-1F00-00000A000000}"/>
    <hyperlink ref="E5" location="'M-Cita'!A7" display="#'M-Cita'.A7" xr:uid="{00000000-0004-0000-1F00-00000C000000}"/>
    <hyperlink ref="B6" location="'M-Cita'!A10" display="#'M-Cita'.A10" xr:uid="{00000000-0004-0000-1F00-00000D000000}"/>
    <hyperlink ref="C6" location="'M-TipoMulta'!A5" display="#'M-TipoMulta'.A5" xr:uid="{00000000-0004-0000-1F00-00000E000000}"/>
    <hyperlink ref="E6" location="'M-Cita'!A10" display="#'M-Cita'.A10" xr:uid="{00000000-0004-0000-1F00-000010000000}"/>
    <hyperlink ref="B7" location="'M-Cita'!A11" display="#'M-Cita'.A11" xr:uid="{00000000-0004-0000-1F00-000011000000}"/>
    <hyperlink ref="C7" location="'M-TipoMulta'!A5" display="#'M-TipoMulta'.A5" xr:uid="{00000000-0004-0000-1F00-000012000000}"/>
    <hyperlink ref="E7" location="'M-Cita'!A11" display="#'M-Cita'.A11" xr:uid="{00000000-0004-0000-1F00-000014000000}"/>
    <hyperlink ref="B8" location="'M-Cita'!A12" display="#'M-Cita'.A12" xr:uid="{00000000-0004-0000-1F00-000015000000}"/>
    <hyperlink ref="C8" location="'M-TipoMulta'!A5" display="#'M-TipoMulta'.A5" xr:uid="{00000000-0004-0000-1F00-000016000000}"/>
    <hyperlink ref="E8" location="'M-Cita'!A12" display="#'M-Cita'.A12" xr:uid="{00000000-0004-0000-1F00-000018000000}"/>
    <hyperlink ref="A1" location="'Modelo de Dominio'!A1" display="&lt;&lt;&lt;&lt; Ir al modulo de dominio" xr:uid="{98C70880-71CF-4054-9D23-ABC7C9301E0D}"/>
    <hyperlink ref="B1" location="'Objetos de Dominio'!A1" display="&lt;&lt;&lt;&lt; Ir a objetos de dominio" xr:uid="{A224356A-E9C3-4192-BE32-DE8B27BD87D8}"/>
    <hyperlink ref="D8" location="'M-Cita'!A12" display="#'M-Cita'.A12" xr:uid="{00000000-0004-0000-1F00-000017000000}"/>
    <hyperlink ref="D7" location="'M-Cita'!A11" display="#'M-Cita'.A11" xr:uid="{00000000-0004-0000-1F00-000013000000}"/>
    <hyperlink ref="D6" location="'M-Cita'!A10" display="#'M-Cita'.A10" xr:uid="{00000000-0004-0000-1F00-00000F000000}"/>
    <hyperlink ref="D5" location="'M-Cita'!A7" display="#'M-Cita'.A7" xr:uid="{00000000-0004-0000-1F00-00000B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32</vt:i4>
      </vt:variant>
    </vt:vector>
  </HeadingPairs>
  <TitlesOfParts>
    <vt:vector size="32"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2026-09-01T22:04:32Z</dcterms:modified>
  <dc:language>en-US</dc:language>
</cp:coreProperties>
</file>