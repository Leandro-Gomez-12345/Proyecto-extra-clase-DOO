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20f6d501c463b80/Escritorio/leo/Doo/Barberia proyecto/"/>
    </mc:Choice>
  </mc:AlternateContent>
  <xr:revisionPtr revIDLastSave="118" documentId="13_ncr:1_{11048D1A-87F2-4C18-B06A-60A41D0EB628}" xr6:coauthVersionLast="47" xr6:coauthVersionMax="47" xr10:uidLastSave="{63E7D977-E9B3-4F07-AEBC-64C6D781B58A}"/>
  <bookViews>
    <workbookView xWindow="-120" yWindow="-120" windowWidth="29040" windowHeight="15840" tabRatio="500" firstSheet="3" activeTab="6" xr2:uid="{00000000-000D-0000-FFFF-FFFF00000000}"/>
  </bookViews>
  <sheets>
    <sheet name="Modelo de Dominio" sheetId="1" r:id="rId1"/>
    <sheet name="Objetos de Dominio" sheetId="2" r:id="rId2"/>
    <sheet name="C-DiaSemana" sheetId="3" r:id="rId3"/>
    <sheet name="P-DiaSemana" sheetId="4" r:id="rId4"/>
    <sheet name="E-DiaSemana" sheetId="5" r:id="rId5"/>
    <sheet name="M-DiaSemana" sheetId="6" r:id="rId6"/>
    <sheet name="C-Estado" sheetId="7" r:id="rId7"/>
    <sheet name="P-Estado" sheetId="8" r:id="rId8"/>
    <sheet name="E-Estado" sheetId="9" r:id="rId9"/>
    <sheet name="M-Estado" sheetId="10" r:id="rId10"/>
    <sheet name="C-Servicio" sheetId="11" r:id="rId11"/>
    <sheet name="P-Servicio" sheetId="12" r:id="rId12"/>
    <sheet name="E-Servicio" sheetId="13" r:id="rId13"/>
    <sheet name="M-Servicio" sheetId="14" r:id="rId14"/>
    <sheet name="C-PrefijoCelular" sheetId="15" r:id="rId15"/>
    <sheet name="P-PrefijoCelular" sheetId="16" r:id="rId16"/>
    <sheet name="E-PrefijoCelular" sheetId="17" r:id="rId17"/>
    <sheet name="M-PrefijoCelular" sheetId="18" r:id="rId18"/>
    <sheet name="C-TipoMulta" sheetId="19" r:id="rId19"/>
    <sheet name="P-TipoMulta" sheetId="20" r:id="rId20"/>
    <sheet name="E-TipoMulta" sheetId="21" r:id="rId21"/>
    <sheet name="M-TipoMulta" sheetId="22" r:id="rId22"/>
    <sheet name="C-Barbero" sheetId="23" r:id="rId23"/>
    <sheet name="P-Barbero" sheetId="24" r:id="rId24"/>
    <sheet name="E-Barbero" sheetId="25" r:id="rId25"/>
    <sheet name="M-Barbero" sheetId="26" r:id="rId26"/>
    <sheet name="C-Cliente" sheetId="27" r:id="rId27"/>
    <sheet name="P-Cliente" sheetId="28" r:id="rId28"/>
    <sheet name="E-Cliente" sheetId="29" r:id="rId29"/>
    <sheet name="M-Cliente" sheetId="30" r:id="rId30"/>
    <sheet name="C-HorarioBarberia" sheetId="31" r:id="rId31"/>
    <sheet name="P-HorarioBarberia" sheetId="32" r:id="rId32"/>
    <sheet name="E-HorarioBarberia" sheetId="33" r:id="rId33"/>
    <sheet name="M-HorarioBarberia" sheetId="34" r:id="rId34"/>
    <sheet name="C-Bloqueo" sheetId="35" r:id="rId35"/>
    <sheet name="P-Bloqueo" sheetId="36" r:id="rId36"/>
    <sheet name="E-Bloqueo" sheetId="37" r:id="rId37"/>
    <sheet name="M-Bloqueo" sheetId="38" r:id="rId38"/>
    <sheet name="C-BarberoServicio" sheetId="39" r:id="rId39"/>
    <sheet name="P-BarberoServicio" sheetId="40" r:id="rId40"/>
    <sheet name="E-BarberoServicio" sheetId="41" r:id="rId41"/>
    <sheet name="M-BarberoServicio" sheetId="42" r:id="rId42"/>
    <sheet name="C-HorarioBarbero" sheetId="43" r:id="rId43"/>
    <sheet name="P-HorarioBarbero" sheetId="44" r:id="rId44"/>
    <sheet name="E-HorarioBarbero" sheetId="45" r:id="rId45"/>
    <sheet name="M-HorarioBarbero" sheetId="46" r:id="rId46"/>
    <sheet name="C-Agenda" sheetId="47" r:id="rId47"/>
    <sheet name="P-Agenda" sheetId="48" r:id="rId48"/>
    <sheet name="E-Agenda" sheetId="49" r:id="rId49"/>
    <sheet name="M-Agenda" sheetId="50" r:id="rId50"/>
    <sheet name="C-Cita" sheetId="51" r:id="rId51"/>
    <sheet name="P-Cita" sheetId="52" r:id="rId52"/>
    <sheet name="E-Cita" sheetId="53" r:id="rId53"/>
    <sheet name="M-Cita" sheetId="54" r:id="rId54"/>
    <sheet name="C-CitaServicio" sheetId="55" r:id="rId55"/>
    <sheet name="P-CitaServicio" sheetId="56" r:id="rId56"/>
    <sheet name="E-CitaServicio" sheetId="57" r:id="rId57"/>
    <sheet name="M-CitaServicio" sheetId="58" r:id="rId58"/>
    <sheet name="C-Multa" sheetId="59" r:id="rId59"/>
    <sheet name="P-Multa" sheetId="60" r:id="rId60"/>
    <sheet name="E-Multa" sheetId="61" r:id="rId61"/>
    <sheet name="M-Multa" sheetId="62" r:id="rId6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Y2" i="7" l="1"/>
  <c r="W2" i="7"/>
  <c r="V2" i="7"/>
  <c r="P15" i="7"/>
  <c r="O15" i="7"/>
  <c r="P13" i="7"/>
  <c r="O13" i="7"/>
  <c r="P14" i="7"/>
  <c r="V2" i="3"/>
  <c r="E4" i="62" l="1"/>
  <c r="D4" i="62"/>
  <c r="H10" i="61"/>
  <c r="G10" i="61"/>
  <c r="H8" i="61"/>
  <c r="G8" i="61"/>
  <c r="H7" i="61"/>
  <c r="G7" i="61"/>
  <c r="B3" i="61"/>
  <c r="B2" i="61"/>
  <c r="D10" i="61" s="1"/>
  <c r="B3" i="60"/>
  <c r="B2" i="60"/>
  <c r="P19" i="59"/>
  <c r="O19" i="59"/>
  <c r="P17" i="59"/>
  <c r="O17" i="59"/>
  <c r="P16" i="59"/>
  <c r="O16" i="59"/>
  <c r="B12" i="59"/>
  <c r="A12" i="59"/>
  <c r="B9" i="59"/>
  <c r="A9" i="59"/>
  <c r="B8" i="59"/>
  <c r="A8" i="59"/>
  <c r="B7" i="59"/>
  <c r="A7" i="59"/>
  <c r="B6" i="59"/>
  <c r="A6" i="59"/>
  <c r="B5" i="59"/>
  <c r="A5" i="59"/>
  <c r="B4" i="59"/>
  <c r="A4" i="59"/>
  <c r="C12" i="59" s="1"/>
  <c r="B3" i="59"/>
  <c r="A3" i="59"/>
  <c r="G14" i="58"/>
  <c r="F14" i="58"/>
  <c r="E14" i="58"/>
  <c r="D14" i="58"/>
  <c r="G13" i="58"/>
  <c r="F13" i="58"/>
  <c r="E13" i="58"/>
  <c r="D13" i="58"/>
  <c r="G12" i="58"/>
  <c r="F12" i="58"/>
  <c r="E12" i="58"/>
  <c r="D12" i="58"/>
  <c r="G11" i="58"/>
  <c r="F11" i="58"/>
  <c r="E11" i="58"/>
  <c r="D11" i="58"/>
  <c r="G10" i="58"/>
  <c r="F10" i="58"/>
  <c r="E10" i="58"/>
  <c r="D10" i="58"/>
  <c r="G9" i="58"/>
  <c r="F9" i="58"/>
  <c r="E9" i="58"/>
  <c r="D9" i="58"/>
  <c r="G8" i="58"/>
  <c r="F8" i="58"/>
  <c r="E8" i="58"/>
  <c r="D8" i="58"/>
  <c r="G7" i="58"/>
  <c r="F7" i="58"/>
  <c r="E7" i="58"/>
  <c r="D7" i="58"/>
  <c r="G6" i="58"/>
  <c r="F6" i="58"/>
  <c r="E6" i="58"/>
  <c r="D6" i="58"/>
  <c r="G5" i="58"/>
  <c r="F5" i="58"/>
  <c r="E5" i="58"/>
  <c r="D5" i="58"/>
  <c r="G4" i="58"/>
  <c r="F4" i="58"/>
  <c r="E4" i="58"/>
  <c r="D4" i="58"/>
  <c r="D9" i="57"/>
  <c r="D8" i="57"/>
  <c r="D7" i="57"/>
  <c r="B3" i="57"/>
  <c r="B2" i="57"/>
  <c r="D10" i="57" s="1"/>
  <c r="B3" i="56"/>
  <c r="B2" i="56"/>
  <c r="C13" i="55"/>
  <c r="B12" i="55"/>
  <c r="A12" i="55"/>
  <c r="B9" i="55"/>
  <c r="A9" i="55"/>
  <c r="B8" i="55"/>
  <c r="A8" i="55"/>
  <c r="B7" i="55"/>
  <c r="A7" i="55"/>
  <c r="B6" i="55"/>
  <c r="A6" i="55"/>
  <c r="B5" i="55"/>
  <c r="A5" i="55"/>
  <c r="B4" i="55"/>
  <c r="A4" i="55"/>
  <c r="C12" i="55" s="1"/>
  <c r="B3" i="55"/>
  <c r="A3" i="55"/>
  <c r="N13" i="54"/>
  <c r="M13" i="54"/>
  <c r="N12" i="54"/>
  <c r="M12" i="54"/>
  <c r="N11" i="54"/>
  <c r="M11" i="54"/>
  <c r="N10" i="54"/>
  <c r="M10" i="54"/>
  <c r="N9" i="54"/>
  <c r="M9" i="54"/>
  <c r="N8" i="54"/>
  <c r="M8" i="54"/>
  <c r="N7" i="54"/>
  <c r="M7" i="54"/>
  <c r="N6" i="54"/>
  <c r="M6" i="54"/>
  <c r="N5" i="54"/>
  <c r="M5" i="54"/>
  <c r="N4" i="54"/>
  <c r="M4" i="54"/>
  <c r="H24" i="53"/>
  <c r="G24" i="53"/>
  <c r="H23" i="53"/>
  <c r="G23" i="53"/>
  <c r="D23" i="53"/>
  <c r="H22" i="53"/>
  <c r="G22" i="53"/>
  <c r="H21" i="53"/>
  <c r="G21" i="53"/>
  <c r="H20" i="53"/>
  <c r="G20" i="53"/>
  <c r="H19" i="53"/>
  <c r="G19" i="53"/>
  <c r="D19" i="53"/>
  <c r="H18" i="53"/>
  <c r="G18" i="53"/>
  <c r="D18" i="53"/>
  <c r="H17" i="53"/>
  <c r="G17" i="53"/>
  <c r="H16" i="53"/>
  <c r="G16" i="53"/>
  <c r="H15" i="53"/>
  <c r="G15" i="53"/>
  <c r="D15" i="53"/>
  <c r="H14" i="53"/>
  <c r="G14" i="53"/>
  <c r="H13" i="53"/>
  <c r="G13" i="53"/>
  <c r="H12" i="53"/>
  <c r="G12" i="53"/>
  <c r="H11" i="53"/>
  <c r="G11" i="53"/>
  <c r="H10" i="53"/>
  <c r="G10" i="53"/>
  <c r="H9" i="53"/>
  <c r="G9" i="53"/>
  <c r="H8" i="53"/>
  <c r="G8" i="53"/>
  <c r="H7" i="53"/>
  <c r="G7" i="53"/>
  <c r="D7" i="53"/>
  <c r="B3" i="53"/>
  <c r="B2" i="53"/>
  <c r="D24" i="53" s="1"/>
  <c r="B3" i="52"/>
  <c r="B2" i="52"/>
  <c r="D12" i="49"/>
  <c r="D11" i="49"/>
  <c r="H9" i="49"/>
  <c r="G9" i="49"/>
  <c r="D9" i="49"/>
  <c r="H8" i="49"/>
  <c r="G8" i="49"/>
  <c r="H7" i="49"/>
  <c r="G7" i="49"/>
  <c r="D7" i="49"/>
  <c r="B3" i="49"/>
  <c r="B2" i="49"/>
  <c r="B3" i="48"/>
  <c r="B2" i="48"/>
  <c r="P15" i="47"/>
  <c r="O15" i="47"/>
  <c r="P14" i="47"/>
  <c r="O14" i="47"/>
  <c r="P13" i="47"/>
  <c r="O13" i="47"/>
  <c r="C9" i="47"/>
  <c r="C8" i="47"/>
  <c r="B8" i="47"/>
  <c r="A8" i="47"/>
  <c r="B5" i="47"/>
  <c r="A5" i="47"/>
  <c r="B4" i="47"/>
  <c r="A4" i="47"/>
  <c r="B3" i="47"/>
  <c r="A3" i="47"/>
  <c r="D14" i="45"/>
  <c r="H12" i="45"/>
  <c r="G12" i="45"/>
  <c r="H11" i="45"/>
  <c r="G11" i="45"/>
  <c r="H10" i="45"/>
  <c r="G10" i="45"/>
  <c r="G8" i="45"/>
  <c r="G7" i="45"/>
  <c r="B3" i="45"/>
  <c r="B2" i="45"/>
  <c r="D9" i="45" s="1"/>
  <c r="B3" i="44"/>
  <c r="B2" i="44"/>
  <c r="P26" i="43"/>
  <c r="O26" i="43"/>
  <c r="P25" i="43"/>
  <c r="O25" i="43"/>
  <c r="P24" i="43"/>
  <c r="O24" i="43"/>
  <c r="P22" i="43"/>
  <c r="O22" i="43"/>
  <c r="P21" i="43"/>
  <c r="O21" i="43"/>
  <c r="C16" i="43"/>
  <c r="C14" i="43"/>
  <c r="C13" i="43"/>
  <c r="B13" i="43"/>
  <c r="A13" i="43"/>
  <c r="B10" i="43"/>
  <c r="A10" i="43"/>
  <c r="C17" i="43" s="1"/>
  <c r="B9" i="43"/>
  <c r="A9" i="43"/>
  <c r="B8" i="43"/>
  <c r="A8" i="43"/>
  <c r="B7" i="43"/>
  <c r="A7" i="43"/>
  <c r="B6" i="43"/>
  <c r="A6" i="43"/>
  <c r="C15" i="43" s="1"/>
  <c r="B5" i="43"/>
  <c r="A5" i="43"/>
  <c r="B4" i="43"/>
  <c r="A4" i="43"/>
  <c r="B3" i="43"/>
  <c r="A3" i="43"/>
  <c r="H12" i="42"/>
  <c r="C12" i="42"/>
  <c r="B12" i="42"/>
  <c r="C11" i="42"/>
  <c r="B11" i="42"/>
  <c r="H11" i="42" s="1"/>
  <c r="C10" i="42"/>
  <c r="B10" i="42"/>
  <c r="H10" i="42" s="1"/>
  <c r="C9" i="42"/>
  <c r="B9" i="42"/>
  <c r="H9" i="42" s="1"/>
  <c r="H8" i="42"/>
  <c r="C8" i="42"/>
  <c r="B8" i="42"/>
  <c r="C7" i="42"/>
  <c r="B7" i="42"/>
  <c r="H7" i="42" s="1"/>
  <c r="C6" i="42"/>
  <c r="B6" i="42"/>
  <c r="H6" i="42" s="1"/>
  <c r="C5" i="42"/>
  <c r="B5" i="42"/>
  <c r="H5" i="42" s="1"/>
  <c r="H4" i="42"/>
  <c r="C4" i="58" s="1"/>
  <c r="C4" i="42"/>
  <c r="B4" i="42"/>
  <c r="G9" i="41"/>
  <c r="G8" i="41"/>
  <c r="G7" i="41"/>
  <c r="B3" i="41"/>
  <c r="B2" i="41"/>
  <c r="D9" i="41" s="1"/>
  <c r="B3" i="40"/>
  <c r="B2" i="40"/>
  <c r="P19" i="39"/>
  <c r="O19" i="39"/>
  <c r="P18" i="39"/>
  <c r="O18" i="39"/>
  <c r="P17" i="39"/>
  <c r="O17" i="39"/>
  <c r="B12" i="39"/>
  <c r="A12" i="39"/>
  <c r="B9" i="39"/>
  <c r="A9" i="39"/>
  <c r="B8" i="39"/>
  <c r="A8" i="39"/>
  <c r="B7" i="39"/>
  <c r="A7" i="39"/>
  <c r="B6" i="39"/>
  <c r="A6" i="39"/>
  <c r="B5" i="39"/>
  <c r="A5" i="39"/>
  <c r="B4" i="39"/>
  <c r="A4" i="39"/>
  <c r="B3" i="39"/>
  <c r="A3" i="39"/>
  <c r="H14" i="37"/>
  <c r="G14" i="37"/>
  <c r="H13" i="37"/>
  <c r="G13" i="37"/>
  <c r="H10" i="37"/>
  <c r="G10" i="37"/>
  <c r="D10" i="37"/>
  <c r="H9" i="37"/>
  <c r="G9" i="37"/>
  <c r="H8" i="37"/>
  <c r="G8" i="37"/>
  <c r="H7" i="37"/>
  <c r="G7" i="37"/>
  <c r="B3" i="37"/>
  <c r="B2" i="37"/>
  <c r="D13" i="37" s="1"/>
  <c r="B3" i="36"/>
  <c r="B2" i="36"/>
  <c r="P22" i="35"/>
  <c r="O22" i="35"/>
  <c r="P21" i="35"/>
  <c r="O21" i="35"/>
  <c r="P18" i="35"/>
  <c r="O18" i="35"/>
  <c r="P17" i="35"/>
  <c r="O17" i="35"/>
  <c r="P16" i="35"/>
  <c r="O16" i="35"/>
  <c r="P15" i="35"/>
  <c r="O15" i="35"/>
  <c r="C11" i="35"/>
  <c r="C9" i="35"/>
  <c r="B9" i="35"/>
  <c r="A9" i="35"/>
  <c r="B6" i="35"/>
  <c r="A6" i="35"/>
  <c r="B5" i="35"/>
  <c r="A5" i="35"/>
  <c r="C10" i="35" s="1"/>
  <c r="B4" i="35"/>
  <c r="A4" i="35"/>
  <c r="B3" i="35"/>
  <c r="A3" i="35"/>
  <c r="H9" i="34"/>
  <c r="C7" i="46" s="1"/>
  <c r="B9" i="34"/>
  <c r="H14" i="33"/>
  <c r="G14" i="33"/>
  <c r="H13" i="33"/>
  <c r="G13" i="33"/>
  <c r="H12" i="33"/>
  <c r="G12" i="33"/>
  <c r="H8" i="33"/>
  <c r="G8" i="33"/>
  <c r="H7" i="33"/>
  <c r="G7" i="33"/>
  <c r="D7" i="33"/>
  <c r="B3" i="33"/>
  <c r="B2" i="33"/>
  <c r="D9" i="33" s="1"/>
  <c r="B3" i="32"/>
  <c r="B2" i="32"/>
  <c r="P26" i="31"/>
  <c r="O26" i="31"/>
  <c r="P25" i="31"/>
  <c r="O25" i="31"/>
  <c r="P24" i="31"/>
  <c r="O24" i="31"/>
  <c r="P22" i="31"/>
  <c r="O22" i="31"/>
  <c r="P21" i="31"/>
  <c r="O21" i="31"/>
  <c r="B12" i="31"/>
  <c r="A12" i="31"/>
  <c r="B9" i="31"/>
  <c r="A9" i="31"/>
  <c r="C17" i="31" s="1"/>
  <c r="B8" i="31"/>
  <c r="A8" i="31"/>
  <c r="C16" i="31" s="1"/>
  <c r="B7" i="31"/>
  <c r="A7" i="31"/>
  <c r="C15" i="31" s="1"/>
  <c r="B6" i="31"/>
  <c r="A6" i="31"/>
  <c r="C14" i="31" s="1"/>
  <c r="B5" i="31"/>
  <c r="A5" i="31"/>
  <c r="C13" i="31" s="1"/>
  <c r="B4" i="31"/>
  <c r="A4" i="31"/>
  <c r="C12" i="31" s="1"/>
  <c r="B3" i="31"/>
  <c r="A3" i="31"/>
  <c r="F5" i="30"/>
  <c r="J5" i="30" s="1"/>
  <c r="F4" i="30"/>
  <c r="J4" i="30" s="1"/>
  <c r="D11" i="29"/>
  <c r="H9" i="29"/>
  <c r="G9" i="29"/>
  <c r="H8" i="29"/>
  <c r="G8" i="29"/>
  <c r="H7" i="29"/>
  <c r="G7" i="29"/>
  <c r="B3" i="29"/>
  <c r="B2" i="29"/>
  <c r="D7" i="29" s="1"/>
  <c r="B3" i="28"/>
  <c r="B2" i="28"/>
  <c r="P23" i="27"/>
  <c r="O23" i="27"/>
  <c r="P22" i="27"/>
  <c r="O22" i="27"/>
  <c r="P21" i="27"/>
  <c r="O21" i="27"/>
  <c r="C17" i="27"/>
  <c r="B14" i="27"/>
  <c r="A14" i="27"/>
  <c r="B11" i="27"/>
  <c r="A11" i="27"/>
  <c r="B10" i="27"/>
  <c r="A10" i="27"/>
  <c r="B9" i="27"/>
  <c r="A9" i="27"/>
  <c r="B8" i="27"/>
  <c r="A8" i="27"/>
  <c r="C14" i="27" s="1"/>
  <c r="B7" i="27"/>
  <c r="A7" i="27"/>
  <c r="B6" i="27"/>
  <c r="A6" i="27"/>
  <c r="B5" i="27"/>
  <c r="A5" i="27"/>
  <c r="B4" i="27"/>
  <c r="A4" i="27"/>
  <c r="B3" i="27"/>
  <c r="A3" i="27"/>
  <c r="L7" i="26"/>
  <c r="B8" i="46" s="1"/>
  <c r="F7" i="26"/>
  <c r="D14" i="25"/>
  <c r="G13" i="25"/>
  <c r="D13" i="25"/>
  <c r="D12" i="25"/>
  <c r="D11" i="25"/>
  <c r="G10" i="25"/>
  <c r="D10" i="25"/>
  <c r="G9" i="25"/>
  <c r="D9" i="25"/>
  <c r="G8" i="25"/>
  <c r="G7" i="25"/>
  <c r="D7" i="25"/>
  <c r="B3" i="25"/>
  <c r="B2" i="25"/>
  <c r="B3" i="24"/>
  <c r="B2" i="24"/>
  <c r="P27" i="23"/>
  <c r="O27" i="23"/>
  <c r="P24" i="23"/>
  <c r="O24" i="23"/>
  <c r="P22" i="23"/>
  <c r="O22" i="23"/>
  <c r="P21" i="23"/>
  <c r="O21" i="23"/>
  <c r="P20" i="23"/>
  <c r="O20" i="23"/>
  <c r="C16" i="23"/>
  <c r="C15" i="23"/>
  <c r="B15" i="23"/>
  <c r="A15" i="23"/>
  <c r="B12" i="23"/>
  <c r="A12" i="23"/>
  <c r="B11" i="23"/>
  <c r="A11" i="23"/>
  <c r="B10" i="23"/>
  <c r="A10" i="23"/>
  <c r="B9" i="23"/>
  <c r="A9" i="23"/>
  <c r="B8" i="23"/>
  <c r="A8" i="23"/>
  <c r="B7" i="23"/>
  <c r="A7" i="23"/>
  <c r="B6" i="23"/>
  <c r="A6" i="23"/>
  <c r="B5" i="23"/>
  <c r="A5" i="23"/>
  <c r="B4" i="23"/>
  <c r="A4" i="23"/>
  <c r="B3" i="23"/>
  <c r="A3" i="23"/>
  <c r="D5" i="22"/>
  <c r="C6" i="62" s="1"/>
  <c r="D4" i="22"/>
  <c r="C4" i="62" s="1"/>
  <c r="B3" i="21"/>
  <c r="B2" i="21"/>
  <c r="D8" i="21" s="1"/>
  <c r="B3" i="20"/>
  <c r="B2" i="20"/>
  <c r="B8" i="19"/>
  <c r="A8" i="19"/>
  <c r="B5" i="19"/>
  <c r="A5" i="19"/>
  <c r="B4" i="19"/>
  <c r="A4" i="19"/>
  <c r="B3" i="19"/>
  <c r="A3" i="19"/>
  <c r="C7" i="18"/>
  <c r="F7" i="30" s="1"/>
  <c r="J7" i="30" s="1"/>
  <c r="C6" i="18"/>
  <c r="F8" i="26" s="1"/>
  <c r="L8" i="26" s="1"/>
  <c r="C5" i="18"/>
  <c r="C4" i="18"/>
  <c r="F6" i="26" s="1"/>
  <c r="L6" i="26" s="1"/>
  <c r="H11" i="17"/>
  <c r="G11" i="17"/>
  <c r="D11" i="17"/>
  <c r="H10" i="17"/>
  <c r="G10" i="17"/>
  <c r="H9" i="17"/>
  <c r="G9" i="17"/>
  <c r="H8" i="17"/>
  <c r="G8" i="17"/>
  <c r="H7" i="17"/>
  <c r="G7" i="17"/>
  <c r="B3" i="17"/>
  <c r="B2" i="17"/>
  <c r="D9" i="17" s="1"/>
  <c r="B3" i="16"/>
  <c r="B2" i="16"/>
  <c r="P15" i="15"/>
  <c r="O15" i="15"/>
  <c r="P14" i="15"/>
  <c r="O14" i="15"/>
  <c r="P13" i="15"/>
  <c r="O13" i="15"/>
  <c r="P12" i="15"/>
  <c r="O12" i="15"/>
  <c r="P11" i="15"/>
  <c r="O11" i="15"/>
  <c r="B7" i="15"/>
  <c r="A7" i="15"/>
  <c r="B4" i="15"/>
  <c r="A4" i="15"/>
  <c r="B3" i="15"/>
  <c r="A3" i="15"/>
  <c r="F7" i="14"/>
  <c r="F6" i="14"/>
  <c r="F5" i="14"/>
  <c r="F4" i="14"/>
  <c r="G14" i="13"/>
  <c r="D14" i="13"/>
  <c r="D12" i="13"/>
  <c r="D11" i="13"/>
  <c r="G10" i="13"/>
  <c r="G9" i="13"/>
  <c r="D9" i="13"/>
  <c r="G8" i="13"/>
  <c r="G7" i="13"/>
  <c r="B3" i="13"/>
  <c r="B2" i="13"/>
  <c r="D13" i="13" s="1"/>
  <c r="B3" i="12"/>
  <c r="B2" i="12"/>
  <c r="P19" i="11"/>
  <c r="O19" i="11"/>
  <c r="P17" i="11"/>
  <c r="O17" i="11"/>
  <c r="P16" i="11"/>
  <c r="O16" i="11"/>
  <c r="P15" i="11"/>
  <c r="O15" i="11"/>
  <c r="P14" i="11"/>
  <c r="O14" i="11"/>
  <c r="B10" i="11"/>
  <c r="A10" i="11"/>
  <c r="B7" i="11"/>
  <c r="A7" i="11"/>
  <c r="B6" i="11"/>
  <c r="A6" i="11"/>
  <c r="B5" i="11"/>
  <c r="A5" i="11"/>
  <c r="B4" i="11"/>
  <c r="A4" i="11"/>
  <c r="C10" i="11" s="1"/>
  <c r="B3" i="11"/>
  <c r="A3" i="11"/>
  <c r="D11" i="10"/>
  <c r="D10" i="10"/>
  <c r="D12" i="54" s="1"/>
  <c r="D9" i="10"/>
  <c r="D8" i="54" s="1"/>
  <c r="D8" i="10"/>
  <c r="D6" i="54" s="1"/>
  <c r="D7" i="10"/>
  <c r="D6" i="10"/>
  <c r="D5" i="10"/>
  <c r="D13" i="54" s="1"/>
  <c r="D4" i="10"/>
  <c r="D4" i="54" s="1"/>
  <c r="D12" i="9"/>
  <c r="D11" i="9"/>
  <c r="H10" i="9"/>
  <c r="G10" i="9"/>
  <c r="D10" i="9"/>
  <c r="D9" i="9"/>
  <c r="D8" i="9"/>
  <c r="D7" i="9"/>
  <c r="B3" i="9"/>
  <c r="B2" i="9"/>
  <c r="D13" i="9" s="1"/>
  <c r="B3" i="8"/>
  <c r="B2" i="8"/>
  <c r="O14" i="7"/>
  <c r="B8" i="7"/>
  <c r="A8" i="7"/>
  <c r="B5" i="7"/>
  <c r="A5" i="7"/>
  <c r="B4" i="7"/>
  <c r="A4" i="7"/>
  <c r="B3" i="7"/>
  <c r="A3" i="7"/>
  <c r="C11" i="6"/>
  <c r="B10" i="34" s="1"/>
  <c r="H10" i="34" s="1"/>
  <c r="C8" i="46" s="1"/>
  <c r="C10" i="6"/>
  <c r="C9" i="6"/>
  <c r="C8" i="6"/>
  <c r="B8" i="34" s="1"/>
  <c r="H8" i="34" s="1"/>
  <c r="C7" i="6"/>
  <c r="B7" i="34" s="1"/>
  <c r="H7" i="34" s="1"/>
  <c r="C6" i="46" s="1"/>
  <c r="C6" i="6"/>
  <c r="B6" i="34" s="1"/>
  <c r="H6" i="34" s="1"/>
  <c r="C5" i="6"/>
  <c r="B5" i="34" s="1"/>
  <c r="H5" i="34" s="1"/>
  <c r="C5" i="46" s="1"/>
  <c r="C4" i="6"/>
  <c r="B4" i="34" s="1"/>
  <c r="H4" i="34" s="1"/>
  <c r="C4" i="46" s="1"/>
  <c r="D8" i="5"/>
  <c r="D7" i="5"/>
  <c r="B3" i="5"/>
  <c r="B2" i="5"/>
  <c r="B3" i="4"/>
  <c r="B2" i="4"/>
  <c r="B7" i="3"/>
  <c r="A7" i="3"/>
  <c r="B4" i="3"/>
  <c r="A4" i="3"/>
  <c r="B3" i="3"/>
  <c r="A3" i="3"/>
  <c r="P47" i="51"/>
  <c r="O47" i="51"/>
  <c r="P45" i="51"/>
  <c r="O45" i="51"/>
  <c r="P43" i="51"/>
  <c r="O43" i="51"/>
  <c r="P41" i="51"/>
  <c r="O41" i="51"/>
  <c r="P40" i="51"/>
  <c r="O40" i="51"/>
  <c r="P39" i="51"/>
  <c r="O39" i="51"/>
  <c r="P38" i="51"/>
  <c r="O38" i="51"/>
  <c r="P37" i="51"/>
  <c r="O37" i="51"/>
  <c r="P36" i="51"/>
  <c r="O36" i="51"/>
  <c r="P35" i="51"/>
  <c r="O35" i="51"/>
  <c r="P34" i="51"/>
  <c r="O34" i="51"/>
  <c r="P33" i="51"/>
  <c r="O33" i="51"/>
  <c r="P32" i="51"/>
  <c r="O32" i="51"/>
  <c r="P31" i="51"/>
  <c r="O31" i="51"/>
  <c r="P30" i="51"/>
  <c r="O30" i="51"/>
  <c r="P29" i="51"/>
  <c r="O29" i="51"/>
  <c r="P28" i="51"/>
  <c r="O28" i="51"/>
  <c r="C24" i="51"/>
  <c r="C23" i="51"/>
  <c r="B23" i="51"/>
  <c r="A23" i="51"/>
  <c r="B20" i="51"/>
  <c r="A20" i="51"/>
  <c r="B19" i="51"/>
  <c r="A19" i="51"/>
  <c r="B18" i="51"/>
  <c r="A18" i="51"/>
  <c r="B17" i="51"/>
  <c r="A17" i="51"/>
  <c r="B16" i="51"/>
  <c r="A16" i="51"/>
  <c r="B15" i="51"/>
  <c r="A15" i="51"/>
  <c r="B14" i="51"/>
  <c r="A14" i="51"/>
  <c r="B13" i="51"/>
  <c r="A13" i="51"/>
  <c r="B12" i="51"/>
  <c r="A12" i="51"/>
  <c r="B11" i="51"/>
  <c r="A11" i="51"/>
  <c r="B10" i="51"/>
  <c r="A10" i="51"/>
  <c r="B9" i="51"/>
  <c r="A9" i="51"/>
  <c r="B8" i="51"/>
  <c r="A8" i="51"/>
  <c r="B7" i="51"/>
  <c r="A7" i="51"/>
  <c r="B6" i="51"/>
  <c r="A6" i="51"/>
  <c r="B5" i="51"/>
  <c r="A5" i="51"/>
  <c r="B4" i="51"/>
  <c r="A4" i="51"/>
  <c r="B3" i="51"/>
  <c r="A3" i="51"/>
  <c r="C8" i="58" l="1"/>
  <c r="C14" i="58"/>
  <c r="I8" i="46"/>
  <c r="B7" i="50" s="1"/>
  <c r="D7" i="50" s="1"/>
  <c r="C9" i="54" s="1"/>
  <c r="S9" i="54" s="1"/>
  <c r="C11" i="58"/>
  <c r="C5" i="58"/>
  <c r="B6" i="46"/>
  <c r="I6" i="46" s="1"/>
  <c r="B6" i="38"/>
  <c r="E6" i="38" s="1"/>
  <c r="B9" i="54"/>
  <c r="B4" i="54"/>
  <c r="C13" i="58"/>
  <c r="C6" i="58"/>
  <c r="C12" i="58"/>
  <c r="B5" i="54"/>
  <c r="B13" i="54"/>
  <c r="C9" i="58"/>
  <c r="C7" i="58"/>
  <c r="B7" i="54"/>
  <c r="B8" i="54"/>
  <c r="D7" i="17"/>
  <c r="F6" i="30"/>
  <c r="J6" i="30" s="1"/>
  <c r="B6" i="54" s="1"/>
  <c r="D10" i="33"/>
  <c r="D7" i="13"/>
  <c r="D12" i="17"/>
  <c r="D11" i="33"/>
  <c r="D10" i="45"/>
  <c r="D21" i="53"/>
  <c r="D5" i="54"/>
  <c r="D11" i="54"/>
  <c r="D11" i="37"/>
  <c r="D10" i="41"/>
  <c r="C10" i="58"/>
  <c r="D9" i="21"/>
  <c r="D13" i="17"/>
  <c r="D9" i="29"/>
  <c r="D12" i="33"/>
  <c r="D14" i="17"/>
  <c r="F4" i="26"/>
  <c r="L4" i="26" s="1"/>
  <c r="D12" i="37"/>
  <c r="B7" i="38"/>
  <c r="E7" i="38" s="1"/>
  <c r="D11" i="41"/>
  <c r="D10" i="54"/>
  <c r="D7" i="61"/>
  <c r="D7" i="37"/>
  <c r="D12" i="41"/>
  <c r="D22" i="53"/>
  <c r="C7" i="62"/>
  <c r="F8" i="30"/>
  <c r="J8" i="30" s="1"/>
  <c r="F5" i="26"/>
  <c r="L5" i="26" s="1"/>
  <c r="D10" i="29"/>
  <c r="B8" i="38"/>
  <c r="E8" i="38" s="1"/>
  <c r="D9" i="54"/>
  <c r="B7" i="46"/>
  <c r="I7" i="46" s="1"/>
  <c r="B8" i="50" s="1"/>
  <c r="D8" i="50" s="1"/>
  <c r="C7" i="54" s="1"/>
  <c r="S7" i="54" s="1"/>
  <c r="C5" i="62"/>
  <c r="D12" i="29"/>
  <c r="D9" i="61"/>
  <c r="D7" i="21"/>
  <c r="D7" i="41"/>
  <c r="D7" i="45"/>
  <c r="D7" i="54"/>
  <c r="C8" i="62"/>
  <c r="D20" i="53"/>
  <c r="B12" i="50" l="1"/>
  <c r="D12" i="50" s="1"/>
  <c r="C12" i="54" s="1"/>
  <c r="S12" i="54" s="1"/>
  <c r="B6" i="50"/>
  <c r="D6" i="50" s="1"/>
  <c r="B9" i="50"/>
  <c r="D9" i="50" s="1"/>
  <c r="C8" i="54" s="1"/>
  <c r="S8" i="54" s="1"/>
  <c r="B5" i="62"/>
  <c r="H5" i="62" s="1"/>
  <c r="B7" i="58"/>
  <c r="H7" i="58" s="1"/>
  <c r="B5" i="46"/>
  <c r="I5" i="46" s="1"/>
  <c r="B5" i="38"/>
  <c r="E5" i="38" s="1"/>
  <c r="B9" i="58"/>
  <c r="H9" i="58" s="1"/>
  <c r="B11" i="54"/>
  <c r="B12" i="54"/>
  <c r="B10" i="54"/>
  <c r="B4" i="46"/>
  <c r="I4" i="46" s="1"/>
  <c r="B4" i="38"/>
  <c r="E4" i="38" s="1"/>
  <c r="B11" i="50" l="1"/>
  <c r="D11" i="50" s="1"/>
  <c r="C11" i="54" s="1"/>
  <c r="S11" i="54" s="1"/>
  <c r="B5" i="50"/>
  <c r="D5" i="50" s="1"/>
  <c r="C5" i="54" s="1"/>
  <c r="S5" i="54" s="1"/>
  <c r="B10" i="50"/>
  <c r="D10" i="50" s="1"/>
  <c r="C10" i="54" s="1"/>
  <c r="S10" i="54" s="1"/>
  <c r="B4" i="50"/>
  <c r="D4" i="50" s="1"/>
  <c r="C4" i="54" s="1"/>
  <c r="S4" i="54" s="1"/>
  <c r="B8" i="58"/>
  <c r="H8" i="58" s="1"/>
  <c r="C6" i="54"/>
  <c r="S6" i="54" s="1"/>
  <c r="C13" i="54"/>
  <c r="S13" i="54" s="1"/>
  <c r="B8" i="62"/>
  <c r="H8" i="62" s="1"/>
  <c r="B12" i="58"/>
  <c r="H12" i="58" s="1"/>
  <c r="B13" i="58" l="1"/>
  <c r="H13" i="58" s="1"/>
  <c r="B14" i="58"/>
  <c r="H14" i="58" s="1"/>
  <c r="B4" i="62"/>
  <c r="H4" i="62" s="1"/>
  <c r="B6" i="58"/>
  <c r="H6" i="58" s="1"/>
  <c r="L6" i="54"/>
  <c r="K6" i="54"/>
  <c r="F6" i="54" s="1"/>
  <c r="R4" i="54"/>
  <c r="B4" i="58"/>
  <c r="K11" i="54" s="1"/>
  <c r="B6" i="62"/>
  <c r="H6" i="62" s="1"/>
  <c r="B10" i="58"/>
  <c r="H10" i="58" s="1"/>
  <c r="R5" i="54"/>
  <c r="L5" i="54"/>
  <c r="K5" i="54"/>
  <c r="F5" i="54" s="1"/>
  <c r="B5" i="58"/>
  <c r="H5" i="58" s="1"/>
  <c r="B11" i="58"/>
  <c r="H11" i="58" s="1"/>
  <c r="B7" i="62"/>
  <c r="H7" i="62" s="1"/>
  <c r="K10" i="54" l="1"/>
  <c r="L10" i="54"/>
  <c r="R13" i="54"/>
  <c r="R10" i="54"/>
  <c r="D6" i="62" s="1"/>
  <c r="H4" i="58"/>
  <c r="L9" i="54"/>
  <c r="R9" i="54"/>
  <c r="L7" i="54"/>
  <c r="K7" i="54"/>
  <c r="F7" i="54" s="1"/>
  <c r="E5" i="62" s="1"/>
  <c r="R7" i="54"/>
  <c r="D5" i="62" s="1"/>
  <c r="K9" i="54"/>
  <c r="F9" i="54" s="1"/>
  <c r="L12" i="54"/>
  <c r="K12" i="54"/>
  <c r="F12" i="54" s="1"/>
  <c r="E8" i="62" s="1"/>
  <c r="L8" i="54"/>
  <c r="R12" i="54"/>
  <c r="D8" i="62" s="1"/>
  <c r="K8" i="54"/>
  <c r="R8" i="54"/>
  <c r="K4" i="54"/>
  <c r="K13" i="54"/>
  <c r="F13" i="54" s="1"/>
  <c r="R6" i="54"/>
  <c r="L11" i="54"/>
  <c r="F11" i="54" s="1"/>
  <c r="E7" i="62" s="1"/>
  <c r="R11" i="54"/>
  <c r="D7" i="62" s="1"/>
  <c r="L4" i="54"/>
  <c r="L13" i="54"/>
  <c r="F4" i="54" l="1"/>
  <c r="F8" i="54"/>
  <c r="F10" i="54"/>
  <c r="E6" i="62" s="1"/>
</calcChain>
</file>

<file path=xl/sharedStrings.xml><?xml version="1.0" encoding="utf-8"?>
<sst xmlns="http://schemas.openxmlformats.org/spreadsheetml/2006/main" count="4606" uniqueCount="943">
  <si>
    <t>Ir a objetos de dominio &gt;&gt;&gt;&gt;</t>
  </si>
  <si>
    <t>&lt;&lt;&lt;&lt; Ir al modulo de dominio</t>
  </si>
  <si>
    <t>Nombre</t>
  </si>
  <si>
    <t>Descripcion</t>
  </si>
  <si>
    <t>Linea de vida</t>
  </si>
  <si>
    <t>Muestreo</t>
  </si>
  <si>
    <t>Caracterización</t>
  </si>
  <si>
    <t>Event Storming</t>
  </si>
  <si>
    <t>Politicas</t>
  </si>
  <si>
    <t>DiaSemana</t>
  </si>
  <si>
    <t>Ir al muestreo</t>
  </si>
  <si>
    <t>Ir a la caracterización</t>
  </si>
  <si>
    <t>Ir al Event Storming</t>
  </si>
  <si>
    <t>Ir a las políticas</t>
  </si>
  <si>
    <t>Estado</t>
  </si>
  <si>
    <t>Servicio</t>
  </si>
  <si>
    <t>PrefijoCelular</t>
  </si>
  <si>
    <t>TipoMulta</t>
  </si>
  <si>
    <t>Barbero</t>
  </si>
  <si>
    <t>Cliente</t>
  </si>
  <si>
    <t>HorarioBarberia</t>
  </si>
  <si>
    <t>Bloqueo</t>
  </si>
  <si>
    <t>BarberoServicio</t>
  </si>
  <si>
    <t>HorarioBarbero</t>
  </si>
  <si>
    <t>Agenda</t>
  </si>
  <si>
    <t>Cita</t>
  </si>
  <si>
    <t>CitaServicio</t>
  </si>
  <si>
    <t>Multa</t>
  </si>
  <si>
    <t>&lt;&lt;&lt;&lt; Ir a objetos de dominio</t>
  </si>
  <si>
    <t>Nombre atributo</t>
  </si>
  <si>
    <t>Descripción atributo</t>
  </si>
  <si>
    <t>Identificador del objeto de dominio</t>
  </si>
  <si>
    <t>Tipo de dato</t>
  </si>
  <si>
    <t>Obligatorio</t>
  </si>
  <si>
    <t>Longitud mínima (si aplica)</t>
  </si>
  <si>
    <t>Longitud máxima (si aplica)</t>
  </si>
  <si>
    <t>Precisión (si aplica)</t>
  </si>
  <si>
    <t>Rendondeo (si aplica)</t>
  </si>
  <si>
    <t>Rango inicial (si aplica)</t>
  </si>
  <si>
    <t>Rango final (si aplica)</t>
  </si>
  <si>
    <t>Formato (si aplica)</t>
  </si>
  <si>
    <t>Reglas especiales (si aplica)</t>
  </si>
  <si>
    <t>Dato calculado</t>
  </si>
  <si>
    <t>Aplica ajuste del dato (si aplica)</t>
  </si>
  <si>
    <t>Carácter de ajuste (si aplica)</t>
  </si>
  <si>
    <t>Quitar espacios en blanco al inicio (si aplica)</t>
  </si>
  <si>
    <t>Quitar espacios en blanco al fin (si aplica)</t>
  </si>
  <si>
    <t>Dato sensible (si aplica)</t>
  </si>
  <si>
    <t>Valor por defecto (si aplica)</t>
  </si>
  <si>
    <t>Auto generado</t>
  </si>
  <si>
    <t>Si</t>
  </si>
  <si>
    <t>Identificador único universal</t>
  </si>
  <si>
    <t>No aplica</t>
  </si>
  <si>
    <t>No</t>
  </si>
  <si>
    <t>UUID vacio</t>
  </si>
  <si>
    <t>Alfanumérico</t>
  </si>
  <si>
    <t>Solo pueden ser los dias de la semana como Lunes, Martes, Miércoles, Jueves, Viernes, Sábado, Domingo y Festivo</t>
  </si>
  <si>
    <t>Vacio</t>
  </si>
  <si>
    <t>Nombre combinación única</t>
  </si>
  <si>
    <t>Descripción</t>
  </si>
  <si>
    <t>Atributos involucrados</t>
  </si>
  <si>
    <t>nombre</t>
  </si>
  <si>
    <t>Responsabilidad</t>
  </si>
  <si>
    <t>Entradas</t>
  </si>
  <si>
    <t>Salida</t>
  </si>
  <si>
    <t>Políticas (Reglas de Negocio)</t>
  </si>
  <si>
    <t>Excepción</t>
  </si>
  <si>
    <t>Parámetro</t>
  </si>
  <si>
    <t>Tipo de Dato</t>
  </si>
  <si>
    <t>Política</t>
  </si>
  <si>
    <t>Detalle</t>
  </si>
  <si>
    <t>¿Qué hago?</t>
  </si>
  <si>
    <t>Ver los días de las semanas</t>
  </si>
  <si>
    <t>Permite consultar el catálogo de días de la semana, incluyendo festivo, disponibles para definir horarios</t>
  </si>
  <si>
    <t>filtro</t>
  </si>
  <si>
    <t>Lista&lt;DiaSemana&gt;</t>
  </si>
  <si>
    <t>&lt;&lt; Ir al modelo de dominio</t>
  </si>
  <si>
    <t>&lt;&lt; Ir al listado de objetos de dominio</t>
  </si>
  <si>
    <t>&lt;&lt; Ir a la caracterización del objeto de dominio</t>
  </si>
  <si>
    <t>Ir al muestreo de datos del objeto de dominio &gt;&gt;</t>
  </si>
  <si>
    <t>Ir al event storming del objeto de dominio &gt;&gt;</t>
  </si>
  <si>
    <t>Objeto de Dominio:</t>
  </si>
  <si>
    <t>Descripción:</t>
  </si>
  <si>
    <t>Numero politica</t>
  </si>
  <si>
    <t>Descripcion politica</t>
  </si>
  <si>
    <t>Objeto responsable</t>
  </si>
  <si>
    <t>Regla responsable</t>
  </si>
  <si>
    <t>No aplica: es un catálogo de solo lectura, sin comandos que impliquen políticas de negocio propias</t>
  </si>
  <si>
    <t>Actor</t>
  </si>
  <si>
    <t>Action/Command</t>
  </si>
  <si>
    <t>Entity/Aggregate/Object domain</t>
  </si>
  <si>
    <t>Read Model</t>
  </si>
  <si>
    <t>Business Rule/Policy</t>
  </si>
  <si>
    <t>External System</t>
  </si>
  <si>
    <t>Domain Event</t>
  </si>
  <si>
    <t>Hotspot/questions/Risk</t>
  </si>
  <si>
    <t>Acción</t>
  </si>
  <si>
    <t>Objeto de dominio</t>
  </si>
  <si>
    <t>Información externa</t>
  </si>
  <si>
    <t>Políticas</t>
  </si>
  <si>
    <t>Sistema Externo</t>
  </si>
  <si>
    <t>Evento</t>
  </si>
  <si>
    <t>Aspectos por solucionar</t>
  </si>
  <si>
    <t>Información</t>
  </si>
  <si>
    <t>Número</t>
  </si>
  <si>
    <t>Dueño</t>
  </si>
  <si>
    <t>Días de la semana consultados</t>
  </si>
  <si>
    <t>Representa un identificador que hará unico cada objeto de dominio de este tipo, no se puede repetir</t>
  </si>
  <si>
    <t>Representa como se llama el dia de la semana, para los horarios</t>
  </si>
  <si>
    <t>Combinacion única que indica que no puede existir más un dia de la semana con el mismo nombre</t>
  </si>
  <si>
    <t>id</t>
  </si>
  <si>
    <t xml:space="preserve">Combinación única </t>
  </si>
  <si>
    <t>Lunes</t>
  </si>
  <si>
    <t>Martes</t>
  </si>
  <si>
    <t>Miércoles</t>
  </si>
  <si>
    <t>Jueves</t>
  </si>
  <si>
    <t>Viernes</t>
  </si>
  <si>
    <t>Sábado</t>
  </si>
  <si>
    <t>Domingo</t>
  </si>
  <si>
    <t>Festivo</t>
  </si>
  <si>
    <t>Corresponde a la descripcion de los atributos</t>
  </si>
  <si>
    <t>Corresponde al identificador unico del objeto de dominio</t>
  </si>
  <si>
    <t>Corresponde a los datos que ingresa el usuario</t>
  </si>
  <si>
    <t>Corresponde a la combinacion única</t>
  </si>
  <si>
    <t>Solo se aceptan caracteres de letras de la 'a' a la 'z' y espacios en blanco</t>
  </si>
  <si>
    <t>Solo se aceptan caracteres de letras de la 'a' a la 'z', caracteres con tilde y espacios en blanco</t>
  </si>
  <si>
    <t>Permite consultar los estados posibles que puede tener una cita</t>
  </si>
  <si>
    <t>Lista&lt;Estado&gt;</t>
  </si>
  <si>
    <t>Contiene todos los estados que cumplen con el filtro enviado</t>
  </si>
  <si>
    <t>Editar descripción del estado</t>
  </si>
  <si>
    <t>Permite ajustar el texto descriptivo de un estado ya creado, sin cambiar su significado en el flujo de la cita</t>
  </si>
  <si>
    <t>UUID</t>
  </si>
  <si>
    <t>Corresponde al identificador del estado que se va a editar</t>
  </si>
  <si>
    <t>Generar una excepción indicándole al usuario cuáles datos de la descripción del estado no cumplen con las reglas definidas</t>
  </si>
  <si>
    <t>Detener operación</t>
  </si>
  <si>
    <t>datos{descripcion}</t>
  </si>
  <si>
    <t>Contiene la nueva descripción del estado</t>
  </si>
  <si>
    <t>Ver descripcion de un estado</t>
  </si>
  <si>
    <t>Permite consultar la descripcion de un estado en especifico</t>
  </si>
  <si>
    <t>Contiene la información del estado consultado por su identificador</t>
  </si>
  <si>
    <t>P-EST-0001</t>
  </si>
  <si>
    <t>Asegurar que los datos requeridos (descripción) sean válidos en tipo de dato, longitud, formato y rango</t>
  </si>
  <si>
    <t>Estados consultados</t>
  </si>
  <si>
    <t>Descripción de estado actualizada</t>
  </si>
  <si>
    <t>Descripción del estado consultada</t>
  </si>
  <si>
    <t>Representa como se llama el estado en el que se encuentra una cita puntual</t>
  </si>
  <si>
    <t>Representa el significado de que representa cada estado para la cita</t>
  </si>
  <si>
    <t>descripcion</t>
  </si>
  <si>
    <t>Agendada</t>
  </si>
  <si>
    <t>La cita quedó registrada en la agenda del barbero y está a la espera de la fecha y hora acordadas.</t>
  </si>
  <si>
    <t>Finalizada</t>
  </si>
  <si>
    <t>El barbero atendió al cliente y el servicio contratado se prestó por completo, sin tener ninguna sanción.</t>
  </si>
  <si>
    <t>Cancelada por el cliente</t>
  </si>
  <si>
    <t>El cliente decidió no asistir y anuló la cita antes de la fecha y hora programada.</t>
  </si>
  <si>
    <t>Cancelada por el barbero</t>
  </si>
  <si>
    <t>El barbero anuló la cita antes de la fecha y hora programada, por ejemplo por una eventualidad.</t>
  </si>
  <si>
    <t>El cliente se demoro</t>
  </si>
  <si>
    <t>El cliente llegó después de la hora acordada superando el tiempoEspera definido en la cita, lo que genera una multa de tipo Tardanza.</t>
  </si>
  <si>
    <t>El barbero se demoro</t>
  </si>
  <si>
    <t>El barbero se demoró más de lo previsto en una cita anterior y empezó a atender al cliente superando el tiempoEspera definido en la cita, lo que le da un descuento al cliente.</t>
  </si>
  <si>
    <t>Inasistencia del cliente</t>
  </si>
  <si>
    <t>El cliente nunca llegó a la cita: se alcanzó la hora estimada de finalización sin registrar su llegada, lo que genera una multa por el valor total de los servicios pedidos.</t>
  </si>
  <si>
    <t>Cancelación</t>
  </si>
  <si>
    <t>La cita se anuló automáticamente porque la barbería cambió sus políticas de horario: al desactivarse el horario de la barbería se desactivaron los horarios de barbero y las agendas que dependían de él, y las citas que quedaron por fuera se cancelaron.</t>
  </si>
  <si>
    <t>Solo se aceptan caracteres de letras de la 'a' a la 'z' y caracteres con tilde</t>
  </si>
  <si>
    <t>Entero</t>
  </si>
  <si>
    <t>Lógico</t>
  </si>
  <si>
    <t>Ofrecer un servicio nuevo a la barbería</t>
  </si>
  <si>
    <t>Comando que permite registrar un nuevo tipo de servicio que la barbería pondrá a disposición de los barberos</t>
  </si>
  <si>
    <t>datos{nombre, descripcion, precio}</t>
  </si>
  <si>
    <t>Contiene la información requerida para registrar un nuevo servicio de la barbería</t>
  </si>
  <si>
    <t>Contiene la información del servicio registrado</t>
  </si>
  <si>
    <t>Generar una excepción indicándole al usuario cuáles datos del servicio no cumplen con las reglas definidas</t>
  </si>
  <si>
    <t>Generar una excepción indicándole al usuario que ya existe un servicio registrado con ese mismo nombre en la barbería</t>
  </si>
  <si>
    <t>Editar un servicio</t>
  </si>
  <si>
    <t>Permite modificar todos los atibutos de un servicio, que son el nombre, la descripción y el precio</t>
  </si>
  <si>
    <t>Corresponde al identificador del servicio que se va a editar</t>
  </si>
  <si>
    <t>Contiene la información del servicio con sus datos actualizados</t>
  </si>
  <si>
    <t>Contiene los datos con los que se va a modificar el servicio</t>
  </si>
  <si>
    <t>Ver servicios disponibles de la barbería</t>
  </si>
  <si>
    <t>Permite consultar el catálogo de servicios que ofrece la barbería</t>
  </si>
  <si>
    <t>Contiene los filtros de consulta del catálogo de servicios</t>
  </si>
  <si>
    <t>Lista&lt;Servicio&gt;</t>
  </si>
  <si>
    <t>Contiene todos los servicios que cumplen con el filtro enviado</t>
  </si>
  <si>
    <t>Retirar un servicio de la barbería</t>
  </si>
  <si>
    <t>Permite dar de baja un servicio para que deje de ofrecerse a nuevos clientes</t>
  </si>
  <si>
    <t>Corresponde al identificador del servicio que se va a retirar</t>
  </si>
  <si>
    <t>No retorna ningún valor. En caso de error genera una excepción.</t>
  </si>
  <si>
    <t>Generar una excepción indicándole al usuario que el servicio no se puede retirar porque todavía lo ofrece al menos un barbero vigente</t>
  </si>
  <si>
    <t>P-SER-0001</t>
  </si>
  <si>
    <t>Asegurar que los datos requeridos del servicio (nombre, descripción, precio) sean válidos en tipo de dato, longitud, obligatoriedad, formato y rango</t>
  </si>
  <si>
    <t>P-SER-0002</t>
  </si>
  <si>
    <t>Asegurar que no exista otro servicio registrado con el mismo nombre en la barbería</t>
  </si>
  <si>
    <t>P-SER-0003</t>
  </si>
  <si>
    <t>Asegurar que el servicio a retirar no esté siendo ofrecido actualmente por ningún barbero vigente</t>
  </si>
  <si>
    <t>aquí</t>
  </si>
  <si>
    <t>Servicio ofrecido</t>
  </si>
  <si>
    <t>Nombre, descripción, precio del servicio actualizados</t>
  </si>
  <si>
    <t>Servicios consultados</t>
  </si>
  <si>
    <t>Servicio retirado</t>
  </si>
  <si>
    <t>Representa el nombre del servicio que va estar en la barberia, para que el barbero elija los servicios que el sabe hacer</t>
  </si>
  <si>
    <t>Representa una descripcion de que va a hacer cada servicio en la barberia, para que el barbero sepa que hace el servicio</t>
  </si>
  <si>
    <t>Representa cuanto va a valer el servicio en pesos colombianos</t>
  </si>
  <si>
    <t>Representa si el servicio sigue o no disponible en la barberia</t>
  </si>
  <si>
    <t>Combinacion única que indica que no puede existir más de un servicio con el mismo nombre</t>
  </si>
  <si>
    <t>precio</t>
  </si>
  <si>
    <t>disponible</t>
  </si>
  <si>
    <t xml:space="preserve">Combinacion única </t>
  </si>
  <si>
    <t>Motilada</t>
  </si>
  <si>
    <t>Corte de cabello completo con máquina y tijera, incluye lavado y secado</t>
  </si>
  <si>
    <t>si</t>
  </si>
  <si>
    <t>Corte de barba</t>
  </si>
  <si>
    <t>Recorte de la barba con máquina para dejarla pareja y a la medida que pide el cliente</t>
  </si>
  <si>
    <t>Perfilada de barba</t>
  </si>
  <si>
    <t>Delineado de los bordes de la barba y el bigote con navaja, sin recortar el largo</t>
  </si>
  <si>
    <t>Arreglo completo de barba con toalla caliente</t>
  </si>
  <si>
    <t>Recorte, perfilado con navaja, toalla caliente, exfoliación y aceite para la barba</t>
  </si>
  <si>
    <t>Simbolo + seguido de un número. Por ejemplo +57. Tambien el anterior puede ser seguido de un - y un numero. Por ejemplo +1-809</t>
  </si>
  <si>
    <t>Solo se aceptan caracteres numericos del 0 al 9 y el carácter '+' y '-'</t>
  </si>
  <si>
    <t>+0</t>
  </si>
  <si>
    <t>prefijo</t>
  </si>
  <si>
    <t>Registrar un prefijo de celular</t>
  </si>
  <si>
    <t>Comando que permite al dueño habilitar el prefijo de un país cuyos números va a atender la barbería</t>
  </si>
  <si>
    <t>datos{prefijo}</t>
  </si>
  <si>
    <t>Contiene la información requerida para habilitar un nuevo prefijo de país</t>
  </si>
  <si>
    <t>Contiene la información del prefijo de celular registrado</t>
  </si>
  <si>
    <t>Generar una excepción indicándole al usuario cuáles datos del prefijo no cumplen con las reglas definidas</t>
  </si>
  <si>
    <t>Generar una excepción indicándole al usuario que ya existe un prefijo de celular registrado con ese mismo valor</t>
  </si>
  <si>
    <t>Modificar un prefijo de celular registrado</t>
  </si>
  <si>
    <t>Permite al dueño corregir el valor de un prefijo que ya había habilitado</t>
  </si>
  <si>
    <t>Corresponde al identificador del prefijo que se va a modificar</t>
  </si>
  <si>
    <t>Contiene la información del prefijo de celular modificado</t>
  </si>
  <si>
    <t>Contiene el valor con el que se va a modificar el prefijo</t>
  </si>
  <si>
    <t>Retirar un prefijo de celular</t>
  </si>
  <si>
    <t>Permite al dueño quitar un prefijo para que la barbería deje de atender números de ese país</t>
  </si>
  <si>
    <t>Corresponde al identificador del prefijo que se va a retirar</t>
  </si>
  <si>
    <t>Generar una excepción indicándole al usuario que el prefijo no se puede retirar porque todavía lo usa algún barbero o algún cliente</t>
  </si>
  <si>
    <t>Ver prefijos de celular</t>
  </si>
  <si>
    <t>Permite al dueño consultar el catálogo de prefijos telefónicos de país que tiene habilitados</t>
  </si>
  <si>
    <t>Contiene los filtros de consulta del catálogo de prefijos</t>
  </si>
  <si>
    <t>Lista&lt;PrefijoCelular&gt;</t>
  </si>
  <si>
    <t>Contiene todos los prefijos de celular que cumplen con el filtro enviado</t>
  </si>
  <si>
    <t>P-PRE-0001</t>
  </si>
  <si>
    <t>Asegurar que los datos requeridos (prefijo) sean válidos en tipo de dato, longitud, obligatoriedad y formato</t>
  </si>
  <si>
    <t>P-PRE-0002</t>
  </si>
  <si>
    <t>Asegurar que no exista otro prefijo de celular registrado con el mismo valor</t>
  </si>
  <si>
    <t>P-PRE-0003</t>
  </si>
  <si>
    <t>Asegurar que el prefijo que se va a retirar no esté siendo usado por ningún barbero ni por ningún cliente</t>
  </si>
  <si>
    <t>Prefijo de celular registrado</t>
  </si>
  <si>
    <t>Prefijo de celular modificado</t>
  </si>
  <si>
    <t>Prefijo de celular retirado</t>
  </si>
  <si>
    <t>Prefijos de celular consultados</t>
  </si>
  <si>
    <t>Permite consultar el catálogo de prefijos telefónicos de país disponibles</t>
  </si>
  <si>
    <t>Representa el prefijo telefónico del país que el dueño habilita para que la barbería pueda atender números de ese país</t>
  </si>
  <si>
    <t>Combinacion única que indica que no puede existir más un mismo prefijo</t>
  </si>
  <si>
    <t>+57</t>
  </si>
  <si>
    <t>+91</t>
  </si>
  <si>
    <t>+593</t>
  </si>
  <si>
    <t>+58</t>
  </si>
  <si>
    <t>Ver tipos de multa</t>
  </si>
  <si>
    <t>Permite consultar los tipos de multa que puede recibir un cliente</t>
  </si>
  <si>
    <t>Contiene los filtros de consulta del catálogo de tipos de multa</t>
  </si>
  <si>
    <t>Lista&lt;TipoMulta&gt;</t>
  </si>
  <si>
    <t>Contiene todos los tipos de multa que cumplen con el filtro enviado</t>
  </si>
  <si>
    <t>Tipos de multa consultados</t>
  </si>
  <si>
    <t>Representa el nombre del tipo de multa</t>
  </si>
  <si>
    <t>Representa que hace cada tipo de multa</t>
  </si>
  <si>
    <t xml:space="preserve">Combinación única indica que no puede existir más de un tipo de multa con el mismo nombre </t>
  </si>
  <si>
    <t>Combinación única</t>
  </si>
  <si>
    <t>Tardanza</t>
  </si>
  <si>
    <t>El cliente llegó a la cita después de la hora acordada, superando los minutos de tiempoEspera definidos en la cita.</t>
  </si>
  <si>
    <t>Inasistencia</t>
  </si>
  <si>
    <t>El cliente no se presentó a la cita agendada: se llegó a la hora estimada de finalización sin que hubiera registrado su llegada.</t>
  </si>
  <si>
    <t xml:space="preserve">Solo se aceptan caracteres de letras de la 'a' a la 'z', caracteres con tilde y numeros del 0 al 9 </t>
  </si>
  <si>
    <t>vacío</t>
  </si>
  <si>
    <t>Solo se aceptan caracteres de letras de la 'a' a la 'z', caracteres con tilde y numeros del 0 al 9</t>
  </si>
  <si>
    <t>Aplican las reglas del objeto referenciado</t>
  </si>
  <si>
    <t>Solo se aceptan caracteres de numeros del '0' al '9'</t>
  </si>
  <si>
    <t>0</t>
  </si>
  <si>
    <t>Horas</t>
  </si>
  <si>
    <t>Minutos</t>
  </si>
  <si>
    <t>Registrar barbero a la barbería</t>
  </si>
  <si>
    <t>Comando que permite el ingreso de un nuevo barbero a trabajar en la barbería</t>
  </si>
  <si>
    <t>datos{primerNombre, segundoNombre, primerApellido, segundoApellido, prefijoCelular, celular}</t>
  </si>
  <si>
    <t>Contiene la información requerida para registrar un nuevo barbero en la barbería</t>
  </si>
  <si>
    <t>Contiene la información del barbero registrado</t>
  </si>
  <si>
    <t>Generar una excepción indicándole al usuario cuáles datos del barbero no cumplen con las reglas definidas</t>
  </si>
  <si>
    <t>Generar una excepción indicándole al usuario que ya existe otro barbero registrado con ese prefijo y número de celular</t>
  </si>
  <si>
    <t>Editar contacto</t>
  </si>
  <si>
    <t>Permite al barbero actualizar su número de celular y su prefijo</t>
  </si>
  <si>
    <t>Corresponde al identificador del barbero que va a editar su contacto</t>
  </si>
  <si>
    <t>Contiene la información del barbero con su contacto actualizado</t>
  </si>
  <si>
    <t>Generar una excepción indicándole al usuario cuáles datos de contacto del barbero no cumplen con las reglas definidas</t>
  </si>
  <si>
    <t>datos{prefijoCelular, celular}</t>
  </si>
  <si>
    <t>Contiene el nuevo prefijo y número de celular del barbero</t>
  </si>
  <si>
    <t>Editar tiempos de anticipación de citas</t>
  </si>
  <si>
    <t>Permite al barbero ajustar cuánta anticipación mínima exige para que le agenden una cita</t>
  </si>
  <si>
    <t>Corresponde al identificador del barbero que va a editar sus tiempos</t>
  </si>
  <si>
    <t>Contiene la información del barbero con sus tiempos de anticipación actualizados</t>
  </si>
  <si>
    <t>Generar una excepción indicándole al usuario cuáles tiempos de anticipación no cumplen con las reglas definidas</t>
  </si>
  <si>
    <t>datos{anticipacionEnHorasParaAgendarCita, anticipacionEnMinutosParaAgendarCita}</t>
  </si>
  <si>
    <t>Contiene los nuevos tiempos de anticipación que exige el barbero</t>
  </si>
  <si>
    <t>Ver datos de un barbero</t>
  </si>
  <si>
    <t>Permite a un cliente ver los datos públicos de un barbero, como sus nombres,  apellidos y su contacto</t>
  </si>
  <si>
    <t>Corresponde al identificador del barbero que se va a consultar</t>
  </si>
  <si>
    <t>Contiene la información del barbero consultado por su identificador</t>
  </si>
  <si>
    <t>Dejar de trabajar en la barbería</t>
  </si>
  <si>
    <t>Permite desactivar a un barbero para que ya no pueda recibir nuevas citas, sin borrar su historial</t>
  </si>
  <si>
    <t>Corresponde al identificador del barbero que va a dejar de trabajar</t>
  </si>
  <si>
    <t>Generar una excepción indicándole al usuario que el barbero no puede dejar de trabajar porque todavía tiene citas futuras pendientes</t>
  </si>
  <si>
    <t>Ver tiempos de anticipacion para las citas</t>
  </si>
  <si>
    <t>Permite al barbero ver su tiempo de anticipacion en horas y minutos para sus citas</t>
  </si>
  <si>
    <t>Contiene los tiempos de anticipación que exige el barbero consultado</t>
  </si>
  <si>
    <t>P-BAR-0001</t>
  </si>
  <si>
    <t>Asegurar que los datos requeridos del barbero (nombre, apellido, prefijo de celular, celular, tiempos de anticipación) sean válidos en tipo de dato, longitud, obligatoriedad, formato y rango</t>
  </si>
  <si>
    <t>P-BAR-0002</t>
  </si>
  <si>
    <t>Asegurar que el número de celular y prefijo de celular no esté siendo utilizado por otro barbero</t>
  </si>
  <si>
    <t>P-BAR-0003</t>
  </si>
  <si>
    <t>Asegurar que el barbero no tenga citas futuras pendientes antes de dejar de trabajar en la barbería</t>
  </si>
  <si>
    <t>P-BAR-0004</t>
  </si>
  <si>
    <t>Asegurar que los datos requeridos del barbero para editar su contacto (prefijo de celular, celular) sean válidos en tipo de dato, longitud, obligatoriedad, formato y rango</t>
  </si>
  <si>
    <t>P-BAR-0005</t>
  </si>
  <si>
    <t>Asegurar que los datos requeridos del barbero editar sus tiempos de anticipación (prefijo de celular, celular) sean válidos en tipo de dato, longitud, obligatoriedad, formato y rango</t>
  </si>
  <si>
    <t>Barbero registrado</t>
  </si>
  <si>
    <t>Contacto de barbero actualizado</t>
  </si>
  <si>
    <t>Tiempos de anticipación de barbero actualizados</t>
  </si>
  <si>
    <t>Datos de barbero visto</t>
  </si>
  <si>
    <t>Permite a un barbero ver los datos públicos de otro barbero, como sus nombres,  apellidos y su contacto</t>
  </si>
  <si>
    <t>Barbero desactivado</t>
  </si>
  <si>
    <t>Mejor usar el efecto cascada si el barbero deja de trabajar todas las citas futuras que tenian se van a cancelar</t>
  </si>
  <si>
    <t>Representa el primer nombre del barbero que trabaja en barbería</t>
  </si>
  <si>
    <t>Representa el segundo nombre del barbero que trabaja en barbería</t>
  </si>
  <si>
    <t>Representa el primer apellido del barbero que trabaja en la barbería</t>
  </si>
  <si>
    <t>Representa el segundo apellido del barbero que trabaja en la barbería</t>
  </si>
  <si>
    <t>Representa cual es el prefijo del numero de celular del barbero</t>
  </si>
  <si>
    <t>Representa el número de celular del barbero, es el dato que el cliente necesita en caso de que tenga que contactarse con el</t>
  </si>
  <si>
    <t>Representa si el numero que ingreso el cliente es correcto o no</t>
  </si>
  <si>
    <t>Representa si el barbero sigue o no trabajando en la barberia</t>
  </si>
  <si>
    <t>Representa la parte en horas del tiempo mínimo de anticipación con el que un cliente debe pedirle una cita a este barbero. Junto con anticipacionEnMinutosParaAgendarCita forma el tiempo total de anticipación que exige el barbero</t>
  </si>
  <si>
    <t>Representa la parte en minutos del tiempo mínimo de anticipación con el que un cliente debe pedirle una cita a este barbero. Junto con anticipacionEnHorasParaAgendarCita forma el tiempo total de anticipación que exige el barbero</t>
  </si>
  <si>
    <t>Combinacion única que indica que no puede existir más de un barbero con el mismo prefijo de celular y número de celular</t>
  </si>
  <si>
    <t>primerNombre</t>
  </si>
  <si>
    <t>segundoNombre</t>
  </si>
  <si>
    <t>primerApellido</t>
  </si>
  <si>
    <t>segundoApellido</t>
  </si>
  <si>
    <t>celular</t>
  </si>
  <si>
    <t>elNumeroCelularEsCorrecto</t>
  </si>
  <si>
    <t>vigente</t>
  </si>
  <si>
    <t>anticipacionEnHorasParaAgendarCita</t>
  </si>
  <si>
    <t>anticipacionEnMinutosParaAgendarCita</t>
  </si>
  <si>
    <t>Combinación única  1</t>
  </si>
  <si>
    <t>Juan</t>
  </si>
  <si>
    <t>Fernando</t>
  </si>
  <si>
    <t>García</t>
  </si>
  <si>
    <t>Lopez</t>
  </si>
  <si>
    <t>David</t>
  </si>
  <si>
    <t>Ortiz</t>
  </si>
  <si>
    <t>Sanchez</t>
  </si>
  <si>
    <t>Carlos</t>
  </si>
  <si>
    <t>Arbeladez</t>
  </si>
  <si>
    <t>Andres</t>
  </si>
  <si>
    <t>Ramirez</t>
  </si>
  <si>
    <t>Patiño</t>
  </si>
  <si>
    <t>no</t>
  </si>
  <si>
    <t>Zambrano</t>
  </si>
  <si>
    <t>Perez</t>
  </si>
  <si>
    <t>Corresponde a las referencias de otros objetos de dominio</t>
  </si>
  <si>
    <t>Corresponde a los datos calculados por el sistema</t>
  </si>
  <si>
    <t>Se calcula a partir de multasSinPagar: basta con una multa sin pagar para que el cliente quede vetado y no pueda agendar; deja de estarlo en el momento en que la paga</t>
  </si>
  <si>
    <t>Registrar cliente a la barbería</t>
  </si>
  <si>
    <t>Comando que permite el registro de un nuevo cliente en la barbería</t>
  </si>
  <si>
    <t>Contiene la información requerida para registrar un nuevo cliente en la barbería</t>
  </si>
  <si>
    <t>Contiene la información del cliente registrado</t>
  </si>
  <si>
    <t>Generar una excepción indicándole al usuario cuáles datos del cliente no cumplen con las reglas definidas</t>
  </si>
  <si>
    <t>Generar una excepción indicándole al usuario que ya existe otro cliente registrado con ese prefijo y número de celular</t>
  </si>
  <si>
    <t>Permite al cliente actualizar su número de celular y su prefijo</t>
  </si>
  <si>
    <t>Corresponde al identificador del cliente que va a editar su contacto</t>
  </si>
  <si>
    <t>Contiene la información del cliente con su contacto actualizado</t>
  </si>
  <si>
    <t>Generar una excepción indicándole al usuario cuáles datos de contacto del cliente no cumplen con las reglas definidas</t>
  </si>
  <si>
    <t>Contiene el nuevo prefijo y número de celular del cliente</t>
  </si>
  <si>
    <t>Ver datos de un cliente</t>
  </si>
  <si>
    <t>Permite a un barbero ver los datos de un cliente que le va a pedir una cita</t>
  </si>
  <si>
    <t>Corresponde al identificador del cliente que se va a consultar</t>
  </si>
  <si>
    <t>Contiene la información del cliente consultado por su identificador</t>
  </si>
  <si>
    <t>Ver estado de vetado</t>
  </si>
  <si>
    <t>Permite al cliente ver si tiene alguna multa sin pagar que le impida agendar nuevas citas</t>
  </si>
  <si>
    <t>Indica si el cliente está vetado o no para agendar nuevas citas</t>
  </si>
  <si>
    <t>Ver cantidad de multas sin pagar</t>
  </si>
  <si>
    <t>Permite al cliente ver cuántas multas sin pagar tiene</t>
  </si>
  <si>
    <t>Contiene la cantidad de multas sin pagar que tiene el cliente</t>
  </si>
  <si>
    <t>P-CLI-0001</t>
  </si>
  <si>
    <t>Asegurar que los datos requeridos del cliente (nombres, apellidos, prefijo de celular, celular) sean válidos en tipo de dato, longitud, obligatoriedad, formato y rango</t>
  </si>
  <si>
    <t>P-CLI-0002</t>
  </si>
  <si>
    <t>Asegurar que el número de celular y prefijo de celular no esté siendo utilizado por otro cliente</t>
  </si>
  <si>
    <t>P-CLI-0003</t>
  </si>
  <si>
    <t>Asegurar que los datos requeridos del cliente para editar su contacto (prefijo de celular y celular) sean válidos en tipo de dato, longitud, obligatoriedad, formato y rango</t>
  </si>
  <si>
    <t>P-CLI-0004</t>
  </si>
  <si>
    <t>Asegurar que el cliente no tenga ninguna multa sin pagar antes de permitirle agendar una cita nueva; mientras la tenga permanece vetado</t>
  </si>
  <si>
    <t>Permite asignar el prefijo de país del número de celular del cliente.</t>
  </si>
  <si>
    <t>Cliente registrado</t>
  </si>
  <si>
    <t>Permite actualizar el prefijo de país del número de celular.</t>
  </si>
  <si>
    <t>Contacto de cliente actualizado</t>
  </si>
  <si>
    <t>Permite mostrar el número de celular completo con su prefijo.</t>
  </si>
  <si>
    <t>Datos del cliente vistos</t>
  </si>
  <si>
    <t>Permite conocer si el cliente tiene multas sin pagar.</t>
  </si>
  <si>
    <t>Estado de veto del cliente visto</t>
  </si>
  <si>
    <t>Permite contar las multas del cliente que siguen sin pagar.</t>
  </si>
  <si>
    <t>Multas sin pagar del cliente vistas</t>
  </si>
  <si>
    <t>Representa el primer nombre de la persona, que va a estar llendo a la barberia para las citas</t>
  </si>
  <si>
    <t>Representa el segundo nombre de la persona, que va a estar llendo a la barberia para las citas</t>
  </si>
  <si>
    <t>Representa el primer apellido de la persona, que va a estar llendo a la barberia para las citas</t>
  </si>
  <si>
    <t>Representa el segundo apellido de la persona, que va a estar llendo a la barberia para las citas</t>
  </si>
  <si>
    <t>Representa cual es el prefijo del numero de celular del cliente</t>
  </si>
  <si>
    <t>Representa el numero de celular del cliente, es el dato que el barbero necesita en caso de que tenga que contactarse con el</t>
  </si>
  <si>
    <t>Representa si el cliente esta en estado de veto o no, cuando el cliente esta vetado el sistema no va a permitir agendar citas con este cliente con ningun barbero</t>
  </si>
  <si>
    <t>Combinacion única que indica que no puede existir más de un cliente con el mismo prefijo de celular y número de celular</t>
  </si>
  <si>
    <t>prefijoCelular</t>
  </si>
  <si>
    <t>estaVetado</t>
  </si>
  <si>
    <t>Gómez</t>
  </si>
  <si>
    <t>Jose</t>
  </si>
  <si>
    <t>Miguel</t>
  </si>
  <si>
    <t>Simon</t>
  </si>
  <si>
    <t>Ochoa</t>
  </si>
  <si>
    <t>Alexis</t>
  </si>
  <si>
    <t>Gallego</t>
  </si>
  <si>
    <t>Kevin</t>
  </si>
  <si>
    <t>Andrés</t>
  </si>
  <si>
    <t>Muñoz</t>
  </si>
  <si>
    <t>Salazar</t>
  </si>
  <si>
    <t>Hora</t>
  </si>
  <si>
    <t>00:00</t>
  </si>
  <si>
    <t>Debe ser mayor a horaApertura</t>
  </si>
  <si>
    <t>Fecha</t>
  </si>
  <si>
    <t>1/01/1000</t>
  </si>
  <si>
    <t>Definir un horario de la barbería</t>
  </si>
  <si>
    <t>Comando que permite registrar la hora de apertura y cierre de la barbería para un día de la semana</t>
  </si>
  <si>
    <t>datos{diaDeLaSemana, horaApertura, horaCierre}</t>
  </si>
  <si>
    <t>Contiene la información requerida para registrar el horario de la barbería para un día</t>
  </si>
  <si>
    <t>Contiene la información del horario de la barbería registrado</t>
  </si>
  <si>
    <t>Generar una excepción indicándole al usuario cuáles datos del horario de la barbería no cumplen con las reglas definidas</t>
  </si>
  <si>
    <t>Generar una excepción indicándole al usuario que ya existe un horario vigente para ese día que se cruza con las horas indicadas</t>
  </si>
  <si>
    <t>Ver horarios de la barbería</t>
  </si>
  <si>
    <t>Permite al dueño consultar los horarios de apertura y cierre definidos para cada día de la semana</t>
  </si>
  <si>
    <t>Contiene los filtros de consulta de los horarios de la barbería</t>
  </si>
  <si>
    <t>Lista&lt;HorarioBarberia&gt;</t>
  </si>
  <si>
    <t>Contiene todos los horarios de la barbería que cumplen con el filtro enviado</t>
  </si>
  <si>
    <t>Desactivar horario de barbería</t>
  </si>
  <si>
    <t>Permite desactivar el horario en el que la barberia ya no abrira</t>
  </si>
  <si>
    <t>Corresponde al identificador del horario de la barbería que se va a desactivar</t>
  </si>
  <si>
    <t>Si la desactivación en cascada de los horarios de barbero falla, revertir la desactivación del horario de la barbería e informar el error</t>
  </si>
  <si>
    <t>Continuar operación</t>
  </si>
  <si>
    <t>Si la desactivación de las agendas futuras falla, revertir toda la cascada e informar el error</t>
  </si>
  <si>
    <t>Si la cancelación de las citas futuras falla, revertir toda la cascada e informar el error</t>
  </si>
  <si>
    <t>P-HBA-0001</t>
  </si>
  <si>
    <t>Asegurar que los datos requeridos (día de la semana, hora de apertura, hora de cierre) sean válidos en tipo de dato, obligatoriedad, formato y rango, y que la hora de cierre sea mayor a la hora de apertura</t>
  </si>
  <si>
    <t>P-HBA-0002</t>
  </si>
  <si>
    <t>Asegurar que no exista otro horario vigente definido para el mismo día de la semana, que se cruze con las horas de apertura y cierre</t>
  </si>
  <si>
    <t>P-HBA-0003</t>
  </si>
  <si>
    <t>Al desactivar un horario de barbería, desactivar en cascada todos los horarios de barbero que dependen de ese día</t>
  </si>
  <si>
    <t>P-HBA-0004</t>
  </si>
  <si>
    <t>Al desactivarse un horario de barbero por la cascada, desactivar también las agendas futuras que se habían generado a partir de ese horario</t>
  </si>
  <si>
    <t>P-HBA-0005</t>
  </si>
  <si>
    <t>Cancelar las citas futuras que quedaron en esas agendas, dejándolas en el estado Cancelación por cambio de políticas de la barbería</t>
  </si>
  <si>
    <t>Horario de barbería definido</t>
  </si>
  <si>
    <t>Horarios de barbería consultados</t>
  </si>
  <si>
    <t>Permite al barbero consultar los horarios de apertura y cierre definidos para cada día de la semana</t>
  </si>
  <si>
    <t>Permite al cliente consultar los horarios de apertura y cierre definidos para cada día de la semana</t>
  </si>
  <si>
    <t>Permite identificar los horarios de barbero que dependen de ese día para desactivarlos.</t>
  </si>
  <si>
    <t>Horario de barbería desactivado</t>
  </si>
  <si>
    <t>Permite identificar las agendas futuras generadas por esos horarios para desactivarlas.</t>
  </si>
  <si>
    <t>Permite identificar las citas futuras que quedan en esas agendas para cancelarlas.</t>
  </si>
  <si>
    <t>Permite dejar esas citas en el estado Cancelación.</t>
  </si>
  <si>
    <t>Representa el día de la semana en el que la barberia abre</t>
  </si>
  <si>
    <t>Representa la hora a la que abre la barbería</t>
  </si>
  <si>
    <t>Representa la hora a la que cierra la barbería</t>
  </si>
  <si>
    <t>Representa la fecha en el que el dueño definio el horario de la barberia. Es un dato calculado que toma la fecha del sistema en ese momento</t>
  </si>
  <si>
    <t>Representa la fecha en la que este horario dejó de estar vigente, dueño. Es un dato calculado que toma la fecha del sistema en ese momento</t>
  </si>
  <si>
    <t>Representa si este horario lo sigue o no vigente en la barberia. Una vez que el dueño desactive el horario de la barberia, no se puede volver a cambiar</t>
  </si>
  <si>
    <t>Combinacion única que indica que no puede existir más de un horario con la misma barberia, dia de la semana, hora de apertura y cierre</t>
  </si>
  <si>
    <t>diaDeLaSemana</t>
  </si>
  <si>
    <t>horaApertura</t>
  </si>
  <si>
    <t>horaCierre</t>
  </si>
  <si>
    <t>fechaCreacion</t>
  </si>
  <si>
    <t>fechaDesactivacion</t>
  </si>
  <si>
    <t>Fecha hora</t>
  </si>
  <si>
    <t>01/01/1000 00:00</t>
  </si>
  <si>
    <t>Debe ser posterior a fechaHoraInicio</t>
  </si>
  <si>
    <t>Definir un bloque de no disponible</t>
  </si>
  <si>
    <t>Comando que permite a un barbero asiganar un espacio de no disponibilidad para atender sus citas</t>
  </si>
  <si>
    <t>datos{barbero, fechaHoraInicio, fechaHoraFinal}</t>
  </si>
  <si>
    <t>Contiene la información requerida para registrar un nuevo bloqueo del barbero</t>
  </si>
  <si>
    <t>Contiene la información del bloqueo registrado</t>
  </si>
  <si>
    <t>Generar una excepción indicándole al usuario cuáles datos del bloqueo no cumplen con las reglas definidas</t>
  </si>
  <si>
    <t>Generar una excepción indicándole al usuario que ese rango no se puede bloquear porque ya tiene citas agendadas</t>
  </si>
  <si>
    <t>Generar una excepción indicándole al usuario que el rango se solapa con otro bloqueo suyo</t>
  </si>
  <si>
    <t>Eliminar un bloqueo</t>
  </si>
  <si>
    <t>Permite a un barbero liberar un espacio de su agenda que había bloqueado previamente</t>
  </si>
  <si>
    <t>Corresponde al identificador del bloqueo que se va a eliminar</t>
  </si>
  <si>
    <t>Generar una excepción indicándole al usuario que el bloqueo no le pertenece</t>
  </si>
  <si>
    <t>Ver bloqueos en una fecha</t>
  </si>
  <si>
    <t>Permite a un barbero ver los espacios que tiene bloqueados en una fecha dada</t>
  </si>
  <si>
    <t>filtro{barbero, fecha}</t>
  </si>
  <si>
    <t>Contiene el barbero y la fecha por los cuales se van a consultar los bloqueos</t>
  </si>
  <si>
    <t>Lista&lt;Bloqueo&gt;</t>
  </si>
  <si>
    <t>Contiene todos los bloqueos del barbero en esa fecha</t>
  </si>
  <si>
    <t>Ver bloqueo en una fecha y hora de inicio</t>
  </si>
  <si>
    <t>Permite al sistema ver si hay o no un bloqueo en una fecha y hora, en el que empieza el bloqueo, para que el determine luego si el cliente puede agenda una cita en ese momento</t>
  </si>
  <si>
    <t>filtro{barbero, fechaHoraInicio}</t>
  </si>
  <si>
    <t>Contiene el barbero y la fecha y hora por las cuales se va a consultar el bloqueo</t>
  </si>
  <si>
    <t>Contiene el bloqueo que cubre esa fecha y hora, si existe</t>
  </si>
  <si>
    <t>Editar un bloqueo</t>
  </si>
  <si>
    <t>Permite al barbero poder editar la fecha y hora en que inicia o termina</t>
  </si>
  <si>
    <t>Corresponde al identificador del bloqueo que se va a editar</t>
  </si>
  <si>
    <t>Contiene la información del bloqueo con su rango actualizado</t>
  </si>
  <si>
    <t>Generar una excepción indicándole al usuario cuáles datos del bloqueo que se va a editar no cumplen con las reglas definidas</t>
  </si>
  <si>
    <t>datos{fechaHoraInicio, fechaHoraFinal}</t>
  </si>
  <si>
    <t>Contiene el nuevo rango con el que se va a modificar el bloqueo</t>
  </si>
  <si>
    <t>P-BLO-0001</t>
  </si>
  <si>
    <t>Asegurar que los datos requeridos (fecha y hora de inicio, fecha y hora de fin) sean válidos en tipo de dato, obligatoriedad, formato y rango, y que la fecha y hora de fin sea mayor a la fecha y hora de inicio</t>
  </si>
  <si>
    <t>P-BLO-0002</t>
  </si>
  <si>
    <t>Rechazar el bloqueo si ya existen citas agendadas dentro de ese mismo rango elegido, en lugar de cancelarlas automáticamente</t>
  </si>
  <si>
    <t>P-BLO-0003</t>
  </si>
  <si>
    <t>Asegurar que los datos requeridos para editar el bloqueo (fecha y hora de inicio, fecha y hora de fin) sean válidos en tipo de dato, obligatoriedad, formato y rango, y que la fecha y hora de fin sea mayor a la de inicio</t>
  </si>
  <si>
    <t>P-BLO-0004</t>
  </si>
  <si>
    <t>Asegurar que el bloqueo que se va a editar o eliminar le pertenezca al mismo barbero que hace la solicitud</t>
  </si>
  <si>
    <t>P-BLO-0005</t>
  </si>
  <si>
    <t>Asegurar que el bloqueo no se solape con otro bloqueo suyo</t>
  </si>
  <si>
    <t>Permite verificar que no haya citas ya agendadas dentro del rango que se va a bloquear.</t>
  </si>
  <si>
    <t>Bloqueo registrado</t>
  </si>
  <si>
    <t>Permite verificar que el bloqueo caiga dentro de la jornada del barbero.</t>
  </si>
  <si>
    <t>Permite identificar de qué barbero es el bloqueo.</t>
  </si>
  <si>
    <t>Bloqueo cancelado</t>
  </si>
  <si>
    <t>Bloqueos vistos</t>
  </si>
  <si>
    <t>Sistema</t>
  </si>
  <si>
    <t>Bloqueo visto</t>
  </si>
  <si>
    <t>Permite verificar que el nuevo rango no choque con citas ya agendadas.</t>
  </si>
  <si>
    <t>Bloqueo editado</t>
  </si>
  <si>
    <t>Referencia a qué barbero le pertence este bloqueo</t>
  </si>
  <si>
    <t>Representa la fecha y hora en el que el barbero empieza a no estar disponible para atender las citas</t>
  </si>
  <si>
    <t>Representa la fecha y hora en el que el barbero empieza estar disponible nuevamente para atender las citas</t>
  </si>
  <si>
    <t>Combinación única que indica que un mismo barbero no puede tener dos bloqueos con la misma fecha y hora de inicio y la misma fecha y hora final</t>
  </si>
  <si>
    <t>barbero</t>
  </si>
  <si>
    <t>fechaHoraInicio</t>
  </si>
  <si>
    <t>fechaHoraFinal</t>
  </si>
  <si>
    <t>servicio</t>
  </si>
  <si>
    <t>Habilitar un servicio para el barbero</t>
  </si>
  <si>
    <t>Comando que permite a un barbero indicar que sabe realizar un servicio del catálogo, con su duración y colchón</t>
  </si>
  <si>
    <t>datos{barbero, servicio, duracionEnHoras, duracionEnMinutos, tiempoExtra}</t>
  </si>
  <si>
    <t>Contiene la información requerida para habilitarle un servicio a un barbero</t>
  </si>
  <si>
    <t>Contiene la información del servicio habilitado para el barbero</t>
  </si>
  <si>
    <t>Generar una excepción indicándole al usuario cuáles tiempos del servicio no cumplen con las reglas definidas</t>
  </si>
  <si>
    <t>Generar una excepción indicándole al usuario que el barbero ya tiene habilitado ese mismo servicio</t>
  </si>
  <si>
    <t>Ajustar los tiempos de un servicio del barbero</t>
  </si>
  <si>
    <t>Permite modificar la duración y el tiempo extra que un barbero usa para un servicio ya habilitado</t>
  </si>
  <si>
    <t>Corresponde al identificador del servicio del barbero que se va a ajustar</t>
  </si>
  <si>
    <t>Contiene la información del servicio del barbero con sus tiempos actualizados</t>
  </si>
  <si>
    <t>datos{duracionEnHoras, duracionEnMinutos, tiempoExtra}</t>
  </si>
  <si>
    <t>Contiene los nuevos tiempos con los que se va a modificar el servicio</t>
  </si>
  <si>
    <t>Ver servicios elegidos</t>
  </si>
  <si>
    <t>Permite a un barbero consultar los servicios que tiene habilitados</t>
  </si>
  <si>
    <t>filtro{barbero}</t>
  </si>
  <si>
    <t>Contiene el barbero por el cual se van a consultar sus servicios habilitados</t>
  </si>
  <si>
    <t>Lista&lt;BarberoServicio&gt;</t>
  </si>
  <si>
    <t>Contiene todos los servicios que el barbero tiene habilitados</t>
  </si>
  <si>
    <t>Ver servicios de un barbero</t>
  </si>
  <si>
    <t>Permite a un cliente consultar qué servicios ofrece un barbero en particular</t>
  </si>
  <si>
    <t>Contiene el barbero por el cual se van a consultar los servicios que ofrece</t>
  </si>
  <si>
    <t>Contiene todos los servicios vigentes que ofrece ese barbero</t>
  </si>
  <si>
    <t>Dejar de prestar el servicio para el catálogo</t>
  </si>
  <si>
    <t>Permite a un barbero desactivar un servicio que ya no quiere seguir ofreciendo</t>
  </si>
  <si>
    <t>Corresponde al identificador del servicio del barbero que se va a desactivar</t>
  </si>
  <si>
    <t>P-BSE-0001</t>
  </si>
  <si>
    <t>Asegurar que los datos requeridos (duración en horas, duración en minutos, tiempo extra) sean válidos en tipo de dato, obligatoriedad y rango</t>
  </si>
  <si>
    <t>P-BSE-0002</t>
  </si>
  <si>
    <t>Asegurar que el barbero no tenga ya habilitado ese mismo servicio</t>
  </si>
  <si>
    <t>Servicio habilitado para barbero</t>
  </si>
  <si>
    <t>Tiempos de servicio de barbero actualizados</t>
  </si>
  <si>
    <t>Servicios de barbero consultados</t>
  </si>
  <si>
    <t>Servicio de barbero desactivado</t>
  </si>
  <si>
    <t>Representa el nombre y apellidos del barbero</t>
  </si>
  <si>
    <t xml:space="preserve">Representa el nombre del servicio de la barberia </t>
  </si>
  <si>
    <t>Representa la cantidad de horas que un barbero tarda en realizar un servicio, esta duracion el barbero debe de ser consiente de cuanto se demora en realizarlo</t>
  </si>
  <si>
    <t>Representa la cantidad de minutos que un barbero tarda en realizar un servicio, esta duracion el barbero debe de ser consiente de cuanto se demora en realizarlo</t>
  </si>
  <si>
    <t>Representa la cantidad de minutos que un barbero pone de tiempo extra en las citas de su agenda, cada barbero usa este tiempo porque hay ocaciones que la cita se puede demorar más de lo previsto. Este tiempo les ayuda a evitar que se les retrase la agenda</t>
  </si>
  <si>
    <t>Representa si el barbero sigue o no presentando el servicio en la barbería</t>
  </si>
  <si>
    <t>Combinación única que indica que un mismo barbero no puede aparecer dos veces ofreciendo el mismo servicio</t>
  </si>
  <si>
    <t>duracionEnHoras</t>
  </si>
  <si>
    <t>duracionEnMinutos</t>
  </si>
  <si>
    <t>tiempoExtra</t>
  </si>
  <si>
    <t>hh:mm</t>
  </si>
  <si>
    <t>Debe estar dentro del rango de horarioDeLaBarberia</t>
  </si>
  <si>
    <t>Debe ser mayor a horaInicio y estar dentro del rango de horarioDeLaBarberia</t>
  </si>
  <si>
    <t>dd/mm/aaaa</t>
  </si>
  <si>
    <t>Toma la fecha del sistema en el momento en que el barbero crea este horario</t>
  </si>
  <si>
    <t>01/01/1000</t>
  </si>
  <si>
    <t>Toma la fecha del sistema en el momento en que el barbero desactiva este horario. Su valor por defecto es 01/01/1000 mientras siga vigente</t>
  </si>
  <si>
    <t>Una vez se cambia a No, no puede volver a cambiar a Si</t>
  </si>
  <si>
    <t>Definir mi horario de trabajo</t>
  </si>
  <si>
    <t>Comando que permite a un barbero registrar el día de la semana y las horas en que trabaja</t>
  </si>
  <si>
    <t>datos{barbero, horarioDeLaBarberia, horaInicio, horaFinal}</t>
  </si>
  <si>
    <t>Contiene la información requerida para registrar el horario de trabajo del barbero</t>
  </si>
  <si>
    <t>Contiene la información del horario de trabajo registrado</t>
  </si>
  <si>
    <t>Generar una excepción indicándole al usuario cuáles datos del horario de trabajo no cumplen con las reglas definidas</t>
  </si>
  <si>
    <t>Generar una excepción indicándole al usuario que el horario de trabajo queda por fuera del horario de apertura y cierre de la barbería para ese día</t>
  </si>
  <si>
    <t>Ver mis horarios definidos</t>
  </si>
  <si>
    <t>Permite a un barbero consultar los horarios de trabajo que ha definido</t>
  </si>
  <si>
    <t>Contiene el barbero por el cual se van a consultar sus horarios de trabajo</t>
  </si>
  <si>
    <t>Lista&lt;HorarioBarbero&gt;</t>
  </si>
  <si>
    <t>Contiene todos los horarios de trabajo que el barbero tiene definidos</t>
  </si>
  <si>
    <t>Desactivar horario de trabajo</t>
  </si>
  <si>
    <t>Permite a un barbero desactivar un horario para dejar de trabajar ese día de la semana, desactivando en cascada lo que dependía de él</t>
  </si>
  <si>
    <t>Corresponde al identificador del horario de trabajo que se va a desactivar</t>
  </si>
  <si>
    <t>Si la desactivación de las agendas futuras falla, revertir la desactivación del horario de trabajo e informar el error</t>
  </si>
  <si>
    <t>Si la liberación de los bloqueos futuros falla, registrar el error sin revertir la desactivación</t>
  </si>
  <si>
    <t>Ver horarios de trabajo de un barbero</t>
  </si>
  <si>
    <t>Permite a un cliente consultar en qué días y horas trabaja un barbero</t>
  </si>
  <si>
    <t>Contiene todos los horarios de trabajo vigentes de ese barbero</t>
  </si>
  <si>
    <t>P-HBO-0001</t>
  </si>
  <si>
    <t>Asegurar que los datos requeridos (día de la semana, hora de inicio, hora de fin) sean válidos en tipo de dato, obligatoriedad, formato y rango, y que la hora de fin sea mayor a la hora de inicio</t>
  </si>
  <si>
    <t>P-HBO-0002</t>
  </si>
  <si>
    <t>Asegurar que el horario de trabajo esté dentro del horario de apertura y cierre de la barbería para ese día</t>
  </si>
  <si>
    <t>P-HBO-0003</t>
  </si>
  <si>
    <t>Al desactivar un horario de trabajo del barbero, desactivar en cascada las agendas futuras que se habían generado a partir de ese horario</t>
  </si>
  <si>
    <t>P-HBO-0004</t>
  </si>
  <si>
    <t>Cancelar las citas futuras que quedaron en esas agendas, dejándolas en el estado Cancelación por cambio de las políticas de horario de la barbería</t>
  </si>
  <si>
    <t>P-HBO-0005</t>
  </si>
  <si>
    <t>Liberar los bloqueos futuros que el barbero tenía dentro de la jornada del horario que se desactiva, porque ya no hay disponibilidad que bloquear</t>
  </si>
  <si>
    <t>Horario de barbero definido</t>
  </si>
  <si>
    <t>Horarios de barbero consultados</t>
  </si>
  <si>
    <t>Permite identificar las agendas futuras generadas por ese horario para desactivarlas.</t>
  </si>
  <si>
    <t>Horario de barbero desactivado</t>
  </si>
  <si>
    <t>Permite identificar los bloqueos futuros del barbero dentro de esa jornada para liberarlos.</t>
  </si>
  <si>
    <t>Referencia a que barbero va a ser dueño de este horario</t>
  </si>
  <si>
    <t>Hace referencia a la agenda del barbero en la que queda guardado este horario de trabajo</t>
  </si>
  <si>
    <t>Representa la hora en la que el barbero empieza a estar disponible ese dia</t>
  </si>
  <si>
    <t>Representa la hora en la que el barbero deja de estar disponible ese día.</t>
  </si>
  <si>
    <t>Representa la fecha en el que el barbero creo su horario. Es un dato calculado que toma la fecha de hoy cuando el barbero la crea</t>
  </si>
  <si>
    <t>Representa la fecha en la que este horario dejó de estar vigente, ya sea porque el barbero lo retiró o porque se desactivó el horario de la barbería del que depende. Es un dato calculado que toma la fecha del sistema en ese momento.</t>
  </si>
  <si>
    <t>Representa si este horario lo sigue o no usando el barbero. Una vez que el barbero cambie este estado a no vigente, no se puede volver a cambiar</t>
  </si>
  <si>
    <t>Combinación única que indica que un mismo barbero no puede tener dos horarios con el mismo día de la barbería, la misma hora de inicio y la misma hora final. No incluye vigente porque la identidad de un horario no puede cambiar cuando se desactiva</t>
  </si>
  <si>
    <t>horarioDeLaBarberia</t>
  </si>
  <si>
    <t>horaInicio</t>
  </si>
  <si>
    <t>horaFinal</t>
  </si>
  <si>
    <t>Abrir la agenda de un barbero para una fecha</t>
  </si>
  <si>
    <t>Comando que crea la agenda del día para un barbero y pueda saber que citas debe de atender</t>
  </si>
  <si>
    <t>datos{horarioDelBarbero, fecha}</t>
  </si>
  <si>
    <t>Contiene la información requerida para abrirle la agenda del día a un barbero</t>
  </si>
  <si>
    <t>Contiene la información de la agenda abierta</t>
  </si>
  <si>
    <t>Generar una excepción indicándole al usuario que ya existe una agenda para ese horario de barbero y esa misma fecha</t>
  </si>
  <si>
    <t>Generar una excepción indicándole al usuario que no se le puede abrir agenda porque el barbero no está vigente</t>
  </si>
  <si>
    <t>Consultar la disponibilidad de un barbero para una fecha</t>
  </si>
  <si>
    <t>Permite a un cliente ver qué espacios le quedan libres a un barbero en una fecha, descontando sus citas ya agendadas y sus bloqueos</t>
  </si>
  <si>
    <t>Contiene el barbero y la fecha por los cuales se va a consultar la disponibilidad</t>
  </si>
  <si>
    <t>Lista&lt;Hora&gt;</t>
  </si>
  <si>
    <t>Contiene los espacios libres del barbero en esa fecha, descontando sus citas y sus bloqueos</t>
  </si>
  <si>
    <t>Si no se pueden descontar las citas o los bloqueos, informar que la disponibilidad no se pudo calcular</t>
  </si>
  <si>
    <t>Consultar las citas de un barbero para una fecha</t>
  </si>
  <si>
    <t>Permite consultar todas las citas agrupadas en la agenda de un barbero para una fecha puntual</t>
  </si>
  <si>
    <t>Contiene el barbero y la fecha por los cuales se van a consultar las citas</t>
  </si>
  <si>
    <t>Lista&lt;Cita&gt;</t>
  </si>
  <si>
    <t>Contiene todas las citas agrupadas en la agenda del barbero para esa fecha</t>
  </si>
  <si>
    <t>P-AGE-0001</t>
  </si>
  <si>
    <t>Asegurar que no exista ya una agenda para ese mismo horario de barbero y esa misma fecha</t>
  </si>
  <si>
    <t>P-AGE-0002</t>
  </si>
  <si>
    <t>Asegurar que el barbero esté vigente antes de abrirle una nueva agenda</t>
  </si>
  <si>
    <t>P-AGE-0003</t>
  </si>
  <si>
    <t>Al consultar la disponibilidad de una agenda, descontar de la jornada del barbero las horas que ya tienen una cita y las que están cubiertas por un bloqueo</t>
  </si>
  <si>
    <t>Permite verificar que el barbero esté vigente antes de abrirle la agenda.</t>
  </si>
  <si>
    <t>Agenda abierta</t>
  </si>
  <si>
    <t>Permite conocer la jornada de trabajo del barbero para esa fecha.</t>
  </si>
  <si>
    <t>Permite conocer las horas de esa fecha que ya están ocupadas por una cita.</t>
  </si>
  <si>
    <t>Disponibilidad de barbero consultada</t>
  </si>
  <si>
    <t>Permite conocer las horas de esa fecha en las que el barbero no está disponible.</t>
  </si>
  <si>
    <t>Citas de agenda consultadas</t>
  </si>
  <si>
    <t>Hace referencia al horario de trabajo del barbero (día de la semana, hora de inicio y hora final) al que pertenece esta agenda</t>
  </si>
  <si>
    <t>Representa la fecha específica en el que la agenda va a guardar las citas de ese barbero</t>
  </si>
  <si>
    <t>Combinación única que indica que un mismo horario de barbero no puede tener más de una agenda para el mismo día</t>
  </si>
  <si>
    <t>horarioDelBarbero</t>
  </si>
  <si>
    <t>fecha</t>
  </si>
  <si>
    <t>Corresponde a los datos auto generados por el sistema</t>
  </si>
  <si>
    <t>Se muestra el nombre completo del cliente, no una combinación única, únicamente para lectura humana en el muestreo</t>
  </si>
  <si>
    <t>Debe de estar dentro del horario de trabajo del barbero</t>
  </si>
  <si>
    <t xml:space="preserve">horaInicio + duracion (en minutos) y debe de estar dentro del horario de trabajo del barbero </t>
  </si>
  <si>
    <t>Resulta de dividir entre 60 la suma de duracionServicio + tiempoExtra de todos los CitaServicio de esta cita (parte en horas)</t>
  </si>
  <si>
    <t>Resto en minutos de dividir entre 60 la suma de duracionServicio + tiempoExtra de todos los CitaServicio de esta cita (parte en minutos)</t>
  </si>
  <si>
    <t>Si horaLlegadaCliente es 00:00 (no ha llegado), 0. Si no, MAX(0, horaLlegadaCliente - horaInicio) en minutos</t>
  </si>
  <si>
    <t>Si horaInicioAtencion es 00:00 (no ha empezado), 0. Si no, MAX(0, horaInicioAtencion - MAX(horaLlegadaCliente, horaInicio)) en minutos</t>
  </si>
  <si>
    <t>Lo define el barbero y queda congelado en la cita; solo se descuenta del precioTotal cuando la cita queda en el estado "El barbero se demoro"</t>
  </si>
  <si>
    <t>Lo define el barbero al momento de agendar la cita y queda congelado en ella; es el valor que se le cobra al cliente si su tardanza supera el tiempoEspera de esta misma cita</t>
  </si>
  <si>
    <t>Es el mismo margen para las dos partes: si el cliente lo supera se le genera una Multa de tipo Tardanza por el valor de multa, y si el barbero lo supera se le aplica al cliente el porcentajeDescuento sobre el precioTotal</t>
  </si>
  <si>
    <t>Suma del precioServicio de todos los CitaServicio de esta cita. Si el estado de la cita es "El barbero se demoro" se le resta el porcentajeDescuento; en cualquier otro estado se cobra la suma completa</t>
  </si>
  <si>
    <t>Pedir cita</t>
  </si>
  <si>
    <t>Comando que permite a un cliente solicitar una cita con un barbero, en una fecha y hora puntual, con uno o más servicios</t>
  </si>
  <si>
    <t>datos{cliente, agenda, horaInicio, servicios}</t>
  </si>
  <si>
    <t>Contiene la información requerida para agendar una nueva cita con un barbero</t>
  </si>
  <si>
    <t>Contiene la información de la cita agendada</t>
  </si>
  <si>
    <t>Generar una excepción indicándole al usuario cuáles datos de la cita no cumplen con las reglas definidas</t>
  </si>
  <si>
    <t>Generar una excepción indicándole al usuario que no puede agendar porque el cliente está vetado</t>
  </si>
  <si>
    <t>Generar una excepción indicándole al usuario que el barbero no tiene disponibilidad en la hora solicitada</t>
  </si>
  <si>
    <t>Generar una excepción indicándole al usuario que la hora solicitada cae dentro de un bloqueo del barbero</t>
  </si>
  <si>
    <t>Generar una excepción indicándole al usuario que alguno de los servicios pedidos no está habilitado para ese barbero</t>
  </si>
  <si>
    <t>Generar una excepción indicándole al usuario que los servicios pedidos pertenecen a más de un barbero</t>
  </si>
  <si>
    <t>Generar una excepción indicándole al usuario que la cita no cumple con la anticipación mínima que exige el barbero</t>
  </si>
  <si>
    <t>Si los valores de multa, tiempoEspera y porcentajeDescuento no se pueden congelar, no registrar la cita</t>
  </si>
  <si>
    <t>Reprogramar la cita</t>
  </si>
  <si>
    <t>Permite a un cliente cambiar la fecha, hora o barbero de una cita que aún no ha ocurrido</t>
  </si>
  <si>
    <t>Corresponde al identificador de la cita que se va a reprogramar</t>
  </si>
  <si>
    <t>Contiene la información de la cita reprogramada</t>
  </si>
  <si>
    <t>datos{agenda, horaInicio}</t>
  </si>
  <si>
    <t>Contiene la nueva agenda y hora con las que se va a reprogramar la cita</t>
  </si>
  <si>
    <t>Cancelar la cita por decisión del cliente</t>
  </si>
  <si>
    <t>Permite a un cliente cancelar una cita antes de que ocurra, siempre que falten 2 horas o más para su horaInicio</t>
  </si>
  <si>
    <t>Corresponde al identificador de la cita que el cliente va a cancelar</t>
  </si>
  <si>
    <t>Contiene la cita en el estado Cancelada por el cliente</t>
  </si>
  <si>
    <t>Generar una excepción indicándole al cliente que ya no puede cancelar la cita porque faltan menos de 2 horas para su horaInicio</t>
  </si>
  <si>
    <t>Cancelar la cita por decisión del barbero</t>
  </si>
  <si>
    <t>Permite a un barbero cancelar una cita antes de que ocurra</t>
  </si>
  <si>
    <t>Corresponde al identificador de la cita que el barbero va a cancelar</t>
  </si>
  <si>
    <t>Contiene la cita en el estado Cancelada por el barbero</t>
  </si>
  <si>
    <t>Generar una excepción indicándole al barbero que ya no puede cancelar la cita porque faltan menos de 2 horas para su horaInicio</t>
  </si>
  <si>
    <t>Registrar llegada del cliente</t>
  </si>
  <si>
    <t>Permite al barbero marcar la hora real en que el cliente llegó a su cita</t>
  </si>
  <si>
    <t>Corresponde al identificador de la cita a la que llegó el cliente</t>
  </si>
  <si>
    <t>Contiene la cita con la hora de llegada del cliente registrada</t>
  </si>
  <si>
    <t>Si la multa por tardanza no se puede generar, registrar el error y dejar la tardanza sin multa</t>
  </si>
  <si>
    <t>horaLlegadaCliente</t>
  </si>
  <si>
    <t>Contiene la hora real en la que el cliente llegó a la barbería</t>
  </si>
  <si>
    <t>Iniciar la atención del cliente</t>
  </si>
  <si>
    <t>Permite al barbero marcar el inicio real de la atención de la cita</t>
  </si>
  <si>
    <t>Corresponde al identificador de la cita que se va a iniciar</t>
  </si>
  <si>
    <t>Contiene la cita con la hora de inicio de la atención registrada</t>
  </si>
  <si>
    <t>Si el descuento no se puede aplicar, dejar el precioTotal sin descuento y registrar el error</t>
  </si>
  <si>
    <t>horaInicioAtencion</t>
  </si>
  <si>
    <t>Contiene la hora real en la que el barbero empezó a atender</t>
  </si>
  <si>
    <t>Finalizar la atención del cliente</t>
  </si>
  <si>
    <t>Permite al barbero marcar el fin real de la atención y cerrar la cita</t>
  </si>
  <si>
    <t>Corresponde al identificador de la cita que se va a cerrar</t>
  </si>
  <si>
    <t>Contiene la cita finalizada con su duración y su precioTotal calculados</t>
  </si>
  <si>
    <t>Si los tiempos y el precioTotal no se pueden calcular, no cerrar la cita e informar el error</t>
  </si>
  <si>
    <t>horaFinAtencion</t>
  </si>
  <si>
    <t>Contiene la hora real en la que el barbero terminó de atender</t>
  </si>
  <si>
    <t>Registrar la inasistencia del cliente</t>
  </si>
  <si>
    <t>Permite al barbero indicar que el cliente nunca llegó a la cita</t>
  </si>
  <si>
    <t>Corresponde al identificador de la cita a la que el cliente no asistió</t>
  </si>
  <si>
    <t>Contiene la cita en el estado Inasistencia del cliente</t>
  </si>
  <si>
    <t>Si la multa no se puede generar, registrar el error y dejar la inasistencia pendiente de multa</t>
  </si>
  <si>
    <t>P-CIT-0001</t>
  </si>
  <si>
    <t>Asegurar que los datos requeridos (hora de inicio, servicios solicitados) sean válidos en tipo de dato, obligatoriedad, formato y rango</t>
  </si>
  <si>
    <t>P-CIT-0002</t>
  </si>
  <si>
    <t>Asegurar que el cliente no esté vetado antes de permitirle agendar</t>
  </si>
  <si>
    <t>P-CIT-0003</t>
  </si>
  <si>
    <t>Asegurar que la agenda tenga disponibilidad y que la hora solicitada quepa dentro del horario del barbero sin solaparse con otra cita o bloqueo</t>
  </si>
  <si>
    <t>P-CIT-0004</t>
  </si>
  <si>
    <t>Asegurar que cada servicio solicitado esté habilitado para ese barbero</t>
  </si>
  <si>
    <t>P-CIT-0005</t>
  </si>
  <si>
    <t>Asegurar que la cita se solicite con al menos la anticipación mínima definida por el barbero</t>
  </si>
  <si>
    <t>P-CIT-0006</t>
  </si>
  <si>
    <t>Congelar en la cita el valor de multa, el tiempoEspera y el porcentajeDescuento en el momento de agendarla, para que un cambio posterior no altere citas ya registradas</t>
  </si>
  <si>
    <t>P-CIT-0007</t>
  </si>
  <si>
    <t>Al finalizar la atención, calcular minutosTardanzaCliente, minutosDemoraBarbero, duración y precioTotal a partir de los tiempos realmente registrados</t>
  </si>
  <si>
    <t>P-CIT-0008</t>
  </si>
  <si>
    <t>Generar una Multa por el valor total de los servicios pedidos</t>
  </si>
  <si>
    <t>P-CIT-0009</t>
  </si>
  <si>
    <t>Si minutosDemoraBarbero supera el tiempoEspera de la cita, aplicar el porcentajeDescuento de esa misma cita sobre su precioTotal</t>
  </si>
  <si>
    <t>P-CIT-0010</t>
  </si>
  <si>
    <t>Si minutosTardanzaCliente supera el tiempoEspera de la cita, generar una Multa de tipo Tardanza por el valor de multa de esa misma cita</t>
  </si>
  <si>
    <t>P-CIT-0011</t>
  </si>
  <si>
    <t>Rechazar la cancelación cuando falten menos de 2 horas para la horaInicio de la cita: en ese caso el sistema no le permite al cliente cancelarla y la cita se mantiene</t>
  </si>
  <si>
    <t>P-CIT-0012</t>
  </si>
  <si>
    <t>Asegurar que el barbero cancele la cita con al menos 2 horas de anticipación frente a su horaInicio</t>
  </si>
  <si>
    <t>P-CIT-0013</t>
  </si>
  <si>
    <t>Asegurar que todos los servicios pedidos en la cita correspondan a un mismo barbero, porque una cita la atiende un único barbero de principio a fin</t>
  </si>
  <si>
    <t>P-CIT-0014</t>
  </si>
  <si>
    <t>Asegurar que la hora solicitada no caiga dentro de ningún bloqueo del barbero, ni que la cita se extienda sobre uno</t>
  </si>
  <si>
    <t>Permite identificar quién solicita la cita y verificar que no esté vetado.</t>
  </si>
  <si>
    <t>Cita agendada</t>
  </si>
  <si>
    <t>¿Cuántos servicios como máximo puede pedir un cliente en una misma cita? Aún no hay un límite definido, lo que deja sin techo real la duración total de una cita</t>
  </si>
  <si>
    <t>Permite conocer la disponibilidad del barbero en la fecha solicitada.</t>
  </si>
  <si>
    <t>Permite conocer los rangos de tiempo en los que el barbero no está disponible.</t>
  </si>
  <si>
    <t>Permite verificar que la hora solicitada esté dentro de la jornada del barbero.</t>
  </si>
  <si>
    <t>Permite seleccionar los servicios de ese barbero y conocer su duración.</t>
  </si>
  <si>
    <t>Permite conocer la anticipación mínima que el barbero exige para agendar.</t>
  </si>
  <si>
    <t>Permite asignar el estado inicial de la cita.</t>
  </si>
  <si>
    <t>Permite conocer la disponibilidad del barbero en la nueva fecha.</t>
  </si>
  <si>
    <t>Cita reprogramada</t>
  </si>
  <si>
    <t>Permite verificar que la nueva hora no caiga en un bloqueo del barbero.</t>
  </si>
  <si>
    <t>Permite verificar que la nueva hora respete su anticipación mínima.</t>
  </si>
  <si>
    <t>Permite cambiar el estado a cancelada por el cliente cuando la cancelación es aceptada.</t>
  </si>
  <si>
    <t>Cita cancelada por el cliente</t>
  </si>
  <si>
    <t>Permite cambiar el estado a cancelada por el barbero.</t>
  </si>
  <si>
    <t>Cita cancelada por el barbero</t>
  </si>
  <si>
    <t>Permite cambiar el estado cuando la tardanza del cliente supera el tiempo de espera.</t>
  </si>
  <si>
    <t>Llegada de cliente registrada</t>
  </si>
  <si>
    <t>Permite cambiar el estado cuando la demora del barbero supera el tiempo de espera.</t>
  </si>
  <si>
    <t>Atención de cliente iniciada</t>
  </si>
  <si>
    <t>Permite conocer los servicios prestados para calcular la duración y el precioTotal.</t>
  </si>
  <si>
    <t>Atención de cliente finalizada</t>
  </si>
  <si>
    <t>Permite generar la multa por inasistencia con el precioTotal de la cita.</t>
  </si>
  <si>
    <t>Inasistencia de cliente registrada</t>
  </si>
  <si>
    <t>Permite al sistema indicar que el cliente nunca llegó a la cita</t>
  </si>
  <si>
    <t>Representa a cuál cliente le pertenece esta cita</t>
  </si>
  <si>
    <t>Referencia en cual agenda va a estar esta cita</t>
  </si>
  <si>
    <t>Representa en qué estado se encuentra esta cita puntual: agendada, finalizada, cancelada, con tardanza del cliente o del barbero, o inasistencia</t>
  </si>
  <si>
    <t>Representa la hora en la que se va a realizar la cita al cliente</t>
  </si>
  <si>
    <t>Representa la hora en la que se espera que termine la cita, sumando horaInicio más la duración total de los servicios pedidos. Es un dato calculado</t>
  </si>
  <si>
    <t>Representa la hora real en la que el cliente llegó a la barbería para esta cita. Su valor por defecto es 00:00 y es permitido: significa que el cliente aún no ha llegado</t>
  </si>
  <si>
    <t>Representa la hora real en la que el barbero quedó listo y disponible para empezar a atender esta cita. Su valor por defecto es 00:00 y es permitido: significa que el barbero aún no se ha preparado</t>
  </si>
  <si>
    <t>Representa la hora real en la que el barbero empezó a atender al cliente. Su valor por defecto es 00:00 y es permitido: significa que la atención aún no ha comenzado</t>
  </si>
  <si>
    <t>Representa la hora real en la que el barbero terminó de atender al cliente. Su valor por defecto es 00:00 y es permitido: significa que la atención aún no ha terminado</t>
  </si>
  <si>
    <t>Representa la cantidad total de horas que va a durar la cita, sumando la duración de cada servicio pedido más el tiempo extra de cada uno. Es un dato calculado</t>
  </si>
  <si>
    <t>Representa la cantidad total de minutos que va a durar la cita, sumando la duración de cada servicio pedido más el tiempo extra de cada uno. Es un dato calculado</t>
  </si>
  <si>
    <t>Representa cuántos minutos después de horaInicio llegó el cliente. Si llegó a tiempo o aún no ha llegado su valor es 0. Es un dato calculado</t>
  </si>
  <si>
    <t>Representa cuántos minutos después de la llegada del cliente empezó el barbero a atenderlo. Si no hubo demora su valor es 0. Es un dato calculado</t>
  </si>
  <si>
    <t>Representa el descuento que el barbero le concede al cliente por haberse demorado en atenderlo; solo se descuenta del precioTotal cuando la cita queda en el estado "El barbero se demoro"</t>
  </si>
  <si>
    <t>Representa el precio de sancion, en caso de que el cliente se demore</t>
  </si>
  <si>
    <t>Representa la cantidad de minutos en el que el barbero puede esperar a un cliente, después de este tiempo de espera se le hace una sanción por retraso. Si el barbero se pasa de este tiempo se le da el descuento al cliente</t>
  </si>
  <si>
    <t>Representa cuánto debe pagar el cliente por los servicios de esta cita: la suma del precioServicio de todos sus CitaServicio, al que solo se le aplica el porcentajeDescuento cuando la cita quedó en el estado "El barbero se demoro"</t>
  </si>
  <si>
    <t>Combinación única que indica que una misma agenda no puede tener dos citas que empiecen a la misma hora</t>
  </si>
  <si>
    <t>cliente</t>
  </si>
  <si>
    <t>agenda</t>
  </si>
  <si>
    <t>estado</t>
  </si>
  <si>
    <t>horaFinEstimada</t>
  </si>
  <si>
    <t>horaDelBarberoPreparado</t>
  </si>
  <si>
    <t>duracionHoras</t>
  </si>
  <si>
    <t>duracionMinutos</t>
  </si>
  <si>
    <t>minutosTardanzaCliente</t>
  </si>
  <si>
    <t>minutosDemoraBarbero</t>
  </si>
  <si>
    <t>porcentajeDescuento</t>
  </si>
  <si>
    <t>multa</t>
  </si>
  <si>
    <t>tiempoEspera</t>
  </si>
  <si>
    <t>precioTotal</t>
  </si>
  <si>
    <t>Copia de Servicio.precio en el momento de agendar la cita</t>
  </si>
  <si>
    <t>Copia de BarberoServicio.duracionEnHoras en el momento de agendar la cita</t>
  </si>
  <si>
    <t>Copia de BarberoServicio.duracionServicio en el momento de agendar la cita</t>
  </si>
  <si>
    <t>Copia de BarberoServicio.tiempoExtra en el momento de agendar la cita</t>
  </si>
  <si>
    <t>Consultar los servicios de una cita</t>
  </si>
  <si>
    <t>Permite ver qué servicios fueron pedidos dentro de una cita puntual</t>
  </si>
  <si>
    <t>filtro{cita}</t>
  </si>
  <si>
    <t>Contiene la cita por la cual se van a consultar sus servicios</t>
  </si>
  <si>
    <t>Lista&lt;CitaServicio&gt;</t>
  </si>
  <si>
    <t>Contiene todos los servicios que fueron pedidos dentro de esa cita</t>
  </si>
  <si>
    <t>Ver precio de cada servicio</t>
  </si>
  <si>
    <t>Permite consultar el precio que quedó congelado para cada servicio de una cita en el momento en que se agendó</t>
  </si>
  <si>
    <t>Contiene la cita por la cual se van a consultar los precios de sus servicios</t>
  </si>
  <si>
    <t>Contiene el precio que quedó congelado para cada servicio de esa cita</t>
  </si>
  <si>
    <t>Servicios de cita consultados</t>
  </si>
  <si>
    <t>Precio de servicio de cita consultado</t>
  </si>
  <si>
    <t>Hace referencia a la cita a la que pertenece este servicio pedido</t>
  </si>
  <si>
    <t>Hace referencia a qué servicio, de qué barbero específico, se pidió en esta cita. No se referencia el Servicio directamente porque un barbero podría no ofrecerlo</t>
  </si>
  <si>
    <t>Representa el precio que tenía el servicio en el momento en que se agendó esta cita. Es un dato auto generado: copia de Servicio.precio, para que cambios futuros en el precio del catálogo no alteren una cita ya registrada</t>
  </si>
  <si>
    <t>Representa la duración en horas que tenía el servicio para ese barbero en el momento en que se agendó esta cita. Es un dato auto generado: copia de BarberoServicio.duracionServicio</t>
  </si>
  <si>
    <t>Representa la duración en minutos que tenía el servicio para ese barbero en el momento en que se agendó esta cita. Es un dato auto generado: copia de BarberoServicio.duracionServicio</t>
  </si>
  <si>
    <t>Representa el tiempo extra en minutos que ese barbero tenía configurado para este servicio en el momento en que se agendó la cita. Es un dato auto generado: copia de BarberoServicio.tiempoExtra, para que cambios futuros en el tiempo extra no alteren una cita ya registrada</t>
  </si>
  <si>
    <t>Combinación única que indica que un mismo servicio no se puede pedir dos veces en la misma cita, es decir que CitaServicio no puede tener la misma cita y el barberoServicio</t>
  </si>
  <si>
    <t>cita</t>
  </si>
  <si>
    <t>barberoServicio</t>
  </si>
  <si>
    <t>precioServicio</t>
  </si>
  <si>
    <t>duracionEnHorasElServicio</t>
  </si>
  <si>
    <t>duracionEnMinutosElServicio</t>
  </si>
  <si>
    <t>Si tipo=Tardanza copia Cita.multa; si tipo=Inasistencia copia Cita.precioTotal, y queda congelado</t>
  </si>
  <si>
    <t>Si tipo=Tardanza copia Cita.horaLlegadaCliente; si tipo=Inasistencia copia Cita.horaFinEstimada</t>
  </si>
  <si>
    <t>Fecha y Hora</t>
  </si>
  <si>
    <t>Imponer una multa al cliente</t>
  </si>
  <si>
    <t>Genera automáticamente una multa a un cliente cuando se registra una inasistencia o una tardanza fuera de tolerancia</t>
  </si>
  <si>
    <t>datos{cita, tipo}</t>
  </si>
  <si>
    <t>Contiene la cita incumplida y el tipo de multa que se le va a imponer al cliente</t>
  </si>
  <si>
    <t>Contiene la información de la multa impuesta</t>
  </si>
  <si>
    <t>Si el tipo de multa y el monto no se pueden congelar, no registrar la multa e informar el error</t>
  </si>
  <si>
    <t>Si el veto del cliente no se puede actualizar, registrar el error sin revertir la multa</t>
  </si>
  <si>
    <t>Ver todas mis multas</t>
  </si>
  <si>
    <t>Permite a un cliente consultar el historial de multas que se le han impuesto</t>
  </si>
  <si>
    <t>filtro{cliente}</t>
  </si>
  <si>
    <t>Contiene el cliente por el cual se van a consultar sus multas</t>
  </si>
  <si>
    <t>Lista&lt;Multa&gt;</t>
  </si>
  <si>
    <t>Contiene todas las multas que se le han impuesto al cliente</t>
  </si>
  <si>
    <t>Registrar el pago de una multa</t>
  </si>
  <si>
    <t>Permite al barbero marcar que un cliente ya pagó una multa pendiente</t>
  </si>
  <si>
    <t>Corresponde al identificador de la multa que se va a marcar como pagada</t>
  </si>
  <si>
    <t>Contiene la multa con su pago registrado</t>
  </si>
  <si>
    <t>Generar una excepción indicándole al usuario que esa multa ya está pagada</t>
  </si>
  <si>
    <t>fechaHoraPago</t>
  </si>
  <si>
    <t>Contiene la fecha y hora en la que el cliente pagó la multa</t>
  </si>
  <si>
    <t>P-MUL-0001</t>
  </si>
  <si>
    <t>Congelar el motivo (tipo de multa) y el monto en el momento de generarse: si es por tardanza se copia Cita.multa y si es por inasistencia se copia Cita.precioTotal, sin recalcular después</t>
  </si>
  <si>
    <t>P-MUL-0002</t>
  </si>
  <si>
    <t>Asegurar que la multa no esté ya pagada antes de registrar un nuevo pago</t>
  </si>
  <si>
    <t>P-MUL-0003</t>
  </si>
  <si>
    <t>Al generarse una multa dejar vetado al cliente, y quitarle el veto en el momento en que registre el pago de esa multa</t>
  </si>
  <si>
    <t>Permite conocer la cita incumplida de donde salen el tipo y el monto de la multa.</t>
  </si>
  <si>
    <t>Multa impuesta</t>
  </si>
  <si>
    <t>Permite dejar vetado al cliente al que se le impone la multa.</t>
  </si>
  <si>
    <t>Permite mostrar de qué tipo es cada multa del cliente.</t>
  </si>
  <si>
    <t>Multas consultadas</t>
  </si>
  <si>
    <t>Permite quitarle el veto al cliente cuando ya no le quedan multas sin pagar.</t>
  </si>
  <si>
    <t>Multa pagada</t>
  </si>
  <si>
    <t>Hace referencia a la cita puntual que el cliente incumplió (llegando tarde fuera de la tolerancia o no presentándose), de esa cita es de donde sale el valor de monto si fue el caso de no presentase</t>
  </si>
  <si>
    <t>Hace referencia al tipo de multa -tardanza o inasistencia- según lo que haya ocurrido con la cita</t>
  </si>
  <si>
    <t>Representa cuánto dinero en pesos colombianos debe pagar el cliente por esta multa. Es un dato auto generado: si el tipo es Tardanza copia el valor de multa de la Cita incumplida; si el tipo es Inasistencia copia el precioTotal de la Cita incumplida</t>
  </si>
  <si>
    <t>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t>
  </si>
  <si>
    <t>Representa la fecha y hora en la que el cliente pagó esta multa. Su valor por defecto es 01/01/1000 00:00 y es permitido: significa que la multa sigue sin pagar</t>
  </si>
  <si>
    <t>Representa si el cliente ya pagó o no esta multa, es el dato que se revisa para decidir si un cliente queda vetado: mientras tenga una multa sin pagar no puede agendar</t>
  </si>
  <si>
    <t>Combinación única que indica que una misma cita no puede generar más de una multa</t>
  </si>
  <si>
    <t>tipo</t>
  </si>
  <si>
    <t>monto</t>
  </si>
  <si>
    <t>horaGeneracion</t>
  </si>
  <si>
    <t>pagada</t>
  </si>
  <si>
    <t>1/01/1000 00:00</t>
  </si>
  <si>
    <t>Representa cada uno de los días de la semana, incluyendo festivo, que se usa como catálogo para definir los horarios de la barbería y de cada barbero.</t>
  </si>
  <si>
    <t>Representa en qué situación puntual se encuentra una cita: agendada, finalizada, cancelada por alguna de las partes, con tardanza del cliente o del barbero, o con inasistencia del cliente.</t>
  </si>
  <si>
    <t>Representa cada tipo de corte o arreglo que ofrece la barbería, definido por el dueño, para que luego cada barbero decida cuáles sabe hacer.</t>
  </si>
  <si>
    <t>Representa el catálogo de prefijos telefónicos de país que el dueño habilita, y que son los únicos que barberos y clientes pueden usar en su número de celular.</t>
  </si>
  <si>
    <t>Representa los tipos de multa que puede recibir un cliente: por tardanza o por inasistencia.</t>
  </si>
  <si>
    <t>Representa a un trabajador de la barbería que atiende clientes según los servicios que sabe realizar, organiza su propio horario y tiene su agenda personal para atender todas las citas que valla teniendo.</t>
  </si>
  <si>
    <t xml:space="preserve">Representa a la persona que solicita citas en la barbería. </t>
  </si>
  <si>
    <t>Representa los momentos en que el barbero no esta disponible para atender sus citas, el barbero establece la hora y la fecha en que empieza y termina ese estado de no disponible.</t>
  </si>
  <si>
    <t>Representa qué servicios sabe hacer cada barbero, cuánto se demora en realizarlos y cuánto tiempo extra usa de colchón, ya que no todos los barberos ofrecen los mismos servicios que están en la barbería.</t>
  </si>
  <si>
    <t>Representa el día de la semana en que trabaja un barbero, junto con la hora en la que empieza y termina su jornada de trabajo.</t>
  </si>
  <si>
    <t>Representa una fecha puntual en donde el barbero ve todas las citas que debe de atender ese día.</t>
  </si>
  <si>
    <t>Representa, día por día, a qué hora abre y cierra el negocio; es el límite dentro del cual debe caber el horario de cualquier barbero.</t>
  </si>
  <si>
    <t>Representa la reserva de un cliente con un barbero para un fecha y hora puntual, con los servicios pedidos, su estado, y lo que realmente ocurrió (llegada, atención, tardanzas).</t>
  </si>
  <si>
    <t>Representa cada servicio incluido dentro de una cita puntual, guardando el precio y la duración que tenía ese servicio para ese barbero en el momento exacto en que se agendó, para que cambios futuros en el catálogo no alteren citas ya registradas.</t>
  </si>
  <si>
    <t>Representa la sanción económica que se le impone a un cliente por incumplir una cita, ya sea por llegar tarde fuera de tolerancia o por no presentarse, calculada a partir de la cita específica que la originó.</t>
  </si>
  <si>
    <t>VerDiasDeLaSemana</t>
  </si>
  <si>
    <t>Permite consultar el catálogo de días de la semana, incluyendo festivo, para definir los horarios</t>
  </si>
  <si>
    <t>Contiene todos los días de la semana</t>
  </si>
  <si>
    <t>No mostrar</t>
  </si>
  <si>
    <t>Mostrar</t>
  </si>
  <si>
    <t>Ver estados de las citas</t>
  </si>
  <si>
    <t>editarDescripcion</t>
  </si>
  <si>
    <t>P-EST-0002</t>
  </si>
  <si>
    <t>Asegurar que exista el estado con el id enviado</t>
  </si>
  <si>
    <t>Detener ejecución de la operación</t>
  </si>
  <si>
    <t>Informar con un mensaje que no existe un Estado con el identificador enviado y por lo tanto no es posible modificar la descripción</t>
  </si>
  <si>
    <t>consultarTodosLosEstados</t>
  </si>
  <si>
    <t>consultarDescripcion</t>
  </si>
  <si>
    <t>String</t>
  </si>
  <si>
    <t>datos{nombre}</t>
  </si>
  <si>
    <t>Contiene el nombre del estado</t>
  </si>
  <si>
    <t>La descripcion del estado se editó</t>
  </si>
  <si>
    <t>Requerido</t>
  </si>
  <si>
    <t>No modificable</t>
  </si>
  <si>
    <t>No requerido</t>
  </si>
  <si>
    <t>Modificable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</si>
</sst>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mm\ AM/PM"/>
    <numFmt numFmtId="165" formatCode="_-&quot;$ &quot;* #,##0_-;&quot;-$ &quot;* #,##0_-;_-&quot;$ &quot;* \-??_-;_-@_-"/>
    <numFmt numFmtId="166" formatCode="&quot;$ &quot;#,##0"/>
    <numFmt numFmtId="167" formatCode="m/d/yyyy"/>
    <numFmt numFmtId="168" formatCode="m/d/yyyy\ h:mm"/>
    <numFmt numFmtId="169" formatCode="dd/mm/yyyy"/>
    <numFmt numFmtId="170" formatCode="_(\$* #,##0.00_);_(\$* \(#,##0.00\);_(\$* \-??_);_(@_)"/>
    <numFmt numFmtId="171" formatCode="hh:mm"/>
  </numFmts>
  <fonts count="35" x14ac:knownFonts="1">
    <font>
      <sz val="11"/>
      <color theme="1"/>
      <name val="Calibri"/>
      <family val="2"/>
      <charset val="1"/>
    </font>
    <font>
      <u/>
      <sz val="11"/>
      <color theme="10"/>
      <name val="Calibri"/>
      <family val="2"/>
      <charset val="1"/>
    </font>
    <font>
      <b/>
      <sz val="11"/>
      <color theme="1"/>
      <name val="Calibri"/>
      <family val="2"/>
      <charset val="1"/>
    </font>
    <font>
      <b/>
      <sz val="11"/>
      <name val="Calibri"/>
      <family val="2"/>
      <charset val="1"/>
    </font>
    <font>
      <u/>
      <sz val="11"/>
      <color rgb="FF0563C1"/>
      <name val="Calibri"/>
      <family val="2"/>
      <charset val="1"/>
    </font>
    <font>
      <b/>
      <sz val="11"/>
      <color theme="1"/>
      <name val="Aptos Narrow"/>
      <family val="2"/>
      <charset val="1"/>
    </font>
    <font>
      <sz val="11"/>
      <color theme="1"/>
      <name val="Aptos Narrow"/>
      <family val="2"/>
      <charset val="1"/>
    </font>
    <font>
      <b/>
      <sz val="11"/>
      <color rgb="FF000000"/>
      <name val="Aptos Narrow"/>
      <family val="2"/>
      <charset val="1"/>
    </font>
    <font>
      <u/>
      <sz val="11"/>
      <color rgb="FF467886"/>
      <name val="Aptos Narrow"/>
      <family val="2"/>
      <charset val="1"/>
    </font>
    <font>
      <sz val="10"/>
      <color theme="1"/>
      <name val="Calibri"/>
      <family val="2"/>
      <charset val="1"/>
    </font>
    <font>
      <u/>
      <sz val="10"/>
      <color rgb="FF0563C1"/>
      <name val="Aptos Narrow"/>
      <family val="2"/>
      <charset val="1"/>
    </font>
    <font>
      <u/>
      <sz val="10"/>
      <color theme="10"/>
      <name val="Calibri"/>
      <family val="2"/>
      <charset val="1"/>
    </font>
    <font>
      <b/>
      <sz val="10"/>
      <color theme="1"/>
      <name val="Calibri"/>
      <family val="2"/>
      <charset val="1"/>
    </font>
    <font>
      <sz val="10"/>
      <name val="Aptos Narrow"/>
      <family val="2"/>
      <charset val="1"/>
    </font>
    <font>
      <b/>
      <sz val="10"/>
      <name val="Aptos Narrow"/>
      <family val="2"/>
      <charset val="1"/>
    </font>
    <font>
      <sz val="7"/>
      <name val="Calibri"/>
      <family val="2"/>
      <charset val="1"/>
    </font>
    <font>
      <sz val="7"/>
      <color rgb="FF000000"/>
      <name val="Calibri"/>
      <family val="2"/>
      <charset val="1"/>
    </font>
    <font>
      <b/>
      <sz val="11"/>
      <color rgb="FF000000"/>
      <name val="Calibri"/>
      <family val="2"/>
      <charset val="1"/>
    </font>
    <font>
      <u/>
      <sz val="10"/>
      <color rgb="FF0563C1"/>
      <name val="Calibri"/>
      <family val="2"/>
      <charset val="1"/>
    </font>
    <font>
      <b/>
      <sz val="11"/>
      <name val="Cambria"/>
      <family val="1"/>
      <charset val="1"/>
    </font>
    <font>
      <sz val="7"/>
      <color theme="1"/>
      <name val="Calibri"/>
      <family val="2"/>
      <charset val="1"/>
    </font>
    <font>
      <sz val="11"/>
      <name val="Calibri"/>
      <family val="2"/>
      <charset val="1"/>
    </font>
    <font>
      <b/>
      <sz val="10"/>
      <color theme="1"/>
      <name val="Aptos Narrow"/>
      <family val="2"/>
      <charset val="1"/>
    </font>
    <font>
      <sz val="10"/>
      <color theme="1"/>
      <name val="Aptos Narrow"/>
      <family val="2"/>
      <charset val="1"/>
    </font>
    <font>
      <b/>
      <sz val="11"/>
      <color rgb="FFFFFFFF"/>
      <name val="Calibri"/>
      <family val="2"/>
      <charset val="1"/>
    </font>
    <font>
      <sz val="10"/>
      <name val="Arial"/>
      <family val="2"/>
      <charset val="1"/>
    </font>
    <font>
      <u/>
      <sz val="11"/>
      <color rgb="FF0563C1"/>
      <name val="Aptos Narrow"/>
      <family val="2"/>
      <charset val="1"/>
    </font>
    <font>
      <u/>
      <sz val="11"/>
      <color theme="10"/>
      <name val="Aptos Narrow"/>
      <family val="2"/>
      <charset val="1"/>
    </font>
    <font>
      <b/>
      <u/>
      <sz val="11"/>
      <color rgb="FF467886"/>
      <name val="Calibri"/>
      <family val="2"/>
      <charset val="1"/>
    </font>
    <font>
      <u/>
      <sz val="11"/>
      <color theme="4"/>
      <name val="Calibri"/>
      <family val="2"/>
      <charset val="1"/>
    </font>
    <font>
      <b/>
      <sz val="10"/>
      <color theme="1"/>
      <name val="Aptos Narrow"/>
      <family val="2"/>
    </font>
    <font>
      <sz val="10"/>
      <color theme="1"/>
      <name val="Aptos Narrow"/>
      <family val="2"/>
    </font>
    <font>
      <b/>
      <sz val="10"/>
      <name val="Aptos Narrow"/>
      <family val="2"/>
    </font>
    <font>
      <sz val="10"/>
      <name val="Aptos Narrow"/>
      <family val="2"/>
    </font>
    <font>
      <u/>
      <sz val="10"/>
      <color rgb="FF0563C1"/>
      <name val="Aptos Narrow"/>
      <family val="2"/>
    </font>
  </fonts>
  <fills count="30">
    <fill>
      <patternFill patternType="none"/>
    </fill>
    <fill>
      <patternFill patternType="gray125"/>
    </fill>
    <fill>
      <patternFill patternType="solid">
        <fgColor theme="0"/>
        <bgColor rgb="FFFCFCAA"/>
      </patternFill>
    </fill>
    <fill>
      <patternFill patternType="solid">
        <fgColor rgb="FFD9D9D9"/>
        <bgColor rgb="FFDBDBDB"/>
      </patternFill>
    </fill>
    <fill>
      <patternFill patternType="solid">
        <fgColor rgb="FFC0E6F5"/>
        <bgColor rgb="FFCAEDFB"/>
      </patternFill>
    </fill>
    <fill>
      <patternFill patternType="solid">
        <fgColor rgb="FFF2CEEF"/>
        <bgColor rgb="FFFDD3FA"/>
      </patternFill>
    </fill>
    <fill>
      <patternFill patternType="solid">
        <fgColor rgb="FFCAEDFB"/>
        <bgColor rgb="FFC0E6F5"/>
      </patternFill>
    </fill>
    <fill>
      <patternFill patternType="solid">
        <fgColor theme="9" tint="0.59987182226020086"/>
        <bgColor rgb="FFC5E0B3"/>
      </patternFill>
    </fill>
    <fill>
      <patternFill patternType="solid">
        <fgColor theme="9" tint="0.39948728904080327"/>
        <bgColor rgb="FFC5E0B3"/>
      </patternFill>
    </fill>
    <fill>
      <patternFill patternType="solid">
        <fgColor theme="9" tint="0.59959715567491678"/>
        <bgColor rgb="FFC5E0B4"/>
      </patternFill>
    </fill>
    <fill>
      <patternFill patternType="solid">
        <fgColor theme="0" tint="-0.249977111117893"/>
        <bgColor rgb="FFD0CECE"/>
      </patternFill>
    </fill>
    <fill>
      <patternFill patternType="solid">
        <fgColor rgb="FFFCFCAA"/>
        <bgColor rgb="FFFFE699"/>
      </patternFill>
    </fill>
    <fill>
      <patternFill patternType="solid">
        <fgColor rgb="FFF381DB"/>
        <bgColor rgb="FFFA90B1"/>
      </patternFill>
    </fill>
    <fill>
      <patternFill patternType="solid">
        <fgColor rgb="FFFFFF00"/>
        <bgColor rgb="FFFFD966"/>
      </patternFill>
    </fill>
    <fill>
      <patternFill patternType="solid">
        <fgColor rgb="FF92D050"/>
        <bgColor rgb="FFA9D18E"/>
      </patternFill>
    </fill>
    <fill>
      <patternFill patternType="solid">
        <fgColor rgb="FFCC99FF"/>
        <bgColor rgb="FFE49EDD"/>
      </patternFill>
    </fill>
    <fill>
      <patternFill patternType="solid">
        <fgColor rgb="FFFDD3FA"/>
        <bgColor rgb="FFF2CEEF"/>
      </patternFill>
    </fill>
    <fill>
      <patternFill patternType="solid">
        <fgColor rgb="FFFFC000"/>
        <bgColor rgb="FFFFD966"/>
      </patternFill>
    </fill>
    <fill>
      <patternFill patternType="solid">
        <fgColor rgb="FFFA90B1"/>
        <bgColor rgb="FFF381DB"/>
      </patternFill>
    </fill>
    <fill>
      <patternFill patternType="solid">
        <fgColor rgb="FFD0CECE"/>
        <bgColor rgb="FFD9D9D9"/>
      </patternFill>
    </fill>
    <fill>
      <patternFill patternType="solid">
        <fgColor rgb="FF70AD47"/>
        <bgColor rgb="FF92D050"/>
      </patternFill>
    </fill>
    <fill>
      <patternFill patternType="solid">
        <fgColor rgb="FFFFD966"/>
        <bgColor rgb="FFFFE699"/>
      </patternFill>
    </fill>
    <fill>
      <patternFill patternType="solid">
        <fgColor theme="6" tint="0.59959715567491678"/>
        <bgColor rgb="FFD9D9D9"/>
      </patternFill>
    </fill>
    <fill>
      <patternFill patternType="solid">
        <fgColor rgb="FFF7C7AC"/>
        <bgColor rgb="FFF2CEEF"/>
      </patternFill>
    </fill>
    <fill>
      <patternFill patternType="solid">
        <fgColor rgb="FFF1ABE9"/>
        <bgColor rgb="FFE49EDD"/>
      </patternFill>
    </fill>
    <fill>
      <patternFill patternType="solid">
        <fgColor rgb="FF2F75B5"/>
        <bgColor rgb="FF467886"/>
      </patternFill>
    </fill>
    <fill>
      <patternFill patternType="solid">
        <fgColor theme="8" tint="0.59999389629810485"/>
        <bgColor rgb="FFC5E0B3"/>
      </patternFill>
    </fill>
    <fill>
      <patternFill patternType="solid">
        <fgColor theme="7" tint="0.59999389629810485"/>
        <bgColor rgb="FFC5E0B3"/>
      </patternFill>
    </fill>
    <fill>
      <patternFill patternType="solid">
        <fgColor theme="9" tint="0.59999389629810485"/>
        <bgColor indexed="64"/>
      </patternFill>
    </fill>
    <fill>
      <patternFill patternType="solid">
        <fgColor theme="8" tint="0.59999389629810485"/>
        <bgColor indexed="64"/>
      </patternFill>
    </fill>
  </fills>
  <borders count="2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auto="1"/>
      </left>
      <right/>
      <top style="thin">
        <color auto="1"/>
      </top>
      <bottom/>
      <diagonal/>
    </border>
    <border>
      <left/>
      <right style="thin">
        <color auto="1"/>
      </right>
      <top style="thin">
        <color auto="1"/>
      </top>
      <bottom/>
      <diagonal/>
    </border>
    <border>
      <left style="medium">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medium">
        <color auto="1"/>
      </left>
      <right/>
      <top/>
      <bottom/>
      <diagonal/>
    </border>
    <border>
      <left/>
      <right style="thin">
        <color auto="1"/>
      </right>
      <top/>
      <bottom/>
      <diagonal/>
    </border>
    <border>
      <left style="thin">
        <color auto="1"/>
      </left>
      <right/>
      <top/>
      <bottom/>
      <diagonal/>
    </border>
    <border>
      <left style="thin">
        <color auto="1"/>
      </left>
      <right style="thin">
        <color auto="1"/>
      </right>
      <top/>
      <bottom/>
      <diagonal/>
    </border>
  </borders>
  <cellStyleXfs count="3">
    <xf numFmtId="0" fontId="0" fillId="0" borderId="0"/>
    <xf numFmtId="170" fontId="25" fillId="0" borderId="0"/>
    <xf numFmtId="0" fontId="1" fillId="0" borderId="0"/>
  </cellStyleXfs>
  <cellXfs count="356">
    <xf numFmtId="0" fontId="0" fillId="0" borderId="0" xfId="0"/>
    <xf numFmtId="0" fontId="9" fillId="0" borderId="0" xfId="0" applyFont="1" applyAlignment="1">
      <alignment horizontal="left" vertical="center" wrapText="1"/>
    </xf>
    <xf numFmtId="0" fontId="13" fillId="0" borderId="1" xfId="0" applyFont="1" applyBorder="1" applyAlignment="1">
      <alignment horizontal="center" vertical="center" wrapText="1"/>
    </xf>
    <xf numFmtId="0" fontId="0" fillId="7" borderId="1" xfId="0" applyFill="1" applyBorder="1" applyAlignment="1">
      <alignment horizontal="lef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1" fillId="0" borderId="0" xfId="0" applyFont="1"/>
    <xf numFmtId="0" fontId="0" fillId="2" borderId="0" xfId="0" applyFill="1"/>
    <xf numFmtId="0" fontId="2" fillId="0" borderId="1" xfId="0" applyFont="1" applyBorder="1" applyAlignment="1">
      <alignment vertical="center"/>
    </xf>
    <xf numFmtId="0" fontId="3" fillId="0" borderId="1" xfId="0" applyFont="1" applyBorder="1"/>
    <xf numFmtId="0" fontId="0" fillId="0" borderId="1" xfId="0" applyBorder="1"/>
    <xf numFmtId="0" fontId="0" fillId="0" borderId="1" xfId="0" applyBorder="1" applyAlignment="1">
      <alignment vertical="center" wrapText="1"/>
    </xf>
    <xf numFmtId="0" fontId="0" fillId="0" borderId="1" xfId="0" applyBorder="1" applyAlignment="1">
      <alignment vertical="center"/>
    </xf>
    <xf numFmtId="0" fontId="4" fillId="0" borderId="1" xfId="0" applyFont="1" applyBorder="1"/>
    <xf numFmtId="0" fontId="0" fillId="0" borderId="1" xfId="0" applyBorder="1" applyAlignment="1">
      <alignment wrapText="1"/>
    </xf>
    <xf numFmtId="0" fontId="1" fillId="0" borderId="1" xfId="0" applyFont="1" applyBorder="1"/>
    <xf numFmtId="0" fontId="5" fillId="3" borderId="1" xfId="0" applyFont="1" applyFill="1" applyBorder="1" applyAlignment="1">
      <alignment vertical="center"/>
    </xf>
    <xf numFmtId="0" fontId="5" fillId="3" borderId="1" xfId="0" applyFont="1" applyFill="1" applyBorder="1" applyAlignment="1">
      <alignment vertical="center" wrapText="1"/>
    </xf>
    <xf numFmtId="0" fontId="6" fillId="3" borderId="1" xfId="0" applyFont="1" applyFill="1" applyBorder="1" applyAlignment="1">
      <alignment vertical="center"/>
    </xf>
    <xf numFmtId="0" fontId="6" fillId="3" borderId="1" xfId="0" applyFont="1" applyFill="1" applyBorder="1" applyAlignment="1">
      <alignment vertical="center" wrapText="1"/>
    </xf>
    <xf numFmtId="0" fontId="7" fillId="4" borderId="1" xfId="0" applyFont="1" applyFill="1" applyBorder="1" applyAlignment="1">
      <alignment horizontal="center" vertical="center"/>
    </xf>
    <xf numFmtId="0" fontId="6" fillId="5" borderId="1" xfId="0" applyFont="1" applyFill="1" applyBorder="1" applyAlignment="1">
      <alignment horizontal="left" vertical="center"/>
    </xf>
    <xf numFmtId="0" fontId="6" fillId="5" borderId="1" xfId="0" applyFont="1" applyFill="1" applyBorder="1" applyAlignment="1">
      <alignment horizontal="left" vertical="center" wrapText="1"/>
    </xf>
    <xf numFmtId="0" fontId="8" fillId="5" borderId="1" xfId="0" applyFont="1" applyFill="1" applyBorder="1" applyAlignment="1">
      <alignment vertical="center"/>
    </xf>
    <xf numFmtId="0" fontId="7" fillId="6" borderId="1" xfId="0" applyFont="1" applyFill="1" applyBorder="1" applyAlignment="1">
      <alignment horizontal="center" vertical="center"/>
    </xf>
    <xf numFmtId="0" fontId="0" fillId="0" borderId="4" xfId="0" applyBorder="1"/>
    <xf numFmtId="0" fontId="0" fillId="0" borderId="5" xfId="0" applyBorder="1"/>
    <xf numFmtId="0" fontId="7" fillId="6" borderId="6" xfId="0" applyFont="1" applyFill="1" applyBorder="1" applyAlignment="1">
      <alignment horizontal="center" vertical="center"/>
    </xf>
    <xf numFmtId="0" fontId="0" fillId="7" borderId="1" xfId="0" applyFill="1" applyBorder="1" applyAlignment="1">
      <alignment horizontal="left" vertical="center"/>
    </xf>
    <xf numFmtId="0" fontId="9" fillId="7" borderId="1" xfId="0" applyFont="1" applyFill="1" applyBorder="1" applyAlignment="1">
      <alignment horizontal="left" vertical="center" wrapText="1"/>
    </xf>
    <xf numFmtId="0" fontId="1" fillId="7" borderId="1" xfId="2" applyFill="1" applyBorder="1" applyAlignment="1">
      <alignment horizontal="left" vertical="center"/>
    </xf>
    <xf numFmtId="0" fontId="0" fillId="7" borderId="6" xfId="0" applyFill="1" applyBorder="1" applyAlignment="1">
      <alignment horizontal="left" vertical="center"/>
    </xf>
    <xf numFmtId="0" fontId="10" fillId="0" borderId="0" xfId="0" applyFont="1"/>
    <xf numFmtId="0" fontId="11" fillId="0" borderId="0" xfId="0" applyFont="1"/>
    <xf numFmtId="0" fontId="12" fillId="8" borderId="2" xfId="0" applyFont="1" applyFill="1" applyBorder="1" applyAlignment="1">
      <alignment vertical="center"/>
    </xf>
    <xf numFmtId="0" fontId="12" fillId="8" borderId="7" xfId="0" applyFont="1" applyFill="1" applyBorder="1" applyAlignment="1">
      <alignment vertical="center"/>
    </xf>
    <xf numFmtId="0" fontId="13" fillId="0" borderId="1" xfId="0" applyFont="1" applyBorder="1" applyAlignment="1">
      <alignment vertical="center" wrapText="1"/>
    </xf>
    <xf numFmtId="0" fontId="12" fillId="0" borderId="0" xfId="0" applyFont="1" applyAlignment="1">
      <alignment vertical="center"/>
    </xf>
    <xf numFmtId="0" fontId="12" fillId="0" borderId="0" xfId="0" applyFont="1" applyAlignment="1">
      <alignment horizontal="center" vertical="center" wrapText="1"/>
    </xf>
    <xf numFmtId="0" fontId="14" fillId="11"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4" fillId="15" borderId="1" xfId="0" applyFont="1" applyFill="1" applyBorder="1" applyAlignment="1">
      <alignment vertical="center" wrapText="1"/>
    </xf>
    <xf numFmtId="0" fontId="13" fillId="0" borderId="1" xfId="0" applyFont="1" applyBorder="1" applyAlignment="1">
      <alignment horizontal="left" vertical="center" wrapText="1"/>
    </xf>
    <xf numFmtId="0" fontId="13" fillId="0" borderId="1" xfId="0" applyFont="1" applyBorder="1"/>
    <xf numFmtId="0" fontId="15" fillId="19" borderId="1" xfId="0" applyFont="1" applyFill="1" applyBorder="1" applyAlignment="1">
      <alignment horizontal="center" wrapText="1"/>
    </xf>
    <xf numFmtId="0" fontId="16" fillId="19" borderId="1" xfId="0" applyFont="1" applyFill="1" applyBorder="1" applyAlignment="1">
      <alignment horizontal="center" wrapText="1"/>
    </xf>
    <xf numFmtId="0" fontId="17" fillId="20" borderId="1" xfId="0" applyFont="1" applyFill="1" applyBorder="1" applyAlignment="1">
      <alignment horizontal="center"/>
    </xf>
    <xf numFmtId="0" fontId="17" fillId="2" borderId="1" xfId="0" applyFont="1" applyFill="1" applyBorder="1" applyAlignment="1">
      <alignment horizontal="center"/>
    </xf>
    <xf numFmtId="0" fontId="17" fillId="21"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0" xfId="0" applyAlignment="1">
      <alignment horizontal="center"/>
    </xf>
    <xf numFmtId="0" fontId="0" fillId="19" borderId="1" xfId="0" applyFill="1" applyBorder="1"/>
    <xf numFmtId="0" fontId="0" fillId="0" borderId="0" xfId="0" applyAlignment="1">
      <alignment wrapText="1"/>
    </xf>
    <xf numFmtId="0" fontId="0" fillId="20" borderId="1" xfId="0" applyFill="1" applyBorder="1"/>
    <xf numFmtId="0" fontId="0" fillId="2" borderId="1" xfId="0" applyFill="1" applyBorder="1"/>
    <xf numFmtId="0" fontId="0" fillId="21" borderId="1" xfId="0" applyFill="1" applyBorder="1"/>
    <xf numFmtId="0" fontId="18" fillId="0" borderId="0" xfId="0" applyFont="1"/>
    <xf numFmtId="0" fontId="4" fillId="0" borderId="1" xfId="0" applyFont="1" applyBorder="1" applyAlignment="1">
      <alignment horizontal="center" vertical="center" wrapText="1"/>
    </xf>
    <xf numFmtId="0" fontId="4" fillId="0" borderId="0" xfId="0" applyFont="1"/>
    <xf numFmtId="164" fontId="0" fillId="0" borderId="1" xfId="0" applyNumberFormat="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7" fillId="3" borderId="1" xfId="0" applyFont="1" applyFill="1" applyBorder="1" applyAlignment="1">
      <alignment horizontal="center" vertical="center"/>
    </xf>
    <xf numFmtId="165" fontId="6" fillId="3" borderId="1" xfId="0" applyNumberFormat="1" applyFont="1" applyFill="1" applyBorder="1" applyAlignment="1">
      <alignment vertical="center"/>
    </xf>
    <xf numFmtId="0" fontId="7" fillId="2" borderId="0" xfId="0" applyFont="1" applyFill="1" applyAlignment="1">
      <alignment horizontal="center" vertical="center"/>
    </xf>
    <xf numFmtId="0" fontId="19" fillId="0" borderId="0" xfId="0" applyFont="1" applyAlignment="1">
      <alignment vertical="top" wrapText="1"/>
    </xf>
    <xf numFmtId="0" fontId="1" fillId="0" borderId="0" xfId="0" applyFont="1" applyAlignment="1">
      <alignment horizontal="center" vertical="top"/>
    </xf>
    <xf numFmtId="0" fontId="0" fillId="0" borderId="0" xfId="0" applyAlignment="1">
      <alignment horizontal="center" vertical="top"/>
    </xf>
    <xf numFmtId="0" fontId="20" fillId="19" borderId="1" xfId="0" applyFont="1" applyFill="1" applyBorder="1" applyAlignment="1">
      <alignment horizontal="center" wrapText="1"/>
    </xf>
    <xf numFmtId="0" fontId="17" fillId="20" borderId="1" xfId="0" applyFont="1" applyFill="1" applyBorder="1" applyAlignment="1">
      <alignment horizontal="center" vertical="top"/>
    </xf>
    <xf numFmtId="0" fontId="17" fillId="2" borderId="1" xfId="0" applyFont="1" applyFill="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166" fontId="0" fillId="0" borderId="1" xfId="0" applyNumberFormat="1" applyBorder="1" applyAlignment="1">
      <alignment horizontal="center" vertical="top"/>
    </xf>
    <xf numFmtId="0" fontId="13" fillId="0" borderId="1" xfId="0" applyFont="1" applyBorder="1" applyAlignment="1">
      <alignment wrapText="1"/>
    </xf>
    <xf numFmtId="0" fontId="1" fillId="3" borderId="1" xfId="0" applyFont="1" applyFill="1" applyBorder="1" applyAlignment="1">
      <alignment vertical="center"/>
    </xf>
    <xf numFmtId="0" fontId="0" fillId="22" borderId="1" xfId="0" applyFill="1" applyBorder="1"/>
    <xf numFmtId="0" fontId="6" fillId="3" borderId="1" xfId="0" applyFont="1" applyFill="1" applyBorder="1" applyAlignment="1">
      <alignment horizontal="left" vertical="center"/>
    </xf>
    <xf numFmtId="0" fontId="1" fillId="0" borderId="1" xfId="0" applyFont="1" applyBorder="1" applyAlignment="1">
      <alignment horizontal="center" vertical="center" wrapText="1"/>
    </xf>
    <xf numFmtId="0" fontId="17" fillId="23" borderId="1" xfId="0" applyFont="1" applyFill="1" applyBorder="1" applyAlignment="1">
      <alignment horizontal="center"/>
    </xf>
    <xf numFmtId="0" fontId="17" fillId="24" borderId="1" xfId="0" applyFont="1" applyFill="1" applyBorder="1" applyAlignment="1">
      <alignment horizontal="center"/>
    </xf>
    <xf numFmtId="0" fontId="4" fillId="0" borderId="1" xfId="0" applyFont="1" applyBorder="1" applyAlignment="1">
      <alignment horizontal="center"/>
    </xf>
    <xf numFmtId="0" fontId="0" fillId="23" borderId="1" xfId="0" applyFill="1" applyBorder="1"/>
    <xf numFmtId="0" fontId="0" fillId="24" borderId="1" xfId="0" applyFill="1" applyBorder="1"/>
    <xf numFmtId="0" fontId="8" fillId="5" borderId="1" xfId="0" applyFont="1" applyFill="1" applyBorder="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left" vertical="center" wrapText="1"/>
    </xf>
    <xf numFmtId="0" fontId="13" fillId="0" borderId="0" xfId="0" applyFont="1"/>
    <xf numFmtId="0" fontId="16" fillId="19" borderId="1" xfId="0" applyFont="1" applyFill="1" applyBorder="1" applyAlignment="1">
      <alignment wrapText="1"/>
    </xf>
    <xf numFmtId="0" fontId="17" fillId="23" borderId="0" xfId="0" applyFont="1" applyFill="1" applyAlignment="1">
      <alignment horizontal="center"/>
    </xf>
    <xf numFmtId="0" fontId="0" fillId="22" borderId="1" xfId="0" applyFill="1" applyBorder="1" applyAlignment="1">
      <alignment vertical="center"/>
    </xf>
    <xf numFmtId="0" fontId="13" fillId="0" borderId="1" xfId="0" applyFont="1" applyBorder="1" applyAlignment="1">
      <alignment vertical="center"/>
    </xf>
    <xf numFmtId="0" fontId="21" fillId="0" borderId="0" xfId="0" applyFont="1" applyAlignment="1">
      <alignment wrapText="1"/>
    </xf>
    <xf numFmtId="0" fontId="21" fillId="0" borderId="1" xfId="0" applyFont="1" applyBorder="1" applyAlignment="1">
      <alignment vertical="center" wrapText="1"/>
    </xf>
    <xf numFmtId="0" fontId="4" fillId="0" borderId="1" xfId="0" applyFont="1" applyBorder="1" applyAlignment="1">
      <alignment vertical="center"/>
    </xf>
    <xf numFmtId="0" fontId="17" fillId="2" borderId="1" xfId="0" applyFont="1" applyFill="1" applyBorder="1" applyAlignment="1">
      <alignment horizontal="center" wrapText="1"/>
    </xf>
    <xf numFmtId="164" fontId="4" fillId="0" borderId="1" xfId="0" applyNumberFormat="1" applyFont="1" applyBorder="1" applyAlignment="1">
      <alignment horizontal="center"/>
    </xf>
    <xf numFmtId="20" fontId="0" fillId="0" borderId="1" xfId="0" applyNumberFormat="1" applyBorder="1" applyAlignment="1">
      <alignment horizontal="center"/>
    </xf>
    <xf numFmtId="167" fontId="0" fillId="0" borderId="1" xfId="0" applyNumberFormat="1" applyBorder="1" applyAlignment="1">
      <alignment horizontal="center"/>
    </xf>
    <xf numFmtId="20" fontId="0" fillId="0" borderId="1" xfId="0" applyNumberFormat="1" applyBorder="1" applyAlignment="1">
      <alignment horizontal="center" vertical="top"/>
    </xf>
    <xf numFmtId="0" fontId="3" fillId="2" borderId="1" xfId="0" applyFont="1" applyFill="1" applyBorder="1" applyAlignment="1">
      <alignment horizontal="center"/>
    </xf>
    <xf numFmtId="0" fontId="3" fillId="21" borderId="1" xfId="0" applyFont="1" applyFill="1" applyBorder="1" applyAlignment="1">
      <alignment horizontal="center"/>
    </xf>
    <xf numFmtId="0" fontId="3" fillId="22" borderId="1" xfId="0" applyFont="1" applyFill="1" applyBorder="1" applyAlignment="1">
      <alignment vertical="top" wrapText="1"/>
    </xf>
    <xf numFmtId="0" fontId="0" fillId="22" borderId="1" xfId="0" applyFill="1" applyBorder="1" applyAlignment="1">
      <alignment wrapText="1"/>
    </xf>
    <xf numFmtId="0" fontId="1" fillId="22" borderId="1" xfId="0" applyFont="1" applyFill="1" applyBorder="1"/>
    <xf numFmtId="0" fontId="5" fillId="4" borderId="1" xfId="0" applyFont="1" applyFill="1" applyBorder="1" applyAlignment="1">
      <alignment horizontal="center"/>
    </xf>
    <xf numFmtId="0" fontId="6" fillId="5" borderId="1" xfId="0" applyFont="1" applyFill="1" applyBorder="1" applyAlignment="1">
      <alignment horizontal="left"/>
    </xf>
    <xf numFmtId="0" fontId="22" fillId="8" borderId="2" xfId="0" applyFont="1" applyFill="1" applyBorder="1" applyAlignment="1">
      <alignment vertical="center"/>
    </xf>
    <xf numFmtId="0" fontId="22" fillId="8" borderId="7" xfId="0" applyFont="1" applyFill="1" applyBorder="1" applyAlignment="1">
      <alignment vertical="center"/>
    </xf>
    <xf numFmtId="0" fontId="22" fillId="16" borderId="1" xfId="0" applyFont="1" applyFill="1" applyBorder="1" applyAlignment="1">
      <alignment horizontal="center" vertical="center" wrapText="1"/>
    </xf>
    <xf numFmtId="0" fontId="22" fillId="18"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3" fillId="0" borderId="1" xfId="0" applyFont="1" applyBorder="1"/>
    <xf numFmtId="0" fontId="23" fillId="0" borderId="1" xfId="0" applyFont="1" applyBorder="1" applyAlignment="1">
      <alignment wrapText="1"/>
    </xf>
    <xf numFmtId="0" fontId="1" fillId="0" borderId="1" xfId="2" applyBorder="1" applyAlignment="1">
      <alignment horizontal="center" vertical="center"/>
    </xf>
    <xf numFmtId="0" fontId="23" fillId="0" borderId="1" xfId="0" applyFont="1" applyBorder="1" applyAlignment="1">
      <alignment horizontal="center" vertical="center"/>
    </xf>
    <xf numFmtId="0" fontId="4" fillId="0" borderId="1" xfId="0" applyFont="1" applyBorder="1" applyAlignment="1">
      <alignment wrapText="1"/>
    </xf>
    <xf numFmtId="168" fontId="0" fillId="0" borderId="1" xfId="0" applyNumberFormat="1" applyBorder="1" applyAlignment="1">
      <alignment horizontal="center"/>
    </xf>
    <xf numFmtId="168" fontId="0" fillId="0" borderId="0" xfId="0" applyNumberFormat="1"/>
    <xf numFmtId="0" fontId="21" fillId="22" borderId="1" xfId="0" applyFont="1" applyFill="1" applyBorder="1"/>
    <xf numFmtId="0" fontId="0" fillId="22" borderId="1" xfId="0" applyFill="1" applyBorder="1" applyAlignment="1">
      <alignment horizontal="left"/>
    </xf>
    <xf numFmtId="0" fontId="15" fillId="19" borderId="1" xfId="0" applyFont="1" applyFill="1" applyBorder="1" applyAlignment="1">
      <alignment horizontal="center"/>
    </xf>
    <xf numFmtId="0" fontId="21" fillId="0" borderId="1" xfId="0" applyFont="1" applyBorder="1" applyAlignment="1">
      <alignment horizontal="center"/>
    </xf>
    <xf numFmtId="0" fontId="21" fillId="22" borderId="1" xfId="0" applyFont="1" applyFill="1" applyBorder="1" applyAlignment="1">
      <alignment wrapText="1"/>
    </xf>
    <xf numFmtId="167" fontId="0" fillId="0" borderId="8" xfId="0" applyNumberFormat="1" applyBorder="1" applyAlignment="1">
      <alignment horizontal="center"/>
    </xf>
    <xf numFmtId="167" fontId="0" fillId="0" borderId="9" xfId="0" applyNumberFormat="1" applyBorder="1" applyAlignment="1">
      <alignment horizontal="center"/>
    </xf>
    <xf numFmtId="20" fontId="0" fillId="0" borderId="5" xfId="0" applyNumberFormat="1" applyBorder="1" applyAlignment="1">
      <alignment horizontal="center"/>
    </xf>
    <xf numFmtId="167" fontId="0" fillId="0" borderId="0" xfId="0" applyNumberFormat="1" applyAlignment="1">
      <alignment horizontal="center"/>
    </xf>
    <xf numFmtId="0" fontId="1" fillId="0" borderId="1" xfId="2" applyBorder="1" applyAlignment="1">
      <alignment horizontal="center" vertical="center" wrapText="1"/>
    </xf>
    <xf numFmtId="0" fontId="24" fillId="25" borderId="1" xfId="0" applyFont="1" applyFill="1" applyBorder="1" applyAlignment="1">
      <alignment horizontal="center"/>
    </xf>
    <xf numFmtId="169" fontId="21" fillId="0" borderId="1" xfId="0" applyNumberFormat="1" applyFont="1" applyBorder="1" applyAlignment="1">
      <alignment horizontal="center"/>
    </xf>
    <xf numFmtId="0" fontId="0" fillId="25" borderId="1" xfId="0" applyFill="1" applyBorder="1"/>
    <xf numFmtId="0" fontId="6" fillId="3" borderId="1" xfId="0" applyFont="1" applyFill="1" applyBorder="1" applyAlignment="1">
      <alignment wrapText="1"/>
    </xf>
    <xf numFmtId="165" fontId="25" fillId="3" borderId="1" xfId="1" applyNumberFormat="1" applyFill="1" applyBorder="1"/>
    <xf numFmtId="165" fontId="25" fillId="3" borderId="1" xfId="0" applyNumberFormat="1" applyFont="1" applyFill="1" applyBorder="1"/>
    <xf numFmtId="0" fontId="7" fillId="4" borderId="1" xfId="0" applyFont="1" applyFill="1" applyBorder="1" applyAlignment="1">
      <alignment vertical="center"/>
    </xf>
    <xf numFmtId="0" fontId="26" fillId="0" borderId="1" xfId="0" applyFont="1" applyBorder="1" applyAlignment="1">
      <alignment horizontal="center" vertical="center" wrapText="1"/>
    </xf>
    <xf numFmtId="0" fontId="6" fillId="0" borderId="1" xfId="0" applyFont="1" applyBorder="1" applyAlignment="1">
      <alignment wrapText="1"/>
    </xf>
    <xf numFmtId="0" fontId="6" fillId="0" borderId="1" xfId="0" applyFont="1" applyBorder="1" applyAlignment="1">
      <alignment horizontal="left"/>
    </xf>
    <xf numFmtId="0" fontId="6" fillId="0" borderId="1" xfId="0" applyFont="1" applyBorder="1" applyAlignment="1">
      <alignment horizontal="left"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xf numFmtId="0" fontId="27" fillId="0" borderId="1" xfId="2" applyFont="1" applyBorder="1" applyAlignment="1">
      <alignment horizontal="center" vertical="center" wrapText="1"/>
    </xf>
    <xf numFmtId="0" fontId="13" fillId="0" borderId="0" xfId="0" applyFont="1" applyAlignment="1">
      <alignment vertical="center" wrapText="1"/>
    </xf>
    <xf numFmtId="0" fontId="17" fillId="24" borderId="8" xfId="0" applyFont="1" applyFill="1" applyBorder="1" applyAlignment="1">
      <alignment horizontal="center"/>
    </xf>
    <xf numFmtId="0" fontId="4" fillId="0" borderId="1" xfId="0" applyFont="1" applyBorder="1" applyAlignment="1">
      <alignment horizontal="center" wrapText="1"/>
    </xf>
    <xf numFmtId="171" fontId="0" fillId="0" borderId="1" xfId="0" applyNumberFormat="1" applyBorder="1" applyAlignment="1">
      <alignment horizontal="center"/>
    </xf>
    <xf numFmtId="0" fontId="4" fillId="0" borderId="9" xfId="0" applyFont="1" applyBorder="1" applyAlignment="1">
      <alignment horizontal="center"/>
    </xf>
    <xf numFmtId="1" fontId="0" fillId="0" borderId="5" xfId="0" applyNumberFormat="1" applyBorder="1" applyAlignment="1">
      <alignment horizontal="center"/>
    </xf>
    <xf numFmtId="1" fontId="0" fillId="0" borderId="1" xfId="0" applyNumberFormat="1" applyBorder="1" applyAlignment="1">
      <alignment horizontal="center"/>
    </xf>
    <xf numFmtId="3" fontId="4" fillId="0" borderId="1" xfId="0" applyNumberFormat="1" applyFont="1" applyBorder="1" applyAlignment="1">
      <alignment horizontal="center"/>
    </xf>
    <xf numFmtId="0" fontId="1" fillId="22" borderId="1" xfId="0" applyFont="1" applyFill="1" applyBorder="1" applyAlignment="1">
      <alignment wrapText="1"/>
    </xf>
    <xf numFmtId="0" fontId="21" fillId="22" borderId="1" xfId="0" applyFont="1" applyFill="1" applyBorder="1" applyAlignment="1">
      <alignment horizontal="left" wrapText="1"/>
    </xf>
    <xf numFmtId="164" fontId="4" fillId="0" borderId="1" xfId="0" applyNumberFormat="1" applyFont="1" applyBorder="1" applyAlignment="1">
      <alignment horizontal="center" wrapText="1"/>
    </xf>
    <xf numFmtId="1" fontId="4" fillId="0" borderId="1" xfId="0" applyNumberFormat="1" applyFont="1" applyBorder="1" applyAlignment="1">
      <alignment horizontal="center"/>
    </xf>
    <xf numFmtId="165" fontId="21" fillId="22" borderId="1" xfId="0" applyNumberFormat="1" applyFont="1" applyFill="1" applyBorder="1" applyAlignment="1">
      <alignment wrapText="1"/>
    </xf>
    <xf numFmtId="0" fontId="21" fillId="0" borderId="1" xfId="0" applyFont="1" applyBorder="1" applyAlignment="1">
      <alignment wrapText="1"/>
    </xf>
    <xf numFmtId="171" fontId="4" fillId="0" borderId="1" xfId="0" applyNumberFormat="1" applyFont="1" applyBorder="1" applyAlignment="1">
      <alignment horizontal="center"/>
    </xf>
    <xf numFmtId="168" fontId="0" fillId="0" borderId="0" xfId="0" applyNumberFormat="1" applyAlignment="1">
      <alignment horizontal="center"/>
    </xf>
    <xf numFmtId="0" fontId="28" fillId="23" borderId="1" xfId="0" applyFont="1" applyFill="1" applyBorder="1" applyAlignment="1">
      <alignment horizontal="center"/>
    </xf>
    <xf numFmtId="0" fontId="17" fillId="25" borderId="1" xfId="0" applyFont="1" applyFill="1" applyBorder="1" applyAlignment="1">
      <alignment horizontal="center"/>
    </xf>
    <xf numFmtId="0" fontId="17" fillId="0" borderId="0" xfId="0" applyFont="1" applyAlignment="1">
      <alignment horizontal="center"/>
    </xf>
    <xf numFmtId="0" fontId="0" fillId="26" borderId="1" xfId="0" applyFill="1" applyBorder="1" applyAlignment="1">
      <alignment horizontal="left" vertical="center"/>
    </xf>
    <xf numFmtId="0" fontId="9" fillId="26" borderId="1" xfId="0" applyFont="1" applyFill="1" applyBorder="1" applyAlignment="1">
      <alignment horizontal="left" vertical="center" wrapText="1"/>
    </xf>
    <xf numFmtId="0" fontId="0" fillId="26" borderId="1" xfId="0" applyFill="1" applyBorder="1" applyAlignment="1">
      <alignment horizontal="left" vertical="center" wrapText="1"/>
    </xf>
    <xf numFmtId="0" fontId="0" fillId="26" borderId="6" xfId="0" applyFill="1" applyBorder="1" applyAlignment="1">
      <alignment horizontal="left" vertical="center"/>
    </xf>
    <xf numFmtId="0" fontId="0" fillId="27" borderId="1" xfId="0" applyFill="1" applyBorder="1" applyAlignment="1">
      <alignment horizontal="left" vertical="center" wrapText="1"/>
    </xf>
    <xf numFmtId="0" fontId="0" fillId="27" borderId="1" xfId="0" applyFill="1" applyBorder="1" applyAlignment="1">
      <alignment horizontal="left" vertical="center"/>
    </xf>
    <xf numFmtId="0" fontId="9" fillId="27" borderId="1" xfId="0" applyFont="1" applyFill="1" applyBorder="1" applyAlignment="1">
      <alignment horizontal="left" vertical="center" wrapText="1"/>
    </xf>
    <xf numFmtId="0" fontId="1" fillId="27" borderId="1" xfId="2" applyFill="1" applyBorder="1" applyAlignment="1">
      <alignment horizontal="left" vertical="center"/>
    </xf>
    <xf numFmtId="0" fontId="0" fillId="27" borderId="6" xfId="0" applyFill="1" applyBorder="1" applyAlignment="1">
      <alignment horizontal="left" vertical="center"/>
    </xf>
    <xf numFmtId="0" fontId="1" fillId="26" borderId="1" xfId="2" applyFill="1" applyBorder="1"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center"/>
    </xf>
    <xf numFmtId="0" fontId="1" fillId="0" borderId="0" xfId="2" applyAlignment="1">
      <alignment horizontal="left" vertical="center"/>
    </xf>
    <xf numFmtId="0" fontId="0" fillId="26" borderId="8" xfId="0" applyFill="1" applyBorder="1" applyAlignment="1">
      <alignment vertical="center"/>
    </xf>
    <xf numFmtId="0" fontId="0" fillId="26" borderId="18" xfId="0" applyFill="1" applyBorder="1" applyAlignment="1">
      <alignment vertical="center"/>
    </xf>
    <xf numFmtId="0" fontId="6" fillId="0" borderId="0" xfId="0" applyFont="1" applyAlignment="1">
      <alignment vertical="center"/>
    </xf>
    <xf numFmtId="0" fontId="6" fillId="0" borderId="0" xfId="0" applyFont="1" applyAlignment="1">
      <alignment horizontal="left" vertical="center" wrapText="1"/>
    </xf>
    <xf numFmtId="0" fontId="9" fillId="9"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4" fillId="15"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2" fillId="16" borderId="1" xfId="0" applyFont="1" applyFill="1" applyBorder="1" applyAlignment="1">
      <alignment horizontal="center" vertical="center"/>
    </xf>
    <xf numFmtId="0" fontId="14" fillId="17" borderId="1" xfId="0" applyFont="1" applyFill="1" applyBorder="1" applyAlignment="1">
      <alignment horizontal="center" vertical="center" wrapText="1"/>
    </xf>
    <xf numFmtId="0" fontId="12" fillId="18" borderId="1" xfId="0" applyFont="1" applyFill="1" applyBorder="1" applyAlignment="1">
      <alignment horizontal="center" vertical="center"/>
    </xf>
    <xf numFmtId="0" fontId="10" fillId="0" borderId="0" xfId="0" applyFont="1"/>
    <xf numFmtId="0" fontId="9" fillId="9" borderId="3" xfId="0" applyFont="1" applyFill="1" applyBorder="1" applyAlignment="1">
      <alignment horizontal="left" vertical="center"/>
    </xf>
    <xf numFmtId="0" fontId="7" fillId="6" borderId="3" xfId="0" applyFont="1" applyFill="1" applyBorder="1" applyAlignment="1">
      <alignment horizontal="center" vertical="center"/>
    </xf>
    <xf numFmtId="0" fontId="0" fillId="7" borderId="7" xfId="0" applyFill="1" applyBorder="1" applyAlignment="1">
      <alignment vertical="center"/>
    </xf>
    <xf numFmtId="0" fontId="0" fillId="7" borderId="1" xfId="0" applyFill="1" applyBorder="1" applyAlignment="1">
      <alignment horizontal="left" vertical="center" wrapText="1"/>
    </xf>
    <xf numFmtId="0" fontId="7" fillId="6" borderId="9"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2" xfId="0" applyFont="1" applyFill="1" applyBorder="1" applyAlignment="1">
      <alignment horizontal="center" vertical="center"/>
    </xf>
    <xf numFmtId="0" fontId="13" fillId="0" borderId="1" xfId="0" applyFont="1" applyBorder="1" applyAlignment="1">
      <alignment horizontal="center"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9" fillId="9" borderId="3" xfId="0" applyFont="1" applyFill="1" applyBorder="1" applyAlignment="1">
      <alignment horizontal="center" vertical="center"/>
    </xf>
    <xf numFmtId="0" fontId="9" fillId="9" borderId="1" xfId="0" applyFont="1" applyFill="1" applyBorder="1" applyAlignment="1">
      <alignment horizontal="center" vertical="center" wrapText="1"/>
    </xf>
    <xf numFmtId="0" fontId="12" fillId="10" borderId="7" xfId="0" applyFont="1" applyFill="1" applyBorder="1" applyAlignment="1">
      <alignment horizontal="center" vertical="center"/>
    </xf>
    <xf numFmtId="0" fontId="12" fillId="10" borderId="1" xfId="0" applyFont="1" applyFill="1" applyBorder="1" applyAlignment="1">
      <alignment horizontal="center" vertical="center" wrapText="1"/>
    </xf>
    <xf numFmtId="0" fontId="0" fillId="27" borderId="7" xfId="0" applyFill="1" applyBorder="1" applyAlignment="1">
      <alignment vertical="center"/>
    </xf>
    <xf numFmtId="0" fontId="0" fillId="27" borderId="1" xfId="0" applyFill="1" applyBorder="1" applyAlignment="1">
      <alignment horizontal="left" vertical="center" wrapText="1"/>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12" xfId="0" applyFill="1" applyBorder="1" applyAlignment="1">
      <alignment horizontal="center" vertical="center"/>
    </xf>
    <xf numFmtId="0" fontId="0" fillId="7" borderId="13" xfId="0" applyFill="1" applyBorder="1" applyAlignment="1">
      <alignment horizontal="center" vertical="center"/>
    </xf>
    <xf numFmtId="0" fontId="0" fillId="7" borderId="14" xfId="0" applyFill="1" applyBorder="1" applyAlignment="1">
      <alignment horizontal="center" vertical="center" wrapText="1"/>
    </xf>
    <xf numFmtId="0" fontId="0" fillId="7" borderId="15" xfId="0" applyFill="1" applyBorder="1" applyAlignment="1">
      <alignment horizontal="center" vertical="center" wrapText="1"/>
    </xf>
    <xf numFmtId="0" fontId="0" fillId="7" borderId="11" xfId="0" applyFill="1" applyBorder="1" applyAlignment="1">
      <alignment horizontal="center" vertical="center" wrapText="1"/>
    </xf>
    <xf numFmtId="0" fontId="0" fillId="7" borderId="16" xfId="0" applyFill="1" applyBorder="1" applyAlignment="1">
      <alignment horizontal="center" vertical="center" wrapText="1"/>
    </xf>
    <xf numFmtId="0" fontId="0" fillId="7" borderId="17" xfId="0" applyFill="1" applyBorder="1" applyAlignment="1">
      <alignment horizontal="center" vertical="center" wrapText="1"/>
    </xf>
    <xf numFmtId="0" fontId="0" fillId="7" borderId="13" xfId="0" applyFill="1" applyBorder="1" applyAlignment="1">
      <alignment horizontal="center" vertical="center" wrapText="1"/>
    </xf>
    <xf numFmtId="0" fontId="0" fillId="7" borderId="8" xfId="0" applyFill="1" applyBorder="1" applyAlignment="1">
      <alignment horizontal="center" vertical="center" wrapText="1"/>
    </xf>
    <xf numFmtId="0" fontId="0" fillId="7" borderId="18" xfId="0" applyFill="1" applyBorder="1" applyAlignment="1">
      <alignment horizontal="center" vertical="center" wrapText="1"/>
    </xf>
    <xf numFmtId="0" fontId="0" fillId="7" borderId="8" xfId="0" applyFill="1" applyBorder="1" applyAlignment="1">
      <alignment horizontal="center" vertical="center"/>
    </xf>
    <xf numFmtId="0" fontId="0" fillId="7" borderId="18" xfId="0" applyFill="1" applyBorder="1" applyAlignment="1">
      <alignment horizontal="center" vertical="center"/>
    </xf>
    <xf numFmtId="0" fontId="9" fillId="7" borderId="8" xfId="0" applyFont="1" applyFill="1" applyBorder="1" applyAlignment="1">
      <alignment horizontal="center" vertical="center" wrapText="1"/>
    </xf>
    <xf numFmtId="0" fontId="9" fillId="7" borderId="18" xfId="0" applyFont="1" applyFill="1" applyBorder="1" applyAlignment="1">
      <alignment horizontal="center" vertical="center" wrapText="1"/>
    </xf>
    <xf numFmtId="0" fontId="1" fillId="7" borderId="8" xfId="2" applyFill="1" applyBorder="1" applyAlignment="1">
      <alignment horizontal="center" vertical="center"/>
    </xf>
    <xf numFmtId="0" fontId="1" fillId="7" borderId="18" xfId="2" applyFill="1" applyBorder="1" applyAlignment="1">
      <alignment horizontal="center" vertical="center"/>
    </xf>
    <xf numFmtId="0" fontId="0" fillId="26" borderId="1" xfId="0" applyFill="1" applyBorder="1" applyAlignment="1">
      <alignment horizontal="left" vertical="center" wrapText="1"/>
    </xf>
    <xf numFmtId="0" fontId="0" fillId="26" borderId="10" xfId="0" applyFill="1" applyBorder="1" applyAlignment="1">
      <alignment horizontal="center" vertical="center"/>
    </xf>
    <xf numFmtId="0" fontId="0" fillId="26" borderId="11" xfId="0" applyFill="1" applyBorder="1" applyAlignment="1">
      <alignment horizontal="center" vertical="center"/>
    </xf>
    <xf numFmtId="0" fontId="0" fillId="26" borderId="12" xfId="0" applyFill="1" applyBorder="1" applyAlignment="1">
      <alignment horizontal="center" vertical="center"/>
    </xf>
    <xf numFmtId="0" fontId="0" fillId="26" borderId="13" xfId="0" applyFill="1" applyBorder="1" applyAlignment="1">
      <alignment horizontal="center" vertical="center"/>
    </xf>
    <xf numFmtId="0" fontId="0" fillId="26" borderId="14" xfId="0" applyFill="1" applyBorder="1" applyAlignment="1">
      <alignment horizontal="center" vertical="center" wrapText="1"/>
    </xf>
    <xf numFmtId="0" fontId="0" fillId="26" borderId="15" xfId="0" applyFill="1" applyBorder="1" applyAlignment="1">
      <alignment horizontal="center" vertical="center" wrapText="1"/>
    </xf>
    <xf numFmtId="0" fontId="0" fillId="26" borderId="11" xfId="0" applyFill="1" applyBorder="1" applyAlignment="1">
      <alignment horizontal="center" vertical="center" wrapText="1"/>
    </xf>
    <xf numFmtId="0" fontId="0" fillId="26" borderId="16" xfId="0" applyFill="1" applyBorder="1" applyAlignment="1">
      <alignment horizontal="center" vertical="center" wrapText="1"/>
    </xf>
    <xf numFmtId="0" fontId="0" fillId="26" borderId="17" xfId="0" applyFill="1" applyBorder="1" applyAlignment="1">
      <alignment horizontal="center" vertical="center" wrapText="1"/>
    </xf>
    <xf numFmtId="0" fontId="0" fillId="26" borderId="13" xfId="0" applyFill="1" applyBorder="1" applyAlignment="1">
      <alignment horizontal="center" vertical="center" wrapText="1"/>
    </xf>
    <xf numFmtId="0" fontId="13" fillId="0" borderId="1" xfId="0" applyFont="1" applyBorder="1" applyAlignment="1">
      <alignment horizontal="left" vertical="center" wrapText="1"/>
    </xf>
    <xf numFmtId="0" fontId="1" fillId="26" borderId="8" xfId="2" applyFill="1" applyBorder="1" applyAlignment="1">
      <alignment horizontal="center" vertical="center"/>
    </xf>
    <xf numFmtId="0" fontId="1" fillId="26" borderId="18" xfId="2" applyFill="1" applyBorder="1" applyAlignment="1">
      <alignment horizontal="center" vertical="center"/>
    </xf>
    <xf numFmtId="0" fontId="0" fillId="0" borderId="1" xfId="0" applyBorder="1" applyAlignment="1">
      <alignment horizontal="center" wrapText="1"/>
    </xf>
    <xf numFmtId="0" fontId="0" fillId="26" borderId="8" xfId="0" applyFill="1" applyBorder="1" applyAlignment="1">
      <alignment horizontal="center" vertical="center"/>
    </xf>
    <xf numFmtId="0" fontId="0" fillId="26" borderId="18" xfId="0" applyFill="1" applyBorder="1" applyAlignment="1">
      <alignment horizontal="center" vertical="center"/>
    </xf>
    <xf numFmtId="0" fontId="0" fillId="26" borderId="19" xfId="0" applyFill="1" applyBorder="1" applyAlignment="1">
      <alignment horizontal="center" vertical="center"/>
    </xf>
    <xf numFmtId="0" fontId="0" fillId="26" borderId="20" xfId="0" applyFill="1" applyBorder="1" applyAlignment="1">
      <alignment horizontal="center" vertical="center"/>
    </xf>
    <xf numFmtId="0" fontId="0" fillId="26" borderId="8" xfId="0" applyFill="1" applyBorder="1" applyAlignment="1">
      <alignment horizontal="center" vertical="center" wrapText="1"/>
    </xf>
    <xf numFmtId="0" fontId="0" fillId="26" borderId="18" xfId="0" applyFill="1" applyBorder="1" applyAlignment="1">
      <alignment horizontal="center" vertical="center" wrapText="1"/>
    </xf>
    <xf numFmtId="0" fontId="0" fillId="27" borderId="10" xfId="0" applyFill="1" applyBorder="1" applyAlignment="1">
      <alignment horizontal="center" vertical="center"/>
    </xf>
    <xf numFmtId="0" fontId="0" fillId="27" borderId="11" xfId="0" applyFill="1" applyBorder="1" applyAlignment="1">
      <alignment horizontal="center" vertical="center"/>
    </xf>
    <xf numFmtId="0" fontId="0" fillId="27" borderId="12" xfId="0" applyFill="1" applyBorder="1" applyAlignment="1">
      <alignment horizontal="center" vertical="center"/>
    </xf>
    <xf numFmtId="0" fontId="0" fillId="27" borderId="13" xfId="0" applyFill="1" applyBorder="1" applyAlignment="1">
      <alignment horizontal="center" vertical="center"/>
    </xf>
    <xf numFmtId="0" fontId="0" fillId="27" borderId="14" xfId="0" applyFill="1" applyBorder="1" applyAlignment="1">
      <alignment horizontal="center" vertical="center" wrapText="1"/>
    </xf>
    <xf numFmtId="0" fontId="0" fillId="27" borderId="15" xfId="0" applyFill="1" applyBorder="1" applyAlignment="1">
      <alignment horizontal="center" vertical="center" wrapText="1"/>
    </xf>
    <xf numFmtId="0" fontId="0" fillId="27" borderId="11" xfId="0" applyFill="1" applyBorder="1" applyAlignment="1">
      <alignment horizontal="center" vertical="center" wrapText="1"/>
    </xf>
    <xf numFmtId="0" fontId="0" fillId="27" borderId="16" xfId="0" applyFill="1" applyBorder="1" applyAlignment="1">
      <alignment horizontal="center" vertical="center" wrapText="1"/>
    </xf>
    <xf numFmtId="0" fontId="0" fillId="27" borderId="17" xfId="0" applyFill="1" applyBorder="1" applyAlignment="1">
      <alignment horizontal="center" vertical="center" wrapText="1"/>
    </xf>
    <xf numFmtId="0" fontId="0" fillId="27" borderId="13" xfId="0" applyFill="1" applyBorder="1" applyAlignment="1">
      <alignment horizontal="center" vertical="center" wrapText="1"/>
    </xf>
    <xf numFmtId="0" fontId="0" fillId="26" borderId="7" xfId="0" applyFill="1" applyBorder="1" applyAlignment="1">
      <alignment vertic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0" fillId="7" borderId="1" xfId="0" applyFill="1" applyBorder="1" applyAlignment="1">
      <alignment vertical="center"/>
    </xf>
    <xf numFmtId="0" fontId="0" fillId="26" borderId="14" xfId="0" applyFill="1" applyBorder="1" applyAlignment="1">
      <alignment horizontal="center" vertical="center"/>
    </xf>
    <xf numFmtId="0" fontId="0" fillId="26" borderId="16" xfId="0" applyFill="1" applyBorder="1" applyAlignment="1">
      <alignment horizontal="center" vertical="center"/>
    </xf>
    <xf numFmtId="0" fontId="0" fillId="26" borderId="1" xfId="0" applyFill="1" applyBorder="1" applyAlignment="1">
      <alignment vertical="center"/>
    </xf>
    <xf numFmtId="0" fontId="0" fillId="27" borderId="1" xfId="0" applyFill="1" applyBorder="1" applyAlignment="1">
      <alignment vertical="center"/>
    </xf>
    <xf numFmtId="0" fontId="0" fillId="7" borderId="14" xfId="0" applyFill="1" applyBorder="1" applyAlignment="1">
      <alignment horizontal="center" vertical="center"/>
    </xf>
    <xf numFmtId="0" fontId="0" fillId="7" borderId="16" xfId="0" applyFill="1" applyBorder="1" applyAlignment="1">
      <alignment horizontal="center" vertical="center"/>
    </xf>
    <xf numFmtId="0" fontId="8" fillId="5" borderId="1" xfId="0" applyFont="1" applyFill="1" applyBorder="1" applyAlignment="1">
      <alignment horizontal="center" vertical="center"/>
    </xf>
    <xf numFmtId="0" fontId="0" fillId="27" borderId="21" xfId="0" applyFill="1" applyBorder="1" applyAlignment="1">
      <alignment horizontal="center" vertical="center"/>
    </xf>
    <xf numFmtId="0" fontId="0" fillId="27" borderId="22" xfId="0" applyFill="1" applyBorder="1" applyAlignment="1">
      <alignment horizontal="center" vertical="center"/>
    </xf>
    <xf numFmtId="0" fontId="0" fillId="27" borderId="23" xfId="0" applyFill="1" applyBorder="1" applyAlignment="1">
      <alignment horizontal="center" vertical="center" wrapText="1"/>
    </xf>
    <xf numFmtId="0" fontId="0" fillId="27" borderId="0" xfId="0" applyFill="1" applyAlignment="1">
      <alignment horizontal="center" vertical="center" wrapText="1"/>
    </xf>
    <xf numFmtId="0" fontId="0" fillId="27" borderId="22" xfId="0" applyFill="1" applyBorder="1" applyAlignment="1">
      <alignment horizontal="center" vertical="center" wrapText="1"/>
    </xf>
    <xf numFmtId="0" fontId="0" fillId="27" borderId="8" xfId="0" applyFill="1" applyBorder="1" applyAlignment="1">
      <alignment horizontal="center" vertical="center"/>
    </xf>
    <xf numFmtId="0" fontId="0" fillId="27" borderId="24" xfId="0" applyFill="1" applyBorder="1" applyAlignment="1">
      <alignment horizontal="center" vertical="center"/>
    </xf>
    <xf numFmtId="0" fontId="0" fillId="27" borderId="18" xfId="0" applyFill="1" applyBorder="1" applyAlignment="1">
      <alignment horizontal="center" vertical="center"/>
    </xf>
    <xf numFmtId="0" fontId="9" fillId="27" borderId="8" xfId="0" applyFont="1" applyFill="1" applyBorder="1" applyAlignment="1">
      <alignment horizontal="center" vertical="center" wrapText="1"/>
    </xf>
    <xf numFmtId="0" fontId="9" fillId="27" borderId="24" xfId="0" applyFont="1" applyFill="1" applyBorder="1" applyAlignment="1">
      <alignment horizontal="center" vertical="center" wrapText="1"/>
    </xf>
    <xf numFmtId="0" fontId="9" fillId="27" borderId="18" xfId="0" applyFont="1" applyFill="1" applyBorder="1" applyAlignment="1">
      <alignment horizontal="center" vertical="center" wrapText="1"/>
    </xf>
    <xf numFmtId="0" fontId="1" fillId="27" borderId="8" xfId="2" applyFill="1" applyBorder="1" applyAlignment="1">
      <alignment horizontal="center" vertical="center"/>
    </xf>
    <xf numFmtId="0" fontId="1" fillId="27" borderId="24" xfId="2" applyFill="1" applyBorder="1" applyAlignment="1">
      <alignment horizontal="center" vertical="center"/>
    </xf>
    <xf numFmtId="0" fontId="1" fillId="27" borderId="18" xfId="2" applyFill="1" applyBorder="1" applyAlignment="1">
      <alignment horizontal="center" vertical="center"/>
    </xf>
    <xf numFmtId="0" fontId="0" fillId="7" borderId="21" xfId="0" applyFill="1" applyBorder="1" applyAlignment="1">
      <alignment horizontal="center" vertical="center"/>
    </xf>
    <xf numFmtId="0" fontId="0" fillId="7" borderId="22" xfId="0" applyFill="1" applyBorder="1" applyAlignment="1">
      <alignment horizontal="center" vertical="center"/>
    </xf>
    <xf numFmtId="0" fontId="0" fillId="7" borderId="23" xfId="0" applyFill="1" applyBorder="1" applyAlignment="1">
      <alignment horizontal="center" vertical="center" wrapText="1"/>
    </xf>
    <xf numFmtId="0" fontId="0" fillId="7" borderId="0" xfId="0" applyFill="1" applyAlignment="1">
      <alignment horizontal="center" vertical="center" wrapText="1"/>
    </xf>
    <xf numFmtId="0" fontId="0" fillId="7" borderId="22" xfId="0" applyFill="1" applyBorder="1" applyAlignment="1">
      <alignment horizontal="center" vertical="center" wrapText="1"/>
    </xf>
    <xf numFmtId="0" fontId="0" fillId="7" borderId="24" xfId="0" applyFill="1" applyBorder="1" applyAlignment="1">
      <alignment horizontal="center" vertical="center" wrapText="1"/>
    </xf>
    <xf numFmtId="0" fontId="0" fillId="7" borderId="24" xfId="0" applyFill="1" applyBorder="1" applyAlignment="1">
      <alignment horizontal="center" vertical="center"/>
    </xf>
    <xf numFmtId="0" fontId="9" fillId="7" borderId="24" xfId="0" applyFont="1" applyFill="1" applyBorder="1" applyAlignment="1">
      <alignment horizontal="center" vertical="center" wrapText="1"/>
    </xf>
    <xf numFmtId="0" fontId="1" fillId="7" borderId="24" xfId="2" applyFill="1" applyBorder="1" applyAlignment="1">
      <alignment horizontal="center" vertical="center"/>
    </xf>
    <xf numFmtId="0" fontId="6" fillId="5" borderId="1" xfId="0" applyFont="1" applyFill="1" applyBorder="1" applyAlignment="1">
      <alignment horizontal="center" wrapText="1"/>
    </xf>
    <xf numFmtId="0" fontId="23" fillId="9" borderId="1" xfId="0" applyFont="1" applyFill="1" applyBorder="1" applyAlignment="1">
      <alignment horizontal="left" vertical="center" wrapText="1"/>
    </xf>
    <xf numFmtId="0" fontId="22" fillId="12" borderId="1" xfId="0" applyFont="1" applyFill="1" applyBorder="1" applyAlignment="1">
      <alignment horizontal="center" vertical="center" wrapText="1"/>
    </xf>
    <xf numFmtId="0" fontId="22" fillId="16" borderId="1" xfId="0" applyFont="1" applyFill="1" applyBorder="1" applyAlignment="1">
      <alignment horizontal="center" vertical="center"/>
    </xf>
    <xf numFmtId="0" fontId="22" fillId="18" borderId="1" xfId="0" applyFont="1" applyFill="1" applyBorder="1" applyAlignment="1">
      <alignment horizontal="center" vertical="center"/>
    </xf>
    <xf numFmtId="0" fontId="23" fillId="9" borderId="3" xfId="0" applyFont="1" applyFill="1" applyBorder="1" applyAlignment="1">
      <alignment horizontal="left" vertical="center"/>
    </xf>
    <xf numFmtId="0" fontId="0" fillId="26" borderId="7" xfId="0" applyFill="1" applyBorder="1" applyAlignment="1">
      <alignment horizontal="center" vertical="center"/>
    </xf>
    <xf numFmtId="0" fontId="0" fillId="26" borderId="21" xfId="0" applyFill="1" applyBorder="1" applyAlignment="1">
      <alignment horizontal="center" vertical="center"/>
    </xf>
    <xf numFmtId="0" fontId="0" fillId="26" borderId="22" xfId="0" applyFill="1" applyBorder="1" applyAlignment="1">
      <alignment horizontal="center" vertical="center"/>
    </xf>
    <xf numFmtId="0" fontId="0" fillId="26" borderId="23" xfId="0" applyFill="1" applyBorder="1" applyAlignment="1">
      <alignment horizontal="center" vertical="center" wrapText="1"/>
    </xf>
    <xf numFmtId="0" fontId="0" fillId="26" borderId="0" xfId="0" applyFill="1" applyAlignment="1">
      <alignment horizontal="center" vertical="center" wrapText="1"/>
    </xf>
    <xf numFmtId="0" fontId="0" fillId="26" borderId="22" xfId="0" applyFill="1" applyBorder="1" applyAlignment="1">
      <alignment horizontal="center" vertical="center" wrapText="1"/>
    </xf>
    <xf numFmtId="0" fontId="9" fillId="26" borderId="8" xfId="0" applyFont="1" applyFill="1" applyBorder="1" applyAlignment="1">
      <alignment horizontal="center" vertical="center" wrapText="1"/>
    </xf>
    <xf numFmtId="0" fontId="9" fillId="26" borderId="18" xfId="0" applyFont="1" applyFill="1" applyBorder="1" applyAlignment="1">
      <alignment horizontal="center" vertical="center" wrapText="1"/>
    </xf>
    <xf numFmtId="0" fontId="0" fillId="27" borderId="10" xfId="0" applyFill="1" applyBorder="1" applyAlignment="1">
      <alignment horizontal="left" vertical="center"/>
    </xf>
    <xf numFmtId="0" fontId="0" fillId="27" borderId="11" xfId="0" applyFill="1" applyBorder="1" applyAlignment="1">
      <alignment horizontal="left" vertical="center"/>
    </xf>
    <xf numFmtId="0" fontId="0" fillId="27" borderId="12" xfId="0" applyFill="1" applyBorder="1" applyAlignment="1">
      <alignment horizontal="left" vertical="center"/>
    </xf>
    <xf numFmtId="0" fontId="0" fillId="27" borderId="13" xfId="0" applyFill="1" applyBorder="1" applyAlignment="1">
      <alignment horizontal="left" vertical="center"/>
    </xf>
    <xf numFmtId="0" fontId="0" fillId="27" borderId="14" xfId="0" applyFill="1" applyBorder="1" applyAlignment="1">
      <alignment horizontal="left" vertical="center" wrapText="1"/>
    </xf>
    <xf numFmtId="0" fontId="0" fillId="27" borderId="15" xfId="0" applyFill="1" applyBorder="1" applyAlignment="1">
      <alignment horizontal="left" vertical="center" wrapText="1"/>
    </xf>
    <xf numFmtId="0" fontId="0" fillId="27" borderId="11" xfId="0" applyFill="1" applyBorder="1" applyAlignment="1">
      <alignment horizontal="left" vertical="center" wrapText="1"/>
    </xf>
    <xf numFmtId="0" fontId="0" fillId="27" borderId="16" xfId="0" applyFill="1" applyBorder="1" applyAlignment="1">
      <alignment horizontal="left" vertical="center" wrapText="1"/>
    </xf>
    <xf numFmtId="0" fontId="0" fillId="27" borderId="17" xfId="0" applyFill="1" applyBorder="1" applyAlignment="1">
      <alignment horizontal="left" vertical="center" wrapText="1"/>
    </xf>
    <xf numFmtId="0" fontId="0" fillId="27" borderId="13" xfId="0" applyFill="1" applyBorder="1" applyAlignment="1">
      <alignment horizontal="left" vertical="center" wrapText="1"/>
    </xf>
    <xf numFmtId="0" fontId="29" fillId="7" borderId="6" xfId="0" applyFont="1" applyFill="1" applyBorder="1" applyAlignment="1">
      <alignment horizontal="left" vertical="center"/>
    </xf>
    <xf numFmtId="0" fontId="1" fillId="28" borderId="1" xfId="2" applyFill="1" applyBorder="1"/>
    <xf numFmtId="0" fontId="30" fillId="8" borderId="2" xfId="0" applyFont="1" applyFill="1" applyBorder="1" applyAlignment="1">
      <alignment vertical="center"/>
    </xf>
    <xf numFmtId="0" fontId="31" fillId="9" borderId="3" xfId="0" applyFont="1" applyFill="1" applyBorder="1" applyAlignment="1">
      <alignment horizontal="left" vertical="center"/>
    </xf>
    <xf numFmtId="0" fontId="30" fillId="8" borderId="7" xfId="0" applyFont="1" applyFill="1" applyBorder="1" applyAlignment="1">
      <alignment vertical="center"/>
    </xf>
    <xf numFmtId="0" fontId="31" fillId="9" borderId="1" xfId="0" applyFont="1" applyFill="1" applyBorder="1" applyAlignment="1">
      <alignment horizontal="left" vertical="center" wrapText="1"/>
    </xf>
    <xf numFmtId="0" fontId="32" fillId="11" borderId="1" xfId="0" applyFont="1" applyFill="1" applyBorder="1" applyAlignment="1">
      <alignment horizontal="center" vertical="center" wrapText="1"/>
    </xf>
    <xf numFmtId="0" fontId="30" fillId="12" borderId="1" xfId="0" applyFont="1" applyFill="1" applyBorder="1" applyAlignment="1">
      <alignment horizontal="center" vertical="center" wrapText="1"/>
    </xf>
    <xf numFmtId="0" fontId="32" fillId="13" borderId="1" xfId="0" applyFont="1" applyFill="1" applyBorder="1" applyAlignment="1">
      <alignment horizontal="center" vertical="center" wrapText="1"/>
    </xf>
    <xf numFmtId="0" fontId="32" fillId="14" borderId="1" xfId="0" applyFont="1" applyFill="1" applyBorder="1" applyAlignment="1">
      <alignment horizontal="center" vertical="center" wrapText="1"/>
    </xf>
    <xf numFmtId="0" fontId="32" fillId="15" borderId="1" xfId="0" applyFont="1" applyFill="1" applyBorder="1" applyAlignment="1">
      <alignment horizontal="center" vertical="center" wrapText="1"/>
    </xf>
    <xf numFmtId="0" fontId="30" fillId="16" borderId="1" xfId="0" applyFont="1" applyFill="1" applyBorder="1" applyAlignment="1">
      <alignment horizontal="center" vertical="center" wrapText="1"/>
    </xf>
    <xf numFmtId="0" fontId="32" fillId="17" borderId="1" xfId="0" applyFont="1" applyFill="1" applyBorder="1" applyAlignment="1">
      <alignment horizontal="center" vertical="center" wrapText="1"/>
    </xf>
    <xf numFmtId="0" fontId="30" fillId="18" borderId="1" xfId="0" applyFont="1" applyFill="1" applyBorder="1" applyAlignment="1">
      <alignment horizontal="center" vertical="center" wrapText="1"/>
    </xf>
    <xf numFmtId="0" fontId="32" fillId="11" borderId="1" xfId="0" applyFont="1" applyFill="1" applyBorder="1" applyAlignment="1">
      <alignment horizontal="center" vertical="center" wrapText="1"/>
    </xf>
    <xf numFmtId="0" fontId="32" fillId="13" borderId="1" xfId="0" applyFont="1" applyFill="1" applyBorder="1" applyAlignment="1">
      <alignment horizontal="center" vertical="center" wrapText="1"/>
    </xf>
    <xf numFmtId="0" fontId="30" fillId="16" borderId="1" xfId="0" applyFont="1" applyFill="1" applyBorder="1" applyAlignment="1">
      <alignment horizontal="center" vertical="center"/>
    </xf>
    <xf numFmtId="0" fontId="32" fillId="17" borderId="1" xfId="0" applyFont="1" applyFill="1" applyBorder="1" applyAlignment="1">
      <alignment horizontal="center" vertical="center" wrapText="1"/>
    </xf>
    <xf numFmtId="0" fontId="30" fillId="18" borderId="1" xfId="0" applyFont="1" applyFill="1" applyBorder="1" applyAlignment="1">
      <alignment horizontal="center" vertical="center"/>
    </xf>
    <xf numFmtId="0" fontId="32" fillId="14" borderId="1" xfId="0" applyFont="1" applyFill="1" applyBorder="1" applyAlignment="1">
      <alignment horizontal="center" vertical="center" wrapText="1"/>
    </xf>
    <xf numFmtId="0" fontId="32" fillId="15" borderId="1" xfId="0" applyFont="1" applyFill="1" applyBorder="1" applyAlignment="1">
      <alignment vertical="center" wrapText="1"/>
    </xf>
    <xf numFmtId="0" fontId="33" fillId="0" borderId="1" xfId="0" applyFont="1" applyBorder="1" applyAlignment="1">
      <alignment horizontal="center" vertical="center" wrapText="1"/>
    </xf>
    <xf numFmtId="0" fontId="33" fillId="0" borderId="1" xfId="0" applyFont="1" applyBorder="1" applyAlignment="1">
      <alignment horizontal="left" vertical="center" wrapText="1"/>
    </xf>
    <xf numFmtId="0" fontId="33" fillId="0" borderId="1" xfId="0" applyFont="1" applyBorder="1"/>
    <xf numFmtId="0" fontId="34" fillId="0" borderId="1" xfId="0" applyFont="1" applyBorder="1" applyAlignment="1">
      <alignment horizontal="center" vertical="center" wrapText="1"/>
    </xf>
    <xf numFmtId="0" fontId="31" fillId="0" borderId="0" xfId="0" applyFont="1" applyAlignment="1">
      <alignment vertical="center" wrapText="1"/>
    </xf>
    <xf numFmtId="0" fontId="0" fillId="26" borderId="1" xfId="0" applyFill="1" applyBorder="1" applyAlignment="1">
      <alignment horizontal="left" vertical="center"/>
    </xf>
    <xf numFmtId="0" fontId="0" fillId="29" borderId="1" xfId="0" applyFill="1" applyBorder="1" applyAlignment="1">
      <alignment vertical="center" wrapText="1"/>
    </xf>
    <xf numFmtId="0" fontId="0" fillId="29" borderId="1" xfId="0" applyFill="1" applyBorder="1" applyAlignment="1">
      <alignment vertical="center"/>
    </xf>
    <xf numFmtId="0" fontId="21" fillId="7" borderId="1" xfId="2" applyFont="1" applyFill="1" applyBorder="1" applyAlignment="1">
      <alignment horizontal="left" vertical="center"/>
    </xf>
    <xf numFmtId="0" fontId="21" fillId="26" borderId="1" xfId="2" applyFont="1" applyFill="1" applyBorder="1" applyAlignment="1">
      <alignment horizontal="left" vertical="center"/>
    </xf>
    <xf numFmtId="0" fontId="21" fillId="27" borderId="1" xfId="2" applyFont="1" applyFill="1" applyBorder="1" applyAlignment="1">
      <alignment horizontal="left" vertical="center"/>
    </xf>
    <xf numFmtId="0" fontId="0" fillId="26" borderId="9" xfId="0" applyFill="1" applyBorder="1" applyAlignment="1">
      <alignment horizontal="center" vertical="center"/>
    </xf>
    <xf numFmtId="0" fontId="0" fillId="26" borderId="5" xfId="0" applyFill="1" applyBorder="1" applyAlignment="1">
      <alignment horizontal="center" vertical="center"/>
    </xf>
  </cellXfs>
  <cellStyles count="3">
    <cellStyle name="Hipervínculo" xfId="2" builtinId="8"/>
    <cellStyle name="Moneda"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FDD3FA"/>
      <rgbColor rgb="FF800080"/>
      <rgbColor rgb="FF008080"/>
      <rgbColor rgb="FFBFBFBF"/>
      <rgbColor rgb="FFA9D18E"/>
      <rgbColor rgb="FFE49EDD"/>
      <rgbColor rgb="FF993366"/>
      <rgbColor rgb="FFFFE699"/>
      <rgbColor rgb="FFCAEDFB"/>
      <rgbColor rgb="FF660066"/>
      <rgbColor rgb="FFF381DB"/>
      <rgbColor rgb="FF0563C1"/>
      <rgbColor rgb="FFD0CECE"/>
      <rgbColor rgb="FF000080"/>
      <rgbColor rgb="FFFF00FF"/>
      <rgbColor rgb="FFFFD966"/>
      <rgbColor rgb="FF00FFFF"/>
      <rgbColor rgb="FF800080"/>
      <rgbColor rgb="FF800000"/>
      <rgbColor rgb="FF008080"/>
      <rgbColor rgb="FF0000FF"/>
      <rgbColor rgb="FF00CCFF"/>
      <rgbColor rgb="FFC0E6F5"/>
      <rgbColor rgb="FFC5E0B4"/>
      <rgbColor rgb="FFFCFCAA"/>
      <rgbColor rgb="FFC5E0B3"/>
      <rgbColor rgb="FFFA90B1"/>
      <rgbColor rgb="FFCC99FF"/>
      <rgbColor rgb="FFF7C7AC"/>
      <rgbColor rgb="FF2F75B5"/>
      <rgbColor rgb="FFD9D9D9"/>
      <rgbColor rgb="FF92D050"/>
      <rgbColor rgb="FFFFC000"/>
      <rgbColor rgb="FFF1ABE9"/>
      <rgbColor rgb="FFF2CEEF"/>
      <rgbColor rgb="FF467886"/>
      <rgbColor rgb="FF70AD47"/>
      <rgbColor rgb="FF003366"/>
      <rgbColor rgb="FFDBDBDB"/>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175320</xdr:rowOff>
    </xdr:from>
    <xdr:to>
      <xdr:col>15</xdr:col>
      <xdr:colOff>561960</xdr:colOff>
      <xdr:row>27</xdr:row>
      <xdr:rowOff>113400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175320"/>
          <a:ext cx="11390040" cy="48243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 row="4">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D378ECF-A984-4C8F-8A9A-77EAFFE36D20}">
  <we:reference id="wa200009404" version="1.0.0.8" store="es-ES" storeType="OMEX"/>
  <we:alternateReferences>
    <we:reference id="wa200009404" version="1.0.0.8" store="en-US" storeType="OMEX"/>
  </we:alternateReferences>
  <we:properties>
    <we:property name="claude.fileId" value="&quot;5c40f5b0-3ecb-4474-a53c-08b19b5304b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5DC473D3-0015-4DA4-8832-B1D1CFDF46E1}">
  <we:reference id="wa200010215" version="1.0.0.0" store="es-ES" storeType="OMEX"/>
  <we:alternateReferences>
    <we:reference id="wa200010215" version="1.0.0.0" store="wa20001021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
  <sheetViews>
    <sheetView zoomScaleNormal="100" workbookViewId="0"/>
  </sheetViews>
  <sheetFormatPr baseColWidth="10" defaultColWidth="9.140625" defaultRowHeight="15" x14ac:dyDescent="0.25"/>
  <cols>
    <col min="1" max="1" width="26.140625" customWidth="1"/>
  </cols>
  <sheetData>
    <row r="1" spans="1:30" ht="14.25" customHeight="1" x14ac:dyDescent="0.25">
      <c r="A1" s="6" t="s">
        <v>0</v>
      </c>
      <c r="B1" s="7"/>
      <c r="C1" s="7"/>
      <c r="D1" s="7"/>
      <c r="E1" s="7"/>
      <c r="F1" s="7"/>
      <c r="G1" s="7"/>
      <c r="H1" s="7"/>
      <c r="I1" s="7"/>
      <c r="J1" s="7"/>
      <c r="K1" s="7"/>
      <c r="L1" s="7"/>
      <c r="M1" s="7"/>
      <c r="N1" s="7"/>
      <c r="O1" s="7"/>
      <c r="P1" s="7"/>
      <c r="Q1" s="7"/>
      <c r="R1" s="7"/>
      <c r="S1" s="7"/>
      <c r="T1" s="7"/>
      <c r="U1" s="7"/>
      <c r="V1" s="7"/>
      <c r="W1" s="7"/>
      <c r="X1" s="7"/>
      <c r="Y1" s="7"/>
      <c r="Z1" s="7"/>
      <c r="AA1" s="7"/>
      <c r="AB1" s="7"/>
      <c r="AC1" s="7"/>
      <c r="AD1" s="7"/>
    </row>
    <row r="2" spans="1:30" ht="14.25" customHeight="1" x14ac:dyDescent="0.25">
      <c r="B2" s="7"/>
      <c r="C2" s="7"/>
      <c r="D2" s="7"/>
      <c r="E2" s="7"/>
      <c r="F2" s="7"/>
      <c r="G2" s="7"/>
      <c r="H2" s="7"/>
      <c r="I2" s="7"/>
      <c r="J2" s="7"/>
      <c r="K2" s="7"/>
      <c r="L2" s="7"/>
      <c r="M2" s="7"/>
      <c r="N2" s="7"/>
      <c r="O2" s="7"/>
      <c r="P2" s="7"/>
      <c r="Q2" s="7"/>
      <c r="R2" s="7"/>
      <c r="S2" s="7"/>
      <c r="T2" s="7"/>
      <c r="U2" s="7"/>
      <c r="V2" s="7"/>
      <c r="W2" s="7"/>
      <c r="X2" s="7"/>
      <c r="Y2" s="7"/>
      <c r="Z2" s="7"/>
      <c r="AA2" s="7"/>
      <c r="AB2" s="7"/>
      <c r="AC2" s="7"/>
      <c r="AD2" s="7"/>
    </row>
    <row r="3" spans="1:30" ht="14.25" customHeight="1" x14ac:dyDescent="0.25">
      <c r="A3" s="7"/>
      <c r="B3" s="7"/>
      <c r="C3" s="7"/>
      <c r="D3" s="7"/>
      <c r="E3" s="7"/>
      <c r="F3" s="7"/>
      <c r="G3" s="7"/>
      <c r="H3" s="7"/>
      <c r="I3" s="7"/>
      <c r="J3" s="7"/>
      <c r="K3" s="7"/>
      <c r="L3" s="7"/>
      <c r="M3" s="7"/>
      <c r="N3" s="7"/>
      <c r="O3" s="7"/>
      <c r="P3" s="7"/>
      <c r="Q3" s="7"/>
      <c r="R3" s="7"/>
      <c r="S3" s="7"/>
      <c r="T3" s="7"/>
      <c r="U3" s="7"/>
      <c r="V3" s="7"/>
      <c r="W3" s="7"/>
      <c r="X3" s="7"/>
      <c r="Y3" s="7"/>
      <c r="Z3" s="7"/>
      <c r="AA3" s="7"/>
      <c r="AB3" s="7"/>
      <c r="AC3" s="7"/>
      <c r="AD3" s="7"/>
    </row>
    <row r="4" spans="1:30" ht="14.25" customHeight="1"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row>
    <row r="5" spans="1:30" ht="14.25" customHeight="1" x14ac:dyDescent="0.25">
      <c r="A5" s="7"/>
      <c r="B5" s="7"/>
      <c r="C5" s="7"/>
      <c r="D5" s="7"/>
      <c r="E5" s="7"/>
      <c r="F5" s="7"/>
      <c r="G5" s="7"/>
      <c r="H5" s="7"/>
      <c r="I5" s="7"/>
      <c r="J5" s="7"/>
      <c r="K5" s="7"/>
      <c r="L5" s="7"/>
      <c r="M5" s="7"/>
      <c r="N5" s="7"/>
      <c r="O5" s="7"/>
      <c r="P5" s="7"/>
      <c r="Q5" s="7"/>
      <c r="R5" s="7"/>
      <c r="S5" s="7"/>
      <c r="T5" s="7"/>
      <c r="U5" s="7"/>
      <c r="V5" s="7"/>
      <c r="W5" s="7"/>
      <c r="X5" s="7"/>
      <c r="Y5" s="7"/>
      <c r="Z5" s="7"/>
      <c r="AA5" s="7"/>
      <c r="AB5" s="7"/>
      <c r="AC5" s="7"/>
      <c r="AD5" s="7"/>
    </row>
    <row r="6" spans="1:30" ht="14.25" customHeight="1" x14ac:dyDescent="0.25">
      <c r="A6" s="7"/>
      <c r="B6" s="7"/>
      <c r="C6" s="7"/>
      <c r="D6" s="7"/>
      <c r="E6" s="7"/>
      <c r="F6" s="7"/>
      <c r="G6" s="7"/>
      <c r="H6" s="7"/>
      <c r="I6" s="7"/>
      <c r="J6" s="7"/>
      <c r="K6" s="7"/>
      <c r="L6" s="7"/>
      <c r="M6" s="7"/>
      <c r="N6" s="7"/>
      <c r="O6" s="7"/>
      <c r="P6" s="7"/>
      <c r="Q6" s="7"/>
      <c r="R6" s="7"/>
      <c r="S6" s="7"/>
      <c r="T6" s="7"/>
      <c r="U6" s="7"/>
      <c r="V6" s="7"/>
      <c r="W6" s="7"/>
      <c r="X6" s="7"/>
      <c r="Y6" s="7"/>
      <c r="Z6" s="7"/>
      <c r="AA6" s="7"/>
      <c r="AB6" s="7"/>
      <c r="AC6" s="7"/>
      <c r="AD6" s="7"/>
    </row>
    <row r="7" spans="1:30" ht="14.25" customHeight="1" x14ac:dyDescent="0.25">
      <c r="A7" s="7"/>
      <c r="B7" s="7"/>
      <c r="C7" s="7"/>
      <c r="D7" s="7"/>
      <c r="E7" s="7"/>
      <c r="F7" s="7"/>
      <c r="G7" s="7"/>
      <c r="H7" s="7"/>
      <c r="I7" s="7"/>
      <c r="J7" s="7"/>
      <c r="K7" s="7"/>
      <c r="L7" s="7"/>
      <c r="M7" s="7"/>
      <c r="N7" s="7"/>
      <c r="O7" s="7"/>
      <c r="P7" s="7"/>
      <c r="Q7" s="7"/>
      <c r="R7" s="7"/>
      <c r="S7" s="7"/>
      <c r="T7" s="7"/>
      <c r="U7" s="7"/>
      <c r="V7" s="7"/>
      <c r="W7" s="7"/>
      <c r="X7" s="7"/>
      <c r="Y7" s="7"/>
      <c r="Z7" s="7"/>
      <c r="AA7" s="7"/>
      <c r="AB7" s="7"/>
      <c r="AC7" s="7"/>
      <c r="AD7" s="7"/>
    </row>
    <row r="8" spans="1:30" ht="14.25" customHeight="1" x14ac:dyDescent="0.25">
      <c r="A8" s="7"/>
      <c r="B8" s="7"/>
      <c r="C8" s="7"/>
      <c r="D8" s="7"/>
      <c r="E8" s="7"/>
      <c r="F8" s="7"/>
      <c r="G8" s="7"/>
      <c r="H8" s="7"/>
      <c r="I8" s="7"/>
      <c r="J8" s="7"/>
      <c r="K8" s="7"/>
      <c r="L8" s="7"/>
      <c r="M8" s="7"/>
      <c r="N8" s="7"/>
      <c r="O8" s="7"/>
      <c r="P8" s="7"/>
      <c r="Q8" s="7"/>
      <c r="R8" s="7"/>
      <c r="S8" s="7"/>
      <c r="T8" s="7"/>
      <c r="U8" s="7"/>
      <c r="V8" s="7"/>
      <c r="W8" s="7"/>
      <c r="X8" s="7"/>
      <c r="Y8" s="7"/>
      <c r="Z8" s="7"/>
      <c r="AA8" s="7"/>
      <c r="AB8" s="7"/>
      <c r="AC8" s="7"/>
      <c r="AD8" s="7"/>
    </row>
    <row r="9" spans="1:30" ht="14.25" customHeight="1" x14ac:dyDescent="0.25">
      <c r="A9" s="7"/>
      <c r="B9" s="7"/>
      <c r="C9" s="7"/>
      <c r="D9" s="7"/>
      <c r="E9" s="7"/>
      <c r="F9" s="7"/>
      <c r="G9" s="7"/>
      <c r="H9" s="7"/>
      <c r="I9" s="7"/>
      <c r="J9" s="7"/>
      <c r="K9" s="7"/>
      <c r="L9" s="7"/>
      <c r="M9" s="7"/>
      <c r="N9" s="7"/>
      <c r="O9" s="7"/>
      <c r="P9" s="7"/>
      <c r="Q9" s="7"/>
      <c r="R9" s="7"/>
      <c r="S9" s="7"/>
      <c r="T9" s="7"/>
      <c r="U9" s="7"/>
      <c r="V9" s="7"/>
      <c r="W9" s="7"/>
      <c r="X9" s="7"/>
      <c r="Y9" s="7"/>
      <c r="Z9" s="7"/>
      <c r="AA9" s="7"/>
      <c r="AB9" s="7"/>
      <c r="AC9" s="7"/>
      <c r="AD9" s="7"/>
    </row>
    <row r="10" spans="1:30" ht="14.25" customHeight="1"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row>
    <row r="11" spans="1:30" ht="14.25" customHeight="1"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row>
    <row r="12" spans="1:30" ht="14.25" customHeight="1" x14ac:dyDescent="0.2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1:30" ht="14.25" customHeight="1" x14ac:dyDescent="0.2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row>
    <row r="14" spans="1:30" ht="14.25" customHeight="1"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row>
    <row r="15" spans="1:30" ht="14.25" customHeight="1"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spans="1:30" ht="14.25" customHeight="1"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row>
    <row r="17" spans="1:30" ht="14.25" customHeigh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row>
    <row r="18" spans="1:30" ht="14.25" customHeight="1"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row>
    <row r="19" spans="1:30" ht="14.25" customHeight="1"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row>
    <row r="20" spans="1:30" ht="14.25" customHeight="1"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row>
    <row r="21" spans="1:30" ht="14.25" customHeight="1" x14ac:dyDescent="0.2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spans="1:30" ht="14.25" customHeight="1" x14ac:dyDescent="0.2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row>
    <row r="23" spans="1:30" ht="14.2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row>
    <row r="24" spans="1:30" ht="14.25"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row>
    <row r="25" spans="1:30" ht="14.25"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row>
    <row r="26" spans="1:30" ht="14.2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spans="1:30" ht="14.25"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row>
    <row r="28" spans="1:30" ht="14.2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row>
    <row r="29" spans="1:30" ht="14.2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row>
    <row r="30" spans="1:30" ht="14.2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spans="1:30" ht="14.2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spans="1:30" ht="14.2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spans="1:30" ht="14.2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spans="1:30" ht="14.2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spans="1:30" ht="14.2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spans="1:30" ht="14.2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spans="1:30" ht="14.2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row>
    <row r="38" spans="1:30" ht="14.2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row>
    <row r="39" spans="1:30" ht="14.2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spans="1:30" ht="14.2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spans="1:30" ht="14.2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spans="1:30" ht="14.2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row>
    <row r="43" spans="1:30" ht="14.2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row>
    <row r="44" spans="1:30" ht="14.2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row>
    <row r="45" spans="1:30" ht="14.2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row>
    <row r="46" spans="1:30" ht="14.2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row>
    <row r="47" spans="1:30" ht="14.2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row>
    <row r="48" spans="1:30" ht="14.2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row>
    <row r="49" spans="1:30" ht="14.2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row>
    <row r="50" spans="1:30" ht="14.2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row>
  </sheetData>
  <hyperlinks>
    <hyperlink ref="A1" location="'Objetos de Dominio'!A1" display="Ir a objetos de dominio &gt;&gt;&gt;&gt;" xr:uid="{00000000-0004-0000-0000-000000000000}"/>
  </hyperlink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topLeftCell="A10" zoomScaleNormal="100" workbookViewId="0">
      <selection activeCell="B18" sqref="B18"/>
    </sheetView>
  </sheetViews>
  <sheetFormatPr baseColWidth="10" defaultColWidth="10.7109375" defaultRowHeight="15" x14ac:dyDescent="0.25"/>
  <cols>
    <col min="1" max="1" width="27" customWidth="1"/>
    <col min="2" max="2" width="48.28515625" customWidth="1"/>
    <col min="3" max="3" width="12.5703125" customWidth="1"/>
    <col min="4" max="4" width="13.28515625" customWidth="1"/>
    <col min="5" max="5" width="19.42578125" customWidth="1"/>
    <col min="6" max="6" width="18.28515625" customWidth="1"/>
    <col min="7" max="7" width="14.28515625" customWidth="1"/>
  </cols>
  <sheetData>
    <row r="1" spans="1:7" ht="14.25" customHeight="1" x14ac:dyDescent="0.25">
      <c r="A1" s="6" t="s">
        <v>1</v>
      </c>
    </row>
    <row r="2" spans="1:7" ht="14.25" customHeight="1" x14ac:dyDescent="0.25">
      <c r="A2" s="8" t="s">
        <v>2</v>
      </c>
      <c r="B2" s="8" t="s">
        <v>3</v>
      </c>
      <c r="C2" s="8" t="s">
        <v>4</v>
      </c>
      <c r="D2" s="8" t="s">
        <v>5</v>
      </c>
      <c r="E2" s="8" t="s">
        <v>6</v>
      </c>
      <c r="F2" s="8" t="s">
        <v>7</v>
      </c>
      <c r="G2" s="9" t="s">
        <v>8</v>
      </c>
    </row>
    <row r="3" spans="1:7" ht="45" customHeight="1" x14ac:dyDescent="0.25">
      <c r="A3" s="10" t="s">
        <v>9</v>
      </c>
      <c r="B3" s="11" t="s">
        <v>907</v>
      </c>
      <c r="C3" s="12">
        <v>1</v>
      </c>
      <c r="D3" s="13" t="s">
        <v>10</v>
      </c>
      <c r="E3" s="13" t="s">
        <v>11</v>
      </c>
      <c r="F3" s="13" t="s">
        <v>12</v>
      </c>
      <c r="G3" s="13" t="s">
        <v>13</v>
      </c>
    </row>
    <row r="4" spans="1:7" ht="60" customHeight="1" x14ac:dyDescent="0.25">
      <c r="A4" s="10" t="s">
        <v>14</v>
      </c>
      <c r="B4" s="14" t="s">
        <v>908</v>
      </c>
      <c r="C4" s="10">
        <v>1</v>
      </c>
      <c r="D4" s="13" t="s">
        <v>10</v>
      </c>
      <c r="E4" s="13" t="s">
        <v>11</v>
      </c>
      <c r="F4" s="13" t="s">
        <v>12</v>
      </c>
      <c r="G4" s="13" t="s">
        <v>13</v>
      </c>
    </row>
    <row r="5" spans="1:7" ht="45" customHeight="1" x14ac:dyDescent="0.25">
      <c r="A5" s="10" t="s">
        <v>15</v>
      </c>
      <c r="B5" s="14" t="s">
        <v>909</v>
      </c>
      <c r="C5" s="10">
        <v>1</v>
      </c>
      <c r="D5" s="13" t="s">
        <v>10</v>
      </c>
      <c r="E5" s="13" t="s">
        <v>11</v>
      </c>
      <c r="F5" s="13" t="s">
        <v>12</v>
      </c>
      <c r="G5" s="13" t="s">
        <v>13</v>
      </c>
    </row>
    <row r="6" spans="1:7" ht="60" x14ac:dyDescent="0.25">
      <c r="A6" s="10" t="s">
        <v>16</v>
      </c>
      <c r="B6" s="14" t="s">
        <v>910</v>
      </c>
      <c r="C6" s="10">
        <v>1</v>
      </c>
      <c r="D6" s="13" t="s">
        <v>10</v>
      </c>
      <c r="E6" s="13" t="s">
        <v>11</v>
      </c>
      <c r="F6" s="13" t="s">
        <v>12</v>
      </c>
      <c r="G6" s="13" t="s">
        <v>13</v>
      </c>
    </row>
    <row r="7" spans="1:7" ht="28.5" customHeight="1" x14ac:dyDescent="0.25">
      <c r="A7" s="10" t="s">
        <v>17</v>
      </c>
      <c r="B7" s="14" t="s">
        <v>911</v>
      </c>
      <c r="C7" s="10">
        <v>1</v>
      </c>
      <c r="D7" s="13" t="s">
        <v>10</v>
      </c>
      <c r="E7" s="13" t="s">
        <v>11</v>
      </c>
      <c r="F7" s="13" t="s">
        <v>12</v>
      </c>
      <c r="G7" s="13" t="s">
        <v>13</v>
      </c>
    </row>
    <row r="8" spans="1:7" ht="75" x14ac:dyDescent="0.25">
      <c r="A8" s="10" t="s">
        <v>18</v>
      </c>
      <c r="B8" s="14" t="s">
        <v>912</v>
      </c>
      <c r="C8" s="10">
        <v>2</v>
      </c>
      <c r="D8" s="13" t="s">
        <v>10</v>
      </c>
      <c r="E8" s="13" t="s">
        <v>11</v>
      </c>
      <c r="F8" s="13" t="s">
        <v>12</v>
      </c>
      <c r="G8" s="13" t="s">
        <v>13</v>
      </c>
    </row>
    <row r="9" spans="1:7" ht="30" x14ac:dyDescent="0.25">
      <c r="A9" s="10" t="s">
        <v>19</v>
      </c>
      <c r="B9" s="14" t="s">
        <v>913</v>
      </c>
      <c r="C9" s="10">
        <v>2</v>
      </c>
      <c r="D9" s="13" t="s">
        <v>10</v>
      </c>
      <c r="E9" s="13" t="s">
        <v>11</v>
      </c>
      <c r="F9" s="13" t="s">
        <v>12</v>
      </c>
      <c r="G9" s="13" t="s">
        <v>13</v>
      </c>
    </row>
    <row r="10" spans="1:7" ht="45" customHeight="1" x14ac:dyDescent="0.25">
      <c r="A10" s="10" t="s">
        <v>20</v>
      </c>
      <c r="B10" s="14" t="s">
        <v>918</v>
      </c>
      <c r="C10" s="10">
        <v>2</v>
      </c>
      <c r="D10" s="13" t="s">
        <v>10</v>
      </c>
      <c r="E10" s="13" t="s">
        <v>11</v>
      </c>
      <c r="F10" s="13" t="s">
        <v>12</v>
      </c>
      <c r="G10" s="13" t="s">
        <v>13</v>
      </c>
    </row>
    <row r="11" spans="1:7" ht="60" x14ac:dyDescent="0.25">
      <c r="A11" s="10" t="s">
        <v>21</v>
      </c>
      <c r="B11" s="14" t="s">
        <v>914</v>
      </c>
      <c r="C11" s="10">
        <v>3</v>
      </c>
      <c r="D11" s="15" t="s">
        <v>10</v>
      </c>
      <c r="E11" s="15" t="s">
        <v>11</v>
      </c>
      <c r="F11" s="13" t="s">
        <v>12</v>
      </c>
      <c r="G11" s="13" t="s">
        <v>13</v>
      </c>
    </row>
    <row r="12" spans="1:7" ht="63.75" customHeight="1" x14ac:dyDescent="0.25">
      <c r="A12" s="10" t="s">
        <v>22</v>
      </c>
      <c r="B12" s="14" t="s">
        <v>915</v>
      </c>
      <c r="C12" s="10">
        <v>3</v>
      </c>
      <c r="D12" s="13" t="s">
        <v>10</v>
      </c>
      <c r="E12" s="13" t="s">
        <v>11</v>
      </c>
      <c r="F12" s="13" t="s">
        <v>12</v>
      </c>
      <c r="G12" s="13" t="s">
        <v>13</v>
      </c>
    </row>
    <row r="13" spans="1:7" ht="45" x14ac:dyDescent="0.25">
      <c r="A13" s="10" t="s">
        <v>23</v>
      </c>
      <c r="B13" s="14" t="s">
        <v>916</v>
      </c>
      <c r="C13" s="10">
        <v>3</v>
      </c>
      <c r="D13" s="13" t="s">
        <v>10</v>
      </c>
      <c r="E13" s="13" t="s">
        <v>11</v>
      </c>
      <c r="F13" s="13" t="s">
        <v>12</v>
      </c>
      <c r="G13" s="13" t="s">
        <v>13</v>
      </c>
    </row>
    <row r="14" spans="1:7" ht="42.75" customHeight="1" x14ac:dyDescent="0.25">
      <c r="A14" s="10" t="s">
        <v>24</v>
      </c>
      <c r="B14" s="14" t="s">
        <v>917</v>
      </c>
      <c r="C14" s="10">
        <v>4</v>
      </c>
      <c r="D14" s="13" t="s">
        <v>10</v>
      </c>
      <c r="E14" s="13" t="s">
        <v>11</v>
      </c>
      <c r="F14" s="13" t="s">
        <v>12</v>
      </c>
      <c r="G14" s="13" t="s">
        <v>13</v>
      </c>
    </row>
    <row r="15" spans="1:7" ht="63" customHeight="1" x14ac:dyDescent="0.25">
      <c r="A15" s="10" t="s">
        <v>25</v>
      </c>
      <c r="B15" s="14" t="s">
        <v>919</v>
      </c>
      <c r="C15" s="10">
        <v>5</v>
      </c>
      <c r="D15" s="13" t="s">
        <v>10</v>
      </c>
      <c r="E15" s="13" t="s">
        <v>11</v>
      </c>
      <c r="F15" s="13" t="s">
        <v>12</v>
      </c>
      <c r="G15" s="13" t="s">
        <v>13</v>
      </c>
    </row>
    <row r="16" spans="1:7" ht="75" x14ac:dyDescent="0.25">
      <c r="A16" s="10" t="s">
        <v>26</v>
      </c>
      <c r="B16" s="14" t="s">
        <v>920</v>
      </c>
      <c r="C16" s="10">
        <v>6</v>
      </c>
      <c r="D16" s="13" t="s">
        <v>10</v>
      </c>
      <c r="E16" s="13" t="s">
        <v>11</v>
      </c>
      <c r="F16" s="13" t="s">
        <v>12</v>
      </c>
      <c r="G16" s="13" t="s">
        <v>13</v>
      </c>
    </row>
    <row r="17" spans="1:7" ht="63" customHeight="1" x14ac:dyDescent="0.25">
      <c r="A17" s="10" t="s">
        <v>27</v>
      </c>
      <c r="B17" s="14" t="s">
        <v>921</v>
      </c>
      <c r="C17" s="10">
        <v>6</v>
      </c>
      <c r="D17" s="13" t="s">
        <v>10</v>
      </c>
      <c r="E17" s="13" t="s">
        <v>11</v>
      </c>
      <c r="F17" s="13" t="s">
        <v>12</v>
      </c>
      <c r="G17" s="13" t="s">
        <v>13</v>
      </c>
    </row>
  </sheetData>
  <hyperlinks>
    <hyperlink ref="A1" location="'Modelo de Dominio'!A1" display="&lt;&lt;&lt;&lt; Ir al modulo de dominio" xr:uid="{00000000-0004-0000-0100-000000000000}"/>
    <hyperlink ref="D3" location="'M-DiaSemana'!A3" display="Ir al muestreo" xr:uid="{00000000-0004-0000-0100-000001000000}"/>
    <hyperlink ref="E3" location="'C-DiaSemana'!A3" display="Ir a la caracterización" xr:uid="{00000000-0004-0000-0100-000002000000}"/>
    <hyperlink ref="F3" location="'E-DiaSemana'!A1" display="Ir al Event Storming" xr:uid="{00000000-0004-0000-0100-000003000000}"/>
    <hyperlink ref="G3" location="'P-DiaSemana'!A1" display="Ir a las políticas" xr:uid="{00000000-0004-0000-0100-000004000000}"/>
    <hyperlink ref="D4" location="'M-Estado'!A3" display="Ir al muestreo" xr:uid="{00000000-0004-0000-0100-000005000000}"/>
    <hyperlink ref="E4" location="'C-Estado'!A3" display="Ir a la caracterización" xr:uid="{00000000-0004-0000-0100-000006000000}"/>
    <hyperlink ref="F4" location="'E-Estado'!A1" display="Ir al Event Storming" xr:uid="{00000000-0004-0000-0100-000007000000}"/>
    <hyperlink ref="G4" location="'P-Estado'!A1" display="Ir a las políticas" xr:uid="{00000000-0004-0000-0100-000008000000}"/>
    <hyperlink ref="D5" location="'M-Servicio'!A3" display="Ir al muestreo" xr:uid="{00000000-0004-0000-0100-000009000000}"/>
    <hyperlink ref="E5" location="'C-Servicio'!A3" display="Ir a la caracterización" xr:uid="{00000000-0004-0000-0100-00000A000000}"/>
    <hyperlink ref="F5" location="'E-Servicio'!A1" display="Ir al Event Storming" xr:uid="{00000000-0004-0000-0100-00000B000000}"/>
    <hyperlink ref="G5" location="'P-Servicio'!A1" display="Ir a las políticas" xr:uid="{00000000-0004-0000-0100-00000C000000}"/>
    <hyperlink ref="D6" location="'M-PrefijoCelular'!A3" display="Ir al muestreo" xr:uid="{00000000-0004-0000-0100-00000D000000}"/>
    <hyperlink ref="E6" location="'C-PrefijoCelular'!A3" display="Ir a la caracterización" xr:uid="{00000000-0004-0000-0100-00000E000000}"/>
    <hyperlink ref="F6" location="'E-PrefijoCelular'!A1" display="Ir al Event Storming" xr:uid="{00000000-0004-0000-0100-00000F000000}"/>
    <hyperlink ref="G6" location="'P-PrefijoCelular'!A1" display="Ir a las políticas" xr:uid="{00000000-0004-0000-0100-000010000000}"/>
    <hyperlink ref="D7" location="'M-TipoMulta'!A3" display="Ir al muestreo" xr:uid="{00000000-0004-0000-0100-000011000000}"/>
    <hyperlink ref="E7" location="'C-TipoMulta'!A3" display="Ir a la caracterización" xr:uid="{00000000-0004-0000-0100-000012000000}"/>
    <hyperlink ref="F7" location="'E-TipoMulta'!A1" display="Ir al Event Storming" xr:uid="{00000000-0004-0000-0100-000013000000}"/>
    <hyperlink ref="G7" location="'P-TipoMulta'!A1" display="Ir a las políticas" xr:uid="{00000000-0004-0000-0100-000014000000}"/>
    <hyperlink ref="D8" location="'M-Barbero'!A3" display="Ir al muestreo" xr:uid="{00000000-0004-0000-0100-000015000000}"/>
    <hyperlink ref="E8" location="'C-Barbero'!A3" display="Ir a la caracterización" xr:uid="{00000000-0004-0000-0100-000016000000}"/>
    <hyperlink ref="F8" location="'E-Barbero'!A1" display="Ir al Event Storming" xr:uid="{00000000-0004-0000-0100-000017000000}"/>
    <hyperlink ref="G8" location="'P-Barbero'!A1" display="Ir a las políticas" xr:uid="{00000000-0004-0000-0100-000018000000}"/>
    <hyperlink ref="D9" location="'M-Cliente'!A3" display="Ir al muestreo" xr:uid="{00000000-0004-0000-0100-000019000000}"/>
    <hyperlink ref="E9" location="'C-Cliente'!A3" display="Ir a la caracterización" xr:uid="{00000000-0004-0000-0100-00001A000000}"/>
    <hyperlink ref="F9" location="'E-Cliente'!A1" display="Ir al Event Storming" xr:uid="{00000000-0004-0000-0100-00001B000000}"/>
    <hyperlink ref="G9" location="'P-Cliente'!A1" display="Ir a las políticas" xr:uid="{00000000-0004-0000-0100-00001C000000}"/>
    <hyperlink ref="D10" location="'M-HorarioBarberia'!A3" display="Ir al muestreo" xr:uid="{00000000-0004-0000-0100-00001D000000}"/>
    <hyperlink ref="E10" location="'C-HorarioBarberia'!A3" display="Ir a la caracterización" xr:uid="{00000000-0004-0000-0100-00001E000000}"/>
    <hyperlink ref="F10" location="'E-HorarioBarberia'!A1" display="Ir al Event Storming" xr:uid="{00000000-0004-0000-0100-00001F000000}"/>
    <hyperlink ref="G10" location="'P-HorarioBarberia'!A1" display="Ir a las políticas" xr:uid="{00000000-0004-0000-0100-000020000000}"/>
    <hyperlink ref="D11" location="'M-Bloqueo'!A3" display="Ir al muestreo" xr:uid="{00000000-0004-0000-0100-000021000000}"/>
    <hyperlink ref="E11" location="'C-Bloqueo'!A3" display="Ir a la caracterización" xr:uid="{00000000-0004-0000-0100-000022000000}"/>
    <hyperlink ref="F11" location="'E-Bloqueo'!A1" display="Ir al Event Storming" xr:uid="{00000000-0004-0000-0100-000023000000}"/>
    <hyperlink ref="G11" location="'P-Bloqueo'!A1" display="Ir a las políticas" xr:uid="{00000000-0004-0000-0100-000024000000}"/>
    <hyperlink ref="D12" location="'M-BarberoServicio'!A3" display="Ir al muestreo" xr:uid="{00000000-0004-0000-0100-000025000000}"/>
    <hyperlink ref="E12" location="'C-BarberoServicio'!A3" display="Ir a la caracterización" xr:uid="{00000000-0004-0000-0100-000026000000}"/>
    <hyperlink ref="F12" location="'E-BarberoServicio'!A1" display="Ir al Event Storming" xr:uid="{00000000-0004-0000-0100-000027000000}"/>
    <hyperlink ref="G12" location="'P-BarberoServicio'!A1" display="Ir a las políticas" xr:uid="{00000000-0004-0000-0100-000028000000}"/>
    <hyperlink ref="D13" location="'M-HorarioBarbero'!A3" display="Ir al muestreo" xr:uid="{00000000-0004-0000-0100-000029000000}"/>
    <hyperlink ref="E13" location="'C-HorarioBarbero'!A3" display="Ir a la caracterización" xr:uid="{00000000-0004-0000-0100-00002A000000}"/>
    <hyperlink ref="F13" location="'E-HorarioBarbero'!A1" display="Ir al Event Storming" xr:uid="{00000000-0004-0000-0100-00002B000000}"/>
    <hyperlink ref="G13" location="'P-HorarioBarbero'!A1" display="Ir a las políticas" xr:uid="{00000000-0004-0000-0100-00002C000000}"/>
    <hyperlink ref="D14" location="'M-Agenda'!A3" display="Ir al muestreo" xr:uid="{00000000-0004-0000-0100-00002D000000}"/>
    <hyperlink ref="E14" location="'C-Agenda'!A3" display="Ir a la caracterización" xr:uid="{00000000-0004-0000-0100-00002E000000}"/>
    <hyperlink ref="F14" location="'E-Agenda'!A1" display="Ir al Event Storming" xr:uid="{00000000-0004-0000-0100-00002F000000}"/>
    <hyperlink ref="G14" location="'P-Agenda'!A1" display="Ir a las políticas" xr:uid="{00000000-0004-0000-0100-000030000000}"/>
    <hyperlink ref="D15" location="'M-Cita'!A3" display="Ir al muestreo" xr:uid="{00000000-0004-0000-0100-000031000000}"/>
    <hyperlink ref="E15" location="'C-Cita'!A3" display="Ir a la caracterización" xr:uid="{00000000-0004-0000-0100-000032000000}"/>
    <hyperlink ref="F15" location="'E-Cita'!A1" display="Ir al Event Storming" xr:uid="{00000000-0004-0000-0100-000033000000}"/>
    <hyperlink ref="G15" location="'P-Cita'!A1" display="Ir a las políticas" xr:uid="{00000000-0004-0000-0100-000034000000}"/>
    <hyperlink ref="D16" location="'M-CitaServicio'!A3" display="Ir al muestreo" xr:uid="{00000000-0004-0000-0100-000035000000}"/>
    <hyperlink ref="E16" location="'C-CitaServicio'!A3" display="Ir a la caracterización" xr:uid="{00000000-0004-0000-0100-000036000000}"/>
    <hyperlink ref="F16" location="'E-CitaServicio'!A1" display="Ir al Event Storming" xr:uid="{00000000-0004-0000-0100-000037000000}"/>
    <hyperlink ref="G16" location="'P-CitaServicio'!A1" display="Ir a las políticas" xr:uid="{00000000-0004-0000-0100-000038000000}"/>
    <hyperlink ref="D17" location="'M-Multa'!A3" display="Ir al muestreo" xr:uid="{00000000-0004-0000-0100-000039000000}"/>
    <hyperlink ref="E17" location="'C-Multa'!A3" display="Ir a la caracterización" xr:uid="{00000000-0004-0000-0100-00003A000000}"/>
    <hyperlink ref="F17" location="'E-Multa'!A1" display="Ir al Event Storming" xr:uid="{00000000-0004-0000-0100-00003B000000}"/>
    <hyperlink ref="G17" location="'P-Multa'!A1" display="Ir a las políticas" xr:uid="{00000000-0004-0000-0100-00003C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1"/>
  <sheetViews>
    <sheetView topLeftCell="M1" zoomScaleNormal="100" workbookViewId="0">
      <selection activeCell="V5" sqref="V5"/>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 min="22" max="22" width="19.28515625" bestFit="1" customWidth="1"/>
  </cols>
  <sheetData>
    <row r="1" spans="1:22" ht="15" customHeight="1" x14ac:dyDescent="0.25">
      <c r="A1" s="6" t="s">
        <v>1</v>
      </c>
      <c r="B1" s="6" t="s">
        <v>28</v>
      </c>
    </row>
    <row r="2" spans="1:22" ht="15" customHeight="1" x14ac:dyDescent="0.25">
      <c r="A2" s="16" t="s">
        <v>29</v>
      </c>
      <c r="B2" s="17" t="s">
        <v>30</v>
      </c>
      <c r="C2" s="16" t="s">
        <v>31</v>
      </c>
      <c r="D2" s="16" t="s">
        <v>32</v>
      </c>
      <c r="E2" s="16" t="s">
        <v>33</v>
      </c>
      <c r="F2" s="16" t="s">
        <v>34</v>
      </c>
      <c r="G2" s="16" t="s">
        <v>35</v>
      </c>
      <c r="H2" s="16" t="s">
        <v>36</v>
      </c>
      <c r="I2" s="16" t="s">
        <v>37</v>
      </c>
      <c r="J2" s="16" t="s">
        <v>38</v>
      </c>
      <c r="K2" s="16" t="s">
        <v>39</v>
      </c>
      <c r="L2" s="16" t="s">
        <v>40</v>
      </c>
      <c r="M2" s="17" t="s">
        <v>41</v>
      </c>
      <c r="N2" s="16" t="s">
        <v>42</v>
      </c>
      <c r="O2" s="16" t="s">
        <v>43</v>
      </c>
      <c r="P2" s="16" t="s">
        <v>44</v>
      </c>
      <c r="Q2" s="16" t="s">
        <v>45</v>
      </c>
      <c r="R2" s="16" t="s">
        <v>46</v>
      </c>
      <c r="S2" s="16" t="s">
        <v>47</v>
      </c>
      <c r="T2" s="16" t="s">
        <v>48</v>
      </c>
      <c r="U2" s="16" t="s">
        <v>49</v>
      </c>
      <c r="V2" s="322" t="str">
        <f>A11</f>
        <v>VerDiasDeLaSemana</v>
      </c>
    </row>
    <row r="3" spans="1:22" ht="45" customHeight="1" x14ac:dyDescent="0.25">
      <c r="A3" s="18" t="str">
        <f>'M-DiaSemana'!A3</f>
        <v>id</v>
      </c>
      <c r="B3" s="19" t="str">
        <f>'M-DiaSemana'!A2</f>
        <v>Representa un identificador que hará unico cada objeto de dominio de este tipo, no se puede repetir</v>
      </c>
      <c r="C3" s="18" t="s">
        <v>50</v>
      </c>
      <c r="D3" s="18" t="s">
        <v>51</v>
      </c>
      <c r="E3" s="18" t="s">
        <v>50</v>
      </c>
      <c r="F3" s="18" t="s">
        <v>52</v>
      </c>
      <c r="G3" s="18" t="s">
        <v>52</v>
      </c>
      <c r="H3" s="18" t="s">
        <v>52</v>
      </c>
      <c r="I3" s="18" t="s">
        <v>52</v>
      </c>
      <c r="J3" s="18" t="s">
        <v>52</v>
      </c>
      <c r="K3" s="18" t="s">
        <v>52</v>
      </c>
      <c r="L3" s="18" t="s">
        <v>52</v>
      </c>
      <c r="M3" s="18" t="s">
        <v>52</v>
      </c>
      <c r="N3" s="18" t="s">
        <v>53</v>
      </c>
      <c r="O3" s="18" t="s">
        <v>52</v>
      </c>
      <c r="P3" s="18" t="s">
        <v>52</v>
      </c>
      <c r="Q3" s="18" t="s">
        <v>52</v>
      </c>
      <c r="R3" s="18" t="s">
        <v>52</v>
      </c>
      <c r="S3" s="18" t="s">
        <v>53</v>
      </c>
      <c r="T3" s="18" t="s">
        <v>54</v>
      </c>
      <c r="U3" s="18" t="s">
        <v>50</v>
      </c>
      <c r="V3" s="31" t="s">
        <v>925</v>
      </c>
    </row>
    <row r="4" spans="1:22" ht="45" customHeight="1" x14ac:dyDescent="0.25">
      <c r="A4" s="18" t="str">
        <f>'M-DiaSemana'!B3</f>
        <v>nombre</v>
      </c>
      <c r="B4" s="19" t="str">
        <f>'M-DiaSemana'!B2</f>
        <v>Representa como se llama el dia de la semana, para los horarios</v>
      </c>
      <c r="C4" s="18" t="s">
        <v>53</v>
      </c>
      <c r="D4" s="18" t="s">
        <v>55</v>
      </c>
      <c r="E4" s="18" t="s">
        <v>50</v>
      </c>
      <c r="F4" s="18">
        <v>5</v>
      </c>
      <c r="G4" s="18">
        <v>9</v>
      </c>
      <c r="H4" s="18" t="s">
        <v>52</v>
      </c>
      <c r="I4" s="18" t="s">
        <v>52</v>
      </c>
      <c r="J4" s="18" t="s">
        <v>52</v>
      </c>
      <c r="K4" s="18" t="s">
        <v>52</v>
      </c>
      <c r="L4" s="18" t="s">
        <v>52</v>
      </c>
      <c r="M4" s="19" t="s">
        <v>56</v>
      </c>
      <c r="N4" s="18" t="s">
        <v>53</v>
      </c>
      <c r="O4" s="18" t="s">
        <v>52</v>
      </c>
      <c r="P4" s="18" t="s">
        <v>52</v>
      </c>
      <c r="Q4" s="18" t="s">
        <v>50</v>
      </c>
      <c r="R4" s="18" t="s">
        <v>50</v>
      </c>
      <c r="S4" s="18" t="s">
        <v>53</v>
      </c>
      <c r="T4" s="18" t="s">
        <v>57</v>
      </c>
      <c r="U4" s="18" t="s">
        <v>53</v>
      </c>
      <c r="V4" s="31" t="s">
        <v>926</v>
      </c>
    </row>
    <row r="6" spans="1:22" ht="15" customHeight="1" x14ac:dyDescent="0.25">
      <c r="A6" s="20" t="s">
        <v>58</v>
      </c>
      <c r="B6" s="20" t="s">
        <v>59</v>
      </c>
      <c r="C6" s="20" t="s">
        <v>60</v>
      </c>
    </row>
    <row r="7" spans="1:22" ht="45" customHeight="1" x14ac:dyDescent="0.25">
      <c r="A7" s="21" t="str">
        <f>'M-DiaSemana'!C3</f>
        <v xml:space="preserve">Combinación única </v>
      </c>
      <c r="B7" s="22" t="str">
        <f>'M-DiaSemana'!C2</f>
        <v>Combinacion única que indica que no puede existir más un dia de la semana con el mismo nombre</v>
      </c>
      <c r="C7" s="23" t="s">
        <v>61</v>
      </c>
    </row>
    <row r="9" spans="1:22" x14ac:dyDescent="0.25">
      <c r="A9" s="203" t="s">
        <v>62</v>
      </c>
      <c r="B9" s="203"/>
      <c r="C9" s="197" t="s">
        <v>59</v>
      </c>
      <c r="D9" s="197"/>
      <c r="E9" s="197"/>
      <c r="F9" s="197"/>
      <c r="G9" s="197" t="s">
        <v>63</v>
      </c>
      <c r="H9" s="197"/>
      <c r="I9" s="197"/>
      <c r="J9" s="197" t="s">
        <v>64</v>
      </c>
      <c r="K9" s="197"/>
      <c r="L9" s="197"/>
      <c r="M9" s="197"/>
      <c r="N9" s="197"/>
      <c r="O9" s="197" t="s">
        <v>65</v>
      </c>
      <c r="P9" s="197"/>
      <c r="Q9" s="197" t="s">
        <v>66</v>
      </c>
      <c r="R9" s="197"/>
    </row>
    <row r="10" spans="1:22" x14ac:dyDescent="0.25">
      <c r="A10" s="203"/>
      <c r="B10" s="203"/>
      <c r="C10" s="197"/>
      <c r="D10" s="197"/>
      <c r="E10" s="197"/>
      <c r="F10" s="197"/>
      <c r="G10" s="24" t="s">
        <v>67</v>
      </c>
      <c r="H10" s="24" t="s">
        <v>32</v>
      </c>
      <c r="I10" s="24" t="s">
        <v>59</v>
      </c>
      <c r="J10" s="24" t="s">
        <v>68</v>
      </c>
      <c r="K10" s="200" t="s">
        <v>59</v>
      </c>
      <c r="L10" s="201"/>
      <c r="M10" s="201"/>
      <c r="N10" s="202"/>
      <c r="O10" s="24" t="s">
        <v>69</v>
      </c>
      <c r="P10" s="24" t="s">
        <v>59</v>
      </c>
      <c r="Q10" s="24" t="s">
        <v>70</v>
      </c>
      <c r="R10" s="27" t="s">
        <v>71</v>
      </c>
    </row>
    <row r="11" spans="1:22" x14ac:dyDescent="0.25">
      <c r="A11" s="323" t="s">
        <v>922</v>
      </c>
      <c r="B11" s="323"/>
      <c r="C11" s="199" t="s">
        <v>923</v>
      </c>
      <c r="D11" s="199"/>
      <c r="E11" s="199"/>
      <c r="F11" s="199"/>
      <c r="G11" s="28"/>
      <c r="H11" s="28"/>
      <c r="I11" s="29"/>
      <c r="J11" s="30" t="s">
        <v>75</v>
      </c>
      <c r="K11" s="199" t="s">
        <v>924</v>
      </c>
      <c r="L11" s="199"/>
      <c r="M11" s="199"/>
      <c r="N11" s="199"/>
      <c r="O11" s="28"/>
      <c r="P11" s="3"/>
      <c r="Q11" s="3"/>
      <c r="R11" s="31"/>
    </row>
  </sheetData>
  <mergeCells count="10">
    <mergeCell ref="Q9:R9"/>
    <mergeCell ref="A11:B11"/>
    <mergeCell ref="C11:F11"/>
    <mergeCell ref="K11:N11"/>
    <mergeCell ref="K10:N10"/>
    <mergeCell ref="A9:B10"/>
    <mergeCell ref="C9:F10"/>
    <mergeCell ref="G9:I9"/>
    <mergeCell ref="J9:N9"/>
    <mergeCell ref="O9:P9"/>
  </mergeCells>
  <hyperlinks>
    <hyperlink ref="A1" location="'Modelo de Dominio'!A1" display="&lt;&lt;&lt;&lt; Ir al modulo de dominio" xr:uid="{00000000-0004-0000-0200-000000000000}"/>
    <hyperlink ref="B1" location="'Objetos de Dominio'!A1" display="&lt;&lt;&lt;&lt; Ir a objetos de dominio" xr:uid="{00000000-0004-0000-0200-000001000000}"/>
    <hyperlink ref="A3" location="'M-DiaSemana'!A3" display="#'M-DiaSemana'.A3" xr:uid="{00000000-0004-0000-0200-000002000000}"/>
    <hyperlink ref="B3" location="'M-DiaSemana'!A2" display="#'M-DiaSemana'.A2" xr:uid="{00000000-0004-0000-0200-000003000000}"/>
    <hyperlink ref="A4" location="'M-DiaSemana'!A3" display="#'M-DiaSemana'.A3" xr:uid="{00000000-0004-0000-0200-000004000000}"/>
    <hyperlink ref="B4" location="'M-DiaSemana'!A2" display="#'M-DiaSemana'.A2" xr:uid="{00000000-0004-0000-0200-000005000000}"/>
    <hyperlink ref="A7" location="'M-DiaSemana'!A3" display="#'M-DiaSemana'.A3" xr:uid="{00000000-0004-0000-0200-000006000000}"/>
    <hyperlink ref="B7" location="'M-DiaSemana'!A2" display="#'M-DiaSemana'.A2" xr:uid="{00000000-0004-0000-0200-000007000000}"/>
    <hyperlink ref="V2" location="'C-DiaSemana'!A11" display="'C-DiaSemana'!A11" xr:uid="{4F5A1CF9-879A-40D2-9025-C506F14E5F49}"/>
    <hyperlink ref="A11:B11" location="'C-DiaSemana'!V2" display="VerDiasDeLaSemana" xr:uid="{07ECA0E0-4EA3-4192-B0BE-239BDA9694BF}"/>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showGridLines="0" zoomScaleNormal="100" workbookViewId="0">
      <selection activeCell="E1" sqref="E1"/>
    </sheetView>
  </sheetViews>
  <sheetFormatPr baseColWidth="10" defaultColWidth="8.7109375" defaultRowHeight="15" x14ac:dyDescent="0.25"/>
  <cols>
    <col min="1" max="1" width="20.7109375" customWidth="1"/>
    <col min="2" max="2" width="29.140625" customWidth="1"/>
    <col min="3" max="3" width="36.28515625" customWidth="1"/>
    <col min="4" max="4" width="37.7109375" customWidth="1"/>
    <col min="5" max="5" width="36.7109375" customWidth="1"/>
  </cols>
  <sheetData>
    <row r="1" spans="1:5" ht="15" customHeight="1" x14ac:dyDescent="0.25">
      <c r="A1" s="32" t="s">
        <v>76</v>
      </c>
      <c r="B1" s="32" t="s">
        <v>77</v>
      </c>
      <c r="C1" s="32" t="s">
        <v>78</v>
      </c>
      <c r="D1" s="32" t="s">
        <v>79</v>
      </c>
      <c r="E1" s="33" t="s">
        <v>80</v>
      </c>
    </row>
    <row r="2" spans="1:5" ht="15" customHeight="1" x14ac:dyDescent="0.25">
      <c r="A2" s="34" t="s">
        <v>81</v>
      </c>
      <c r="B2" s="209" t="str">
        <f>'Objetos de Dominio'!A3</f>
        <v>DiaSemana</v>
      </c>
      <c r="C2" s="209"/>
      <c r="D2" s="209"/>
      <c r="E2" s="209"/>
    </row>
    <row r="3" spans="1:5" ht="30" customHeight="1" x14ac:dyDescent="0.25">
      <c r="A3" s="35" t="s">
        <v>82</v>
      </c>
      <c r="B3" s="210" t="str">
        <f>'Objetos de Dominio'!B3</f>
        <v>Representa cada uno de los días de la semana, incluyendo festivo, que se usa como catálogo para definir los horarios de la barbería y de cada barbero.</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30" customHeight="1" x14ac:dyDescent="0.25">
      <c r="A6" s="10"/>
      <c r="B6" s="204" t="s">
        <v>87</v>
      </c>
      <c r="C6" s="204"/>
      <c r="D6" s="36"/>
      <c r="E6" s="36"/>
    </row>
    <row r="10" spans="1:5" ht="14.25" customHeight="1" x14ac:dyDescent="0.25">
      <c r="B10" s="37"/>
      <c r="C10" s="205"/>
      <c r="D10" s="205"/>
      <c r="E10" s="205"/>
    </row>
    <row r="11" spans="1:5" ht="14.25" customHeight="1" x14ac:dyDescent="0.25">
      <c r="B11" s="37"/>
      <c r="C11" s="206"/>
      <c r="D11" s="206"/>
      <c r="E11" s="206"/>
    </row>
    <row r="12" spans="1:5" ht="14.25" customHeight="1" x14ac:dyDescent="0.25">
      <c r="B12" s="207"/>
      <c r="C12" s="208"/>
      <c r="D12" s="208"/>
      <c r="E12" s="208"/>
    </row>
    <row r="13" spans="1:5" ht="14.25" customHeight="1" x14ac:dyDescent="0.25">
      <c r="B13" s="207"/>
      <c r="C13" s="207"/>
      <c r="D13" s="208"/>
      <c r="E13" s="208"/>
    </row>
  </sheetData>
  <mergeCells count="12">
    <mergeCell ref="B2:E2"/>
    <mergeCell ref="B3:E3"/>
    <mergeCell ref="A4:A5"/>
    <mergeCell ref="B4:C5"/>
    <mergeCell ref="D4:D5"/>
    <mergeCell ref="E4:E5"/>
    <mergeCell ref="B6:C6"/>
    <mergeCell ref="C10:E10"/>
    <mergeCell ref="C11:E11"/>
    <mergeCell ref="B12:B13"/>
    <mergeCell ref="C12:D13"/>
    <mergeCell ref="E12:E13"/>
  </mergeCells>
  <hyperlinks>
    <hyperlink ref="A1" location="'Modelo de Dominio'!A1" display="&lt;&lt; Ir al modelo de dominio" xr:uid="{00000000-0004-0000-0300-000000000000}"/>
    <hyperlink ref="B1" location="'Objetos de Dominio'!A1" display="&lt;&lt; Ir al listado de objetos de dominio" xr:uid="{00000000-0004-0000-0300-000001000000}"/>
    <hyperlink ref="C1" location="'C-DiaSemana'!A1" display="&lt;&lt; Ir a la caracterización del objeto de dominio" xr:uid="{00000000-0004-0000-0300-000002000000}"/>
    <hyperlink ref="D1" location="'M-DiaSemana'!A1" display="Ir al muestreo de datos del objeto de dominio &gt;&gt;" xr:uid="{00000000-0004-0000-0300-000003000000}"/>
    <hyperlink ref="E1" location="'E-DiaSemana'!A1" display="Ir al event storming del objeto de dominio &gt;&gt;" xr:uid="{00000000-0004-0000-0300-000004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
  <sheetViews>
    <sheetView showGridLines="0" zoomScaleNormal="100" workbookViewId="0">
      <selection sqref="A1:B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4" t="s">
        <v>81</v>
      </c>
      <c r="B2" s="196" t="str">
        <f>'Objetos de Dominio'!A3</f>
        <v>DiaSemana</v>
      </c>
      <c r="C2" s="196"/>
      <c r="D2" s="196"/>
      <c r="E2" s="196"/>
      <c r="F2" s="196"/>
      <c r="G2" s="196"/>
      <c r="H2" s="196"/>
      <c r="I2" s="196"/>
      <c r="J2" s="196"/>
      <c r="K2" s="196"/>
    </row>
    <row r="3" spans="1:11" ht="30" customHeight="1" x14ac:dyDescent="0.25">
      <c r="A3" s="35" t="s">
        <v>82</v>
      </c>
      <c r="B3" s="186" t="str">
        <f>'Objetos de Dominio'!B3</f>
        <v>Representa cada uno de los días de la semana, incluyendo festivo, que se usa como catálogo para definir los horarios de la barbería y de cada barbero.</v>
      </c>
      <c r="C3" s="186"/>
      <c r="D3" s="186"/>
      <c r="E3" s="186"/>
      <c r="F3" s="186"/>
      <c r="G3" s="186"/>
      <c r="H3" s="186"/>
      <c r="I3" s="186"/>
      <c r="J3" s="186"/>
      <c r="K3" s="186"/>
    </row>
    <row r="4" spans="1:11" ht="34.5" customHeight="1" x14ac:dyDescent="0.25">
      <c r="A4" s="39" t="s">
        <v>88</v>
      </c>
      <c r="B4" s="187" t="s">
        <v>89</v>
      </c>
      <c r="C4" s="187"/>
      <c r="D4" s="40" t="s">
        <v>90</v>
      </c>
      <c r="E4" s="188" t="s">
        <v>91</v>
      </c>
      <c r="F4" s="188"/>
      <c r="G4" s="189" t="s">
        <v>92</v>
      </c>
      <c r="H4" s="189"/>
      <c r="I4" s="42" t="s">
        <v>93</v>
      </c>
      <c r="J4" s="43" t="s">
        <v>94</v>
      </c>
      <c r="K4" s="44" t="s">
        <v>95</v>
      </c>
    </row>
    <row r="5" spans="1:11" ht="15" customHeight="1" x14ac:dyDescent="0.25">
      <c r="A5" s="190" t="s">
        <v>88</v>
      </c>
      <c r="B5" s="187" t="s">
        <v>96</v>
      </c>
      <c r="C5" s="187" t="s">
        <v>59</v>
      </c>
      <c r="D5" s="191" t="s">
        <v>97</v>
      </c>
      <c r="E5" s="188" t="s">
        <v>98</v>
      </c>
      <c r="F5" s="188"/>
      <c r="G5" s="189" t="s">
        <v>99</v>
      </c>
      <c r="H5" s="189"/>
      <c r="I5" s="192" t="s">
        <v>100</v>
      </c>
      <c r="J5" s="193" t="s">
        <v>101</v>
      </c>
      <c r="K5" s="194" t="s">
        <v>102</v>
      </c>
    </row>
    <row r="6" spans="1:11" ht="15" customHeight="1" x14ac:dyDescent="0.25">
      <c r="A6" s="190"/>
      <c r="B6" s="190"/>
      <c r="C6" s="190"/>
      <c r="D6" s="190"/>
      <c r="E6" s="41" t="s">
        <v>103</v>
      </c>
      <c r="F6" s="41" t="s">
        <v>59</v>
      </c>
      <c r="G6" s="45" t="s">
        <v>104</v>
      </c>
      <c r="H6" s="45" t="s">
        <v>59</v>
      </c>
      <c r="I6" s="192"/>
      <c r="J6" s="192"/>
      <c r="K6" s="192"/>
    </row>
    <row r="7" spans="1:11" ht="30" customHeight="1" x14ac:dyDescent="0.25">
      <c r="A7" s="2" t="s">
        <v>105</v>
      </c>
      <c r="B7" s="46" t="s">
        <v>72</v>
      </c>
      <c r="C7" s="46" t="s">
        <v>73</v>
      </c>
      <c r="D7" s="2" t="str">
        <f>$B$2</f>
        <v>DiaSemana</v>
      </c>
      <c r="E7" s="46"/>
      <c r="F7" s="46"/>
      <c r="G7" s="2"/>
      <c r="H7" s="47"/>
      <c r="I7" s="2"/>
      <c r="J7" s="46" t="s">
        <v>106</v>
      </c>
      <c r="K7" s="46"/>
    </row>
    <row r="8" spans="1:11" ht="30" customHeight="1" x14ac:dyDescent="0.25">
      <c r="A8" s="2" t="s">
        <v>18</v>
      </c>
      <c r="B8" s="46" t="s">
        <v>72</v>
      </c>
      <c r="C8" s="46" t="s">
        <v>73</v>
      </c>
      <c r="D8" s="2" t="str">
        <f>$B$2</f>
        <v>DiaSemana</v>
      </c>
      <c r="E8" s="46"/>
      <c r="F8" s="46"/>
      <c r="G8" s="2"/>
      <c r="H8" s="47"/>
      <c r="I8" s="2"/>
      <c r="J8" s="46" t="s">
        <v>106</v>
      </c>
      <c r="K8" s="46"/>
    </row>
    <row r="13" spans="1:11" ht="14.25" customHeight="1" x14ac:dyDescent="0.25">
      <c r="I13" s="38"/>
    </row>
    <row r="14" spans="1:11" ht="14.25" customHeight="1" x14ac:dyDescent="0.25">
      <c r="I14" s="207"/>
    </row>
    <row r="15" spans="1:11" ht="14.25" customHeight="1" x14ac:dyDescent="0.25">
      <c r="I15" s="207"/>
    </row>
  </sheetData>
  <mergeCells count="19">
    <mergeCell ref="A1:B1"/>
    <mergeCell ref="C1:E1"/>
    <mergeCell ref="F1:I1"/>
    <mergeCell ref="J1:K1"/>
    <mergeCell ref="B2:K2"/>
    <mergeCell ref="A5:A6"/>
    <mergeCell ref="B5:B6"/>
    <mergeCell ref="C5:C6"/>
    <mergeCell ref="D5:D6"/>
    <mergeCell ref="E5:F5"/>
    <mergeCell ref="I14:I15"/>
    <mergeCell ref="B3:K3"/>
    <mergeCell ref="B4:C4"/>
    <mergeCell ref="E4:F4"/>
    <mergeCell ref="G4:H4"/>
    <mergeCell ref="G5:H5"/>
    <mergeCell ref="I5:I6"/>
    <mergeCell ref="J5:J6"/>
    <mergeCell ref="K5:K6"/>
  </mergeCells>
  <hyperlinks>
    <hyperlink ref="A1" location="'Modelo de Dominio'!A1" display="&lt;&lt; Ir al modelo de dominio" xr:uid="{00000000-0004-0000-0400-000000000000}"/>
    <hyperlink ref="C1" location="'Objetos de Dominio'!A1" display="&lt;&lt; Ir al listado de objetos de dominio" xr:uid="{00000000-0004-0000-0400-000001000000}"/>
    <hyperlink ref="F1" location="'C-DiaSemana'!A1" display="&lt;&lt; Ir a la caracterización del objeto de dominio" xr:uid="{00000000-0004-0000-0400-000002000000}"/>
    <hyperlink ref="J1" location="'M-DiaSemana'!A1" display="Ir al muestreo de datos del objeto de dominio &gt;&gt;" xr:uid="{00000000-0004-0000-0400-000003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zoomScaleNormal="100" workbookViewId="0">
      <selection activeCell="A2" sqref="A2"/>
    </sheetView>
  </sheetViews>
  <sheetFormatPr baseColWidth="10" defaultColWidth="8.7109375" defaultRowHeight="15" x14ac:dyDescent="0.25"/>
  <cols>
    <col min="1" max="1" width="27" customWidth="1"/>
    <col min="2" max="2" width="26.140625" customWidth="1"/>
    <col min="3" max="3" width="21.7109375" customWidth="1"/>
  </cols>
  <sheetData>
    <row r="1" spans="1:3" ht="14.25" customHeight="1" x14ac:dyDescent="0.25">
      <c r="A1" s="6" t="s">
        <v>1</v>
      </c>
      <c r="B1" s="6" t="s">
        <v>28</v>
      </c>
    </row>
    <row r="2" spans="1:3" ht="32.25" customHeight="1" x14ac:dyDescent="0.25">
      <c r="A2" s="48" t="s">
        <v>107</v>
      </c>
      <c r="B2" s="48" t="s">
        <v>108</v>
      </c>
      <c r="C2" s="49" t="s">
        <v>109</v>
      </c>
    </row>
    <row r="3" spans="1:3" ht="14.25" customHeight="1" x14ac:dyDescent="0.25">
      <c r="A3" s="50" t="s">
        <v>110</v>
      </c>
      <c r="B3" s="51" t="s">
        <v>61</v>
      </c>
      <c r="C3" s="52" t="s">
        <v>111</v>
      </c>
    </row>
    <row r="4" spans="1:3" ht="14.25" customHeight="1" x14ac:dyDescent="0.25">
      <c r="A4" s="53">
        <v>1</v>
      </c>
      <c r="B4" s="54" t="s">
        <v>112</v>
      </c>
      <c r="C4" s="54" t="str">
        <f t="shared" ref="C4:C11" si="0">B4</f>
        <v>Lunes</v>
      </c>
    </row>
    <row r="5" spans="1:3" ht="14.25" customHeight="1" x14ac:dyDescent="0.25">
      <c r="A5" s="53">
        <v>2</v>
      </c>
      <c r="B5" s="53" t="s">
        <v>113</v>
      </c>
      <c r="C5" s="54" t="str">
        <f t="shared" si="0"/>
        <v>Martes</v>
      </c>
    </row>
    <row r="6" spans="1:3" ht="14.25" customHeight="1" x14ac:dyDescent="0.25">
      <c r="A6" s="53">
        <v>3</v>
      </c>
      <c r="B6" s="54" t="s">
        <v>114</v>
      </c>
      <c r="C6" s="54" t="str">
        <f t="shared" si="0"/>
        <v>Miércoles</v>
      </c>
    </row>
    <row r="7" spans="1:3" ht="14.25" customHeight="1" x14ac:dyDescent="0.25">
      <c r="A7" s="53">
        <v>4</v>
      </c>
      <c r="B7" s="53" t="s">
        <v>115</v>
      </c>
      <c r="C7" s="54" t="str">
        <f t="shared" si="0"/>
        <v>Jueves</v>
      </c>
    </row>
    <row r="8" spans="1:3" ht="14.25" customHeight="1" x14ac:dyDescent="0.25">
      <c r="A8" s="53">
        <v>5</v>
      </c>
      <c r="B8" s="54" t="s">
        <v>116</v>
      </c>
      <c r="C8" s="54" t="str">
        <f t="shared" si="0"/>
        <v>Viernes</v>
      </c>
    </row>
    <row r="9" spans="1:3" ht="14.25" customHeight="1" x14ac:dyDescent="0.25">
      <c r="A9" s="53">
        <v>6</v>
      </c>
      <c r="B9" s="53" t="s">
        <v>117</v>
      </c>
      <c r="C9" s="54" t="str">
        <f t="shared" si="0"/>
        <v>Sábado</v>
      </c>
    </row>
    <row r="10" spans="1:3" ht="14.25" customHeight="1" x14ac:dyDescent="0.25">
      <c r="A10" s="53">
        <v>7</v>
      </c>
      <c r="B10" s="54" t="s">
        <v>118</v>
      </c>
      <c r="C10" s="54" t="str">
        <f t="shared" si="0"/>
        <v>Domingo</v>
      </c>
    </row>
    <row r="11" spans="1:3" ht="14.25" customHeight="1" x14ac:dyDescent="0.25">
      <c r="A11" s="53">
        <v>8</v>
      </c>
      <c r="B11" s="53" t="s">
        <v>119</v>
      </c>
      <c r="C11" s="54" t="str">
        <f t="shared" si="0"/>
        <v>Festivo</v>
      </c>
    </row>
    <row r="12" spans="1:3" ht="14.25" customHeight="1" x14ac:dyDescent="0.25">
      <c r="A12" s="55"/>
      <c r="B12" s="55"/>
    </row>
    <row r="13" spans="1:3" ht="14.25" customHeight="1" x14ac:dyDescent="0.25">
      <c r="A13" s="55"/>
      <c r="B13" s="55"/>
    </row>
    <row r="14" spans="1:3" ht="14.25" customHeight="1" x14ac:dyDescent="0.25">
      <c r="A14" s="55"/>
      <c r="B14" s="55"/>
    </row>
    <row r="15" spans="1:3" ht="14.25" customHeight="1" x14ac:dyDescent="0.25">
      <c r="A15" s="55"/>
      <c r="B15" s="55"/>
    </row>
    <row r="17" spans="1:2" ht="28.5" customHeight="1" x14ac:dyDescent="0.25">
      <c r="A17" s="56"/>
      <c r="B17" s="57" t="s">
        <v>120</v>
      </c>
    </row>
    <row r="18" spans="1:2" ht="28.5" customHeight="1" x14ac:dyDescent="0.25">
      <c r="A18" s="58"/>
      <c r="B18" s="57" t="s">
        <v>121</v>
      </c>
    </row>
    <row r="19" spans="1:2" ht="28.5" customHeight="1" x14ac:dyDescent="0.25">
      <c r="A19" s="59"/>
      <c r="B19" s="57" t="s">
        <v>122</v>
      </c>
    </row>
    <row r="20" spans="1:2" ht="28.5" customHeight="1" x14ac:dyDescent="0.25">
      <c r="A20" s="60"/>
      <c r="B20" s="57" t="s">
        <v>123</v>
      </c>
    </row>
  </sheetData>
  <hyperlinks>
    <hyperlink ref="A1" location="'Modelo de Dominio'!A1" display="&lt;&lt;&lt;&lt; Ir al modulo de dominio" xr:uid="{00000000-0004-0000-0500-000000000000}"/>
    <hyperlink ref="B1" location="'Objetos de Dominio'!A1" display="&lt;&lt;&lt;&lt; Ir a objetos de dominio" xr:uid="{00000000-0004-0000-0500-000001000000}"/>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5"/>
  <sheetViews>
    <sheetView tabSelected="1" topLeftCell="P1" zoomScaleNormal="100" workbookViewId="0">
      <selection activeCell="Y9" sqref="Y9"/>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 min="22" max="22" width="24.28515625" bestFit="1" customWidth="1"/>
    <col min="23" max="23" width="12.85546875" bestFit="1" customWidth="1"/>
    <col min="24" max="24" width="14.5703125" bestFit="1" customWidth="1"/>
    <col min="25" max="25" width="19.5703125" bestFit="1" customWidth="1"/>
  </cols>
  <sheetData>
    <row r="1" spans="1:25" ht="15" customHeight="1" x14ac:dyDescent="0.25">
      <c r="A1" s="6" t="s">
        <v>1</v>
      </c>
      <c r="B1" s="6" t="s">
        <v>28</v>
      </c>
    </row>
    <row r="2" spans="1:25" ht="15" customHeight="1" x14ac:dyDescent="0.25">
      <c r="A2" s="16" t="s">
        <v>29</v>
      </c>
      <c r="B2" s="17" t="s">
        <v>30</v>
      </c>
      <c r="C2" s="16" t="s">
        <v>31</v>
      </c>
      <c r="D2" s="16" t="s">
        <v>32</v>
      </c>
      <c r="E2" s="16" t="s">
        <v>33</v>
      </c>
      <c r="F2" s="16" t="s">
        <v>34</v>
      </c>
      <c r="G2" s="16" t="s">
        <v>35</v>
      </c>
      <c r="H2" s="16" t="s">
        <v>36</v>
      </c>
      <c r="I2" s="16" t="s">
        <v>37</v>
      </c>
      <c r="J2" s="16" t="s">
        <v>38</v>
      </c>
      <c r="K2" s="16" t="s">
        <v>39</v>
      </c>
      <c r="L2" s="16" t="s">
        <v>40</v>
      </c>
      <c r="M2" s="17" t="s">
        <v>41</v>
      </c>
      <c r="N2" s="16" t="s">
        <v>42</v>
      </c>
      <c r="O2" s="16" t="s">
        <v>43</v>
      </c>
      <c r="P2" s="16" t="s">
        <v>44</v>
      </c>
      <c r="Q2" s="16" t="s">
        <v>45</v>
      </c>
      <c r="R2" s="16" t="s">
        <v>46</v>
      </c>
      <c r="S2" s="16" t="s">
        <v>47</v>
      </c>
      <c r="T2" s="16" t="s">
        <v>48</v>
      </c>
      <c r="U2" s="16" t="s">
        <v>49</v>
      </c>
      <c r="V2" s="28" t="str">
        <f>A12</f>
        <v>consultarTodosLosEstados</v>
      </c>
      <c r="W2" s="354" t="str">
        <f>A13</f>
        <v>editarDescripcion</v>
      </c>
      <c r="X2" s="355"/>
      <c r="Y2" s="173" t="str">
        <f>A15</f>
        <v>consultarDescripcion</v>
      </c>
    </row>
    <row r="3" spans="1:25" ht="45" customHeight="1" x14ac:dyDescent="0.25">
      <c r="A3" s="18" t="str">
        <f>'M-Estado'!A3</f>
        <v>id</v>
      </c>
      <c r="B3" s="19" t="str">
        <f>'M-Estado'!A2</f>
        <v>Representa un identificador que hará unico cada objeto de dominio de este tipo, no se puede repetir</v>
      </c>
      <c r="C3" s="18" t="s">
        <v>50</v>
      </c>
      <c r="D3" s="18" t="s">
        <v>51</v>
      </c>
      <c r="E3" s="18" t="s">
        <v>50</v>
      </c>
      <c r="F3" s="18" t="s">
        <v>52</v>
      </c>
      <c r="G3" s="18" t="s">
        <v>52</v>
      </c>
      <c r="H3" s="18" t="s">
        <v>52</v>
      </c>
      <c r="I3" s="18" t="s">
        <v>52</v>
      </c>
      <c r="J3" s="18" t="s">
        <v>52</v>
      </c>
      <c r="K3" s="18" t="s">
        <v>52</v>
      </c>
      <c r="L3" s="18" t="s">
        <v>52</v>
      </c>
      <c r="M3" s="18" t="s">
        <v>52</v>
      </c>
      <c r="N3" s="18" t="s">
        <v>53</v>
      </c>
      <c r="O3" s="18" t="s">
        <v>52</v>
      </c>
      <c r="P3" s="18" t="s">
        <v>52</v>
      </c>
      <c r="Q3" s="18" t="s">
        <v>52</v>
      </c>
      <c r="R3" s="18" t="s">
        <v>52</v>
      </c>
      <c r="S3" s="18" t="s">
        <v>52</v>
      </c>
      <c r="T3" s="18" t="s">
        <v>54</v>
      </c>
      <c r="U3" s="18" t="s">
        <v>50</v>
      </c>
      <c r="V3" s="28" t="s">
        <v>925</v>
      </c>
      <c r="W3" s="168" t="s">
        <v>939</v>
      </c>
      <c r="X3" s="168" t="s">
        <v>940</v>
      </c>
      <c r="Y3" s="173" t="s">
        <v>925</v>
      </c>
    </row>
    <row r="4" spans="1:25" ht="45" customHeight="1" x14ac:dyDescent="0.25">
      <c r="A4" s="18" t="str">
        <f>'M-Estado'!B3</f>
        <v>nombre</v>
      </c>
      <c r="B4" s="19" t="str">
        <f>'M-Estado'!B2</f>
        <v>Representa como se llama el estado en el que se encuentra una cita puntual</v>
      </c>
      <c r="C4" s="18" t="s">
        <v>53</v>
      </c>
      <c r="D4" s="18" t="s">
        <v>55</v>
      </c>
      <c r="E4" s="18" t="s">
        <v>50</v>
      </c>
      <c r="F4" s="18">
        <v>4</v>
      </c>
      <c r="G4" s="18">
        <v>50</v>
      </c>
      <c r="H4" s="18" t="s">
        <v>52</v>
      </c>
      <c r="I4" s="18" t="s">
        <v>52</v>
      </c>
      <c r="J4" s="18" t="s">
        <v>52</v>
      </c>
      <c r="K4" s="18" t="s">
        <v>52</v>
      </c>
      <c r="L4" s="18" t="s">
        <v>52</v>
      </c>
      <c r="M4" s="19" t="s">
        <v>124</v>
      </c>
      <c r="N4" s="18" t="s">
        <v>53</v>
      </c>
      <c r="O4" s="18" t="s">
        <v>52</v>
      </c>
      <c r="P4" s="18" t="s">
        <v>52</v>
      </c>
      <c r="Q4" s="18" t="s">
        <v>50</v>
      </c>
      <c r="R4" s="18" t="s">
        <v>50</v>
      </c>
      <c r="S4" s="18" t="s">
        <v>53</v>
      </c>
      <c r="T4" s="18" t="s">
        <v>57</v>
      </c>
      <c r="U4" s="18" t="s">
        <v>53</v>
      </c>
      <c r="V4" s="28" t="s">
        <v>926</v>
      </c>
      <c r="W4" s="168" t="s">
        <v>941</v>
      </c>
      <c r="X4" s="168" t="s">
        <v>940</v>
      </c>
      <c r="Y4" s="173" t="s">
        <v>925</v>
      </c>
    </row>
    <row r="5" spans="1:25" ht="60" customHeight="1" x14ac:dyDescent="0.25">
      <c r="A5" s="18" t="str">
        <f>'M-Estado'!C3</f>
        <v>descripcion</v>
      </c>
      <c r="B5" s="19" t="str">
        <f>'M-Estado'!C2</f>
        <v>Representa el significado de que representa cada estado para la cita</v>
      </c>
      <c r="C5" s="18" t="s">
        <v>53</v>
      </c>
      <c r="D5" s="18" t="s">
        <v>55</v>
      </c>
      <c r="E5" s="18" t="s">
        <v>50</v>
      </c>
      <c r="F5" s="18">
        <v>10</v>
      </c>
      <c r="G5" s="18">
        <v>300</v>
      </c>
      <c r="H5" s="18" t="s">
        <v>52</v>
      </c>
      <c r="I5" s="18" t="s">
        <v>52</v>
      </c>
      <c r="J5" s="18" t="s">
        <v>52</v>
      </c>
      <c r="K5" s="18" t="s">
        <v>52</v>
      </c>
      <c r="L5" s="18" t="s">
        <v>52</v>
      </c>
      <c r="M5" s="19" t="s">
        <v>125</v>
      </c>
      <c r="N5" s="18" t="s">
        <v>53</v>
      </c>
      <c r="O5" s="18" t="s">
        <v>52</v>
      </c>
      <c r="P5" s="18" t="s">
        <v>52</v>
      </c>
      <c r="Q5" s="18" t="s">
        <v>50</v>
      </c>
      <c r="R5" s="18" t="s">
        <v>50</v>
      </c>
      <c r="S5" s="18" t="s">
        <v>53</v>
      </c>
      <c r="T5" s="18" t="s">
        <v>57</v>
      </c>
      <c r="U5" s="18" t="s">
        <v>53</v>
      </c>
      <c r="V5" s="28" t="s">
        <v>925</v>
      </c>
      <c r="W5" s="168" t="s">
        <v>939</v>
      </c>
      <c r="X5" s="168" t="s">
        <v>942</v>
      </c>
      <c r="Y5" s="173" t="s">
        <v>926</v>
      </c>
    </row>
    <row r="7" spans="1:25" ht="15" customHeight="1" x14ac:dyDescent="0.25">
      <c r="A7" s="20" t="s">
        <v>58</v>
      </c>
      <c r="B7" s="20" t="s">
        <v>59</v>
      </c>
      <c r="C7" s="20" t="s">
        <v>60</v>
      </c>
    </row>
    <row r="8" spans="1:25" ht="45" customHeight="1" x14ac:dyDescent="0.25">
      <c r="A8" s="21" t="str">
        <f>'M-Estado'!D3</f>
        <v xml:space="preserve">Combinación única </v>
      </c>
      <c r="B8" s="22" t="str">
        <f>'M-Estado'!D2</f>
        <v>Combinacion única que indica que no puede existir más un dia de la semana con el mismo nombre</v>
      </c>
      <c r="C8" s="23" t="s">
        <v>61</v>
      </c>
    </row>
    <row r="10" spans="1:25" x14ac:dyDescent="0.25">
      <c r="A10" s="203" t="s">
        <v>62</v>
      </c>
      <c r="B10" s="203"/>
      <c r="C10" s="197" t="s">
        <v>59</v>
      </c>
      <c r="D10" s="197"/>
      <c r="E10" s="197"/>
      <c r="F10" s="197"/>
      <c r="G10" s="197" t="s">
        <v>63</v>
      </c>
      <c r="H10" s="197"/>
      <c r="I10" s="197"/>
      <c r="J10" s="197" t="s">
        <v>64</v>
      </c>
      <c r="K10" s="197"/>
      <c r="L10" s="197"/>
      <c r="M10" s="197"/>
      <c r="N10" s="197"/>
      <c r="O10" s="197" t="s">
        <v>65</v>
      </c>
      <c r="P10" s="197"/>
      <c r="Q10" s="197" t="s">
        <v>66</v>
      </c>
      <c r="R10" s="197"/>
    </row>
    <row r="11" spans="1:25" x14ac:dyDescent="0.25">
      <c r="A11" s="203"/>
      <c r="B11" s="203"/>
      <c r="C11" s="197"/>
      <c r="D11" s="197"/>
      <c r="E11" s="197"/>
      <c r="F11" s="197"/>
      <c r="G11" s="24" t="s">
        <v>67</v>
      </c>
      <c r="H11" s="24" t="s">
        <v>32</v>
      </c>
      <c r="I11" s="24" t="s">
        <v>59</v>
      </c>
      <c r="J11" s="24" t="s">
        <v>68</v>
      </c>
      <c r="K11" s="200" t="s">
        <v>59</v>
      </c>
      <c r="L11" s="201"/>
      <c r="M11" s="201"/>
      <c r="N11" s="202"/>
      <c r="O11" s="24" t="s">
        <v>69</v>
      </c>
      <c r="P11" s="24" t="s">
        <v>59</v>
      </c>
      <c r="Q11" s="24" t="s">
        <v>70</v>
      </c>
      <c r="R11" s="24" t="s">
        <v>71</v>
      </c>
    </row>
    <row r="12" spans="1:25" ht="42" customHeight="1" x14ac:dyDescent="0.25">
      <c r="A12" s="267" t="s">
        <v>933</v>
      </c>
      <c r="B12" s="267"/>
      <c r="C12" s="199" t="s">
        <v>126</v>
      </c>
      <c r="D12" s="199"/>
      <c r="E12" s="199"/>
      <c r="F12" s="199"/>
      <c r="G12" s="28"/>
      <c r="H12" s="28"/>
      <c r="I12" s="29"/>
      <c r="J12" s="351" t="s">
        <v>127</v>
      </c>
      <c r="K12" s="199" t="s">
        <v>128</v>
      </c>
      <c r="L12" s="199"/>
      <c r="M12" s="199"/>
      <c r="N12" s="199"/>
      <c r="O12" s="28"/>
      <c r="P12" s="3"/>
      <c r="Q12" s="3"/>
      <c r="R12" s="28"/>
    </row>
    <row r="13" spans="1:25" ht="55.15" customHeight="1" x14ac:dyDescent="0.25">
      <c r="A13" s="348" t="s">
        <v>928</v>
      </c>
      <c r="B13" s="348"/>
      <c r="C13" s="233" t="s">
        <v>130</v>
      </c>
      <c r="D13" s="233"/>
      <c r="E13" s="233"/>
      <c r="F13" s="233"/>
      <c r="G13" s="168" t="s">
        <v>110</v>
      </c>
      <c r="H13" s="168" t="s">
        <v>131</v>
      </c>
      <c r="I13" s="169" t="s">
        <v>132</v>
      </c>
      <c r="J13" s="352"/>
      <c r="K13" s="233" t="s">
        <v>938</v>
      </c>
      <c r="L13" s="233"/>
      <c r="M13" s="233"/>
      <c r="N13" s="233"/>
      <c r="O13" s="168" t="str">
        <f>'P-Estado'!A7</f>
        <v>P-EST-0002</v>
      </c>
      <c r="P13" s="170" t="str">
        <f>'P-Estado'!B7</f>
        <v>Asegurar que exista el estado con el id enviado</v>
      </c>
      <c r="Q13" s="349" t="s">
        <v>932</v>
      </c>
      <c r="R13" s="350" t="s">
        <v>931</v>
      </c>
    </row>
    <row r="14" spans="1:25" ht="60" x14ac:dyDescent="0.25">
      <c r="A14" s="348"/>
      <c r="B14" s="348"/>
      <c r="C14" s="233"/>
      <c r="D14" s="233"/>
      <c r="E14" s="233"/>
      <c r="F14" s="233"/>
      <c r="G14" s="168" t="s">
        <v>135</v>
      </c>
      <c r="H14" s="168" t="s">
        <v>14</v>
      </c>
      <c r="I14" s="169" t="s">
        <v>136</v>
      </c>
      <c r="J14" s="352"/>
      <c r="K14" s="233"/>
      <c r="L14" s="233"/>
      <c r="M14" s="233"/>
      <c r="N14" s="233"/>
      <c r="O14" s="168" t="str">
        <f>'P-Estado'!A6</f>
        <v>P-EST-0001</v>
      </c>
      <c r="P14" s="170" t="str">
        <f>'P-Estado'!B6</f>
        <v>Asegurar que los datos requeridos (descripción) sean válidos en tipo de dato, longitud, formato y rango</v>
      </c>
      <c r="Q14" s="170" t="s">
        <v>133</v>
      </c>
      <c r="R14" s="168" t="s">
        <v>134</v>
      </c>
    </row>
    <row r="15" spans="1:25" ht="45" x14ac:dyDescent="0.25">
      <c r="A15" s="271" t="s">
        <v>934</v>
      </c>
      <c r="B15" s="271"/>
      <c r="C15" s="214" t="s">
        <v>138</v>
      </c>
      <c r="D15" s="214"/>
      <c r="E15" s="214"/>
      <c r="F15" s="214"/>
      <c r="G15" s="173" t="s">
        <v>936</v>
      </c>
      <c r="H15" s="173" t="s">
        <v>14</v>
      </c>
      <c r="I15" s="174" t="s">
        <v>937</v>
      </c>
      <c r="J15" s="353" t="s">
        <v>935</v>
      </c>
      <c r="K15" s="214" t="s">
        <v>139</v>
      </c>
      <c r="L15" s="214"/>
      <c r="M15" s="214"/>
      <c r="N15" s="214"/>
      <c r="O15" s="173" t="str">
        <f>'P-Estado'!A7</f>
        <v>P-EST-0002</v>
      </c>
      <c r="P15" s="172" t="str">
        <f>'P-Estado'!B7</f>
        <v>Asegurar que exista el estado con el id enviado</v>
      </c>
      <c r="Q15" s="172" t="s">
        <v>932</v>
      </c>
      <c r="R15" s="173" t="s">
        <v>931</v>
      </c>
    </row>
  </sheetData>
  <mergeCells count="18">
    <mergeCell ref="W2:X2"/>
    <mergeCell ref="Q10:R10"/>
    <mergeCell ref="A12:B12"/>
    <mergeCell ref="C12:F12"/>
    <mergeCell ref="K12:N12"/>
    <mergeCell ref="K11:N11"/>
    <mergeCell ref="A10:B11"/>
    <mergeCell ref="C10:F11"/>
    <mergeCell ref="G10:I10"/>
    <mergeCell ref="J10:N10"/>
    <mergeCell ref="O10:P10"/>
    <mergeCell ref="A15:B15"/>
    <mergeCell ref="C15:F15"/>
    <mergeCell ref="K15:N15"/>
    <mergeCell ref="A13:B14"/>
    <mergeCell ref="C13:F14"/>
    <mergeCell ref="J13:J14"/>
    <mergeCell ref="K13:N14"/>
  </mergeCells>
  <hyperlinks>
    <hyperlink ref="A1" location="'Modelo de Dominio'!A1" display="&lt;&lt;&lt;&lt; Ir al modulo de dominio" xr:uid="{00000000-0004-0000-0600-000000000000}"/>
    <hyperlink ref="B1" location="'Objetos de Dominio'!A1" display="&lt;&lt;&lt;&lt; Ir a objetos de dominio" xr:uid="{00000000-0004-0000-0600-000001000000}"/>
    <hyperlink ref="A3" location="'M-Estado'!A3" display="#'M-Estado'.A3" xr:uid="{00000000-0004-0000-0600-000002000000}"/>
    <hyperlink ref="B3" location="'M-Estado'!A2" display="#'M-Estado'.A2" xr:uid="{00000000-0004-0000-0600-000003000000}"/>
    <hyperlink ref="A4" location="'M-Estado'!A3" display="#'M-Estado'.A3" xr:uid="{00000000-0004-0000-0600-000004000000}"/>
    <hyperlink ref="B4" location="'M-Estado'!A2" display="#'M-Estado'.A2" xr:uid="{00000000-0004-0000-0600-000005000000}"/>
    <hyperlink ref="A5" location="'M-Estado'!A3" display="#'M-Estado'.A3" xr:uid="{00000000-0004-0000-0600-000006000000}"/>
    <hyperlink ref="B5" location="'M-Estado'!A2" display="#'M-Estado'.A2" xr:uid="{00000000-0004-0000-0600-000007000000}"/>
    <hyperlink ref="A8" location="'M-Estado'!A3" display="#'M-Estado'.A3" xr:uid="{00000000-0004-0000-0600-000008000000}"/>
    <hyperlink ref="B8" location="'M-Estado'!A2" display="#'M-Estado'.A2" xr:uid="{00000000-0004-0000-0600-000009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showGridLines="0" zoomScaleNormal="100" workbookViewId="0">
      <selection activeCell="B8" sqref="B8"/>
    </sheetView>
  </sheetViews>
  <sheetFormatPr baseColWidth="10" defaultColWidth="8.7109375" defaultRowHeight="15" x14ac:dyDescent="0.25"/>
  <cols>
    <col min="1" max="1" width="20.7109375" bestFit="1" customWidth="1"/>
    <col min="2" max="2" width="29.140625" customWidth="1"/>
    <col min="3" max="3" width="36.28515625" customWidth="1"/>
    <col min="4" max="4" width="37.140625" bestFit="1" customWidth="1"/>
    <col min="5" max="5" width="36.7109375" bestFit="1"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Dominio'!A4</f>
        <v>Estado</v>
      </c>
      <c r="C2" s="209"/>
      <c r="D2" s="209"/>
      <c r="E2" s="209"/>
    </row>
    <row r="3" spans="1:5" ht="30" customHeight="1" x14ac:dyDescent="0.25">
      <c r="A3" s="35" t="s">
        <v>82</v>
      </c>
      <c r="B3" s="210" t="str">
        <f>'Objetos de Dominio'!B4</f>
        <v>Representa en qué situación puntual se encuentra una cita: agendada, finalizada, cancelada por alguna de las partes, con tardanza del cliente o del barbero, o con inasistencia del cliente.</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30" customHeight="1" x14ac:dyDescent="0.25">
      <c r="A6" s="10" t="s">
        <v>140</v>
      </c>
      <c r="B6" s="204" t="s">
        <v>141</v>
      </c>
      <c r="C6" s="204"/>
      <c r="D6" s="36" t="s">
        <v>14</v>
      </c>
      <c r="E6" s="36"/>
    </row>
    <row r="7" spans="1:5" x14ac:dyDescent="0.25">
      <c r="A7" s="10" t="s">
        <v>929</v>
      </c>
      <c r="B7" s="204" t="s">
        <v>930</v>
      </c>
      <c r="C7" s="204"/>
      <c r="D7" s="36" t="s">
        <v>14</v>
      </c>
      <c r="E7" s="36"/>
    </row>
  </sheetData>
  <mergeCells count="8">
    <mergeCell ref="B7:C7"/>
    <mergeCell ref="B6:C6"/>
    <mergeCell ref="B2:E2"/>
    <mergeCell ref="B3:E3"/>
    <mergeCell ref="A4:A5"/>
    <mergeCell ref="B4:C5"/>
    <mergeCell ref="D4:D5"/>
    <mergeCell ref="E4:E5"/>
  </mergeCells>
  <hyperlinks>
    <hyperlink ref="A1" location="'Modelo de Dominio'!A1" display="&lt;&lt; Ir al modelo de dominio" xr:uid="{00000000-0004-0000-0700-000000000000}"/>
    <hyperlink ref="B1" location="'Objetos de Dominio'!A1" display="&lt;&lt; Ir al listado de objetos de dominio" xr:uid="{00000000-0004-0000-0700-000001000000}"/>
    <hyperlink ref="C1" location="'C-Estado'!A1" display="&lt;&lt; Ir a la caracterización del objeto de dominio" xr:uid="{00000000-0004-0000-0700-000002000000}"/>
    <hyperlink ref="D1" location="'M-Estado'!A1" display="Ir al muestreo de datos del objeto de dominio &gt;&gt;" xr:uid="{00000000-0004-0000-0700-000003000000}"/>
    <hyperlink ref="E1" location="'E-Estado'!A1" display="Ir al event storming del objeto de dominio &gt;&gt;" xr:uid="{00000000-0004-0000-0700-000004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3"/>
  <sheetViews>
    <sheetView showGridLines="0" zoomScaleNormal="100" workbookViewId="0">
      <selection activeCell="C16" sqref="C16"/>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30.1406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24" t="s">
        <v>81</v>
      </c>
      <c r="B2" s="325" t="str">
        <f>'Objetos de Dominio'!A4</f>
        <v>Estado</v>
      </c>
      <c r="C2" s="325"/>
      <c r="D2" s="325"/>
      <c r="E2" s="325"/>
      <c r="F2" s="325"/>
      <c r="G2" s="325"/>
      <c r="H2" s="325"/>
      <c r="I2" s="325"/>
      <c r="J2" s="325"/>
      <c r="K2" s="325"/>
    </row>
    <row r="3" spans="1:11" ht="30" customHeight="1" x14ac:dyDescent="0.25">
      <c r="A3" s="326" t="s">
        <v>82</v>
      </c>
      <c r="B3" s="327" t="str">
        <f>'Objetos de Dominio'!B4</f>
        <v>Representa en qué situación puntual se encuentra una cita: agendada, finalizada, cancelada por alguna de las partes, con tardanza del cliente o del barbero, o con inasistencia del cliente.</v>
      </c>
      <c r="C3" s="327"/>
      <c r="D3" s="327"/>
      <c r="E3" s="327"/>
      <c r="F3" s="327"/>
      <c r="G3" s="327"/>
      <c r="H3" s="327"/>
      <c r="I3" s="327"/>
      <c r="J3" s="327"/>
      <c r="K3" s="327"/>
    </row>
    <row r="4" spans="1:11" ht="34.5" customHeight="1" x14ac:dyDescent="0.25">
      <c r="A4" s="328" t="s">
        <v>88</v>
      </c>
      <c r="B4" s="329" t="s">
        <v>89</v>
      </c>
      <c r="C4" s="329"/>
      <c r="D4" s="330" t="s">
        <v>90</v>
      </c>
      <c r="E4" s="331" t="s">
        <v>91</v>
      </c>
      <c r="F4" s="331"/>
      <c r="G4" s="332" t="s">
        <v>92</v>
      </c>
      <c r="H4" s="332"/>
      <c r="I4" s="333" t="s">
        <v>93</v>
      </c>
      <c r="J4" s="334" t="s">
        <v>94</v>
      </c>
      <c r="K4" s="335" t="s">
        <v>95</v>
      </c>
    </row>
    <row r="5" spans="1:11" ht="15" customHeight="1" x14ac:dyDescent="0.25">
      <c r="A5" s="336" t="s">
        <v>88</v>
      </c>
      <c r="B5" s="329" t="s">
        <v>96</v>
      </c>
      <c r="C5" s="329" t="s">
        <v>59</v>
      </c>
      <c r="D5" s="337" t="s">
        <v>97</v>
      </c>
      <c r="E5" s="331" t="s">
        <v>98</v>
      </c>
      <c r="F5" s="331"/>
      <c r="G5" s="332" t="s">
        <v>99</v>
      </c>
      <c r="H5" s="332"/>
      <c r="I5" s="338" t="s">
        <v>100</v>
      </c>
      <c r="J5" s="339" t="s">
        <v>101</v>
      </c>
      <c r="K5" s="340" t="s">
        <v>102</v>
      </c>
    </row>
    <row r="6" spans="1:11" ht="15" customHeight="1" x14ac:dyDescent="0.25">
      <c r="A6" s="336"/>
      <c r="B6" s="336"/>
      <c r="C6" s="336"/>
      <c r="D6" s="336"/>
      <c r="E6" s="341" t="s">
        <v>103</v>
      </c>
      <c r="F6" s="341" t="s">
        <v>59</v>
      </c>
      <c r="G6" s="342" t="s">
        <v>104</v>
      </c>
      <c r="H6" s="342" t="s">
        <v>59</v>
      </c>
      <c r="I6" s="338"/>
      <c r="J6" s="338"/>
      <c r="K6" s="338"/>
    </row>
    <row r="7" spans="1:11" ht="30" customHeight="1" x14ac:dyDescent="0.25">
      <c r="A7" s="343" t="s">
        <v>105</v>
      </c>
      <c r="B7" s="344" t="s">
        <v>927</v>
      </c>
      <c r="C7" s="344" t="s">
        <v>126</v>
      </c>
      <c r="D7" s="343" t="str">
        <f t="shared" ref="D7:D13" si="0">$B$2</f>
        <v>Estado</v>
      </c>
      <c r="E7" s="344"/>
      <c r="F7" s="344"/>
      <c r="G7" s="343"/>
      <c r="H7" s="345"/>
      <c r="I7" s="343"/>
      <c r="J7" s="344" t="s">
        <v>142</v>
      </c>
      <c r="K7" s="344"/>
    </row>
    <row r="8" spans="1:11" ht="30" customHeight="1" x14ac:dyDescent="0.25">
      <c r="A8" s="343" t="s">
        <v>18</v>
      </c>
      <c r="B8" s="344" t="s">
        <v>927</v>
      </c>
      <c r="C8" s="344" t="s">
        <v>126</v>
      </c>
      <c r="D8" s="343" t="str">
        <f t="shared" si="0"/>
        <v>Estado</v>
      </c>
      <c r="E8" s="344"/>
      <c r="F8" s="344"/>
      <c r="G8" s="343"/>
      <c r="H8" s="345"/>
      <c r="I8" s="343"/>
      <c r="J8" s="344" t="s">
        <v>142</v>
      </c>
      <c r="K8" s="344"/>
    </row>
    <row r="9" spans="1:11" ht="30" customHeight="1" x14ac:dyDescent="0.25">
      <c r="A9" s="343" t="s">
        <v>19</v>
      </c>
      <c r="B9" s="344" t="s">
        <v>927</v>
      </c>
      <c r="C9" s="344" t="s">
        <v>126</v>
      </c>
      <c r="D9" s="343" t="str">
        <f t="shared" si="0"/>
        <v>Estado</v>
      </c>
      <c r="E9" s="344"/>
      <c r="F9" s="344"/>
      <c r="G9" s="343"/>
      <c r="H9" s="345"/>
      <c r="I9" s="343"/>
      <c r="J9" s="344" t="s">
        <v>142</v>
      </c>
      <c r="K9" s="344"/>
    </row>
    <row r="10" spans="1:11" ht="42.75" customHeight="1" x14ac:dyDescent="0.25">
      <c r="A10" s="343" t="s">
        <v>105</v>
      </c>
      <c r="B10" s="344" t="s">
        <v>129</v>
      </c>
      <c r="C10" s="344" t="s">
        <v>130</v>
      </c>
      <c r="D10" s="343" t="str">
        <f t="shared" si="0"/>
        <v>Estado</v>
      </c>
      <c r="E10" s="344"/>
      <c r="F10" s="344"/>
      <c r="G10" s="346" t="str">
        <f>'P-Estado'!A6</f>
        <v>P-EST-0001</v>
      </c>
      <c r="H10" s="347" t="str">
        <f>'P-Estado'!B6</f>
        <v>Asegurar que los datos requeridos (descripción) sean válidos en tipo de dato, longitud, formato y rango</v>
      </c>
      <c r="I10" s="343"/>
      <c r="J10" s="344" t="s">
        <v>143</v>
      </c>
      <c r="K10" s="344"/>
    </row>
    <row r="11" spans="1:11" ht="27" customHeight="1" x14ac:dyDescent="0.25">
      <c r="A11" s="343" t="s">
        <v>105</v>
      </c>
      <c r="B11" s="344" t="s">
        <v>137</v>
      </c>
      <c r="C11" s="344" t="s">
        <v>138</v>
      </c>
      <c r="D11" s="343" t="str">
        <f t="shared" si="0"/>
        <v>Estado</v>
      </c>
      <c r="E11" s="344"/>
      <c r="F11" s="344"/>
      <c r="G11" s="343"/>
      <c r="H11" s="345"/>
      <c r="I11" s="343"/>
      <c r="J11" s="344" t="s">
        <v>144</v>
      </c>
      <c r="K11" s="344"/>
    </row>
    <row r="12" spans="1:11" ht="27" customHeight="1" x14ac:dyDescent="0.25">
      <c r="A12" s="343" t="s">
        <v>18</v>
      </c>
      <c r="B12" s="344" t="s">
        <v>137</v>
      </c>
      <c r="C12" s="344" t="s">
        <v>138</v>
      </c>
      <c r="D12" s="343" t="str">
        <f t="shared" si="0"/>
        <v>Estado</v>
      </c>
      <c r="E12" s="344"/>
      <c r="F12" s="344"/>
      <c r="G12" s="343"/>
      <c r="H12" s="345"/>
      <c r="I12" s="343"/>
      <c r="J12" s="344" t="s">
        <v>144</v>
      </c>
      <c r="K12" s="344"/>
    </row>
    <row r="13" spans="1:11" ht="27" customHeight="1" x14ac:dyDescent="0.25">
      <c r="A13" s="343" t="s">
        <v>19</v>
      </c>
      <c r="B13" s="344" t="s">
        <v>137</v>
      </c>
      <c r="C13" s="344" t="s">
        <v>138</v>
      </c>
      <c r="D13" s="343" t="str">
        <f t="shared" si="0"/>
        <v>Estado</v>
      </c>
      <c r="E13" s="344"/>
      <c r="F13" s="344"/>
      <c r="G13" s="343"/>
      <c r="H13" s="345"/>
      <c r="I13" s="343"/>
      <c r="J13" s="344" t="s">
        <v>144</v>
      </c>
      <c r="K13" s="344"/>
    </row>
  </sheetData>
  <mergeCells count="18">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s>
  <hyperlinks>
    <hyperlink ref="A1" location="'Modelo de Dominio'!A1" display="&lt;&lt; Ir al modelo de dominio" xr:uid="{00000000-0004-0000-0800-000000000000}"/>
    <hyperlink ref="C1" location="'Objetos de Dominio'!A1" display="&lt;&lt; Ir al listado de objetos de dominio" xr:uid="{00000000-0004-0000-0800-000001000000}"/>
    <hyperlink ref="F1" location="'C-Estado'!A1" display="&lt;&lt; Ir a la caracterización del objeto de dominio" xr:uid="{00000000-0004-0000-0800-000002000000}"/>
    <hyperlink ref="J1" location="'M-Estado'!A1" display="Ir al muestreo de datos del objeto de dominio &gt;&gt;" xr:uid="{00000000-0004-0000-0800-000003000000}"/>
    <hyperlink ref="G10" location="'P-Estado'!A6" display="#'P-Estado'.A6" xr:uid="{00000000-0004-0000-0800-000004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0"/>
  <sheetViews>
    <sheetView zoomScaleNormal="100" workbookViewId="0"/>
  </sheetViews>
  <sheetFormatPr baseColWidth="10" defaultColWidth="8.7109375" defaultRowHeight="15" x14ac:dyDescent="0.25"/>
  <cols>
    <col min="1" max="1" width="27" customWidth="1"/>
    <col min="2" max="2" width="26.140625" customWidth="1"/>
    <col min="3" max="3" width="49.140625" customWidth="1"/>
    <col min="4" max="4" width="23.28515625" customWidth="1"/>
  </cols>
  <sheetData>
    <row r="1" spans="1:4" ht="14.25" customHeight="1" x14ac:dyDescent="0.25">
      <c r="A1" s="6" t="s">
        <v>1</v>
      </c>
      <c r="B1" s="6" t="s">
        <v>28</v>
      </c>
      <c r="C1" s="63"/>
    </row>
    <row r="2" spans="1:4" ht="39" customHeight="1" x14ac:dyDescent="0.25">
      <c r="A2" s="48" t="s">
        <v>107</v>
      </c>
      <c r="B2" s="48" t="s">
        <v>145</v>
      </c>
      <c r="C2" s="48" t="s">
        <v>146</v>
      </c>
      <c r="D2" s="49" t="s">
        <v>109</v>
      </c>
    </row>
    <row r="3" spans="1:4" ht="14.25" customHeight="1" x14ac:dyDescent="0.25">
      <c r="A3" s="50" t="s">
        <v>110</v>
      </c>
      <c r="B3" s="51" t="s">
        <v>61</v>
      </c>
      <c r="C3" s="51" t="s">
        <v>147</v>
      </c>
      <c r="D3" s="52" t="s">
        <v>111</v>
      </c>
    </row>
    <row r="4" spans="1:4" ht="28.5" customHeight="1" x14ac:dyDescent="0.25">
      <c r="A4" s="53">
        <v>1</v>
      </c>
      <c r="B4" s="54" t="s">
        <v>148</v>
      </c>
      <c r="C4" s="64" t="s">
        <v>149</v>
      </c>
      <c r="D4" s="54" t="str">
        <f t="shared" ref="D4:D11" si="0">B4</f>
        <v>Agendada</v>
      </c>
    </row>
    <row r="5" spans="1:4" ht="28.5" customHeight="1" x14ac:dyDescent="0.25">
      <c r="A5" s="53">
        <v>2</v>
      </c>
      <c r="B5" s="53" t="s">
        <v>150</v>
      </c>
      <c r="C5" s="65" t="s">
        <v>151</v>
      </c>
      <c r="D5" s="54" t="str">
        <f t="shared" si="0"/>
        <v>Finalizada</v>
      </c>
    </row>
    <row r="6" spans="1:4" ht="28.5" customHeight="1" x14ac:dyDescent="0.25">
      <c r="A6" s="53">
        <v>3</v>
      </c>
      <c r="B6" s="53" t="s">
        <v>152</v>
      </c>
      <c r="C6" s="65" t="s">
        <v>153</v>
      </c>
      <c r="D6" s="54" t="str">
        <f t="shared" si="0"/>
        <v>Cancelada por el cliente</v>
      </c>
    </row>
    <row r="7" spans="1:4" ht="28.5" customHeight="1" x14ac:dyDescent="0.25">
      <c r="A7" s="53">
        <v>4</v>
      </c>
      <c r="B7" s="53" t="s">
        <v>154</v>
      </c>
      <c r="C7" s="65" t="s">
        <v>155</v>
      </c>
      <c r="D7" s="54" t="str">
        <f t="shared" si="0"/>
        <v>Cancelada por el barbero</v>
      </c>
    </row>
    <row r="8" spans="1:4" ht="42.75" customHeight="1" x14ac:dyDescent="0.25">
      <c r="A8" s="53">
        <v>5</v>
      </c>
      <c r="B8" s="53" t="s">
        <v>156</v>
      </c>
      <c r="C8" s="65" t="s">
        <v>157</v>
      </c>
      <c r="D8" s="54" t="str">
        <f t="shared" si="0"/>
        <v>El cliente se demoro</v>
      </c>
    </row>
    <row r="9" spans="1:4" ht="42.75" customHeight="1" x14ac:dyDescent="0.25">
      <c r="A9" s="53">
        <v>6</v>
      </c>
      <c r="B9" s="53" t="s">
        <v>158</v>
      </c>
      <c r="C9" s="65" t="s">
        <v>159</v>
      </c>
      <c r="D9" s="54" t="str">
        <f t="shared" si="0"/>
        <v>El barbero se demoro</v>
      </c>
    </row>
    <row r="10" spans="1:4" ht="48" customHeight="1" x14ac:dyDescent="0.25">
      <c r="A10" s="53">
        <v>7</v>
      </c>
      <c r="B10" s="53" t="s">
        <v>160</v>
      </c>
      <c r="C10" s="65" t="s">
        <v>161</v>
      </c>
      <c r="D10" s="54" t="str">
        <f t="shared" si="0"/>
        <v>Inasistencia del cliente</v>
      </c>
    </row>
    <row r="11" spans="1:4" ht="57" customHeight="1" x14ac:dyDescent="0.25">
      <c r="A11" s="53">
        <v>8</v>
      </c>
      <c r="B11" s="53" t="s">
        <v>162</v>
      </c>
      <c r="C11" s="65" t="s">
        <v>163</v>
      </c>
      <c r="D11" s="54" t="str">
        <f t="shared" si="0"/>
        <v>Cancelación</v>
      </c>
    </row>
    <row r="12" spans="1:4" ht="14.25" customHeight="1" x14ac:dyDescent="0.25"/>
    <row r="13" spans="1:4" ht="15" customHeight="1" x14ac:dyDescent="0.25">
      <c r="C13" s="66"/>
    </row>
    <row r="16" spans="1:4" ht="27.75" customHeight="1" x14ac:dyDescent="0.25"/>
    <row r="17" spans="1:2" ht="28.5" customHeight="1" x14ac:dyDescent="0.25">
      <c r="A17" s="56"/>
      <c r="B17" s="57" t="s">
        <v>120</v>
      </c>
    </row>
    <row r="18" spans="1:2" ht="28.5" customHeight="1" x14ac:dyDescent="0.25">
      <c r="A18" s="58"/>
      <c r="B18" s="57" t="s">
        <v>121</v>
      </c>
    </row>
    <row r="19" spans="1:2" ht="28.5" customHeight="1" x14ac:dyDescent="0.25">
      <c r="A19" s="59"/>
      <c r="B19" s="57" t="s">
        <v>122</v>
      </c>
    </row>
    <row r="20" spans="1:2" ht="28.5" customHeight="1" x14ac:dyDescent="0.25">
      <c r="A20" s="60"/>
      <c r="B20" s="57" t="s">
        <v>123</v>
      </c>
    </row>
  </sheetData>
  <hyperlinks>
    <hyperlink ref="A1" location="'Modelo de Dominio'!A1" display="&lt;&lt;&lt;&lt; Ir al modulo de dominio" xr:uid="{00000000-0004-0000-0900-000000000000}"/>
    <hyperlink ref="B1" location="'Objetos de Dominio'!A1" display="&lt;&lt;&lt;&lt; Ir a objetos de dominio" xr:uid="{00000000-0004-0000-0900-000001000000}"/>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9"/>
  <sheetViews>
    <sheetView topLeftCell="A11" zoomScale="93" zoomScaleNormal="93" workbookViewId="0">
      <selection activeCell="A18" sqref="A18:R18"/>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5" customHeight="1" x14ac:dyDescent="0.25">
      <c r="A1" s="6" t="s">
        <v>1</v>
      </c>
      <c r="B1" s="6" t="s">
        <v>28</v>
      </c>
    </row>
    <row r="2" spans="1:21" ht="15" customHeight="1" x14ac:dyDescent="0.25">
      <c r="A2" s="67" t="s">
        <v>29</v>
      </c>
      <c r="B2" s="67" t="s">
        <v>30</v>
      </c>
      <c r="C2" s="67" t="s">
        <v>31</v>
      </c>
      <c r="D2" s="67" t="s">
        <v>32</v>
      </c>
      <c r="E2" s="67" t="s">
        <v>33</v>
      </c>
      <c r="F2" s="67" t="s">
        <v>34</v>
      </c>
      <c r="G2" s="67" t="s">
        <v>35</v>
      </c>
      <c r="H2" s="67" t="s">
        <v>36</v>
      </c>
      <c r="I2" s="67" t="s">
        <v>37</v>
      </c>
      <c r="J2" s="67" t="s">
        <v>38</v>
      </c>
      <c r="K2" s="67" t="s">
        <v>39</v>
      </c>
      <c r="L2" s="67" t="s">
        <v>40</v>
      </c>
      <c r="M2" s="67" t="s">
        <v>41</v>
      </c>
      <c r="N2" s="67" t="s">
        <v>42</v>
      </c>
      <c r="O2" s="67" t="s">
        <v>43</v>
      </c>
      <c r="P2" s="67" t="s">
        <v>44</v>
      </c>
      <c r="Q2" s="67" t="s">
        <v>45</v>
      </c>
      <c r="R2" s="67" t="s">
        <v>46</v>
      </c>
      <c r="S2" s="67" t="s">
        <v>47</v>
      </c>
      <c r="T2" s="67" t="s">
        <v>48</v>
      </c>
      <c r="U2" s="67" t="s">
        <v>49</v>
      </c>
    </row>
    <row r="3" spans="1:21" ht="45" customHeight="1" x14ac:dyDescent="0.25">
      <c r="A3" s="18" t="str">
        <f>'M-Servicio'!A3</f>
        <v>id</v>
      </c>
      <c r="B3" s="19" t="str">
        <f>'M-Servicio'!A2</f>
        <v>Representa un identificador que hará unico cada objeto de dominio de este tipo, no se puede repetir</v>
      </c>
      <c r="C3" s="18" t="s">
        <v>50</v>
      </c>
      <c r="D3" s="18" t="s">
        <v>51</v>
      </c>
      <c r="E3" s="18" t="s">
        <v>50</v>
      </c>
      <c r="F3" s="18" t="s">
        <v>52</v>
      </c>
      <c r="G3" s="18" t="s">
        <v>52</v>
      </c>
      <c r="H3" s="18" t="s">
        <v>52</v>
      </c>
      <c r="I3" s="18" t="s">
        <v>52</v>
      </c>
      <c r="J3" s="18" t="s">
        <v>52</v>
      </c>
      <c r="K3" s="18" t="s">
        <v>52</v>
      </c>
      <c r="L3" s="18" t="s">
        <v>52</v>
      </c>
      <c r="M3" s="18" t="s">
        <v>52</v>
      </c>
      <c r="N3" s="18" t="s">
        <v>53</v>
      </c>
      <c r="O3" s="18" t="s">
        <v>52</v>
      </c>
      <c r="P3" s="18" t="s">
        <v>52</v>
      </c>
      <c r="Q3" s="18" t="s">
        <v>52</v>
      </c>
      <c r="R3" s="18" t="s">
        <v>52</v>
      </c>
      <c r="S3" s="18" t="s">
        <v>53</v>
      </c>
      <c r="T3" s="18" t="s">
        <v>54</v>
      </c>
      <c r="U3" s="18" t="s">
        <v>50</v>
      </c>
    </row>
    <row r="4" spans="1:21" ht="45" customHeight="1" x14ac:dyDescent="0.25">
      <c r="A4" s="18" t="str">
        <f>'M-Servicio'!B3</f>
        <v>nombre</v>
      </c>
      <c r="B4" s="19" t="str">
        <f>'M-Servicio'!B2</f>
        <v>Representa el nombre del servicio que va estar en la barberia, para que el barbero elija los servicios que el sabe hacer</v>
      </c>
      <c r="C4" s="18" t="s">
        <v>53</v>
      </c>
      <c r="D4" s="18" t="s">
        <v>55</v>
      </c>
      <c r="E4" s="18" t="s">
        <v>50</v>
      </c>
      <c r="F4" s="18">
        <v>3</v>
      </c>
      <c r="G4" s="18">
        <v>50</v>
      </c>
      <c r="H4" s="18" t="s">
        <v>52</v>
      </c>
      <c r="I4" s="18" t="s">
        <v>52</v>
      </c>
      <c r="J4" s="18" t="s">
        <v>52</v>
      </c>
      <c r="K4" s="18" t="s">
        <v>52</v>
      </c>
      <c r="L4" s="18" t="s">
        <v>52</v>
      </c>
      <c r="M4" s="19" t="s">
        <v>164</v>
      </c>
      <c r="N4" s="18" t="s">
        <v>53</v>
      </c>
      <c r="O4" s="18" t="s">
        <v>52</v>
      </c>
      <c r="P4" s="18" t="s">
        <v>52</v>
      </c>
      <c r="Q4" s="18" t="s">
        <v>50</v>
      </c>
      <c r="R4" s="18" t="s">
        <v>50</v>
      </c>
      <c r="S4" s="18" t="s">
        <v>53</v>
      </c>
      <c r="T4" s="18" t="s">
        <v>57</v>
      </c>
      <c r="U4" s="18" t="s">
        <v>53</v>
      </c>
    </row>
    <row r="5" spans="1:21" ht="45" customHeight="1" x14ac:dyDescent="0.25">
      <c r="A5" s="18" t="str">
        <f>'M-Servicio'!C3</f>
        <v>descripcion</v>
      </c>
      <c r="B5" s="19" t="str">
        <f>'M-Servicio'!C2</f>
        <v>Representa una descripcion de que va a hacer cada servicio en la barberia, para que el barbero sepa que hace el servicio</v>
      </c>
      <c r="C5" s="18" t="s">
        <v>53</v>
      </c>
      <c r="D5" s="18" t="s">
        <v>55</v>
      </c>
      <c r="E5" s="18" t="s">
        <v>53</v>
      </c>
      <c r="F5" s="18">
        <v>0</v>
      </c>
      <c r="G5" s="18">
        <v>200</v>
      </c>
      <c r="H5" s="18" t="s">
        <v>52</v>
      </c>
      <c r="I5" s="18" t="s">
        <v>52</v>
      </c>
      <c r="J5" s="18" t="s">
        <v>52</v>
      </c>
      <c r="K5" s="18" t="s">
        <v>52</v>
      </c>
      <c r="L5" s="18" t="s">
        <v>52</v>
      </c>
      <c r="M5" s="19" t="s">
        <v>125</v>
      </c>
      <c r="N5" s="18" t="s">
        <v>53</v>
      </c>
      <c r="O5" s="18" t="s">
        <v>52</v>
      </c>
      <c r="P5" s="18" t="s">
        <v>52</v>
      </c>
      <c r="Q5" s="18" t="s">
        <v>50</v>
      </c>
      <c r="R5" s="18" t="s">
        <v>50</v>
      </c>
      <c r="S5" s="18" t="s">
        <v>53</v>
      </c>
      <c r="T5" s="18" t="s">
        <v>57</v>
      </c>
      <c r="U5" s="18" t="s">
        <v>53</v>
      </c>
    </row>
    <row r="6" spans="1:21" ht="30" customHeight="1" x14ac:dyDescent="0.25">
      <c r="A6" s="18" t="str">
        <f>'M-Servicio'!D3</f>
        <v>precio</v>
      </c>
      <c r="B6" s="19" t="str">
        <f>'M-Servicio'!D2</f>
        <v>Representa cuanto va a valer el servicio en pesos colombianos</v>
      </c>
      <c r="C6" s="18" t="s">
        <v>53</v>
      </c>
      <c r="D6" s="18" t="s">
        <v>165</v>
      </c>
      <c r="E6" s="18" t="s">
        <v>50</v>
      </c>
      <c r="F6" s="18" t="s">
        <v>52</v>
      </c>
      <c r="G6" s="18" t="s">
        <v>52</v>
      </c>
      <c r="H6" s="18" t="s">
        <v>52</v>
      </c>
      <c r="I6" s="18" t="s">
        <v>52</v>
      </c>
      <c r="J6" s="18">
        <v>0</v>
      </c>
      <c r="K6" s="68">
        <v>2000000</v>
      </c>
      <c r="L6" s="18" t="s">
        <v>52</v>
      </c>
      <c r="M6" s="18" t="s">
        <v>52</v>
      </c>
      <c r="N6" s="18" t="s">
        <v>53</v>
      </c>
      <c r="O6" s="18" t="s">
        <v>52</v>
      </c>
      <c r="P6" s="18" t="s">
        <v>52</v>
      </c>
      <c r="Q6" s="18" t="s">
        <v>52</v>
      </c>
      <c r="R6" s="18" t="s">
        <v>52</v>
      </c>
      <c r="S6" s="18" t="s">
        <v>53</v>
      </c>
      <c r="T6" s="18">
        <v>0</v>
      </c>
      <c r="U6" s="18" t="s">
        <v>53</v>
      </c>
    </row>
    <row r="7" spans="1:21" ht="30" customHeight="1" x14ac:dyDescent="0.25">
      <c r="A7" s="18" t="str">
        <f>'M-Servicio'!E3</f>
        <v>disponible</v>
      </c>
      <c r="B7" s="19" t="str">
        <f>'M-Servicio'!E2</f>
        <v>Representa si el servicio sigue o no disponible en la barberia</v>
      </c>
      <c r="C7" s="18" t="s">
        <v>53</v>
      </c>
      <c r="D7" s="18" t="s">
        <v>166</v>
      </c>
      <c r="E7" s="18" t="s">
        <v>53</v>
      </c>
      <c r="F7" s="18" t="s">
        <v>52</v>
      </c>
      <c r="G7" s="18" t="s">
        <v>52</v>
      </c>
      <c r="H7" s="18" t="s">
        <v>52</v>
      </c>
      <c r="I7" s="18" t="s">
        <v>52</v>
      </c>
      <c r="J7" s="18" t="s">
        <v>52</v>
      </c>
      <c r="K7" s="18" t="s">
        <v>52</v>
      </c>
      <c r="L7" s="18" t="s">
        <v>52</v>
      </c>
      <c r="M7" s="18" t="s">
        <v>52</v>
      </c>
      <c r="N7" s="18" t="s">
        <v>53</v>
      </c>
      <c r="O7" s="18" t="s">
        <v>52</v>
      </c>
      <c r="P7" s="18" t="s">
        <v>52</v>
      </c>
      <c r="Q7" s="18" t="s">
        <v>52</v>
      </c>
      <c r="R7" s="18" t="s">
        <v>52</v>
      </c>
      <c r="S7" s="18" t="s">
        <v>53</v>
      </c>
      <c r="T7" s="18" t="s">
        <v>50</v>
      </c>
      <c r="U7" s="18" t="s">
        <v>53</v>
      </c>
    </row>
    <row r="8" spans="1:21" ht="15" customHeight="1" x14ac:dyDescent="0.25">
      <c r="A8" s="7"/>
      <c r="B8" s="7"/>
      <c r="C8" s="7"/>
      <c r="D8" s="7"/>
      <c r="E8" s="7"/>
      <c r="F8" s="7"/>
      <c r="G8" s="7"/>
      <c r="H8" s="7"/>
      <c r="I8" s="7"/>
      <c r="J8" s="7"/>
      <c r="K8" s="7"/>
      <c r="L8" s="7"/>
      <c r="M8" s="7"/>
      <c r="N8" s="7"/>
      <c r="O8" s="7"/>
      <c r="P8" s="7"/>
      <c r="Q8" s="7"/>
      <c r="R8" s="7"/>
      <c r="S8" s="7"/>
      <c r="T8" s="7"/>
      <c r="U8" s="7"/>
    </row>
    <row r="9" spans="1:21" ht="15" customHeight="1" x14ac:dyDescent="0.25">
      <c r="A9" s="20" t="s">
        <v>58</v>
      </c>
      <c r="B9" s="20" t="s">
        <v>59</v>
      </c>
      <c r="C9" s="20" t="s">
        <v>60</v>
      </c>
      <c r="D9" s="69"/>
      <c r="E9" s="69"/>
      <c r="F9" s="69"/>
      <c r="G9" s="69"/>
      <c r="H9" s="69"/>
      <c r="I9" s="69"/>
      <c r="J9" s="69"/>
      <c r="K9" s="69"/>
      <c r="L9" s="69"/>
      <c r="M9" s="69"/>
      <c r="N9" s="69"/>
      <c r="O9" s="69"/>
      <c r="P9" s="69"/>
      <c r="Q9" s="69"/>
      <c r="R9" s="69"/>
      <c r="S9" s="69"/>
      <c r="T9" s="69"/>
      <c r="U9" s="69"/>
    </row>
    <row r="10" spans="1:21" ht="30" customHeight="1" x14ac:dyDescent="0.25">
      <c r="A10" s="21" t="str">
        <f>'M-Servicio'!F3</f>
        <v xml:space="preserve">Combinacion única </v>
      </c>
      <c r="B10" s="22" t="str">
        <f>'M-Servicio'!F2</f>
        <v>Combinacion única que indica que no puede existir más de un servicio con el mismo nombre</v>
      </c>
      <c r="C10" s="23" t="str">
        <f>A4</f>
        <v>nombre</v>
      </c>
      <c r="D10" s="7"/>
      <c r="E10" s="7"/>
      <c r="F10" s="7"/>
      <c r="G10" s="7"/>
      <c r="H10" s="7"/>
      <c r="I10" s="7"/>
      <c r="J10" s="7"/>
      <c r="K10" s="7"/>
      <c r="L10" s="7"/>
      <c r="M10" s="7"/>
      <c r="N10" s="7"/>
      <c r="O10" s="7"/>
      <c r="P10" s="7"/>
      <c r="Q10" s="7"/>
      <c r="R10" s="7"/>
      <c r="S10" s="7"/>
      <c r="T10" s="7"/>
      <c r="U10" s="7"/>
    </row>
    <row r="11" spans="1:21" ht="15" customHeight="1" x14ac:dyDescent="0.25">
      <c r="A11" s="70"/>
      <c r="B11" s="70"/>
      <c r="C11" s="70"/>
      <c r="D11" s="70"/>
      <c r="E11" s="70"/>
      <c r="F11" s="70"/>
      <c r="G11" s="70"/>
      <c r="H11" s="70"/>
      <c r="I11" s="70"/>
      <c r="J11" s="70"/>
      <c r="K11" s="70"/>
      <c r="L11" s="70"/>
      <c r="M11" s="70"/>
      <c r="N11" s="70"/>
      <c r="O11" s="70"/>
      <c r="P11" s="70"/>
      <c r="Q11" s="70"/>
      <c r="R11" s="70"/>
      <c r="S11" s="70"/>
      <c r="T11" s="70"/>
      <c r="U11" s="70"/>
    </row>
    <row r="12" spans="1:21" ht="15" customHeight="1" x14ac:dyDescent="0.25">
      <c r="A12" s="203" t="s">
        <v>62</v>
      </c>
      <c r="B12" s="203"/>
      <c r="C12" s="197" t="s">
        <v>59</v>
      </c>
      <c r="D12" s="197"/>
      <c r="E12" s="197"/>
      <c r="F12" s="197"/>
      <c r="G12" s="197" t="s">
        <v>63</v>
      </c>
      <c r="H12" s="197"/>
      <c r="I12" s="197"/>
      <c r="J12" s="197" t="s">
        <v>64</v>
      </c>
      <c r="K12" s="197"/>
      <c r="L12" s="197"/>
      <c r="M12" s="197"/>
      <c r="N12" s="197"/>
      <c r="O12" s="197" t="s">
        <v>65</v>
      </c>
      <c r="P12" s="197"/>
      <c r="Q12" s="197" t="s">
        <v>66</v>
      </c>
      <c r="R12" s="197"/>
    </row>
    <row r="13" spans="1:21" ht="15" customHeight="1" x14ac:dyDescent="0.25">
      <c r="A13" s="203"/>
      <c r="B13" s="203"/>
      <c r="C13" s="197"/>
      <c r="D13" s="197"/>
      <c r="E13" s="197"/>
      <c r="F13" s="197"/>
      <c r="G13" s="24" t="s">
        <v>67</v>
      </c>
      <c r="H13" s="24" t="s">
        <v>32</v>
      </c>
      <c r="I13" s="24" t="s">
        <v>59</v>
      </c>
      <c r="J13" s="24" t="s">
        <v>68</v>
      </c>
      <c r="K13" s="200" t="s">
        <v>59</v>
      </c>
      <c r="L13" s="201"/>
      <c r="M13" s="201"/>
      <c r="N13" s="202"/>
      <c r="O13" s="24" t="s">
        <v>69</v>
      </c>
      <c r="P13" s="24" t="s">
        <v>59</v>
      </c>
      <c r="Q13" s="24" t="s">
        <v>70</v>
      </c>
      <c r="R13" s="27" t="s">
        <v>71</v>
      </c>
    </row>
    <row r="14" spans="1:21" ht="105" x14ac:dyDescent="0.25">
      <c r="A14" s="215" t="s">
        <v>167</v>
      </c>
      <c r="B14" s="216"/>
      <c r="C14" s="219" t="s">
        <v>168</v>
      </c>
      <c r="D14" s="220"/>
      <c r="E14" s="220"/>
      <c r="F14" s="221"/>
      <c r="G14" s="225" t="s">
        <v>169</v>
      </c>
      <c r="H14" s="227" t="s">
        <v>15</v>
      </c>
      <c r="I14" s="229" t="s">
        <v>170</v>
      </c>
      <c r="J14" s="231" t="s">
        <v>15</v>
      </c>
      <c r="K14" s="219" t="s">
        <v>171</v>
      </c>
      <c r="L14" s="220"/>
      <c r="M14" s="220"/>
      <c r="N14" s="221"/>
      <c r="O14" s="28" t="str">
        <f>'P-Servicio'!A6</f>
        <v>P-SER-0001</v>
      </c>
      <c r="P14" s="3" t="str">
        <f>'P-Servicio'!B6</f>
        <v>Asegurar que los datos requeridos del servicio (nombre, descripción, precio) sean válidos en tipo de dato, longitud, obligatoriedad, formato y rango</v>
      </c>
      <c r="Q14" s="3" t="s">
        <v>172</v>
      </c>
      <c r="R14" s="31" t="s">
        <v>134</v>
      </c>
    </row>
    <row r="15" spans="1:21" ht="60" x14ac:dyDescent="0.25">
      <c r="A15" s="217"/>
      <c r="B15" s="218"/>
      <c r="C15" s="222"/>
      <c r="D15" s="223"/>
      <c r="E15" s="223"/>
      <c r="F15" s="224"/>
      <c r="G15" s="226"/>
      <c r="H15" s="228"/>
      <c r="I15" s="230"/>
      <c r="J15" s="232"/>
      <c r="K15" s="222"/>
      <c r="L15" s="223"/>
      <c r="M15" s="223"/>
      <c r="N15" s="224"/>
      <c r="O15" s="28" t="str">
        <f>'P-Servicio'!A7</f>
        <v>P-SER-0002</v>
      </c>
      <c r="P15" s="3" t="str">
        <f>'P-Servicio'!B7</f>
        <v>Asegurar que no exista otro servicio registrado con el mismo nombre en la barbería</v>
      </c>
      <c r="Q15" s="3" t="s">
        <v>173</v>
      </c>
      <c r="R15" s="31" t="s">
        <v>134</v>
      </c>
    </row>
    <row r="16" spans="1:21" ht="105" x14ac:dyDescent="0.25">
      <c r="A16" s="234" t="s">
        <v>174</v>
      </c>
      <c r="B16" s="235"/>
      <c r="C16" s="238" t="s">
        <v>175</v>
      </c>
      <c r="D16" s="239"/>
      <c r="E16" s="239"/>
      <c r="F16" s="240"/>
      <c r="G16" s="168" t="s">
        <v>110</v>
      </c>
      <c r="H16" s="168" t="s">
        <v>131</v>
      </c>
      <c r="I16" s="169" t="s">
        <v>176</v>
      </c>
      <c r="J16" s="177" t="s">
        <v>15</v>
      </c>
      <c r="K16" s="233" t="s">
        <v>177</v>
      </c>
      <c r="L16" s="233"/>
      <c r="M16" s="233"/>
      <c r="N16" s="233"/>
      <c r="O16" s="168" t="str">
        <f>'P-Servicio'!A6</f>
        <v>P-SER-0001</v>
      </c>
      <c r="P16" s="170" t="str">
        <f>'P-Servicio'!B6</f>
        <v>Asegurar que los datos requeridos del servicio (nombre, descripción, precio) sean válidos en tipo de dato, longitud, obligatoriedad, formato y rango</v>
      </c>
      <c r="Q16" s="170" t="s">
        <v>172</v>
      </c>
      <c r="R16" s="171" t="s">
        <v>134</v>
      </c>
    </row>
    <row r="17" spans="1:18" ht="60" x14ac:dyDescent="0.25">
      <c r="A17" s="236"/>
      <c r="B17" s="237"/>
      <c r="C17" s="241"/>
      <c r="D17" s="242"/>
      <c r="E17" s="242"/>
      <c r="F17" s="243"/>
      <c r="G17" s="170" t="s">
        <v>169</v>
      </c>
      <c r="H17" s="168" t="s">
        <v>15</v>
      </c>
      <c r="I17" s="169" t="s">
        <v>178</v>
      </c>
      <c r="J17" s="177"/>
      <c r="K17" s="233"/>
      <c r="L17" s="233"/>
      <c r="M17" s="233"/>
      <c r="N17" s="233"/>
      <c r="O17" s="168" t="str">
        <f>'P-Servicio'!A7</f>
        <v>P-SER-0002</v>
      </c>
      <c r="P17" s="170" t="str">
        <f>'P-Servicio'!B7</f>
        <v>Asegurar que no exista otro servicio registrado con el mismo nombre en la barbería</v>
      </c>
      <c r="Q17" s="170" t="s">
        <v>173</v>
      </c>
      <c r="R17" s="171" t="s">
        <v>134</v>
      </c>
    </row>
    <row r="18" spans="1:18" ht="38.25" x14ac:dyDescent="0.25">
      <c r="A18" s="213" t="s">
        <v>179</v>
      </c>
      <c r="B18" s="213"/>
      <c r="C18" s="214" t="s">
        <v>180</v>
      </c>
      <c r="D18" s="214"/>
      <c r="E18" s="214"/>
      <c r="F18" s="214"/>
      <c r="G18" s="173" t="s">
        <v>74</v>
      </c>
      <c r="H18" s="173" t="s">
        <v>15</v>
      </c>
      <c r="I18" s="174" t="s">
        <v>181</v>
      </c>
      <c r="J18" s="175" t="s">
        <v>182</v>
      </c>
      <c r="K18" s="214" t="s">
        <v>183</v>
      </c>
      <c r="L18" s="214"/>
      <c r="M18" s="214"/>
      <c r="N18" s="214"/>
      <c r="O18" s="173"/>
      <c r="P18" s="172"/>
      <c r="Q18" s="172"/>
      <c r="R18" s="176"/>
    </row>
    <row r="19" spans="1:18" ht="60" x14ac:dyDescent="0.25">
      <c r="A19" s="198" t="s">
        <v>184</v>
      </c>
      <c r="B19" s="198"/>
      <c r="C19" s="199" t="s">
        <v>185</v>
      </c>
      <c r="D19" s="199"/>
      <c r="E19" s="199"/>
      <c r="F19" s="199"/>
      <c r="G19" s="28" t="s">
        <v>110</v>
      </c>
      <c r="H19" s="28" t="s">
        <v>131</v>
      </c>
      <c r="I19" s="29" t="s">
        <v>186</v>
      </c>
      <c r="J19" s="30"/>
      <c r="K19" s="199" t="s">
        <v>187</v>
      </c>
      <c r="L19" s="199"/>
      <c r="M19" s="199"/>
      <c r="N19" s="199"/>
      <c r="O19" s="28" t="str">
        <f>'P-Servicio'!A8</f>
        <v>P-SER-0003</v>
      </c>
      <c r="P19" s="3" t="str">
        <f>'P-Servicio'!B8</f>
        <v>Asegurar que el servicio a retirar no esté siendo ofrecido actualmente por ningún barbero vigente</v>
      </c>
      <c r="Q19" s="3" t="s">
        <v>188</v>
      </c>
      <c r="R19" s="31" t="s">
        <v>134</v>
      </c>
    </row>
  </sheetData>
  <mergeCells count="24">
    <mergeCell ref="K16:N16"/>
    <mergeCell ref="K17:N17"/>
    <mergeCell ref="A16:B17"/>
    <mergeCell ref="C16:F17"/>
    <mergeCell ref="Q12:R12"/>
    <mergeCell ref="K13:N13"/>
    <mergeCell ref="A14:B15"/>
    <mergeCell ref="C14:F15"/>
    <mergeCell ref="G14:G15"/>
    <mergeCell ref="H14:H15"/>
    <mergeCell ref="I14:I15"/>
    <mergeCell ref="J14:J15"/>
    <mergeCell ref="K14:N15"/>
    <mergeCell ref="A12:B13"/>
    <mergeCell ref="C12:F13"/>
    <mergeCell ref="G12:I12"/>
    <mergeCell ref="J12:N12"/>
    <mergeCell ref="O12:P12"/>
    <mergeCell ref="A18:B18"/>
    <mergeCell ref="C18:F18"/>
    <mergeCell ref="K18:N18"/>
    <mergeCell ref="A19:B19"/>
    <mergeCell ref="C19:F19"/>
    <mergeCell ref="K19:N19"/>
  </mergeCells>
  <hyperlinks>
    <hyperlink ref="A1" location="'Modelo de Dominio'!A1" display="&lt;&lt;&lt;&lt; Ir al modulo de dominio" xr:uid="{00000000-0004-0000-0A00-000000000000}"/>
    <hyperlink ref="B1" location="'Objetos de Dominio'!A1" display="&lt;&lt;&lt;&lt; Ir a objetos de dominio" xr:uid="{00000000-0004-0000-0A00-000001000000}"/>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
  <sheetViews>
    <sheetView showGridLines="0" zoomScale="115" zoomScaleNormal="115" workbookViewId="0">
      <selection activeCell="B1" sqref="B1"/>
    </sheetView>
  </sheetViews>
  <sheetFormatPr baseColWidth="10" defaultColWidth="8.7109375" defaultRowHeight="15" x14ac:dyDescent="0.25"/>
  <cols>
    <col min="1" max="1" width="21.42578125" customWidth="1"/>
    <col min="2" max="2" width="29.140625" customWidth="1"/>
    <col min="3" max="3" width="37.140625" customWidth="1"/>
    <col min="4" max="4" width="38" customWidth="1"/>
    <col min="5" max="5" width="36.710937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Dominio'!A5</f>
        <v>Servicio</v>
      </c>
      <c r="C2" s="209"/>
      <c r="D2" s="209"/>
      <c r="E2" s="209"/>
    </row>
    <row r="3" spans="1:5" ht="30" customHeight="1" x14ac:dyDescent="0.25">
      <c r="A3" s="35" t="s">
        <v>82</v>
      </c>
      <c r="B3" s="210" t="str">
        <f>'Objetos de Dominio'!B5</f>
        <v>Representa cada tipo de corte o arreglo que ofrece la barbería, definido por el dueño, para que luego cada barbero decida cuáles sabe hacer.</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30" customHeight="1" x14ac:dyDescent="0.25">
      <c r="A6" s="10" t="s">
        <v>189</v>
      </c>
      <c r="B6" s="204" t="s">
        <v>190</v>
      </c>
      <c r="C6" s="204"/>
      <c r="D6" s="36" t="s">
        <v>15</v>
      </c>
      <c r="E6" s="36"/>
    </row>
    <row r="7" spans="1:5" ht="30" customHeight="1" x14ac:dyDescent="0.25">
      <c r="A7" s="10" t="s">
        <v>191</v>
      </c>
      <c r="B7" s="204" t="s">
        <v>192</v>
      </c>
      <c r="C7" s="204"/>
      <c r="D7" s="36" t="s">
        <v>15</v>
      </c>
      <c r="E7" s="36"/>
    </row>
    <row r="8" spans="1:5" ht="30" customHeight="1" x14ac:dyDescent="0.25">
      <c r="A8" s="10" t="s">
        <v>193</v>
      </c>
      <c r="B8" s="204" t="s">
        <v>194</v>
      </c>
      <c r="C8" s="204"/>
      <c r="D8" s="36" t="s">
        <v>22</v>
      </c>
      <c r="E8" s="36"/>
    </row>
  </sheetData>
  <mergeCells count="9">
    <mergeCell ref="B7:C7"/>
    <mergeCell ref="B8:C8"/>
    <mergeCell ref="B2:E2"/>
    <mergeCell ref="B3:E3"/>
    <mergeCell ref="A4:A5"/>
    <mergeCell ref="B4:C5"/>
    <mergeCell ref="D4:D5"/>
    <mergeCell ref="E4:E5"/>
    <mergeCell ref="B6:C6"/>
  </mergeCells>
  <hyperlinks>
    <hyperlink ref="A1" location="'Modelo de Dominio'!A1" display="&lt;&lt; Ir al modelo de dominio" xr:uid="{00000000-0004-0000-0B00-000000000000}"/>
    <hyperlink ref="B1" location="'Objetos de Dominio'!A1" display="&lt;&lt; Ir al listado de objetos de dominio" xr:uid="{00000000-0004-0000-0B00-000001000000}"/>
    <hyperlink ref="C1" location="'C-Servicio'!A1" display="&lt;&lt; Ir a la caracterización del objeto de dominio" xr:uid="{00000000-0004-0000-0B00-000002000000}"/>
    <hyperlink ref="D1" location="'M-Servicio'!A1" display="Ir al muestreo de datos del objeto de dominio &gt;&gt;" xr:uid="{00000000-0004-0000-0B00-000003000000}"/>
    <hyperlink ref="E1" location="'E-Servicio'!A1" display="Ir al event storming del objeto de dominio &gt;&gt;" xr:uid="{00000000-0004-0000-0B00-000004000000}"/>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4"/>
  <sheetViews>
    <sheetView showGridLines="0" topLeftCell="C1" zoomScale="115" zoomScaleNormal="115"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4" t="s">
        <v>81</v>
      </c>
      <c r="B2" s="196" t="str">
        <f>'Objetos de Dominio'!A5</f>
        <v>Servicio</v>
      </c>
      <c r="C2" s="196"/>
      <c r="D2" s="196"/>
      <c r="E2" s="196"/>
      <c r="F2" s="196"/>
      <c r="G2" s="196"/>
      <c r="H2" s="196"/>
      <c r="I2" s="196"/>
      <c r="J2" s="196"/>
      <c r="K2" s="196"/>
    </row>
    <row r="3" spans="1:11" ht="30" customHeight="1" x14ac:dyDescent="0.25">
      <c r="A3" s="35" t="s">
        <v>82</v>
      </c>
      <c r="B3" s="186" t="str">
        <f>'Objetos de Dominio'!B5</f>
        <v>Representa cada tipo de corte o arreglo que ofrece la barbería, definido por el dueño, para que luego cada barbero decida cuáles sabe hacer.</v>
      </c>
      <c r="C3" s="186"/>
      <c r="D3" s="186"/>
      <c r="E3" s="186"/>
      <c r="F3" s="186"/>
      <c r="G3" s="186"/>
      <c r="H3" s="186"/>
      <c r="I3" s="186"/>
      <c r="J3" s="186"/>
      <c r="K3" s="186"/>
    </row>
    <row r="4" spans="1:11" ht="34.5" customHeight="1" x14ac:dyDescent="0.25">
      <c r="A4" s="39" t="s">
        <v>88</v>
      </c>
      <c r="B4" s="187" t="s">
        <v>89</v>
      </c>
      <c r="C4" s="187"/>
      <c r="D4" s="40" t="s">
        <v>90</v>
      </c>
      <c r="E4" s="188" t="s">
        <v>91</v>
      </c>
      <c r="F4" s="188"/>
      <c r="G4" s="189" t="s">
        <v>92</v>
      </c>
      <c r="H4" s="189"/>
      <c r="I4" s="42" t="s">
        <v>93</v>
      </c>
      <c r="J4" s="43" t="s">
        <v>94</v>
      </c>
      <c r="K4" s="44" t="s">
        <v>95</v>
      </c>
    </row>
    <row r="5" spans="1:11" ht="15" customHeight="1" x14ac:dyDescent="0.25">
      <c r="A5" s="190" t="s">
        <v>88</v>
      </c>
      <c r="B5" s="187" t="s">
        <v>96</v>
      </c>
      <c r="C5" s="187" t="s">
        <v>59</v>
      </c>
      <c r="D5" s="191" t="s">
        <v>97</v>
      </c>
      <c r="E5" s="188" t="s">
        <v>98</v>
      </c>
      <c r="F5" s="188"/>
      <c r="G5" s="189" t="s">
        <v>99</v>
      </c>
      <c r="H5" s="189"/>
      <c r="I5" s="192" t="s">
        <v>100</v>
      </c>
      <c r="J5" s="193" t="s">
        <v>101</v>
      </c>
      <c r="K5" s="194" t="s">
        <v>102</v>
      </c>
    </row>
    <row r="6" spans="1:11" ht="15" customHeight="1" x14ac:dyDescent="0.25">
      <c r="A6" s="190"/>
      <c r="B6" s="190"/>
      <c r="C6" s="190"/>
      <c r="D6" s="190"/>
      <c r="E6" s="41" t="s">
        <v>103</v>
      </c>
      <c r="F6" s="41" t="s">
        <v>59</v>
      </c>
      <c r="G6" s="45" t="s">
        <v>104</v>
      </c>
      <c r="H6" s="45" t="s">
        <v>59</v>
      </c>
      <c r="I6" s="192"/>
      <c r="J6" s="192"/>
      <c r="K6" s="192"/>
    </row>
    <row r="7" spans="1:11" ht="30" customHeight="1" x14ac:dyDescent="0.25">
      <c r="A7" s="204" t="s">
        <v>105</v>
      </c>
      <c r="B7" s="244" t="s">
        <v>167</v>
      </c>
      <c r="C7" s="244" t="s">
        <v>168</v>
      </c>
      <c r="D7" s="204" t="str">
        <f>$B$2</f>
        <v>Servicio</v>
      </c>
      <c r="E7" s="244"/>
      <c r="F7" s="244"/>
      <c r="G7" s="62" t="str">
        <f>'P-Servicio'!A6</f>
        <v>P-SER-0001</v>
      </c>
      <c r="H7" s="13" t="s">
        <v>195</v>
      </c>
      <c r="I7" s="204"/>
      <c r="J7" s="244" t="s">
        <v>196</v>
      </c>
      <c r="K7" s="244"/>
    </row>
    <row r="8" spans="1:11" ht="30" customHeight="1" x14ac:dyDescent="0.25">
      <c r="A8" s="204"/>
      <c r="B8" s="204"/>
      <c r="C8" s="204"/>
      <c r="D8" s="204"/>
      <c r="E8" s="204"/>
      <c r="F8" s="204"/>
      <c r="G8" s="62" t="str">
        <f>'P-Servicio'!A7</f>
        <v>P-SER-0002</v>
      </c>
      <c r="H8" s="13" t="s">
        <v>195</v>
      </c>
      <c r="I8" s="204"/>
      <c r="J8" s="204"/>
      <c r="K8" s="204"/>
    </row>
    <row r="9" spans="1:11" ht="30" customHeight="1" x14ac:dyDescent="0.25">
      <c r="A9" s="204" t="s">
        <v>105</v>
      </c>
      <c r="B9" s="244" t="s">
        <v>174</v>
      </c>
      <c r="C9" s="244" t="s">
        <v>175</v>
      </c>
      <c r="D9" s="204" t="str">
        <f>$B$2</f>
        <v>Servicio</v>
      </c>
      <c r="E9" s="244"/>
      <c r="F9" s="244"/>
      <c r="G9" s="62" t="str">
        <f>'P-Servicio'!A6</f>
        <v>P-SER-0001</v>
      </c>
      <c r="H9" s="13" t="s">
        <v>195</v>
      </c>
      <c r="I9" s="204"/>
      <c r="J9" s="244" t="s">
        <v>197</v>
      </c>
      <c r="K9" s="244"/>
    </row>
    <row r="10" spans="1:11" ht="30" customHeight="1" x14ac:dyDescent="0.25">
      <c r="A10" s="204"/>
      <c r="B10" s="204"/>
      <c r="C10" s="204"/>
      <c r="D10" s="204"/>
      <c r="E10" s="204"/>
      <c r="F10" s="204"/>
      <c r="G10" s="62" t="str">
        <f>'P-Servicio'!A7</f>
        <v>P-SER-0002</v>
      </c>
      <c r="H10" s="13" t="s">
        <v>195</v>
      </c>
      <c r="I10" s="204"/>
      <c r="J10" s="204"/>
      <c r="K10" s="204"/>
    </row>
    <row r="11" spans="1:11" ht="30" customHeight="1" x14ac:dyDescent="0.25">
      <c r="A11" s="2" t="s">
        <v>105</v>
      </c>
      <c r="B11" s="46" t="s">
        <v>179</v>
      </c>
      <c r="C11" s="46" t="s">
        <v>180</v>
      </c>
      <c r="D11" s="2" t="str">
        <f>$B$2</f>
        <v>Servicio</v>
      </c>
      <c r="E11" s="46"/>
      <c r="F11" s="46"/>
      <c r="G11" s="2"/>
      <c r="H11" s="47"/>
      <c r="I11" s="2"/>
      <c r="J11" s="46" t="s">
        <v>198</v>
      </c>
      <c r="K11" s="46"/>
    </row>
    <row r="12" spans="1:11" ht="30" customHeight="1" x14ac:dyDescent="0.25">
      <c r="A12" s="2" t="s">
        <v>18</v>
      </c>
      <c r="B12" s="46" t="s">
        <v>179</v>
      </c>
      <c r="C12" s="46" t="s">
        <v>180</v>
      </c>
      <c r="D12" s="2" t="str">
        <f>$B$2</f>
        <v>Servicio</v>
      </c>
      <c r="E12" s="46"/>
      <c r="F12" s="46"/>
      <c r="G12" s="2"/>
      <c r="H12" s="47"/>
      <c r="I12" s="2"/>
      <c r="J12" s="46" t="s">
        <v>198</v>
      </c>
      <c r="K12" s="46"/>
    </row>
    <row r="13" spans="1:11" ht="30" customHeight="1" x14ac:dyDescent="0.25">
      <c r="A13" s="2" t="s">
        <v>19</v>
      </c>
      <c r="B13" s="46" t="s">
        <v>179</v>
      </c>
      <c r="C13" s="46" t="s">
        <v>180</v>
      </c>
      <c r="D13" s="2" t="str">
        <f>$B$2</f>
        <v>Servicio</v>
      </c>
      <c r="E13" s="46"/>
      <c r="F13" s="46"/>
      <c r="G13" s="2"/>
      <c r="H13" s="47"/>
      <c r="I13" s="2"/>
      <c r="J13" s="46" t="s">
        <v>198</v>
      </c>
      <c r="K13" s="46"/>
    </row>
    <row r="14" spans="1:11" ht="30" customHeight="1" x14ac:dyDescent="0.25">
      <c r="A14" s="2" t="s">
        <v>105</v>
      </c>
      <c r="B14" s="46" t="s">
        <v>184</v>
      </c>
      <c r="C14" s="46" t="s">
        <v>185</v>
      </c>
      <c r="D14" s="2" t="str">
        <f>$B$2</f>
        <v>Servicio</v>
      </c>
      <c r="E14" s="46"/>
      <c r="F14" s="46"/>
      <c r="G14" s="62" t="str">
        <f>'P-Servicio'!A8</f>
        <v>P-SER-0003</v>
      </c>
      <c r="H14" s="13" t="s">
        <v>195</v>
      </c>
      <c r="I14" s="2"/>
      <c r="J14" s="46" t="s">
        <v>199</v>
      </c>
      <c r="K14" s="46"/>
    </row>
  </sheetData>
  <mergeCells count="36">
    <mergeCell ref="A1:B1"/>
    <mergeCell ref="C1:E1"/>
    <mergeCell ref="F1:I1"/>
    <mergeCell ref="J1:K1"/>
    <mergeCell ref="B2:K2"/>
    <mergeCell ref="J7:J8"/>
    <mergeCell ref="K7:K8"/>
    <mergeCell ref="A5:A6"/>
    <mergeCell ref="B5:B6"/>
    <mergeCell ref="C5:C6"/>
    <mergeCell ref="D5:D6"/>
    <mergeCell ref="E5:F5"/>
    <mergeCell ref="B3:K3"/>
    <mergeCell ref="B4:C4"/>
    <mergeCell ref="E4:F4"/>
    <mergeCell ref="G4:H4"/>
    <mergeCell ref="G5:H5"/>
    <mergeCell ref="I5:I6"/>
    <mergeCell ref="J5:J6"/>
    <mergeCell ref="K5:K6"/>
    <mergeCell ref="F9:F10"/>
    <mergeCell ref="I9:I10"/>
    <mergeCell ref="J9:J10"/>
    <mergeCell ref="K9:K10"/>
    <mergeCell ref="A7:A8"/>
    <mergeCell ref="B7:B8"/>
    <mergeCell ref="C7:C8"/>
    <mergeCell ref="A9:A10"/>
    <mergeCell ref="B9:B10"/>
    <mergeCell ref="C9:C10"/>
    <mergeCell ref="D9:D10"/>
    <mergeCell ref="E9:E10"/>
    <mergeCell ref="D7:D8"/>
    <mergeCell ref="E7:E8"/>
    <mergeCell ref="F7:F8"/>
    <mergeCell ref="I7:I8"/>
  </mergeCells>
  <hyperlinks>
    <hyperlink ref="A1" location="'Modelo de Dominio'!A1" display="&lt;&lt; Ir al modelo de dominio" xr:uid="{00000000-0004-0000-0C00-000000000000}"/>
    <hyperlink ref="C1" location="'Objetos de Dominio'!A1" display="&lt;&lt; Ir al listado de objetos de dominio" xr:uid="{00000000-0004-0000-0C00-000001000000}"/>
    <hyperlink ref="F1" location="'C-Servicio'!A1" display="&lt;&lt; Ir a la caracterización del objeto de dominio" xr:uid="{00000000-0004-0000-0C00-000002000000}"/>
    <hyperlink ref="J1" location="'M-Servicio'!A1" display="Ir al muestreo de datos del objeto de dominio &gt;&gt;" xr:uid="{00000000-0004-0000-0C00-000003000000}"/>
    <hyperlink ref="G7" location="'P-Servicio'!A6" display="#'P-Servicio'.A6" xr:uid="{00000000-0004-0000-0C00-000004000000}"/>
    <hyperlink ref="H7" location="'P-Servicio'!B6" display="aquí" xr:uid="{00000000-0004-0000-0C00-000005000000}"/>
    <hyperlink ref="G8" location="'P-Servicio'!A7" display="#'P-Servicio'.A7" xr:uid="{00000000-0004-0000-0C00-000006000000}"/>
    <hyperlink ref="H8" location="'P-Servicio'!B7" display="aquí" xr:uid="{00000000-0004-0000-0C00-000007000000}"/>
    <hyperlink ref="G9" location="'P-Servicio'!A6" display="#'P-Servicio'.A6" xr:uid="{00000000-0004-0000-0C00-000008000000}"/>
    <hyperlink ref="H9" location="'P-Servicio'!B6" display="aquí" xr:uid="{00000000-0004-0000-0C00-000009000000}"/>
    <hyperlink ref="G10" location="'P-Servicio'!A7" display="#'P-Servicio'.A7" xr:uid="{00000000-0004-0000-0C00-00000A000000}"/>
    <hyperlink ref="H10" location="'P-Servicio'!B7" display="aquí" xr:uid="{00000000-0004-0000-0C00-00000B000000}"/>
    <hyperlink ref="G14" location="'P-Servicio'!A8" display="#'P-Servicio'.A8" xr:uid="{00000000-0004-0000-0C00-00000C000000}"/>
    <hyperlink ref="H14" location="'P-Servicio'!B8" display="aquí" xr:uid="{00000000-0004-0000-0C00-00000D000000}"/>
  </hyperlink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9"/>
  <sheetViews>
    <sheetView zoomScale="130" zoomScaleNormal="130" workbookViewId="0">
      <selection activeCell="B1" sqref="B1"/>
    </sheetView>
  </sheetViews>
  <sheetFormatPr baseColWidth="10" defaultColWidth="8.7109375" defaultRowHeight="15" x14ac:dyDescent="0.25"/>
  <cols>
    <col min="1" max="1" width="27" customWidth="1"/>
    <col min="2" max="2" width="26.140625" customWidth="1"/>
    <col min="3" max="3" width="20.85546875" customWidth="1"/>
    <col min="4" max="4" width="22.85546875" customWidth="1"/>
    <col min="5" max="5" width="10.42578125" customWidth="1"/>
    <col min="6" max="6" width="18.28515625" customWidth="1"/>
  </cols>
  <sheetData>
    <row r="1" spans="1:6" ht="14.25" customHeight="1" x14ac:dyDescent="0.25">
      <c r="A1" s="6" t="s">
        <v>1</v>
      </c>
      <c r="B1" s="6" t="s">
        <v>28</v>
      </c>
      <c r="C1" s="71"/>
      <c r="D1" s="72"/>
      <c r="E1" s="72"/>
      <c r="F1" s="55"/>
    </row>
    <row r="2" spans="1:6" ht="42.75" customHeight="1" x14ac:dyDescent="0.25">
      <c r="A2" s="48" t="s">
        <v>107</v>
      </c>
      <c r="B2" s="48" t="s">
        <v>200</v>
      </c>
      <c r="C2" s="48" t="s">
        <v>201</v>
      </c>
      <c r="D2" s="48" t="s">
        <v>202</v>
      </c>
      <c r="E2" s="48" t="s">
        <v>203</v>
      </c>
      <c r="F2" s="73" t="s">
        <v>204</v>
      </c>
    </row>
    <row r="3" spans="1:6" ht="14.25" customHeight="1" x14ac:dyDescent="0.25">
      <c r="A3" s="74" t="s">
        <v>110</v>
      </c>
      <c r="B3" s="75" t="s">
        <v>61</v>
      </c>
      <c r="C3" s="75" t="s">
        <v>147</v>
      </c>
      <c r="D3" s="75" t="s">
        <v>205</v>
      </c>
      <c r="E3" s="75" t="s">
        <v>206</v>
      </c>
      <c r="F3" s="52" t="s">
        <v>207</v>
      </c>
    </row>
    <row r="4" spans="1:6" ht="57" customHeight="1" x14ac:dyDescent="0.25">
      <c r="A4" s="76">
        <v>1</v>
      </c>
      <c r="B4" s="76" t="s">
        <v>208</v>
      </c>
      <c r="C4" s="77" t="s">
        <v>209</v>
      </c>
      <c r="D4" s="78">
        <v>22000</v>
      </c>
      <c r="E4" s="78" t="s">
        <v>210</v>
      </c>
      <c r="F4" s="53" t="str">
        <f>B4</f>
        <v>Motilada</v>
      </c>
    </row>
    <row r="5" spans="1:6" ht="57" customHeight="1" x14ac:dyDescent="0.25">
      <c r="A5" s="76">
        <v>2</v>
      </c>
      <c r="B5" s="76" t="s">
        <v>211</v>
      </c>
      <c r="C5" s="77" t="s">
        <v>212</v>
      </c>
      <c r="D5" s="78">
        <v>12000</v>
      </c>
      <c r="E5" s="78" t="s">
        <v>210</v>
      </c>
      <c r="F5" s="53" t="str">
        <f>B5</f>
        <v>Corte de barba</v>
      </c>
    </row>
    <row r="6" spans="1:6" ht="57" customHeight="1" x14ac:dyDescent="0.25">
      <c r="A6" s="76">
        <v>3</v>
      </c>
      <c r="B6" s="76" t="s">
        <v>213</v>
      </c>
      <c r="C6" s="77" t="s">
        <v>214</v>
      </c>
      <c r="D6" s="78">
        <v>15000</v>
      </c>
      <c r="E6" s="78" t="s">
        <v>210</v>
      </c>
      <c r="F6" s="53" t="str">
        <f>B6</f>
        <v>Perfilada de barba</v>
      </c>
    </row>
    <row r="7" spans="1:6" ht="57" customHeight="1" x14ac:dyDescent="0.25">
      <c r="A7" s="76">
        <v>4</v>
      </c>
      <c r="B7" s="77" t="s">
        <v>215</v>
      </c>
      <c r="C7" s="77" t="s">
        <v>216</v>
      </c>
      <c r="D7" s="78">
        <v>35000</v>
      </c>
      <c r="E7" s="78" t="s">
        <v>210</v>
      </c>
      <c r="F7" s="65" t="str">
        <f>B7</f>
        <v>Arreglo completo de barba con toalla caliente</v>
      </c>
    </row>
    <row r="13" spans="1:6" ht="28.5" customHeight="1" x14ac:dyDescent="0.25">
      <c r="A13" s="56"/>
      <c r="B13" s="57" t="s">
        <v>120</v>
      </c>
    </row>
    <row r="14" spans="1:6" ht="28.5" customHeight="1" x14ac:dyDescent="0.25">
      <c r="A14" s="58"/>
      <c r="B14" s="57" t="s">
        <v>121</v>
      </c>
    </row>
    <row r="15" spans="1:6" ht="42.75" customHeight="1" x14ac:dyDescent="0.25">
      <c r="A15" s="59"/>
      <c r="B15" s="57" t="s">
        <v>122</v>
      </c>
    </row>
    <row r="16" spans="1:6" ht="28.5" customHeight="1" x14ac:dyDescent="0.25">
      <c r="A16" s="60"/>
      <c r="B16" s="57" t="s">
        <v>123</v>
      </c>
    </row>
    <row r="17" spans="2:2" ht="28.5" customHeight="1" x14ac:dyDescent="0.25">
      <c r="B17" s="57"/>
    </row>
    <row r="18" spans="2:2" ht="28.5" customHeight="1" x14ac:dyDescent="0.25">
      <c r="B18" s="57"/>
    </row>
    <row r="19" spans="2:2" ht="28.5" customHeight="1" x14ac:dyDescent="0.25">
      <c r="B19" s="57"/>
    </row>
  </sheetData>
  <hyperlinks>
    <hyperlink ref="A1" location="'Modelo de Dominio'!A1" display="&lt;&lt;&lt;&lt; Ir al modulo de dominio" xr:uid="{00000000-0004-0000-0D00-000000000000}"/>
    <hyperlink ref="B1" location="'Objetos de Dominio'!A1" display="&lt;&lt;&lt;&lt; Ir a objetos de dominio" xr:uid="{00000000-0004-0000-0D00-000001000000}"/>
  </hyperlink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6"/>
  <sheetViews>
    <sheetView topLeftCell="A4" zoomScale="78" zoomScaleNormal="145" workbookViewId="0">
      <selection activeCell="A15" sqref="A15:R15"/>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30.140625"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5" customHeight="1" x14ac:dyDescent="0.25">
      <c r="A1" s="6" t="s">
        <v>1</v>
      </c>
      <c r="B1" s="6" t="s">
        <v>28</v>
      </c>
    </row>
    <row r="2" spans="1:21" ht="15" customHeight="1" x14ac:dyDescent="0.25">
      <c r="A2" s="16" t="s">
        <v>29</v>
      </c>
      <c r="B2" s="17" t="s">
        <v>30</v>
      </c>
      <c r="C2" s="16" t="s">
        <v>31</v>
      </c>
      <c r="D2" s="16" t="s">
        <v>32</v>
      </c>
      <c r="E2" s="16" t="s">
        <v>33</v>
      </c>
      <c r="F2" s="16" t="s">
        <v>34</v>
      </c>
      <c r="G2" s="16" t="s">
        <v>35</v>
      </c>
      <c r="H2" s="16" t="s">
        <v>36</v>
      </c>
      <c r="I2" s="16" t="s">
        <v>37</v>
      </c>
      <c r="J2" s="16" t="s">
        <v>38</v>
      </c>
      <c r="K2" s="16" t="s">
        <v>39</v>
      </c>
      <c r="L2" s="16" t="s">
        <v>40</v>
      </c>
      <c r="M2" s="17" t="s">
        <v>41</v>
      </c>
      <c r="N2" s="16" t="s">
        <v>42</v>
      </c>
      <c r="O2" s="16" t="s">
        <v>43</v>
      </c>
      <c r="P2" s="16" t="s">
        <v>44</v>
      </c>
      <c r="Q2" s="16" t="s">
        <v>45</v>
      </c>
      <c r="R2" s="16" t="s">
        <v>46</v>
      </c>
      <c r="S2" s="16" t="s">
        <v>47</v>
      </c>
      <c r="T2" s="16" t="s">
        <v>48</v>
      </c>
      <c r="U2" s="16" t="s">
        <v>49</v>
      </c>
    </row>
    <row r="3" spans="1:21" ht="45" customHeight="1" x14ac:dyDescent="0.25">
      <c r="A3" s="18" t="str">
        <f>'M-PrefijoCelular'!A3</f>
        <v>id</v>
      </c>
      <c r="B3" s="19" t="str">
        <f>'M-PrefijoCelular'!A2</f>
        <v>Representa un identificador que hará unico cada objeto de dominio de este tipo, no se puede repetir</v>
      </c>
      <c r="C3" s="18" t="s">
        <v>50</v>
      </c>
      <c r="D3" s="18" t="s">
        <v>51</v>
      </c>
      <c r="E3" s="18" t="s">
        <v>50</v>
      </c>
      <c r="F3" s="18" t="s">
        <v>52</v>
      </c>
      <c r="G3" s="18" t="s">
        <v>52</v>
      </c>
      <c r="H3" s="18" t="s">
        <v>52</v>
      </c>
      <c r="I3" s="18" t="s">
        <v>52</v>
      </c>
      <c r="J3" s="18" t="s">
        <v>52</v>
      </c>
      <c r="K3" s="18" t="s">
        <v>52</v>
      </c>
      <c r="L3" s="18" t="s">
        <v>52</v>
      </c>
      <c r="M3" s="19" t="s">
        <v>52</v>
      </c>
      <c r="N3" s="18" t="s">
        <v>53</v>
      </c>
      <c r="O3" s="18" t="s">
        <v>53</v>
      </c>
      <c r="P3" s="18" t="s">
        <v>52</v>
      </c>
      <c r="Q3" s="18" t="s">
        <v>53</v>
      </c>
      <c r="R3" s="18" t="s">
        <v>53</v>
      </c>
      <c r="S3" s="18" t="s">
        <v>53</v>
      </c>
      <c r="T3" s="18" t="s">
        <v>52</v>
      </c>
      <c r="U3" s="18" t="s">
        <v>50</v>
      </c>
    </row>
    <row r="4" spans="1:21" ht="75" customHeight="1" x14ac:dyDescent="0.25">
      <c r="A4" s="18" t="str">
        <f>'M-PrefijoCelular'!B3</f>
        <v>prefijo</v>
      </c>
      <c r="B4" s="19" t="str">
        <f>'M-PrefijoCelular'!B2</f>
        <v>Representa el prefijo telefónico del país que el dueño habilita para que la barbería pueda atender números de ese país</v>
      </c>
      <c r="C4" s="18" t="s">
        <v>53</v>
      </c>
      <c r="D4" s="18" t="s">
        <v>55</v>
      </c>
      <c r="E4" s="18" t="s">
        <v>50</v>
      </c>
      <c r="F4" s="18">
        <v>2</v>
      </c>
      <c r="G4" s="18">
        <v>6</v>
      </c>
      <c r="H4" s="18" t="s">
        <v>52</v>
      </c>
      <c r="I4" s="18" t="s">
        <v>52</v>
      </c>
      <c r="J4" s="18" t="s">
        <v>52</v>
      </c>
      <c r="K4" s="18" t="s">
        <v>52</v>
      </c>
      <c r="L4" s="19" t="s">
        <v>217</v>
      </c>
      <c r="M4" s="19" t="s">
        <v>218</v>
      </c>
      <c r="N4" s="18" t="s">
        <v>53</v>
      </c>
      <c r="O4" s="18" t="s">
        <v>53</v>
      </c>
      <c r="P4" s="18" t="s">
        <v>52</v>
      </c>
      <c r="Q4" s="18" t="s">
        <v>50</v>
      </c>
      <c r="R4" s="18" t="s">
        <v>50</v>
      </c>
      <c r="S4" s="18" t="s">
        <v>53</v>
      </c>
      <c r="T4" s="18" t="s">
        <v>219</v>
      </c>
      <c r="U4" s="18" t="s">
        <v>53</v>
      </c>
    </row>
    <row r="6" spans="1:21" ht="15" customHeight="1" x14ac:dyDescent="0.25">
      <c r="A6" s="20" t="s">
        <v>58</v>
      </c>
      <c r="B6" s="20" t="s">
        <v>59</v>
      </c>
      <c r="C6" s="20" t="s">
        <v>60</v>
      </c>
    </row>
    <row r="7" spans="1:21" ht="30" customHeight="1" x14ac:dyDescent="0.25">
      <c r="A7" s="21" t="str">
        <f>'M-PrefijoCelular'!C3</f>
        <v xml:space="preserve">Combinación única </v>
      </c>
      <c r="B7" s="22" t="str">
        <f>'M-PrefijoCelular'!C2</f>
        <v>Combinacion única que indica que no puede existir más un mismo prefijo</v>
      </c>
      <c r="C7" s="23" t="s">
        <v>220</v>
      </c>
    </row>
    <row r="9" spans="1:21" x14ac:dyDescent="0.25">
      <c r="A9" s="203" t="s">
        <v>62</v>
      </c>
      <c r="B9" s="203"/>
      <c r="C9" s="197" t="s">
        <v>59</v>
      </c>
      <c r="D9" s="197"/>
      <c r="E9" s="197"/>
      <c r="F9" s="197"/>
      <c r="G9" s="197" t="s">
        <v>63</v>
      </c>
      <c r="H9" s="197"/>
      <c r="I9" s="197"/>
      <c r="J9" s="197" t="s">
        <v>64</v>
      </c>
      <c r="K9" s="197"/>
      <c r="L9" s="197"/>
      <c r="M9" s="197"/>
      <c r="N9" s="197"/>
      <c r="O9" s="197" t="s">
        <v>65</v>
      </c>
      <c r="P9" s="197"/>
      <c r="Q9" s="197" t="s">
        <v>66</v>
      </c>
      <c r="R9" s="197"/>
    </row>
    <row r="10" spans="1:21" x14ac:dyDescent="0.25">
      <c r="A10" s="203"/>
      <c r="B10" s="203"/>
      <c r="C10" s="197"/>
      <c r="D10" s="197"/>
      <c r="E10" s="197"/>
      <c r="F10" s="197"/>
      <c r="G10" s="24" t="s">
        <v>67</v>
      </c>
      <c r="H10" s="24" t="s">
        <v>32</v>
      </c>
      <c r="I10" s="24" t="s">
        <v>59</v>
      </c>
      <c r="J10" s="24" t="s">
        <v>68</v>
      </c>
      <c r="K10" s="200" t="s">
        <v>59</v>
      </c>
      <c r="L10" s="201"/>
      <c r="M10" s="201"/>
      <c r="N10" s="202"/>
      <c r="O10" s="24" t="s">
        <v>69</v>
      </c>
      <c r="P10" s="24" t="s">
        <v>59</v>
      </c>
      <c r="Q10" s="24" t="s">
        <v>70</v>
      </c>
      <c r="R10" s="27" t="s">
        <v>71</v>
      </c>
    </row>
    <row r="11" spans="1:21" ht="68.650000000000006" customHeight="1" x14ac:dyDescent="0.25">
      <c r="A11" s="215" t="s">
        <v>221</v>
      </c>
      <c r="B11" s="216"/>
      <c r="C11" s="219" t="s">
        <v>222</v>
      </c>
      <c r="D11" s="220"/>
      <c r="E11" s="220"/>
      <c r="F11" s="221"/>
      <c r="G11" s="227" t="s">
        <v>223</v>
      </c>
      <c r="H11" s="227" t="s">
        <v>16</v>
      </c>
      <c r="I11" s="229" t="s">
        <v>224</v>
      </c>
      <c r="J11" s="231" t="s">
        <v>16</v>
      </c>
      <c r="K11" s="219" t="s">
        <v>225</v>
      </c>
      <c r="L11" s="220"/>
      <c r="M11" s="220"/>
      <c r="N11" s="221"/>
      <c r="O11" s="28" t="str">
        <f>'P-PrefijoCelular'!A6</f>
        <v>P-PRE-0001</v>
      </c>
      <c r="P11" s="3" t="str">
        <f>'P-PrefijoCelular'!B6</f>
        <v>Asegurar que los datos requeridos (prefijo) sean válidos en tipo de dato, longitud, obligatoriedad y formato</v>
      </c>
      <c r="Q11" s="3" t="s">
        <v>226</v>
      </c>
      <c r="R11" s="31" t="s">
        <v>134</v>
      </c>
    </row>
    <row r="12" spans="1:21" ht="45" x14ac:dyDescent="0.25">
      <c r="A12" s="217"/>
      <c r="B12" s="218"/>
      <c r="C12" s="222"/>
      <c r="D12" s="223"/>
      <c r="E12" s="223"/>
      <c r="F12" s="224"/>
      <c r="G12" s="228"/>
      <c r="H12" s="228"/>
      <c r="I12" s="230"/>
      <c r="J12" s="232"/>
      <c r="K12" s="222"/>
      <c r="L12" s="223"/>
      <c r="M12" s="223"/>
      <c r="N12" s="224"/>
      <c r="O12" s="28" t="str">
        <f>'P-PrefijoCelular'!A7</f>
        <v>P-PRE-0002</v>
      </c>
      <c r="P12" s="3" t="str">
        <f>'P-PrefijoCelular'!B7</f>
        <v>Asegurar que no exista otro prefijo de celular registrado con el mismo valor</v>
      </c>
      <c r="Q12" s="3" t="s">
        <v>227</v>
      </c>
      <c r="R12" s="31" t="s">
        <v>134</v>
      </c>
    </row>
    <row r="13" spans="1:21" ht="68.650000000000006" customHeight="1" x14ac:dyDescent="0.25">
      <c r="A13" s="234" t="s">
        <v>228</v>
      </c>
      <c r="B13" s="235"/>
      <c r="C13" s="238" t="s">
        <v>229</v>
      </c>
      <c r="D13" s="239"/>
      <c r="E13" s="239"/>
      <c r="F13" s="240"/>
      <c r="G13" s="168" t="s">
        <v>110</v>
      </c>
      <c r="H13" s="168" t="s">
        <v>131</v>
      </c>
      <c r="I13" s="169" t="s">
        <v>230</v>
      </c>
      <c r="J13" s="245" t="s">
        <v>16</v>
      </c>
      <c r="K13" s="238" t="s">
        <v>231</v>
      </c>
      <c r="L13" s="239"/>
      <c r="M13" s="239"/>
      <c r="N13" s="240"/>
      <c r="O13" s="168" t="str">
        <f>'P-PrefijoCelular'!A6</f>
        <v>P-PRE-0001</v>
      </c>
      <c r="P13" s="170" t="str">
        <f>'P-PrefijoCelular'!B6</f>
        <v>Asegurar que los datos requeridos (prefijo) sean válidos en tipo de dato, longitud, obligatoriedad y formato</v>
      </c>
      <c r="Q13" s="170" t="s">
        <v>226</v>
      </c>
      <c r="R13" s="171" t="s">
        <v>134</v>
      </c>
    </row>
    <row r="14" spans="1:21" ht="45" x14ac:dyDescent="0.25">
      <c r="A14" s="236"/>
      <c r="B14" s="237"/>
      <c r="C14" s="241"/>
      <c r="D14" s="242"/>
      <c r="E14" s="242"/>
      <c r="F14" s="243"/>
      <c r="G14" s="168" t="s">
        <v>223</v>
      </c>
      <c r="H14" s="168" t="s">
        <v>16</v>
      </c>
      <c r="I14" s="169" t="s">
        <v>232</v>
      </c>
      <c r="J14" s="246"/>
      <c r="K14" s="241"/>
      <c r="L14" s="242"/>
      <c r="M14" s="242"/>
      <c r="N14" s="243"/>
      <c r="O14" s="168" t="str">
        <f>'P-PrefijoCelular'!A7</f>
        <v>P-PRE-0002</v>
      </c>
      <c r="P14" s="170" t="str">
        <f>'P-PrefijoCelular'!B7</f>
        <v>Asegurar que no exista otro prefijo de celular registrado con el mismo valor</v>
      </c>
      <c r="Q14" s="170" t="s">
        <v>227</v>
      </c>
      <c r="R14" s="171" t="s">
        <v>134</v>
      </c>
    </row>
    <row r="15" spans="1:21" ht="55.15" customHeight="1" x14ac:dyDescent="0.25">
      <c r="A15" s="213" t="s">
        <v>233</v>
      </c>
      <c r="B15" s="213"/>
      <c r="C15" s="214" t="s">
        <v>234</v>
      </c>
      <c r="D15" s="214"/>
      <c r="E15" s="214"/>
      <c r="F15" s="214"/>
      <c r="G15" s="173" t="s">
        <v>110</v>
      </c>
      <c r="H15" s="173" t="s">
        <v>131</v>
      </c>
      <c r="I15" s="174" t="s">
        <v>235</v>
      </c>
      <c r="J15" s="175"/>
      <c r="K15" s="214" t="s">
        <v>187</v>
      </c>
      <c r="L15" s="214"/>
      <c r="M15" s="214"/>
      <c r="N15" s="214"/>
      <c r="O15" s="173" t="str">
        <f>'P-PrefijoCelular'!A8</f>
        <v>P-PRE-0003</v>
      </c>
      <c r="P15" s="172" t="str">
        <f>'P-PrefijoCelular'!B8</f>
        <v>Asegurar que el prefijo que se va a retirar no esté siendo usado por ningún barbero ni por ningún cliente</v>
      </c>
      <c r="Q15" s="172" t="s">
        <v>236</v>
      </c>
      <c r="R15" s="176" t="s">
        <v>134</v>
      </c>
    </row>
    <row r="16" spans="1:21" ht="42.6" customHeight="1" x14ac:dyDescent="0.25">
      <c r="A16" s="198" t="s">
        <v>237</v>
      </c>
      <c r="B16" s="198"/>
      <c r="C16" s="199" t="s">
        <v>238</v>
      </c>
      <c r="D16" s="199"/>
      <c r="E16" s="199"/>
      <c r="F16" s="199"/>
      <c r="G16" s="28" t="s">
        <v>74</v>
      </c>
      <c r="H16" s="28" t="s">
        <v>16</v>
      </c>
      <c r="I16" s="29" t="s">
        <v>239</v>
      </c>
      <c r="J16" s="30" t="s">
        <v>240</v>
      </c>
      <c r="K16" s="199" t="s">
        <v>241</v>
      </c>
      <c r="L16" s="199"/>
      <c r="M16" s="199"/>
      <c r="N16" s="199"/>
      <c r="O16" s="28"/>
      <c r="P16" s="3"/>
      <c r="Q16" s="3"/>
      <c r="R16" s="31"/>
    </row>
  </sheetData>
  <mergeCells count="24">
    <mergeCell ref="A13:B14"/>
    <mergeCell ref="C13:F14"/>
    <mergeCell ref="J13:J14"/>
    <mergeCell ref="K13:N14"/>
    <mergeCell ref="Q9:R9"/>
    <mergeCell ref="A11:B12"/>
    <mergeCell ref="C11:F12"/>
    <mergeCell ref="G11:G12"/>
    <mergeCell ref="H11:H12"/>
    <mergeCell ref="I11:I12"/>
    <mergeCell ref="K10:N10"/>
    <mergeCell ref="J11:J12"/>
    <mergeCell ref="K11:N12"/>
    <mergeCell ref="A9:B10"/>
    <mergeCell ref="C9:F10"/>
    <mergeCell ref="G9:I9"/>
    <mergeCell ref="J9:N9"/>
    <mergeCell ref="O9:P9"/>
    <mergeCell ref="A15:B15"/>
    <mergeCell ref="C15:F15"/>
    <mergeCell ref="K15:N15"/>
    <mergeCell ref="A16:B16"/>
    <mergeCell ref="C16:F16"/>
    <mergeCell ref="K16:N16"/>
  </mergeCells>
  <hyperlinks>
    <hyperlink ref="A1" location="'Modelo de Dominio'!A1" display="&lt;&lt;&lt;&lt; Ir al modulo de dominio" xr:uid="{00000000-0004-0000-0E00-000000000000}"/>
    <hyperlink ref="B1" location="'Objetos de Dominio'!A1" display="&lt;&lt;&lt;&lt; Ir a objetos de dominio" xr:uid="{00000000-0004-0000-0E00-000001000000}"/>
    <hyperlink ref="A3" location="'M-PrefijoCelular'!A3" display="#'M-PrefijoCelular'.A3" xr:uid="{00000000-0004-0000-0E00-000002000000}"/>
    <hyperlink ref="B3" location="'M-PrefijoCelular'!A2" display="#'M-PrefijoCelular'.A2" xr:uid="{00000000-0004-0000-0E00-000003000000}"/>
    <hyperlink ref="A4" location="'M-PrefijoCelular'!A3" display="#'M-PrefijoCelular'.A3" xr:uid="{00000000-0004-0000-0E00-000004000000}"/>
    <hyperlink ref="B4" location="'M-PrefijoCelular'!A2" display="#'M-PrefijoCelular'.A2" xr:uid="{00000000-0004-0000-0E00-000005000000}"/>
    <hyperlink ref="A7" location="'M-PrefijoCelular'!A3" display="#'M-PrefijoCelular'.A3" xr:uid="{00000000-0004-0000-0E00-000006000000}"/>
    <hyperlink ref="B7" location="'M-PrefijoCelular'!A2" display="#'M-PrefijoCelular'.A2" xr:uid="{00000000-0004-0000-0E00-000007000000}"/>
  </hyperlink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8"/>
  <sheetViews>
    <sheetView showGridLines="0" zoomScaleNormal="100" workbookViewId="0"/>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Dominio'!A6</f>
        <v>PrefijoCelular</v>
      </c>
      <c r="C2" s="209"/>
      <c r="D2" s="209"/>
      <c r="E2" s="209"/>
    </row>
    <row r="3" spans="1:5" ht="30" customHeight="1" x14ac:dyDescent="0.25">
      <c r="A3" s="35" t="s">
        <v>82</v>
      </c>
      <c r="B3" s="210" t="str">
        <f>'Objetos de Dominio'!B6</f>
        <v>Representa el catálogo de prefijos telefónicos de país que el dueño habilita, y que son los únicos que barberos y clientes pueden usar en su número de celular.</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28.5" customHeight="1" x14ac:dyDescent="0.25">
      <c r="A6" s="10" t="s">
        <v>242</v>
      </c>
      <c r="B6" s="247" t="s">
        <v>243</v>
      </c>
      <c r="C6" s="247"/>
      <c r="D6" s="36" t="s">
        <v>16</v>
      </c>
      <c r="E6" s="36"/>
    </row>
    <row r="7" spans="1:5" ht="28.5" customHeight="1" x14ac:dyDescent="0.25">
      <c r="A7" s="10" t="s">
        <v>244</v>
      </c>
      <c r="B7" s="247" t="s">
        <v>245</v>
      </c>
      <c r="C7" s="247"/>
      <c r="D7" s="36" t="s">
        <v>16</v>
      </c>
      <c r="E7" s="36"/>
    </row>
    <row r="8" spans="1:5" ht="28.5" customHeight="1" x14ac:dyDescent="0.25">
      <c r="A8" s="10" t="s">
        <v>246</v>
      </c>
      <c r="B8" s="247" t="s">
        <v>247</v>
      </c>
      <c r="C8" s="247"/>
      <c r="D8" s="36" t="s">
        <v>16</v>
      </c>
      <c r="E8" s="36"/>
    </row>
  </sheetData>
  <mergeCells count="9">
    <mergeCell ref="B7:C7"/>
    <mergeCell ref="B8:C8"/>
    <mergeCell ref="B2:E2"/>
    <mergeCell ref="B3:E3"/>
    <mergeCell ref="A4:A5"/>
    <mergeCell ref="B4:C5"/>
    <mergeCell ref="D4:D5"/>
    <mergeCell ref="E4:E5"/>
    <mergeCell ref="B6:C6"/>
  </mergeCells>
  <hyperlinks>
    <hyperlink ref="A1" location="'Modelo de Dominio'!A1" display="&lt;&lt; Ir al modelo de dominio" xr:uid="{00000000-0004-0000-0F00-000000000000}"/>
    <hyperlink ref="B1" location="'Objetos de Dominio'!A1" display="&lt;&lt; Ir al listado de objetos de dominio" xr:uid="{00000000-0004-0000-0F00-000001000000}"/>
    <hyperlink ref="C1" location="'C-PrefijoCelular'!A1" display="&lt;&lt; Ir a la caracterización del objeto de dominio" xr:uid="{00000000-0004-0000-0F00-000002000000}"/>
    <hyperlink ref="D1" location="'M-PrefijoCelular'!A1" display="Ir al muestreo de datos del objeto de dominio &gt;&gt;" xr:uid="{00000000-0004-0000-0F00-000003000000}"/>
    <hyperlink ref="E1" location="'E-PrefijoCelular'!A1" display="Ir al event storming del objeto de dominio &gt;&gt;" xr:uid="{00000000-0004-0000-0F00-000004000000}"/>
  </hyperlink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4"/>
  <sheetViews>
    <sheetView showGridLines="0"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33.710937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4" t="s">
        <v>81</v>
      </c>
      <c r="B2" s="196" t="str">
        <f>'Objetos de Dominio'!A6</f>
        <v>PrefijoCelular</v>
      </c>
      <c r="C2" s="196"/>
      <c r="D2" s="196"/>
      <c r="E2" s="196"/>
      <c r="F2" s="196"/>
      <c r="G2" s="196"/>
      <c r="H2" s="196"/>
      <c r="I2" s="196"/>
      <c r="J2" s="196"/>
      <c r="K2" s="196"/>
    </row>
    <row r="3" spans="1:11" ht="30" customHeight="1" x14ac:dyDescent="0.25">
      <c r="A3" s="35" t="s">
        <v>82</v>
      </c>
      <c r="B3" s="186" t="str">
        <f>'Objetos de Dominio'!B6</f>
        <v>Representa el catálogo de prefijos telefónicos de país que el dueño habilita, y que son los únicos que barberos y clientes pueden usar en su número de celular.</v>
      </c>
      <c r="C3" s="186"/>
      <c r="D3" s="186"/>
      <c r="E3" s="186"/>
      <c r="F3" s="186"/>
      <c r="G3" s="186"/>
      <c r="H3" s="186"/>
      <c r="I3" s="186"/>
      <c r="J3" s="186"/>
      <c r="K3" s="186"/>
    </row>
    <row r="4" spans="1:11" ht="34.5" customHeight="1" x14ac:dyDescent="0.25">
      <c r="A4" s="39" t="s">
        <v>88</v>
      </c>
      <c r="B4" s="187" t="s">
        <v>89</v>
      </c>
      <c r="C4" s="187"/>
      <c r="D4" s="40" t="s">
        <v>90</v>
      </c>
      <c r="E4" s="188" t="s">
        <v>91</v>
      </c>
      <c r="F4" s="188"/>
      <c r="G4" s="189" t="s">
        <v>92</v>
      </c>
      <c r="H4" s="189"/>
      <c r="I4" s="42" t="s">
        <v>93</v>
      </c>
      <c r="J4" s="43" t="s">
        <v>94</v>
      </c>
      <c r="K4" s="44" t="s">
        <v>95</v>
      </c>
    </row>
    <row r="5" spans="1:11" ht="15" customHeight="1" x14ac:dyDescent="0.25">
      <c r="A5" s="190" t="s">
        <v>88</v>
      </c>
      <c r="B5" s="187" t="s">
        <v>96</v>
      </c>
      <c r="C5" s="187" t="s">
        <v>59</v>
      </c>
      <c r="D5" s="191" t="s">
        <v>97</v>
      </c>
      <c r="E5" s="188" t="s">
        <v>98</v>
      </c>
      <c r="F5" s="188"/>
      <c r="G5" s="189" t="s">
        <v>99</v>
      </c>
      <c r="H5" s="189"/>
      <c r="I5" s="192" t="s">
        <v>100</v>
      </c>
      <c r="J5" s="193" t="s">
        <v>101</v>
      </c>
      <c r="K5" s="194" t="s">
        <v>102</v>
      </c>
    </row>
    <row r="6" spans="1:11" ht="15" customHeight="1" x14ac:dyDescent="0.25">
      <c r="A6" s="190"/>
      <c r="B6" s="190"/>
      <c r="C6" s="190"/>
      <c r="D6" s="190"/>
      <c r="E6" s="41" t="s">
        <v>103</v>
      </c>
      <c r="F6" s="41" t="s">
        <v>59</v>
      </c>
      <c r="G6" s="45" t="s">
        <v>104</v>
      </c>
      <c r="H6" s="45" t="s">
        <v>59</v>
      </c>
      <c r="I6" s="192"/>
      <c r="J6" s="192"/>
      <c r="K6" s="192"/>
    </row>
    <row r="7" spans="1:11" ht="41.25" customHeight="1" x14ac:dyDescent="0.25">
      <c r="A7" s="204" t="s">
        <v>105</v>
      </c>
      <c r="B7" s="244" t="s">
        <v>221</v>
      </c>
      <c r="C7" s="244" t="s">
        <v>222</v>
      </c>
      <c r="D7" s="204" t="str">
        <f>$B$2</f>
        <v>PrefijoCelular</v>
      </c>
      <c r="E7" s="46"/>
      <c r="F7" s="46"/>
      <c r="G7" s="2" t="str">
        <f>'P-PrefijoCelular'!A6</f>
        <v>P-PRE-0001</v>
      </c>
      <c r="H7" s="79" t="str">
        <f>'P-PrefijoCelular'!B6</f>
        <v>Asegurar que los datos requeridos (prefijo) sean válidos en tipo de dato, longitud, obligatoriedad y formato</v>
      </c>
      <c r="I7" s="204"/>
      <c r="J7" s="244" t="s">
        <v>248</v>
      </c>
      <c r="K7" s="244"/>
    </row>
    <row r="8" spans="1:11" ht="27" customHeight="1" x14ac:dyDescent="0.25">
      <c r="A8" s="204"/>
      <c r="B8" s="204"/>
      <c r="C8" s="204"/>
      <c r="D8" s="204"/>
      <c r="E8" s="46"/>
      <c r="F8" s="46"/>
      <c r="G8" s="2" t="str">
        <f>'P-PrefijoCelular'!A7</f>
        <v>P-PRE-0002</v>
      </c>
      <c r="H8" s="79" t="str">
        <f>'P-PrefijoCelular'!B7</f>
        <v>Asegurar que no exista otro prefijo de celular registrado con el mismo valor</v>
      </c>
      <c r="I8" s="204"/>
      <c r="J8" s="204"/>
      <c r="K8" s="204"/>
    </row>
    <row r="9" spans="1:11" ht="41.25" customHeight="1" x14ac:dyDescent="0.25">
      <c r="A9" s="204" t="s">
        <v>105</v>
      </c>
      <c r="B9" s="244" t="s">
        <v>228</v>
      </c>
      <c r="C9" s="244" t="s">
        <v>229</v>
      </c>
      <c r="D9" s="204" t="str">
        <f>$B$2</f>
        <v>PrefijoCelular</v>
      </c>
      <c r="E9" s="46"/>
      <c r="F9" s="46"/>
      <c r="G9" s="2" t="str">
        <f>'P-PrefijoCelular'!A6</f>
        <v>P-PRE-0001</v>
      </c>
      <c r="H9" s="79" t="str">
        <f>'P-PrefijoCelular'!B6</f>
        <v>Asegurar que los datos requeridos (prefijo) sean válidos en tipo de dato, longitud, obligatoriedad y formato</v>
      </c>
      <c r="I9" s="204"/>
      <c r="J9" s="244" t="s">
        <v>249</v>
      </c>
      <c r="K9" s="244"/>
    </row>
    <row r="10" spans="1:11" ht="27" customHeight="1" x14ac:dyDescent="0.25">
      <c r="A10" s="204"/>
      <c r="B10" s="204"/>
      <c r="C10" s="204"/>
      <c r="D10" s="204"/>
      <c r="E10" s="46"/>
      <c r="F10" s="46"/>
      <c r="G10" s="2" t="str">
        <f>'P-PrefijoCelular'!A7</f>
        <v>P-PRE-0002</v>
      </c>
      <c r="H10" s="79" t="str">
        <f>'P-PrefijoCelular'!B7</f>
        <v>Asegurar que no exista otro prefijo de celular registrado con el mismo valor</v>
      </c>
      <c r="I10" s="204"/>
      <c r="J10" s="204"/>
      <c r="K10" s="204"/>
    </row>
    <row r="11" spans="1:11" ht="41.25" customHeight="1" x14ac:dyDescent="0.25">
      <c r="A11" s="2" t="s">
        <v>105</v>
      </c>
      <c r="B11" s="46" t="s">
        <v>233</v>
      </c>
      <c r="C11" s="46" t="s">
        <v>234</v>
      </c>
      <c r="D11" s="2" t="str">
        <f>$B$2</f>
        <v>PrefijoCelular</v>
      </c>
      <c r="E11" s="46"/>
      <c r="F11" s="46"/>
      <c r="G11" s="2" t="str">
        <f>'P-PrefijoCelular'!A8</f>
        <v>P-PRE-0003</v>
      </c>
      <c r="H11" s="79" t="str">
        <f>'P-PrefijoCelular'!B8</f>
        <v>Asegurar que el prefijo que se va a retirar no esté siendo usado por ningún barbero ni por ningún cliente</v>
      </c>
      <c r="I11" s="2"/>
      <c r="J11" s="46" t="s">
        <v>250</v>
      </c>
      <c r="K11" s="46"/>
    </row>
    <row r="12" spans="1:11" ht="27" customHeight="1" x14ac:dyDescent="0.25">
      <c r="A12" s="2" t="s">
        <v>105</v>
      </c>
      <c r="B12" s="46" t="s">
        <v>237</v>
      </c>
      <c r="C12" s="46" t="s">
        <v>238</v>
      </c>
      <c r="D12" s="2" t="str">
        <f>$B$2</f>
        <v>PrefijoCelular</v>
      </c>
      <c r="E12" s="46"/>
      <c r="F12" s="46"/>
      <c r="G12" s="2"/>
      <c r="H12" s="47"/>
      <c r="I12" s="2"/>
      <c r="J12" s="46" t="s">
        <v>251</v>
      </c>
      <c r="K12" s="46"/>
    </row>
    <row r="13" spans="1:11" ht="27" customHeight="1" x14ac:dyDescent="0.25">
      <c r="A13" s="2" t="s">
        <v>18</v>
      </c>
      <c r="B13" s="46" t="s">
        <v>237</v>
      </c>
      <c r="C13" s="46" t="s">
        <v>252</v>
      </c>
      <c r="D13" s="2" t="str">
        <f>$B$2</f>
        <v>PrefijoCelular</v>
      </c>
      <c r="E13" s="46"/>
      <c r="F13" s="46"/>
      <c r="G13" s="2"/>
      <c r="H13" s="47"/>
      <c r="I13" s="2"/>
      <c r="J13" s="46" t="s">
        <v>251</v>
      </c>
      <c r="K13" s="46"/>
    </row>
    <row r="14" spans="1:11" ht="27" customHeight="1" x14ac:dyDescent="0.25">
      <c r="A14" s="2" t="s">
        <v>19</v>
      </c>
      <c r="B14" s="46" t="s">
        <v>237</v>
      </c>
      <c r="C14" s="46" t="s">
        <v>252</v>
      </c>
      <c r="D14" s="2" t="str">
        <f>$B$2</f>
        <v>PrefijoCelular</v>
      </c>
      <c r="E14" s="46"/>
      <c r="F14" s="46"/>
      <c r="G14" s="2"/>
      <c r="H14" s="47"/>
      <c r="I14" s="2"/>
      <c r="J14" s="46" t="s">
        <v>251</v>
      </c>
      <c r="K14" s="46"/>
    </row>
  </sheetData>
  <mergeCells count="32">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J7:J8"/>
    <mergeCell ref="K7:K8"/>
    <mergeCell ref="A9:A10"/>
    <mergeCell ref="B9:B10"/>
    <mergeCell ref="C9:C10"/>
    <mergeCell ref="D9:D10"/>
    <mergeCell ref="I9:I10"/>
    <mergeCell ref="J9:J10"/>
    <mergeCell ref="K9:K10"/>
    <mergeCell ref="A7:A8"/>
    <mergeCell ref="B7:B8"/>
    <mergeCell ref="C7:C8"/>
    <mergeCell ref="D7:D8"/>
    <mergeCell ref="I7:I8"/>
  </mergeCells>
  <hyperlinks>
    <hyperlink ref="A1" location="'Modelo de Dominio'!A1" display="&lt;&lt; Ir al modelo de dominio" xr:uid="{00000000-0004-0000-1000-000000000000}"/>
    <hyperlink ref="C1" location="'Objetos de Dominio'!A1" display="&lt;&lt; Ir al listado de objetos de dominio" xr:uid="{00000000-0004-0000-1000-000001000000}"/>
    <hyperlink ref="F1" location="'C-PrefijoCelular'!A1" display="&lt;&lt; Ir a la caracterización del objeto de dominio" xr:uid="{00000000-0004-0000-1000-000002000000}"/>
    <hyperlink ref="J1" location="'M-PrefijoCelular'!A1" display="Ir al muestreo de datos del objeto de dominio &gt;&gt;" xr:uid="{00000000-0004-0000-1000-000003000000}"/>
  </hyperlink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6"/>
  <sheetViews>
    <sheetView zoomScaleNormal="100" workbookViewId="0"/>
  </sheetViews>
  <sheetFormatPr baseColWidth="10" defaultColWidth="8.7109375" defaultRowHeight="15" x14ac:dyDescent="0.25"/>
  <cols>
    <col min="1" max="1" width="27" customWidth="1"/>
    <col min="2" max="2" width="26.140625" customWidth="1"/>
    <col min="3" max="3" width="19.7109375" customWidth="1"/>
  </cols>
  <sheetData>
    <row r="1" spans="1:3" ht="14.25" customHeight="1" x14ac:dyDescent="0.25">
      <c r="A1" s="6" t="s">
        <v>1</v>
      </c>
      <c r="B1" s="6" t="s">
        <v>28</v>
      </c>
    </row>
    <row r="2" spans="1:3" ht="31.5" customHeight="1" x14ac:dyDescent="0.25">
      <c r="A2" s="48" t="s">
        <v>107</v>
      </c>
      <c r="B2" s="48" t="s">
        <v>253</v>
      </c>
      <c r="C2" s="49" t="s">
        <v>254</v>
      </c>
    </row>
    <row r="3" spans="1:3" ht="14.25" customHeight="1" x14ac:dyDescent="0.25">
      <c r="A3" s="50" t="s">
        <v>110</v>
      </c>
      <c r="B3" s="51" t="s">
        <v>220</v>
      </c>
      <c r="C3" s="52" t="s">
        <v>111</v>
      </c>
    </row>
    <row r="4" spans="1:3" ht="14.25" customHeight="1" x14ac:dyDescent="0.25">
      <c r="A4" s="53">
        <v>1</v>
      </c>
      <c r="B4" s="53" t="s">
        <v>255</v>
      </c>
      <c r="C4" s="53" t="str">
        <f>B4</f>
        <v>+57</v>
      </c>
    </row>
    <row r="5" spans="1:3" ht="14.25" customHeight="1" x14ac:dyDescent="0.25">
      <c r="A5" s="53">
        <v>2</v>
      </c>
      <c r="B5" s="53" t="s">
        <v>256</v>
      </c>
      <c r="C5" s="53" t="str">
        <f>B5</f>
        <v>+91</v>
      </c>
    </row>
    <row r="6" spans="1:3" ht="14.25" customHeight="1" x14ac:dyDescent="0.25">
      <c r="A6" s="53">
        <v>3</v>
      </c>
      <c r="B6" s="53" t="s">
        <v>257</v>
      </c>
      <c r="C6" s="53" t="str">
        <f>B6</f>
        <v>+593</v>
      </c>
    </row>
    <row r="7" spans="1:3" ht="14.25" customHeight="1" x14ac:dyDescent="0.25">
      <c r="A7" s="53">
        <v>4</v>
      </c>
      <c r="B7" s="53" t="s">
        <v>258</v>
      </c>
      <c r="C7" s="53" t="str">
        <f>B7</f>
        <v>+58</v>
      </c>
    </row>
    <row r="8" spans="1:3" ht="14.25" customHeight="1" x14ac:dyDescent="0.25">
      <c r="A8" s="55"/>
      <c r="B8" s="55"/>
    </row>
    <row r="9" spans="1:3" ht="14.25" customHeight="1" x14ac:dyDescent="0.25">
      <c r="A9" s="55"/>
      <c r="B9" s="55"/>
    </row>
    <row r="13" spans="1:3" ht="28.5" customHeight="1" x14ac:dyDescent="0.25">
      <c r="A13" s="56"/>
      <c r="B13" s="57" t="s">
        <v>120</v>
      </c>
    </row>
    <row r="14" spans="1:3" ht="28.5" customHeight="1" x14ac:dyDescent="0.25">
      <c r="A14" s="58"/>
      <c r="B14" s="57" t="s">
        <v>121</v>
      </c>
    </row>
    <row r="15" spans="1:3" ht="28.5" customHeight="1" x14ac:dyDescent="0.25">
      <c r="A15" s="59"/>
      <c r="B15" s="57" t="s">
        <v>122</v>
      </c>
    </row>
    <row r="16" spans="1:3" ht="28.5" customHeight="1" x14ac:dyDescent="0.25">
      <c r="A16" s="60"/>
      <c r="B16" s="57" t="s">
        <v>123</v>
      </c>
    </row>
  </sheetData>
  <hyperlinks>
    <hyperlink ref="A1" location="'Modelo de Dominio'!A1" display="&lt;&lt;&lt;&lt; Ir al modulo de dominio" xr:uid="{00000000-0004-0000-1100-000000000000}"/>
    <hyperlink ref="B1" location="'Objetos de Dominio'!A1" display="&lt;&lt;&lt;&lt; Ir a objetos de dominio" xr:uid="{00000000-0004-0000-1100-000001000000}"/>
  </hyperlink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2"/>
  <sheetViews>
    <sheetView zoomScaleNormal="100" workbookViewId="0">
      <selection activeCell="K11" sqref="K11:N11"/>
    </sheetView>
  </sheetViews>
  <sheetFormatPr baseColWidth="10" defaultColWidth="8.7109375" defaultRowHeight="15" x14ac:dyDescent="0.25"/>
  <cols>
    <col min="1" max="1" width="26.7109375" customWidth="1"/>
    <col min="2" max="2" width="45" customWidth="1"/>
    <col min="3" max="3" width="33.28515625" bestFit="1"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s>
  <sheetData>
    <row r="1" spans="1:21" ht="15" customHeight="1" x14ac:dyDescent="0.25">
      <c r="A1" s="6" t="s">
        <v>1</v>
      </c>
      <c r="B1" s="6" t="s">
        <v>28</v>
      </c>
    </row>
    <row r="2" spans="1:21" ht="15" customHeight="1" x14ac:dyDescent="0.25">
      <c r="A2" s="16" t="s">
        <v>29</v>
      </c>
      <c r="B2" s="17" t="s">
        <v>30</v>
      </c>
      <c r="C2" s="16" t="s">
        <v>31</v>
      </c>
      <c r="D2" s="16" t="s">
        <v>32</v>
      </c>
      <c r="E2" s="16" t="s">
        <v>33</v>
      </c>
      <c r="F2" s="16" t="s">
        <v>34</v>
      </c>
      <c r="G2" s="16" t="s">
        <v>35</v>
      </c>
      <c r="H2" s="16" t="s">
        <v>36</v>
      </c>
      <c r="I2" s="16" t="s">
        <v>37</v>
      </c>
      <c r="J2" s="16" t="s">
        <v>38</v>
      </c>
      <c r="K2" s="16" t="s">
        <v>39</v>
      </c>
      <c r="L2" s="16" t="s">
        <v>40</v>
      </c>
      <c r="M2" s="17" t="s">
        <v>41</v>
      </c>
      <c r="N2" s="16" t="s">
        <v>42</v>
      </c>
      <c r="O2" s="16" t="s">
        <v>43</v>
      </c>
      <c r="P2" s="16" t="s">
        <v>44</v>
      </c>
      <c r="Q2" s="16" t="s">
        <v>45</v>
      </c>
      <c r="R2" s="16" t="s">
        <v>46</v>
      </c>
      <c r="S2" s="16" t="s">
        <v>47</v>
      </c>
      <c r="T2" s="16" t="s">
        <v>48</v>
      </c>
      <c r="U2" s="16" t="s">
        <v>49</v>
      </c>
    </row>
    <row r="3" spans="1:21" ht="45" customHeight="1" x14ac:dyDescent="0.25">
      <c r="A3" s="18" t="str">
        <f>'M-TipoMulta'!A3</f>
        <v>id</v>
      </c>
      <c r="B3" s="19" t="str">
        <f>'M-TipoMulta'!A2</f>
        <v>Representa un identificador que hará unico cada objeto de dominio de este tipo, no se puede repetir</v>
      </c>
      <c r="C3" s="18" t="s">
        <v>50</v>
      </c>
      <c r="D3" s="18" t="s">
        <v>51</v>
      </c>
      <c r="E3" s="18" t="s">
        <v>50</v>
      </c>
      <c r="F3" s="18" t="s">
        <v>52</v>
      </c>
      <c r="G3" s="18" t="s">
        <v>52</v>
      </c>
      <c r="H3" s="18" t="s">
        <v>52</v>
      </c>
      <c r="I3" s="18" t="s">
        <v>52</v>
      </c>
      <c r="J3" s="18" t="s">
        <v>52</v>
      </c>
      <c r="K3" s="18" t="s">
        <v>52</v>
      </c>
      <c r="L3" s="18" t="s">
        <v>52</v>
      </c>
      <c r="M3" s="18" t="s">
        <v>52</v>
      </c>
      <c r="N3" s="18" t="s">
        <v>53</v>
      </c>
      <c r="O3" s="18" t="s">
        <v>53</v>
      </c>
      <c r="P3" s="18" t="s">
        <v>52</v>
      </c>
      <c r="Q3" s="18" t="s">
        <v>53</v>
      </c>
      <c r="R3" s="18" t="s">
        <v>53</v>
      </c>
      <c r="S3" s="18" t="s">
        <v>53</v>
      </c>
      <c r="T3" s="18" t="s">
        <v>54</v>
      </c>
      <c r="U3" s="18" t="s">
        <v>50</v>
      </c>
    </row>
    <row r="4" spans="1:21" ht="15" customHeight="1" x14ac:dyDescent="0.25">
      <c r="A4" s="18" t="str">
        <f>'M-TipoMulta'!B3</f>
        <v>nombre</v>
      </c>
      <c r="B4" s="19" t="str">
        <f>'M-TipoMulta'!B2</f>
        <v>Representa el nombre del tipo de multa</v>
      </c>
      <c r="C4" s="18" t="s">
        <v>53</v>
      </c>
      <c r="D4" s="18" t="s">
        <v>55</v>
      </c>
      <c r="E4" s="18" t="s">
        <v>50</v>
      </c>
      <c r="F4" s="18">
        <v>4</v>
      </c>
      <c r="G4" s="18">
        <v>50</v>
      </c>
      <c r="H4" s="18" t="s">
        <v>52</v>
      </c>
      <c r="I4" s="18" t="s">
        <v>52</v>
      </c>
      <c r="J4" s="18" t="s">
        <v>52</v>
      </c>
      <c r="K4" s="18" t="s">
        <v>52</v>
      </c>
      <c r="L4" s="18" t="s">
        <v>52</v>
      </c>
      <c r="M4" s="18" t="s">
        <v>52</v>
      </c>
      <c r="N4" s="18" t="s">
        <v>53</v>
      </c>
      <c r="O4" s="18" t="s">
        <v>53</v>
      </c>
      <c r="P4" s="18" t="s">
        <v>52</v>
      </c>
      <c r="Q4" s="18" t="s">
        <v>50</v>
      </c>
      <c r="R4" s="18" t="s">
        <v>50</v>
      </c>
      <c r="S4" s="18" t="s">
        <v>53</v>
      </c>
      <c r="T4" s="18" t="s">
        <v>57</v>
      </c>
      <c r="U4" s="18" t="s">
        <v>53</v>
      </c>
    </row>
    <row r="5" spans="1:21" ht="15" customHeight="1" x14ac:dyDescent="0.25">
      <c r="A5" s="18" t="str">
        <f>'M-TipoMulta'!C3</f>
        <v>descripcion</v>
      </c>
      <c r="B5" s="19" t="str">
        <f>'M-TipoMulta'!C2</f>
        <v>Representa que hace cada tipo de multa</v>
      </c>
      <c r="C5" s="18" t="s">
        <v>53</v>
      </c>
      <c r="D5" s="18" t="s">
        <v>55</v>
      </c>
      <c r="E5" s="18" t="s">
        <v>50</v>
      </c>
      <c r="F5" s="18">
        <v>10</v>
      </c>
      <c r="G5" s="18">
        <v>300</v>
      </c>
      <c r="H5" s="18" t="s">
        <v>52</v>
      </c>
      <c r="I5" s="18" t="s">
        <v>52</v>
      </c>
      <c r="J5" s="18" t="s">
        <v>52</v>
      </c>
      <c r="K5" s="18" t="s">
        <v>52</v>
      </c>
      <c r="L5" s="18" t="s">
        <v>52</v>
      </c>
      <c r="M5" s="18" t="s">
        <v>52</v>
      </c>
      <c r="N5" s="18" t="s">
        <v>53</v>
      </c>
      <c r="O5" s="18" t="s">
        <v>53</v>
      </c>
      <c r="P5" s="18" t="s">
        <v>52</v>
      </c>
      <c r="Q5" s="18" t="s">
        <v>50</v>
      </c>
      <c r="R5" s="18" t="s">
        <v>50</v>
      </c>
      <c r="S5" s="18" t="s">
        <v>53</v>
      </c>
      <c r="T5" s="18" t="s">
        <v>57</v>
      </c>
      <c r="U5" s="18" t="s">
        <v>53</v>
      </c>
    </row>
    <row r="7" spans="1:21" ht="15" customHeight="1" x14ac:dyDescent="0.25">
      <c r="A7" s="20" t="s">
        <v>58</v>
      </c>
      <c r="B7" s="20" t="s">
        <v>59</v>
      </c>
      <c r="C7" s="20" t="s">
        <v>60</v>
      </c>
    </row>
    <row r="8" spans="1:21" ht="30" customHeight="1" x14ac:dyDescent="0.25">
      <c r="A8" s="21" t="str">
        <f>'M-TipoMulta'!D3</f>
        <v>Combinación única</v>
      </c>
      <c r="B8" s="22" t="str">
        <f>'M-TipoMulta'!D2</f>
        <v xml:space="preserve">Combinación única indica que no puede existir más de un tipo de multa con el mismo nombre </v>
      </c>
      <c r="C8" s="23" t="s">
        <v>61</v>
      </c>
    </row>
    <row r="10" spans="1:21" x14ac:dyDescent="0.25">
      <c r="A10" s="203" t="s">
        <v>62</v>
      </c>
      <c r="B10" s="203"/>
      <c r="C10" s="197" t="s">
        <v>59</v>
      </c>
      <c r="D10" s="197"/>
      <c r="E10" s="197"/>
      <c r="F10" s="197"/>
      <c r="G10" s="197" t="s">
        <v>63</v>
      </c>
      <c r="H10" s="197"/>
      <c r="I10" s="197"/>
      <c r="J10" s="197" t="s">
        <v>64</v>
      </c>
      <c r="K10" s="197"/>
      <c r="L10" s="197"/>
      <c r="M10" s="197"/>
      <c r="N10" s="197"/>
      <c r="O10" s="197" t="s">
        <v>65</v>
      </c>
      <c r="P10" s="197"/>
      <c r="Q10" s="197" t="s">
        <v>66</v>
      </c>
      <c r="R10" s="197"/>
    </row>
    <row r="11" spans="1:21" x14ac:dyDescent="0.25">
      <c r="A11" s="203"/>
      <c r="B11" s="203"/>
      <c r="C11" s="197"/>
      <c r="D11" s="197"/>
      <c r="E11" s="197"/>
      <c r="F11" s="197"/>
      <c r="G11" s="24" t="s">
        <v>67</v>
      </c>
      <c r="H11" s="24" t="s">
        <v>32</v>
      </c>
      <c r="I11" s="24" t="s">
        <v>59</v>
      </c>
      <c r="J11" s="24" t="s">
        <v>68</v>
      </c>
      <c r="K11" s="200" t="s">
        <v>59</v>
      </c>
      <c r="L11" s="201"/>
      <c r="M11" s="201"/>
      <c r="N11" s="202"/>
      <c r="O11" s="24" t="s">
        <v>69</v>
      </c>
      <c r="P11" s="24" t="s">
        <v>59</v>
      </c>
      <c r="Q11" s="24" t="s">
        <v>70</v>
      </c>
      <c r="R11" s="27" t="s">
        <v>71</v>
      </c>
    </row>
    <row r="12" spans="1:21" ht="35.1" customHeight="1" x14ac:dyDescent="0.25">
      <c r="A12" s="198" t="s">
        <v>259</v>
      </c>
      <c r="B12" s="198"/>
      <c r="C12" s="199" t="s">
        <v>260</v>
      </c>
      <c r="D12" s="199"/>
      <c r="E12" s="199"/>
      <c r="F12" s="199"/>
      <c r="G12" s="28" t="s">
        <v>74</v>
      </c>
      <c r="H12" s="28" t="s">
        <v>17</v>
      </c>
      <c r="I12" s="29" t="s">
        <v>261</v>
      </c>
      <c r="J12" s="30" t="s">
        <v>262</v>
      </c>
      <c r="K12" s="199" t="s">
        <v>263</v>
      </c>
      <c r="L12" s="199"/>
      <c r="M12" s="199"/>
      <c r="N12" s="199"/>
      <c r="O12" s="28"/>
      <c r="P12" s="3"/>
      <c r="Q12" s="3"/>
      <c r="R12" s="31"/>
    </row>
  </sheetData>
  <mergeCells count="10">
    <mergeCell ref="Q10:R10"/>
    <mergeCell ref="A12:B12"/>
    <mergeCell ref="C12:F12"/>
    <mergeCell ref="K12:N12"/>
    <mergeCell ref="K11:N11"/>
    <mergeCell ref="A10:B11"/>
    <mergeCell ref="C10:F11"/>
    <mergeCell ref="G10:I10"/>
    <mergeCell ref="J10:N10"/>
    <mergeCell ref="O10:P10"/>
  </mergeCells>
  <hyperlinks>
    <hyperlink ref="A1" location="'Modelo de Dominio'!A1" display="&lt;&lt;&lt;&lt; Ir al modulo de dominio" xr:uid="{00000000-0004-0000-1200-000000000000}"/>
    <hyperlink ref="B1" location="'Objetos de Dominio'!A1" display="&lt;&lt;&lt;&lt; Ir a objetos de dominio" xr:uid="{00000000-0004-0000-1200-000001000000}"/>
    <hyperlink ref="A3" location="'M-TipoMulta'!A3" display="#'M-TipoMulta'.A3" xr:uid="{00000000-0004-0000-1200-000002000000}"/>
    <hyperlink ref="B3" location="'M-TipoMulta'!A2" display="#'M-TipoMulta'.A2" xr:uid="{00000000-0004-0000-1200-000003000000}"/>
    <hyperlink ref="A4" location="'M-TipoMulta'!A3" display="#'M-TipoMulta'.A3" xr:uid="{00000000-0004-0000-1200-000004000000}"/>
    <hyperlink ref="B4" location="'M-TipoMulta'!A2" display="#'M-TipoMulta'.A2" xr:uid="{00000000-0004-0000-1200-000005000000}"/>
    <hyperlink ref="A5" location="'M-TipoMulta'!A3" display="#'M-TipoMulta'.A3" xr:uid="{00000000-0004-0000-1200-000006000000}"/>
    <hyperlink ref="B5" location="'M-TipoMulta'!A2" display="#'M-TipoMulta'.A2" xr:uid="{00000000-0004-0000-1200-000007000000}"/>
    <hyperlink ref="A8" location="'M-TipoMulta'!A3" display="#'M-TipoMulta'.A3" xr:uid="{00000000-0004-0000-1200-000008000000}"/>
    <hyperlink ref="B8" location="'M-TipoMulta'!A2" display="#'M-TipoMulta'.A2" xr:uid="{00000000-0004-0000-1200-000009000000}"/>
  </hyperlink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6"/>
  <sheetViews>
    <sheetView showGridLines="0" zoomScaleNormal="100" workbookViewId="0">
      <selection activeCell="A2" sqref="A2"/>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Dominio'!A7</f>
        <v>TipoMulta</v>
      </c>
      <c r="C2" s="209"/>
      <c r="D2" s="209"/>
      <c r="E2" s="209"/>
    </row>
    <row r="3" spans="1:5" ht="30" customHeight="1" x14ac:dyDescent="0.25">
      <c r="A3" s="35" t="s">
        <v>82</v>
      </c>
      <c r="B3" s="210" t="str">
        <f>'Objetos de Dominio'!B7</f>
        <v>Representa los tipos de multa que puede recibir un cliente: por tardanza o por inasistencia.</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30" customHeight="1" x14ac:dyDescent="0.25">
      <c r="A6" s="10"/>
      <c r="B6" s="247" t="s">
        <v>87</v>
      </c>
      <c r="C6" s="247"/>
      <c r="D6" s="36"/>
      <c r="E6" s="36"/>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1300-000000000000}"/>
    <hyperlink ref="B1" location="'Objetos de Dominio'!A1" display="&lt;&lt; Ir al listado de objetos de dominio" xr:uid="{00000000-0004-0000-1300-000001000000}"/>
    <hyperlink ref="C1" location="'C-TipoMulta'!A1" display="&lt;&lt; Ir a la caracterización del objeto de dominio" xr:uid="{00000000-0004-0000-1300-000002000000}"/>
    <hyperlink ref="D1" location="'M-TipoMulta'!A1" display="Ir al muestreo de datos del objeto de dominio &gt;&gt;" xr:uid="{00000000-0004-0000-1300-000003000000}"/>
    <hyperlink ref="E1" location="'E-TipoMulta'!A1" display="Ir al event storming del objeto de dominio &gt;&gt;" xr:uid="{00000000-0004-0000-1300-000004000000}"/>
  </hyperlink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9"/>
  <sheetViews>
    <sheetView showGridLines="0" zoomScaleNormal="100" workbookViewId="0">
      <selection sqref="A1:B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4" t="s">
        <v>81</v>
      </c>
      <c r="B2" s="196" t="str">
        <f>'Objetos de Dominio'!A7</f>
        <v>TipoMulta</v>
      </c>
      <c r="C2" s="196"/>
      <c r="D2" s="196"/>
      <c r="E2" s="196"/>
      <c r="F2" s="196"/>
      <c r="G2" s="196"/>
      <c r="H2" s="196"/>
      <c r="I2" s="196"/>
      <c r="J2" s="196"/>
      <c r="K2" s="196"/>
    </row>
    <row r="3" spans="1:11" ht="30" customHeight="1" x14ac:dyDescent="0.25">
      <c r="A3" s="35" t="s">
        <v>82</v>
      </c>
      <c r="B3" s="186" t="str">
        <f>'Objetos de Dominio'!B7</f>
        <v>Representa los tipos de multa que puede recibir un cliente: por tardanza o por inasistencia.</v>
      </c>
      <c r="C3" s="186"/>
      <c r="D3" s="186"/>
      <c r="E3" s="186"/>
      <c r="F3" s="186"/>
      <c r="G3" s="186"/>
      <c r="H3" s="186"/>
      <c r="I3" s="186"/>
      <c r="J3" s="186"/>
      <c r="K3" s="186"/>
    </row>
    <row r="4" spans="1:11" ht="34.5" customHeight="1" x14ac:dyDescent="0.25">
      <c r="A4" s="39" t="s">
        <v>88</v>
      </c>
      <c r="B4" s="187" t="s">
        <v>89</v>
      </c>
      <c r="C4" s="187"/>
      <c r="D4" s="40" t="s">
        <v>90</v>
      </c>
      <c r="E4" s="188" t="s">
        <v>91</v>
      </c>
      <c r="F4" s="188"/>
      <c r="G4" s="189" t="s">
        <v>92</v>
      </c>
      <c r="H4" s="189"/>
      <c r="I4" s="42" t="s">
        <v>93</v>
      </c>
      <c r="J4" s="43" t="s">
        <v>94</v>
      </c>
      <c r="K4" s="44" t="s">
        <v>95</v>
      </c>
    </row>
    <row r="5" spans="1:11" ht="15" customHeight="1" x14ac:dyDescent="0.25">
      <c r="A5" s="190" t="s">
        <v>88</v>
      </c>
      <c r="B5" s="187" t="s">
        <v>96</v>
      </c>
      <c r="C5" s="187" t="s">
        <v>59</v>
      </c>
      <c r="D5" s="191" t="s">
        <v>97</v>
      </c>
      <c r="E5" s="188" t="s">
        <v>98</v>
      </c>
      <c r="F5" s="188"/>
      <c r="G5" s="189" t="s">
        <v>99</v>
      </c>
      <c r="H5" s="189"/>
      <c r="I5" s="192" t="s">
        <v>100</v>
      </c>
      <c r="J5" s="193" t="s">
        <v>101</v>
      </c>
      <c r="K5" s="194" t="s">
        <v>102</v>
      </c>
    </row>
    <row r="6" spans="1:11" ht="15" customHeight="1" x14ac:dyDescent="0.25">
      <c r="A6" s="190"/>
      <c r="B6" s="190"/>
      <c r="C6" s="190"/>
      <c r="D6" s="190"/>
      <c r="E6" s="41" t="s">
        <v>103</v>
      </c>
      <c r="F6" s="41" t="s">
        <v>59</v>
      </c>
      <c r="G6" s="45" t="s">
        <v>104</v>
      </c>
      <c r="H6" s="45" t="s">
        <v>59</v>
      </c>
      <c r="I6" s="192"/>
      <c r="J6" s="192"/>
      <c r="K6" s="192"/>
    </row>
    <row r="7" spans="1:11" ht="30" customHeight="1" x14ac:dyDescent="0.25">
      <c r="A7" s="2" t="s">
        <v>105</v>
      </c>
      <c r="B7" s="46" t="s">
        <v>259</v>
      </c>
      <c r="C7" s="46" t="s">
        <v>260</v>
      </c>
      <c r="D7" s="2" t="str">
        <f>$B$2</f>
        <v>TipoMulta</v>
      </c>
      <c r="E7" s="46"/>
      <c r="F7" s="46"/>
      <c r="G7" s="2"/>
      <c r="H7" s="47"/>
      <c r="I7" s="2"/>
      <c r="J7" s="46" t="s">
        <v>264</v>
      </c>
      <c r="K7" s="46"/>
    </row>
    <row r="8" spans="1:11" ht="30" customHeight="1" x14ac:dyDescent="0.25">
      <c r="A8" s="2" t="s">
        <v>18</v>
      </c>
      <c r="B8" s="46" t="s">
        <v>259</v>
      </c>
      <c r="C8" s="46" t="s">
        <v>260</v>
      </c>
      <c r="D8" s="2" t="str">
        <f>$B$2</f>
        <v>TipoMulta</v>
      </c>
      <c r="E8" s="46"/>
      <c r="F8" s="46"/>
      <c r="G8" s="2"/>
      <c r="H8" s="47"/>
      <c r="I8" s="2"/>
      <c r="J8" s="46" t="s">
        <v>264</v>
      </c>
      <c r="K8" s="46"/>
    </row>
    <row r="9" spans="1:11" ht="30" customHeight="1" x14ac:dyDescent="0.25">
      <c r="A9" s="2" t="s">
        <v>19</v>
      </c>
      <c r="B9" s="46" t="s">
        <v>259</v>
      </c>
      <c r="C9" s="46" t="s">
        <v>260</v>
      </c>
      <c r="D9" s="2" t="str">
        <f>$B$2</f>
        <v>TipoMulta</v>
      </c>
      <c r="E9" s="46"/>
      <c r="F9" s="46"/>
      <c r="G9" s="2"/>
      <c r="H9" s="47"/>
      <c r="I9" s="2"/>
      <c r="J9" s="46" t="s">
        <v>264</v>
      </c>
      <c r="K9" s="46"/>
    </row>
  </sheetData>
  <mergeCells count="18">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s>
  <hyperlinks>
    <hyperlink ref="A1" location="'Modelo de Dominio'!A1" display="&lt;&lt; Ir al modelo de dominio" xr:uid="{00000000-0004-0000-1400-000000000000}"/>
    <hyperlink ref="C1" location="'Objetos de Dominio'!A1" display="&lt;&lt; Ir al listado de objetos de dominio" xr:uid="{00000000-0004-0000-1400-000001000000}"/>
    <hyperlink ref="F1" location="'C-TipoMulta'!A1" display="&lt;&lt; Ir a la caracterización del objeto de dominio" xr:uid="{00000000-0004-0000-1400-000002000000}"/>
    <hyperlink ref="J1" location="'M-TipoMulta'!A1" display="Ir al muestreo de datos del objeto de dominio &gt;&gt;" xr:uid="{00000000-0004-0000-1400-000003000000}"/>
  </hyperlink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7"/>
  <sheetViews>
    <sheetView zoomScaleNormal="100" workbookViewId="0">
      <selection activeCell="A4" sqref="A4"/>
    </sheetView>
  </sheetViews>
  <sheetFormatPr baseColWidth="10" defaultColWidth="8.7109375" defaultRowHeight="15" x14ac:dyDescent="0.25"/>
  <cols>
    <col min="1" max="1" width="25" customWidth="1"/>
    <col min="2" max="2" width="24.42578125" customWidth="1"/>
    <col min="3" max="3" width="40.140625" customWidth="1"/>
    <col min="4" max="4" width="17.7109375" customWidth="1"/>
  </cols>
  <sheetData>
    <row r="1" spans="1:4" ht="14.25" customHeight="1" x14ac:dyDescent="0.25">
      <c r="A1" s="6" t="s">
        <v>1</v>
      </c>
      <c r="B1" s="6" t="s">
        <v>28</v>
      </c>
      <c r="C1" s="6"/>
    </row>
    <row r="2" spans="1:4" ht="39" customHeight="1" x14ac:dyDescent="0.25">
      <c r="A2" s="48" t="s">
        <v>107</v>
      </c>
      <c r="B2" s="48" t="s">
        <v>265</v>
      </c>
      <c r="C2" s="48" t="s">
        <v>266</v>
      </c>
      <c r="D2" s="49" t="s">
        <v>267</v>
      </c>
    </row>
    <row r="3" spans="1:4" ht="14.25" customHeight="1" x14ac:dyDescent="0.25">
      <c r="A3" s="50" t="s">
        <v>110</v>
      </c>
      <c r="B3" s="51" t="s">
        <v>61</v>
      </c>
      <c r="C3" s="51" t="s">
        <v>147</v>
      </c>
      <c r="D3" s="52" t="s">
        <v>268</v>
      </c>
    </row>
    <row r="4" spans="1:4" ht="42.75" customHeight="1" x14ac:dyDescent="0.25">
      <c r="A4" s="53">
        <v>1</v>
      </c>
      <c r="B4" s="53" t="s">
        <v>269</v>
      </c>
      <c r="C4" s="65" t="s">
        <v>270</v>
      </c>
      <c r="D4" s="53" t="str">
        <f>B4</f>
        <v>Tardanza</v>
      </c>
    </row>
    <row r="5" spans="1:4" ht="45" customHeight="1" x14ac:dyDescent="0.25">
      <c r="A5" s="53">
        <v>2</v>
      </c>
      <c r="B5" s="53" t="s">
        <v>271</v>
      </c>
      <c r="C5" s="65" t="s">
        <v>272</v>
      </c>
      <c r="D5" s="53" t="str">
        <f>B5</f>
        <v>Inasistencia</v>
      </c>
    </row>
    <row r="6" spans="1:4" ht="14.25" customHeight="1" x14ac:dyDescent="0.25">
      <c r="A6" s="55"/>
      <c r="B6" s="55"/>
      <c r="C6" s="55"/>
      <c r="D6" s="55"/>
    </row>
    <row r="7" spans="1:4" ht="14.25" customHeight="1" x14ac:dyDescent="0.25">
      <c r="A7" s="55"/>
      <c r="B7" s="55"/>
      <c r="C7" s="55"/>
      <c r="D7" s="55"/>
    </row>
    <row r="8" spans="1:4" ht="14.25" customHeight="1" x14ac:dyDescent="0.25">
      <c r="A8" s="55"/>
      <c r="B8" s="55"/>
      <c r="C8" s="55"/>
    </row>
    <row r="9" spans="1:4" ht="14.25" customHeight="1" x14ac:dyDescent="0.25">
      <c r="A9" s="55"/>
      <c r="B9" s="55"/>
      <c r="C9" s="55"/>
    </row>
    <row r="11" spans="1:4" ht="28.5" customHeight="1" x14ac:dyDescent="0.25">
      <c r="A11" s="56"/>
      <c r="B11" s="57" t="s">
        <v>120</v>
      </c>
    </row>
    <row r="12" spans="1:4" ht="28.5" customHeight="1" x14ac:dyDescent="0.25">
      <c r="A12" s="58"/>
      <c r="B12" s="57" t="s">
        <v>121</v>
      </c>
    </row>
    <row r="13" spans="1:4" ht="28.5" customHeight="1" x14ac:dyDescent="0.25">
      <c r="A13" s="59"/>
      <c r="B13" s="57" t="s">
        <v>122</v>
      </c>
      <c r="C13" s="57"/>
    </row>
    <row r="14" spans="1:4" ht="28.5" customHeight="1" x14ac:dyDescent="0.25">
      <c r="A14" s="60"/>
      <c r="B14" s="57" t="s">
        <v>123</v>
      </c>
      <c r="C14" s="57"/>
    </row>
    <row r="15" spans="1:4" ht="28.5" customHeight="1" x14ac:dyDescent="0.25">
      <c r="B15" s="57"/>
      <c r="C15" s="57"/>
    </row>
    <row r="16" spans="1:4" ht="14.25" customHeight="1" x14ac:dyDescent="0.25">
      <c r="C16" s="57"/>
    </row>
    <row r="17" spans="3:3" ht="14.25" customHeight="1" x14ac:dyDescent="0.25">
      <c r="C17" s="57"/>
    </row>
  </sheetData>
  <hyperlinks>
    <hyperlink ref="A1" location="'Modelo de Dominio'!A1" display="&lt;&lt;&lt;&lt; Ir al modulo de dominio" xr:uid="{00000000-0004-0000-1500-000000000000}"/>
    <hyperlink ref="B1" location="'Objetos de Dominio'!A1" display="&lt;&lt;&lt;&lt; Ir a objetos de dominio" xr:uid="{00000000-0004-0000-1500-000001000000}"/>
  </hyperlink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8"/>
  <sheetViews>
    <sheetView topLeftCell="L20" zoomScale="58" zoomScaleNormal="100" workbookViewId="0">
      <selection activeCell="P32" sqref="P32"/>
    </sheetView>
  </sheetViews>
  <sheetFormatPr baseColWidth="10" defaultColWidth="8.7109375" defaultRowHeight="15" x14ac:dyDescent="0.25"/>
  <cols>
    <col min="1" max="1" width="33.28515625" customWidth="1"/>
    <col min="2" max="2" width="45" customWidth="1"/>
    <col min="3" max="3" width="30.42578125" customWidth="1"/>
    <col min="4" max="4" width="26.7109375" customWidth="1"/>
    <col min="5" max="5" width="18" customWidth="1"/>
    <col min="6" max="6" width="23.7109375" customWidth="1"/>
    <col min="7" max="7" width="28" customWidth="1"/>
    <col min="8" max="8" width="18"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s>
  <sheetData>
    <row r="1" spans="1:21" ht="15" customHeight="1" x14ac:dyDescent="0.25">
      <c r="A1" s="6" t="s">
        <v>1</v>
      </c>
      <c r="B1" s="6" t="s">
        <v>28</v>
      </c>
    </row>
    <row r="2" spans="1:21" ht="15" customHeight="1" x14ac:dyDescent="0.25">
      <c r="A2" s="16" t="s">
        <v>29</v>
      </c>
      <c r="B2" s="17" t="s">
        <v>30</v>
      </c>
      <c r="C2" s="16" t="s">
        <v>31</v>
      </c>
      <c r="D2" s="16" t="s">
        <v>32</v>
      </c>
      <c r="E2" s="16" t="s">
        <v>33</v>
      </c>
      <c r="F2" s="16" t="s">
        <v>34</v>
      </c>
      <c r="G2" s="16" t="s">
        <v>35</v>
      </c>
      <c r="H2" s="16" t="s">
        <v>36</v>
      </c>
      <c r="I2" s="16" t="s">
        <v>37</v>
      </c>
      <c r="J2" s="16" t="s">
        <v>38</v>
      </c>
      <c r="K2" s="16" t="s">
        <v>39</v>
      </c>
      <c r="L2" s="16" t="s">
        <v>40</v>
      </c>
      <c r="M2" s="17" t="s">
        <v>41</v>
      </c>
      <c r="N2" s="16" t="s">
        <v>42</v>
      </c>
      <c r="O2" s="16" t="s">
        <v>43</v>
      </c>
      <c r="P2" s="16" t="s">
        <v>44</v>
      </c>
      <c r="Q2" s="16" t="s">
        <v>45</v>
      </c>
      <c r="R2" s="16" t="s">
        <v>46</v>
      </c>
      <c r="S2" s="16" t="s">
        <v>47</v>
      </c>
      <c r="T2" s="16" t="s">
        <v>48</v>
      </c>
      <c r="U2" s="16" t="s">
        <v>49</v>
      </c>
    </row>
    <row r="3" spans="1:21" ht="45" customHeight="1" x14ac:dyDescent="0.25">
      <c r="A3" s="18" t="str">
        <f>'M-Barbero'!A3</f>
        <v>id</v>
      </c>
      <c r="B3" s="19" t="str">
        <f>'M-Barbero'!A2</f>
        <v>Representa un identificador que hará unico cada objeto de dominio de este tipo, no se puede repetir</v>
      </c>
      <c r="C3" s="18" t="s">
        <v>50</v>
      </c>
      <c r="D3" s="18" t="s">
        <v>51</v>
      </c>
      <c r="E3" s="18" t="s">
        <v>50</v>
      </c>
      <c r="F3" s="18" t="s">
        <v>52</v>
      </c>
      <c r="G3" s="18" t="s">
        <v>52</v>
      </c>
      <c r="H3" s="18" t="s">
        <v>52</v>
      </c>
      <c r="I3" s="18" t="s">
        <v>52</v>
      </c>
      <c r="J3" s="18" t="s">
        <v>52</v>
      </c>
      <c r="K3" s="18" t="s">
        <v>52</v>
      </c>
      <c r="L3" s="18" t="s">
        <v>52</v>
      </c>
      <c r="M3" s="18" t="s">
        <v>52</v>
      </c>
      <c r="N3" s="18" t="s">
        <v>53</v>
      </c>
      <c r="O3" s="18" t="s">
        <v>52</v>
      </c>
      <c r="P3" s="18" t="s">
        <v>52</v>
      </c>
      <c r="Q3" s="18" t="s">
        <v>53</v>
      </c>
      <c r="R3" s="18" t="s">
        <v>53</v>
      </c>
      <c r="S3" s="18" t="s">
        <v>53</v>
      </c>
      <c r="T3" s="18" t="s">
        <v>54</v>
      </c>
      <c r="U3" s="18" t="s">
        <v>50</v>
      </c>
    </row>
    <row r="4" spans="1:21" ht="45" customHeight="1" x14ac:dyDescent="0.25">
      <c r="A4" s="18" t="str">
        <f>'M-Barbero'!B3</f>
        <v>primerNombre</v>
      </c>
      <c r="B4" s="19" t="str">
        <f>'M-Barbero'!B2</f>
        <v>Representa el primer nombre del barbero que trabaja en barbería</v>
      </c>
      <c r="C4" s="18" t="s">
        <v>53</v>
      </c>
      <c r="D4" s="18" t="s">
        <v>55</v>
      </c>
      <c r="E4" s="18" t="s">
        <v>50</v>
      </c>
      <c r="F4" s="18">
        <v>3</v>
      </c>
      <c r="G4" s="18">
        <v>100</v>
      </c>
      <c r="H4" s="18" t="s">
        <v>52</v>
      </c>
      <c r="I4" s="18" t="s">
        <v>52</v>
      </c>
      <c r="J4" s="18" t="s">
        <v>52</v>
      </c>
      <c r="K4" s="18" t="s">
        <v>52</v>
      </c>
      <c r="L4" s="18" t="s">
        <v>52</v>
      </c>
      <c r="M4" s="19" t="s">
        <v>273</v>
      </c>
      <c r="N4" s="18" t="s">
        <v>53</v>
      </c>
      <c r="O4" s="18" t="s">
        <v>53</v>
      </c>
      <c r="P4" s="18" t="s">
        <v>53</v>
      </c>
      <c r="Q4" s="18" t="s">
        <v>50</v>
      </c>
      <c r="R4" s="18" t="s">
        <v>50</v>
      </c>
      <c r="S4" s="18" t="s">
        <v>53</v>
      </c>
      <c r="T4" s="18" t="s">
        <v>274</v>
      </c>
      <c r="U4" s="18" t="s">
        <v>53</v>
      </c>
    </row>
    <row r="5" spans="1:21" ht="45" customHeight="1" x14ac:dyDescent="0.25">
      <c r="A5" s="18" t="str">
        <f>'M-Barbero'!C3</f>
        <v>segundoNombre</v>
      </c>
      <c r="B5" s="19" t="str">
        <f>'M-Barbero'!C2</f>
        <v>Representa el segundo nombre del barbero que trabaja en barbería</v>
      </c>
      <c r="C5" s="18" t="s">
        <v>53</v>
      </c>
      <c r="D5" s="18" t="s">
        <v>55</v>
      </c>
      <c r="E5" s="18" t="s">
        <v>53</v>
      </c>
      <c r="F5" s="18">
        <v>3</v>
      </c>
      <c r="G5" s="18">
        <v>100</v>
      </c>
      <c r="H5" s="18" t="s">
        <v>52</v>
      </c>
      <c r="I5" s="18" t="s">
        <v>52</v>
      </c>
      <c r="J5" s="18" t="s">
        <v>52</v>
      </c>
      <c r="K5" s="18" t="s">
        <v>52</v>
      </c>
      <c r="L5" s="18" t="s">
        <v>52</v>
      </c>
      <c r="M5" s="19" t="s">
        <v>273</v>
      </c>
      <c r="N5" s="18" t="s">
        <v>53</v>
      </c>
      <c r="O5" s="18" t="s">
        <v>53</v>
      </c>
      <c r="P5" s="18" t="s">
        <v>53</v>
      </c>
      <c r="Q5" s="18" t="s">
        <v>50</v>
      </c>
      <c r="R5" s="18" t="s">
        <v>50</v>
      </c>
      <c r="S5" s="18" t="s">
        <v>53</v>
      </c>
      <c r="T5" s="18" t="s">
        <v>274</v>
      </c>
      <c r="U5" s="18" t="s">
        <v>53</v>
      </c>
    </row>
    <row r="6" spans="1:21" ht="45" customHeight="1" x14ac:dyDescent="0.25">
      <c r="A6" s="18" t="str">
        <f>'M-Barbero'!D3</f>
        <v>primerApellido</v>
      </c>
      <c r="B6" s="19" t="str">
        <f>'M-Barbero'!D2</f>
        <v>Representa el primer apellido del barbero que trabaja en la barbería</v>
      </c>
      <c r="C6" s="18" t="s">
        <v>53</v>
      </c>
      <c r="D6" s="18" t="s">
        <v>55</v>
      </c>
      <c r="E6" s="18" t="s">
        <v>50</v>
      </c>
      <c r="F6" s="18">
        <v>3</v>
      </c>
      <c r="G6" s="18">
        <v>100</v>
      </c>
      <c r="H6" s="18" t="s">
        <v>52</v>
      </c>
      <c r="I6" s="18" t="s">
        <v>52</v>
      </c>
      <c r="J6" s="18" t="s">
        <v>52</v>
      </c>
      <c r="K6" s="18" t="s">
        <v>52</v>
      </c>
      <c r="L6" s="18" t="s">
        <v>52</v>
      </c>
      <c r="M6" s="19" t="s">
        <v>275</v>
      </c>
      <c r="N6" s="18" t="s">
        <v>53</v>
      </c>
      <c r="O6" s="18" t="s">
        <v>53</v>
      </c>
      <c r="P6" s="18" t="s">
        <v>53</v>
      </c>
      <c r="Q6" s="18" t="s">
        <v>50</v>
      </c>
      <c r="R6" s="18" t="s">
        <v>50</v>
      </c>
      <c r="S6" s="18" t="s">
        <v>53</v>
      </c>
      <c r="T6" s="18" t="s">
        <v>274</v>
      </c>
      <c r="U6" s="18" t="s">
        <v>53</v>
      </c>
    </row>
    <row r="7" spans="1:21" ht="45" customHeight="1" x14ac:dyDescent="0.25">
      <c r="A7" s="18" t="str">
        <f>'M-Barbero'!E3</f>
        <v>segundoApellido</v>
      </c>
      <c r="B7" s="19" t="str">
        <f>'M-Barbero'!E2</f>
        <v>Representa el segundo apellido del barbero que trabaja en la barbería</v>
      </c>
      <c r="C7" s="18" t="s">
        <v>53</v>
      </c>
      <c r="D7" s="18" t="s">
        <v>55</v>
      </c>
      <c r="E7" s="18" t="s">
        <v>53</v>
      </c>
      <c r="F7" s="18">
        <v>3</v>
      </c>
      <c r="G7" s="18">
        <v>100</v>
      </c>
      <c r="H7" s="18" t="s">
        <v>52</v>
      </c>
      <c r="I7" s="18" t="s">
        <v>52</v>
      </c>
      <c r="J7" s="18" t="s">
        <v>52</v>
      </c>
      <c r="K7" s="18" t="s">
        <v>52</v>
      </c>
      <c r="L7" s="18" t="s">
        <v>52</v>
      </c>
      <c r="M7" s="19" t="s">
        <v>275</v>
      </c>
      <c r="N7" s="18" t="s">
        <v>53</v>
      </c>
      <c r="O7" s="18" t="s">
        <v>53</v>
      </c>
      <c r="P7" s="18" t="s">
        <v>53</v>
      </c>
      <c r="Q7" s="18" t="s">
        <v>50</v>
      </c>
      <c r="R7" s="18" t="s">
        <v>50</v>
      </c>
      <c r="S7" s="18" t="s">
        <v>53</v>
      </c>
      <c r="T7" s="18" t="s">
        <v>274</v>
      </c>
      <c r="U7" s="18" t="s">
        <v>53</v>
      </c>
    </row>
    <row r="8" spans="1:21" ht="30" customHeight="1" x14ac:dyDescent="0.25">
      <c r="A8" s="18" t="str">
        <f>'M-Barbero'!F3</f>
        <v>prefijo</v>
      </c>
      <c r="B8" s="19" t="str">
        <f>'M-Barbero'!F2</f>
        <v>Representa cual es el prefijo del numero de celular del barbero</v>
      </c>
      <c r="C8" s="18" t="s">
        <v>53</v>
      </c>
      <c r="D8" s="80" t="s">
        <v>16</v>
      </c>
      <c r="E8" s="18" t="s">
        <v>50</v>
      </c>
      <c r="F8" s="18" t="s">
        <v>52</v>
      </c>
      <c r="G8" s="18" t="s">
        <v>52</v>
      </c>
      <c r="H8" s="18" t="s">
        <v>52</v>
      </c>
      <c r="I8" s="18" t="s">
        <v>52</v>
      </c>
      <c r="J8" s="18" t="s">
        <v>52</v>
      </c>
      <c r="K8" s="18" t="s">
        <v>52</v>
      </c>
      <c r="L8" s="18" t="s">
        <v>52</v>
      </c>
      <c r="M8" s="81" t="s">
        <v>276</v>
      </c>
      <c r="N8" s="18" t="s">
        <v>53</v>
      </c>
      <c r="O8" s="18" t="s">
        <v>52</v>
      </c>
      <c r="P8" s="18" t="s">
        <v>52</v>
      </c>
      <c r="Q8" s="18" t="s">
        <v>52</v>
      </c>
      <c r="R8" s="18" t="s">
        <v>52</v>
      </c>
      <c r="S8" s="18" t="s">
        <v>53</v>
      </c>
      <c r="T8" s="18" t="s">
        <v>54</v>
      </c>
      <c r="U8" s="18" t="s">
        <v>53</v>
      </c>
    </row>
    <row r="9" spans="1:21" ht="45" customHeight="1" x14ac:dyDescent="0.25">
      <c r="A9" s="18" t="str">
        <f>'M-Barbero'!G3</f>
        <v>celular</v>
      </c>
      <c r="B9" s="19" t="str">
        <f>'M-Barbero'!G2</f>
        <v>Representa el número de celular del barbero, es el dato que el cliente necesita en caso de que tenga que contactarse con el</v>
      </c>
      <c r="C9" s="18" t="s">
        <v>53</v>
      </c>
      <c r="D9" s="18" t="s">
        <v>55</v>
      </c>
      <c r="E9" s="18" t="s">
        <v>50</v>
      </c>
      <c r="F9" s="18">
        <v>6</v>
      </c>
      <c r="G9" s="18">
        <v>15</v>
      </c>
      <c r="H9" s="18" t="s">
        <v>52</v>
      </c>
      <c r="I9" s="18" t="s">
        <v>52</v>
      </c>
      <c r="J9" s="18" t="s">
        <v>52</v>
      </c>
      <c r="K9" s="18" t="s">
        <v>52</v>
      </c>
      <c r="L9" s="19" t="s">
        <v>52</v>
      </c>
      <c r="M9" s="19" t="s">
        <v>277</v>
      </c>
      <c r="N9" s="18" t="s">
        <v>53</v>
      </c>
      <c r="O9" s="18" t="s">
        <v>52</v>
      </c>
      <c r="P9" s="18" t="s">
        <v>52</v>
      </c>
      <c r="Q9" s="18" t="s">
        <v>50</v>
      </c>
      <c r="R9" s="18" t="s">
        <v>50</v>
      </c>
      <c r="S9" s="18" t="s">
        <v>50</v>
      </c>
      <c r="T9" s="18" t="s">
        <v>278</v>
      </c>
      <c r="U9" s="18" t="s">
        <v>53</v>
      </c>
    </row>
    <row r="10" spans="1:21" ht="60" customHeight="1" x14ac:dyDescent="0.25">
      <c r="A10" s="18" t="str">
        <f>'M-Barbero'!I3</f>
        <v>vigente</v>
      </c>
      <c r="B10" s="19" t="str">
        <f>'M-Barbero'!I2</f>
        <v>Representa si el barbero sigue o no trabajando en la barberia</v>
      </c>
      <c r="C10" s="18" t="s">
        <v>53</v>
      </c>
      <c r="D10" s="18" t="s">
        <v>166</v>
      </c>
      <c r="E10" s="18" t="s">
        <v>53</v>
      </c>
      <c r="F10" s="18" t="s">
        <v>52</v>
      </c>
      <c r="G10" s="18" t="s">
        <v>52</v>
      </c>
      <c r="H10" s="18" t="s">
        <v>52</v>
      </c>
      <c r="I10" s="18" t="s">
        <v>52</v>
      </c>
      <c r="J10" s="18" t="s">
        <v>52</v>
      </c>
      <c r="K10" s="18" t="s">
        <v>52</v>
      </c>
      <c r="L10" s="18" t="s">
        <v>52</v>
      </c>
      <c r="M10" s="19" t="s">
        <v>52</v>
      </c>
      <c r="N10" s="18" t="s">
        <v>50</v>
      </c>
      <c r="O10" s="18" t="s">
        <v>52</v>
      </c>
      <c r="P10" s="18" t="s">
        <v>52</v>
      </c>
      <c r="Q10" s="18" t="s">
        <v>52</v>
      </c>
      <c r="R10" s="18" t="s">
        <v>52</v>
      </c>
      <c r="S10" s="18" t="s">
        <v>53</v>
      </c>
      <c r="T10" s="18" t="s">
        <v>50</v>
      </c>
      <c r="U10" s="18" t="s">
        <v>53</v>
      </c>
    </row>
    <row r="11" spans="1:21" ht="75" customHeight="1" x14ac:dyDescent="0.25">
      <c r="A11" s="18" t="str">
        <f>'M-Barbero'!J3</f>
        <v>anticipacionEnHorasParaAgendarCita</v>
      </c>
      <c r="B11" s="19" t="str">
        <f>'M-Barbero'!J2</f>
        <v>Representa la parte en horas del tiempo mínimo de anticipación con el que un cliente debe pedirle una cita a este barbero. Junto con anticipacionEnMinutosParaAgendarCita forma el tiempo total de anticipación que exige el barbero</v>
      </c>
      <c r="C11" s="18" t="s">
        <v>53</v>
      </c>
      <c r="D11" s="18" t="s">
        <v>165</v>
      </c>
      <c r="E11" s="18" t="s">
        <v>53</v>
      </c>
      <c r="F11" s="18" t="s">
        <v>52</v>
      </c>
      <c r="G11" s="18" t="s">
        <v>52</v>
      </c>
      <c r="H11" s="18" t="s">
        <v>52</v>
      </c>
      <c r="I11" s="18" t="s">
        <v>52</v>
      </c>
      <c r="J11" s="18">
        <v>0</v>
      </c>
      <c r="K11" s="18">
        <v>720</v>
      </c>
      <c r="L11" s="18" t="s">
        <v>279</v>
      </c>
      <c r="M11" s="18" t="s">
        <v>52</v>
      </c>
      <c r="N11" s="18" t="s">
        <v>53</v>
      </c>
      <c r="O11" s="18" t="s">
        <v>52</v>
      </c>
      <c r="P11" s="18" t="s">
        <v>52</v>
      </c>
      <c r="Q11" s="18" t="s">
        <v>52</v>
      </c>
      <c r="R11" s="18" t="s">
        <v>52</v>
      </c>
      <c r="S11" s="18" t="s">
        <v>53</v>
      </c>
      <c r="T11" s="82">
        <v>0</v>
      </c>
      <c r="U11" s="18" t="s">
        <v>53</v>
      </c>
    </row>
    <row r="12" spans="1:21" ht="75" customHeight="1" x14ac:dyDescent="0.25">
      <c r="A12" s="18" t="str">
        <f>'M-Barbero'!K3</f>
        <v>anticipacionEnMinutosParaAgendarCita</v>
      </c>
      <c r="B12" s="19" t="str">
        <f>'M-Barbero'!K2</f>
        <v>Representa la parte en minutos del tiempo mínimo de anticipación con el que un cliente debe pedirle una cita a este barbero. Junto con anticipacionEnHorasParaAgendarCita forma el tiempo total de anticipación que exige el barbero</v>
      </c>
      <c r="C12" s="18" t="s">
        <v>53</v>
      </c>
      <c r="D12" s="18" t="s">
        <v>165</v>
      </c>
      <c r="E12" s="18" t="s">
        <v>53</v>
      </c>
      <c r="F12" s="18" t="s">
        <v>52</v>
      </c>
      <c r="G12" s="18" t="s">
        <v>52</v>
      </c>
      <c r="H12" s="18" t="s">
        <v>52</v>
      </c>
      <c r="I12" s="18" t="s">
        <v>52</v>
      </c>
      <c r="J12" s="18">
        <v>0</v>
      </c>
      <c r="K12" s="18">
        <v>59</v>
      </c>
      <c r="L12" s="18" t="s">
        <v>280</v>
      </c>
      <c r="M12" s="18" t="s">
        <v>52</v>
      </c>
      <c r="N12" s="18" t="s">
        <v>53</v>
      </c>
      <c r="O12" s="18" t="s">
        <v>52</v>
      </c>
      <c r="P12" s="18" t="s">
        <v>52</v>
      </c>
      <c r="Q12" s="18" t="s">
        <v>52</v>
      </c>
      <c r="R12" s="18" t="s">
        <v>52</v>
      </c>
      <c r="S12" s="18" t="s">
        <v>53</v>
      </c>
      <c r="T12" s="82">
        <v>0</v>
      </c>
      <c r="U12" s="18" t="s">
        <v>53</v>
      </c>
    </row>
    <row r="14" spans="1:21" ht="15" customHeight="1" x14ac:dyDescent="0.25">
      <c r="A14" s="20" t="s">
        <v>58</v>
      </c>
      <c r="B14" s="20" t="s">
        <v>59</v>
      </c>
      <c r="C14" s="20" t="s">
        <v>60</v>
      </c>
    </row>
    <row r="15" spans="1:21" ht="23.25" customHeight="1" x14ac:dyDescent="0.25">
      <c r="A15" s="265" t="str">
        <f>'M-Barbero'!L3</f>
        <v>Combinación única  1</v>
      </c>
      <c r="B15" s="266" t="str">
        <f>'M-Barbero'!L2</f>
        <v>Combinacion única que indica que no puede existir más de un barbero con el mismo prefijo de celular y número de celular</v>
      </c>
      <c r="C15" s="23" t="str">
        <f>A8</f>
        <v>prefijo</v>
      </c>
    </row>
    <row r="16" spans="1:21" ht="21" customHeight="1" x14ac:dyDescent="0.25">
      <c r="A16" s="265"/>
      <c r="B16" s="265"/>
      <c r="C16" s="23" t="str">
        <f>A9</f>
        <v>celular</v>
      </c>
    </row>
    <row r="18" spans="1:18" x14ac:dyDescent="0.25">
      <c r="A18" s="203" t="s">
        <v>62</v>
      </c>
      <c r="B18" s="203"/>
      <c r="C18" s="197" t="s">
        <v>59</v>
      </c>
      <c r="D18" s="197"/>
      <c r="E18" s="197"/>
      <c r="F18" s="197"/>
      <c r="G18" s="197" t="s">
        <v>63</v>
      </c>
      <c r="H18" s="197"/>
      <c r="I18" s="197"/>
      <c r="J18" s="197" t="s">
        <v>64</v>
      </c>
      <c r="K18" s="197"/>
      <c r="L18" s="197"/>
      <c r="M18" s="197"/>
      <c r="N18" s="197"/>
      <c r="O18" s="197" t="s">
        <v>65</v>
      </c>
      <c r="P18" s="197"/>
      <c r="Q18" s="197" t="s">
        <v>66</v>
      </c>
      <c r="R18" s="197"/>
    </row>
    <row r="19" spans="1:18" x14ac:dyDescent="0.25">
      <c r="A19" s="203"/>
      <c r="B19" s="203"/>
      <c r="C19" s="197"/>
      <c r="D19" s="197"/>
      <c r="E19" s="197"/>
      <c r="F19" s="197"/>
      <c r="G19" s="24" t="s">
        <v>67</v>
      </c>
      <c r="H19" s="24" t="s">
        <v>32</v>
      </c>
      <c r="I19" s="24" t="s">
        <v>59</v>
      </c>
      <c r="J19" s="24" t="s">
        <v>68</v>
      </c>
      <c r="K19" s="200" t="s">
        <v>59</v>
      </c>
      <c r="L19" s="201"/>
      <c r="M19" s="201"/>
      <c r="N19" s="202"/>
      <c r="O19" s="24" t="s">
        <v>69</v>
      </c>
      <c r="P19" s="24" t="s">
        <v>59</v>
      </c>
      <c r="Q19" s="24" t="s">
        <v>70</v>
      </c>
      <c r="R19" s="27" t="s">
        <v>71</v>
      </c>
    </row>
    <row r="20" spans="1:18" ht="108.95" customHeight="1" x14ac:dyDescent="0.25">
      <c r="A20" s="215" t="s">
        <v>281</v>
      </c>
      <c r="B20" s="216"/>
      <c r="C20" s="219" t="s">
        <v>282</v>
      </c>
      <c r="D20" s="220"/>
      <c r="E20" s="220"/>
      <c r="F20" s="221"/>
      <c r="G20" s="225" t="s">
        <v>283</v>
      </c>
      <c r="H20" s="227" t="s">
        <v>18</v>
      </c>
      <c r="I20" s="229" t="s">
        <v>284</v>
      </c>
      <c r="J20" s="231" t="s">
        <v>18</v>
      </c>
      <c r="K20" s="219" t="s">
        <v>285</v>
      </c>
      <c r="L20" s="220"/>
      <c r="M20" s="220"/>
      <c r="N20" s="221"/>
      <c r="O20" s="28" t="str">
        <f>'P-Barbero'!A6</f>
        <v>P-BAR-0001</v>
      </c>
      <c r="P20" s="3" t="str">
        <f>'P-Barbero'!B6</f>
        <v>Asegurar que los datos requeridos del barbero (nombre, apellido, prefijo de celular, celular, tiempos de anticipación) sean válidos en tipo de dato, longitud, obligatoriedad, formato y rango</v>
      </c>
      <c r="Q20" s="3" t="s">
        <v>286</v>
      </c>
      <c r="R20" s="31" t="s">
        <v>134</v>
      </c>
    </row>
    <row r="21" spans="1:18" ht="60" x14ac:dyDescent="0.25">
      <c r="A21" s="217"/>
      <c r="B21" s="218"/>
      <c r="C21" s="222"/>
      <c r="D21" s="223"/>
      <c r="E21" s="223"/>
      <c r="F21" s="224"/>
      <c r="G21" s="226"/>
      <c r="H21" s="228"/>
      <c r="I21" s="230"/>
      <c r="J21" s="232"/>
      <c r="K21" s="222"/>
      <c r="L21" s="223"/>
      <c r="M21" s="223"/>
      <c r="N21" s="224"/>
      <c r="O21" s="28" t="str">
        <f>'P-Barbero'!A7</f>
        <v>P-BAR-0002</v>
      </c>
      <c r="P21" s="3" t="str">
        <f>'P-Barbero'!B7</f>
        <v>Asegurar que el número de celular y prefijo de celular no esté siendo utilizado por otro barbero</v>
      </c>
      <c r="Q21" s="3" t="s">
        <v>287</v>
      </c>
      <c r="R21" s="31" t="s">
        <v>134</v>
      </c>
    </row>
    <row r="22" spans="1:18" ht="95.65" customHeight="1" x14ac:dyDescent="0.25">
      <c r="A22" s="234" t="s">
        <v>288</v>
      </c>
      <c r="B22" s="235"/>
      <c r="C22" s="238" t="s">
        <v>289</v>
      </c>
      <c r="D22" s="239"/>
      <c r="E22" s="239"/>
      <c r="F22" s="240"/>
      <c r="G22" s="168" t="s">
        <v>110</v>
      </c>
      <c r="H22" s="168" t="s">
        <v>131</v>
      </c>
      <c r="I22" s="169" t="s">
        <v>290</v>
      </c>
      <c r="J22" s="245" t="s">
        <v>18</v>
      </c>
      <c r="K22" s="238" t="s">
        <v>291</v>
      </c>
      <c r="L22" s="239"/>
      <c r="M22" s="239"/>
      <c r="N22" s="240"/>
      <c r="O22" s="248" t="str">
        <f>'P-Barbero'!A9</f>
        <v>P-BAR-0004</v>
      </c>
      <c r="P22" s="252" t="str">
        <f>'P-Barbero'!B9</f>
        <v>Asegurar que los datos requeridos del barbero para editar su contacto (prefijo de celular, celular) sean válidos en tipo de dato, longitud, obligatoriedad, formato y rango</v>
      </c>
      <c r="Q22" s="252" t="s">
        <v>292</v>
      </c>
      <c r="R22" s="250" t="s">
        <v>134</v>
      </c>
    </row>
    <row r="23" spans="1:18" ht="38.25" x14ac:dyDescent="0.25">
      <c r="A23" s="236"/>
      <c r="B23" s="237"/>
      <c r="C23" s="241"/>
      <c r="D23" s="242"/>
      <c r="E23" s="242"/>
      <c r="F23" s="243"/>
      <c r="G23" s="168" t="s">
        <v>293</v>
      </c>
      <c r="H23" s="168" t="s">
        <v>18</v>
      </c>
      <c r="I23" s="169" t="s">
        <v>294</v>
      </c>
      <c r="J23" s="246"/>
      <c r="K23" s="241"/>
      <c r="L23" s="242"/>
      <c r="M23" s="242"/>
      <c r="N23" s="243"/>
      <c r="O23" s="249"/>
      <c r="P23" s="253"/>
      <c r="Q23" s="253"/>
      <c r="R23" s="251"/>
    </row>
    <row r="24" spans="1:18" ht="95.65" customHeight="1" x14ac:dyDescent="0.25">
      <c r="A24" s="254" t="s">
        <v>295</v>
      </c>
      <c r="B24" s="255"/>
      <c r="C24" s="258" t="s">
        <v>296</v>
      </c>
      <c r="D24" s="259"/>
      <c r="E24" s="259"/>
      <c r="F24" s="260"/>
      <c r="G24" s="173" t="s">
        <v>110</v>
      </c>
      <c r="H24" s="173" t="s">
        <v>131</v>
      </c>
      <c r="I24" s="174" t="s">
        <v>297</v>
      </c>
      <c r="J24" s="175" t="s">
        <v>18</v>
      </c>
      <c r="K24" s="214" t="s">
        <v>298</v>
      </c>
      <c r="L24" s="214"/>
      <c r="M24" s="214"/>
      <c r="N24" s="214"/>
      <c r="O24" s="173" t="str">
        <f>'P-Barbero'!A10</f>
        <v>P-BAR-0005</v>
      </c>
      <c r="P24" s="172" t="str">
        <f>'P-Barbero'!B10</f>
        <v>Asegurar que los datos requeridos del barbero editar sus tiempos de anticipación (prefijo de celular, celular) sean válidos en tipo de dato, longitud, obligatoriedad, formato y rango</v>
      </c>
      <c r="Q24" s="172" t="s">
        <v>299</v>
      </c>
      <c r="R24" s="176" t="s">
        <v>134</v>
      </c>
    </row>
    <row r="25" spans="1:18" ht="60" x14ac:dyDescent="0.25">
      <c r="A25" s="256"/>
      <c r="B25" s="257"/>
      <c r="C25" s="261"/>
      <c r="D25" s="262"/>
      <c r="E25" s="262"/>
      <c r="F25" s="263"/>
      <c r="G25" s="172" t="s">
        <v>300</v>
      </c>
      <c r="H25" s="173" t="s">
        <v>18</v>
      </c>
      <c r="I25" s="174" t="s">
        <v>301</v>
      </c>
      <c r="J25" s="175"/>
      <c r="K25" s="214"/>
      <c r="L25" s="214"/>
      <c r="M25" s="214"/>
      <c r="N25" s="214"/>
      <c r="O25" s="173"/>
      <c r="P25" s="172"/>
      <c r="Q25" s="172"/>
      <c r="R25" s="176"/>
    </row>
    <row r="26" spans="1:18" ht="51" x14ac:dyDescent="0.25">
      <c r="A26" s="198" t="s">
        <v>302</v>
      </c>
      <c r="B26" s="198"/>
      <c r="C26" s="199" t="s">
        <v>303</v>
      </c>
      <c r="D26" s="199"/>
      <c r="E26" s="199"/>
      <c r="F26" s="199"/>
      <c r="G26" s="28" t="s">
        <v>110</v>
      </c>
      <c r="H26" s="28" t="s">
        <v>131</v>
      </c>
      <c r="I26" s="29" t="s">
        <v>304</v>
      </c>
      <c r="J26" s="30" t="s">
        <v>18</v>
      </c>
      <c r="K26" s="199" t="s">
        <v>305</v>
      </c>
      <c r="L26" s="199"/>
      <c r="M26" s="199"/>
      <c r="N26" s="199"/>
      <c r="O26" s="28"/>
      <c r="P26" s="3"/>
      <c r="Q26" s="3"/>
      <c r="R26" s="31"/>
    </row>
    <row r="27" spans="1:18" ht="60" x14ac:dyDescent="0.25">
      <c r="A27" s="213" t="s">
        <v>306</v>
      </c>
      <c r="B27" s="213"/>
      <c r="C27" s="214" t="s">
        <v>307</v>
      </c>
      <c r="D27" s="214"/>
      <c r="E27" s="214"/>
      <c r="F27" s="214"/>
      <c r="G27" s="173" t="s">
        <v>110</v>
      </c>
      <c r="H27" s="173" t="s">
        <v>131</v>
      </c>
      <c r="I27" s="174" t="s">
        <v>308</v>
      </c>
      <c r="J27" s="175"/>
      <c r="K27" s="214" t="s">
        <v>187</v>
      </c>
      <c r="L27" s="214"/>
      <c r="M27" s="214"/>
      <c r="N27" s="214"/>
      <c r="O27" s="173" t="str">
        <f>'P-Barbero'!A8</f>
        <v>P-BAR-0003</v>
      </c>
      <c r="P27" s="172" t="str">
        <f>'P-Barbero'!B8</f>
        <v>Asegurar que el barbero no tenga citas futuras pendientes antes de dejar de trabajar en la barbería</v>
      </c>
      <c r="Q27" s="172" t="s">
        <v>309</v>
      </c>
      <c r="R27" s="176" t="s">
        <v>134</v>
      </c>
    </row>
    <row r="28" spans="1:18" ht="51" x14ac:dyDescent="0.25">
      <c r="A28" s="264" t="s">
        <v>310</v>
      </c>
      <c r="B28" s="264"/>
      <c r="C28" s="233" t="s">
        <v>311</v>
      </c>
      <c r="D28" s="233"/>
      <c r="E28" s="233"/>
      <c r="F28" s="233"/>
      <c r="G28" s="168" t="s">
        <v>110</v>
      </c>
      <c r="H28" s="168" t="s">
        <v>131</v>
      </c>
      <c r="I28" s="169" t="s">
        <v>304</v>
      </c>
      <c r="J28" s="177" t="s">
        <v>18</v>
      </c>
      <c r="K28" s="233" t="s">
        <v>312</v>
      </c>
      <c r="L28" s="233"/>
      <c r="M28" s="233"/>
      <c r="N28" s="233"/>
      <c r="O28" s="168"/>
      <c r="P28" s="170"/>
      <c r="Q28" s="170"/>
      <c r="R28" s="171"/>
    </row>
  </sheetData>
  <mergeCells count="37">
    <mergeCell ref="A15:A16"/>
    <mergeCell ref="B15:B16"/>
    <mergeCell ref="A18:B19"/>
    <mergeCell ref="C18:F19"/>
    <mergeCell ref="G18:I18"/>
    <mergeCell ref="J20:J21"/>
    <mergeCell ref="K20:N21"/>
    <mergeCell ref="J18:N18"/>
    <mergeCell ref="O18:P18"/>
    <mergeCell ref="Q18:R18"/>
    <mergeCell ref="K19:N19"/>
    <mergeCell ref="A20:B21"/>
    <mergeCell ref="C20:F21"/>
    <mergeCell ref="G20:G21"/>
    <mergeCell ref="H20:H21"/>
    <mergeCell ref="I20:I21"/>
    <mergeCell ref="A26:B26"/>
    <mergeCell ref="C26:F26"/>
    <mergeCell ref="K26:N26"/>
    <mergeCell ref="K24:N24"/>
    <mergeCell ref="A22:B23"/>
    <mergeCell ref="C22:F23"/>
    <mergeCell ref="J22:J23"/>
    <mergeCell ref="K22:N23"/>
    <mergeCell ref="A27:B27"/>
    <mergeCell ref="C27:F27"/>
    <mergeCell ref="K27:N27"/>
    <mergeCell ref="A28:B28"/>
    <mergeCell ref="C28:F28"/>
    <mergeCell ref="K28:N28"/>
    <mergeCell ref="O22:O23"/>
    <mergeCell ref="R22:R23"/>
    <mergeCell ref="P22:P23"/>
    <mergeCell ref="Q22:Q23"/>
    <mergeCell ref="A24:B25"/>
    <mergeCell ref="C24:F25"/>
    <mergeCell ref="K25:N25"/>
  </mergeCells>
  <hyperlinks>
    <hyperlink ref="A1" location="'Modelo de Dominio'!A1" display="&lt;&lt;&lt;&lt; Ir al modulo de dominio" xr:uid="{00000000-0004-0000-1600-000000000000}"/>
    <hyperlink ref="B1" location="'Objetos de Dominio'!A1" display="&lt;&lt;&lt;&lt; Ir a objetos de dominio" xr:uid="{00000000-0004-0000-1600-000001000000}"/>
    <hyperlink ref="A3" location="'M-Barbero'!A3" display="#'M-Barbero'.A3" xr:uid="{00000000-0004-0000-1600-000002000000}"/>
    <hyperlink ref="B3" location="'M-Barbero'!A2" display="#'M-Barbero'.A2" xr:uid="{00000000-0004-0000-1600-000003000000}"/>
    <hyperlink ref="A4" location="'M-Barbero'!A3" display="#'M-Barbero'.A3" xr:uid="{00000000-0004-0000-1600-000004000000}"/>
    <hyperlink ref="B4" location="'M-Barbero'!A2" display="#'M-Barbero'.A2" xr:uid="{00000000-0004-0000-1600-000005000000}"/>
    <hyperlink ref="A5" location="'M-Barbero'!A3" display="#'M-Barbero'.A3" xr:uid="{00000000-0004-0000-1600-000006000000}"/>
    <hyperlink ref="B5" location="'M-Barbero'!A2" display="#'M-Barbero'.A2" xr:uid="{00000000-0004-0000-1600-000007000000}"/>
    <hyperlink ref="A6" location="'M-Barbero'!A3" display="#'M-Barbero'.A3" xr:uid="{00000000-0004-0000-1600-000008000000}"/>
    <hyperlink ref="B6" location="'M-Barbero'!A2" display="#'M-Barbero'.A2" xr:uid="{00000000-0004-0000-1600-000009000000}"/>
    <hyperlink ref="A7" location="'M-Barbero'!A3" display="#'M-Barbero'.A3" xr:uid="{00000000-0004-0000-1600-00000A000000}"/>
    <hyperlink ref="B7" location="'M-Barbero'!A2" display="#'M-Barbero'.A2" xr:uid="{00000000-0004-0000-1600-00000B000000}"/>
    <hyperlink ref="A8" location="'M-Barbero'!A3" display="#'M-Barbero'.A3" xr:uid="{00000000-0004-0000-1600-00000C000000}"/>
    <hyperlink ref="B8" location="'M-Barbero'!A2" display="#'M-Barbero'.A2" xr:uid="{00000000-0004-0000-1600-00000D000000}"/>
    <hyperlink ref="D8" location="'C-PrefijoCelular'!A1" display="PrefijoCelular" xr:uid="{00000000-0004-0000-1600-00000E000000}"/>
    <hyperlink ref="A9" location="'M-Barbero'!A3" display="#'M-Barbero'.A3" xr:uid="{00000000-0004-0000-1600-00000F000000}"/>
    <hyperlink ref="B9" location="'M-Barbero'!A2" display="#'M-Barbero'.A2" xr:uid="{00000000-0004-0000-1600-000010000000}"/>
    <hyperlink ref="A10" location="'M-Barbero'!A3" display="#'M-Barbero'.A3" xr:uid="{00000000-0004-0000-1600-000011000000}"/>
    <hyperlink ref="B10" location="'M-Barbero'!A2" display="#'M-Barbero'.A2" xr:uid="{00000000-0004-0000-1600-000012000000}"/>
    <hyperlink ref="A15" location="'M-Barbero'!A3" display="#'M-Barbero'.A3" xr:uid="{00000000-0004-0000-1600-000013000000}"/>
    <hyperlink ref="B15" location="'M-Barbero'!A2" display="#'M-Barbero'.A2" xr:uid="{00000000-0004-0000-1600-000014000000}"/>
  </hyperlink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0"/>
  <sheetViews>
    <sheetView showGridLines="0" zoomScaleNormal="100" workbookViewId="0">
      <selection activeCell="B6" sqref="B6:C6"/>
    </sheetView>
  </sheetViews>
  <sheetFormatPr baseColWidth="10" defaultColWidth="8.7109375" defaultRowHeight="15" x14ac:dyDescent="0.25"/>
  <cols>
    <col min="1" max="1" width="16" customWidth="1"/>
    <col min="2" max="2" width="28.5703125" customWidth="1"/>
    <col min="3" max="3" width="35.5703125" customWidth="1"/>
    <col min="4" max="4" width="37.140625" customWidth="1"/>
    <col min="5" max="5" width="36.710937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Dominio'!A8</f>
        <v>Barbero</v>
      </c>
      <c r="C2" s="209"/>
      <c r="D2" s="209"/>
      <c r="E2" s="209"/>
    </row>
    <row r="3" spans="1:5" ht="30" customHeight="1" x14ac:dyDescent="0.25">
      <c r="A3" s="35" t="s">
        <v>82</v>
      </c>
      <c r="B3" s="210" t="str">
        <f>'Objetos de Dominio'!B8</f>
        <v>Representa a un trabajador de la barbería que atiende clientes según los servicios que sabe realizar, organiza su propio horario y tiene su agenda personal para atender todas las citas que valla teniendo.</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47.25" customHeight="1" x14ac:dyDescent="0.25">
      <c r="A6" s="10" t="s">
        <v>313</v>
      </c>
      <c r="B6" s="247" t="s">
        <v>314</v>
      </c>
      <c r="C6" s="247"/>
      <c r="D6" s="36" t="s">
        <v>18</v>
      </c>
      <c r="E6" s="36"/>
    </row>
    <row r="7" spans="1:5" ht="30" customHeight="1" x14ac:dyDescent="0.25">
      <c r="A7" s="10" t="s">
        <v>315</v>
      </c>
      <c r="B7" s="247" t="s">
        <v>316</v>
      </c>
      <c r="C7" s="247"/>
      <c r="D7" s="36" t="s">
        <v>18</v>
      </c>
      <c r="E7" s="36"/>
    </row>
    <row r="8" spans="1:5" ht="30" customHeight="1" x14ac:dyDescent="0.25">
      <c r="A8" s="10" t="s">
        <v>317</v>
      </c>
      <c r="B8" s="247" t="s">
        <v>318</v>
      </c>
      <c r="C8" s="247"/>
      <c r="D8" s="36" t="s">
        <v>25</v>
      </c>
      <c r="E8" s="36"/>
    </row>
    <row r="9" spans="1:5" ht="42.75" customHeight="1" x14ac:dyDescent="0.25">
      <c r="A9" s="10" t="s">
        <v>319</v>
      </c>
      <c r="B9" s="247" t="s">
        <v>320</v>
      </c>
      <c r="C9" s="247"/>
      <c r="D9" s="36" t="s">
        <v>18</v>
      </c>
      <c r="E9" s="36"/>
    </row>
    <row r="10" spans="1:5" ht="48" customHeight="1" x14ac:dyDescent="0.25">
      <c r="A10" s="10" t="s">
        <v>321</v>
      </c>
      <c r="B10" s="247" t="s">
        <v>322</v>
      </c>
      <c r="C10" s="247"/>
      <c r="D10" s="36" t="s">
        <v>18</v>
      </c>
      <c r="E10" s="36"/>
    </row>
  </sheetData>
  <mergeCells count="11">
    <mergeCell ref="B2:E2"/>
    <mergeCell ref="B3:E3"/>
    <mergeCell ref="A4:A5"/>
    <mergeCell ref="B4:C5"/>
    <mergeCell ref="D4:D5"/>
    <mergeCell ref="E4:E5"/>
    <mergeCell ref="B6:C6"/>
    <mergeCell ref="B7:C7"/>
    <mergeCell ref="B8:C8"/>
    <mergeCell ref="B9:C9"/>
    <mergeCell ref="B10:C10"/>
  </mergeCells>
  <hyperlinks>
    <hyperlink ref="A1" location="'Modelo de Dominio'!A1" display="&lt;&lt; Ir al modelo de dominio" xr:uid="{00000000-0004-0000-1700-000000000000}"/>
    <hyperlink ref="B1" location="'Objetos de Dominio'!A1" display="&lt;&lt; Ir al listado de objetos de dominio" xr:uid="{00000000-0004-0000-1700-000001000000}"/>
    <hyperlink ref="C1" location="'C-Barbero'!A1" display="&lt;&lt; Ir a la caracterización del objeto de dominio" xr:uid="{00000000-0004-0000-1700-000002000000}"/>
    <hyperlink ref="D1" location="'M-Barbero'!A1" display="Ir al muestreo de datos del objeto de dominio &gt;&gt;" xr:uid="{00000000-0004-0000-1700-000003000000}"/>
    <hyperlink ref="E1" location="'E-Barbero'!A1" display="Ir al event storming del objeto de dominio &gt;&gt;" xr:uid="{00000000-0004-0000-1700-000004000000}"/>
  </hyperlink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4"/>
  <sheetViews>
    <sheetView showGridLines="0" zoomScaleNormal="100" workbookViewId="0">
      <selection sqref="A1:B1"/>
    </sheetView>
  </sheetViews>
  <sheetFormatPr baseColWidth="10" defaultColWidth="8.7109375" defaultRowHeight="15" x14ac:dyDescent="0.25"/>
  <cols>
    <col min="1" max="1" width="22.42578125"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4" t="s">
        <v>81</v>
      </c>
      <c r="B2" s="196" t="str">
        <f>'Objetos de Dominio'!A8</f>
        <v>Barbero</v>
      </c>
      <c r="C2" s="196"/>
      <c r="D2" s="196"/>
      <c r="E2" s="196"/>
      <c r="F2" s="196"/>
      <c r="G2" s="196"/>
      <c r="H2" s="196"/>
      <c r="I2" s="196"/>
      <c r="J2" s="196"/>
      <c r="K2" s="196"/>
    </row>
    <row r="3" spans="1:11" ht="30" customHeight="1" x14ac:dyDescent="0.25">
      <c r="A3" s="35" t="s">
        <v>82</v>
      </c>
      <c r="B3" s="186" t="str">
        <f>'Objetos de Dominio'!B8</f>
        <v>Representa a un trabajador de la barbería que atiende clientes según los servicios que sabe realizar, organiza su propio horario y tiene su agenda personal para atender todas las citas que valla teniendo.</v>
      </c>
      <c r="C3" s="186"/>
      <c r="D3" s="186"/>
      <c r="E3" s="186"/>
      <c r="F3" s="186"/>
      <c r="G3" s="186"/>
      <c r="H3" s="186"/>
      <c r="I3" s="186"/>
      <c r="J3" s="186"/>
      <c r="K3" s="186"/>
    </row>
    <row r="4" spans="1:11" ht="34.5" customHeight="1" x14ac:dyDescent="0.25">
      <c r="A4" s="39" t="s">
        <v>88</v>
      </c>
      <c r="B4" s="187" t="s">
        <v>89</v>
      </c>
      <c r="C4" s="187"/>
      <c r="D4" s="40" t="s">
        <v>90</v>
      </c>
      <c r="E4" s="188" t="s">
        <v>91</v>
      </c>
      <c r="F4" s="188"/>
      <c r="G4" s="189" t="s">
        <v>92</v>
      </c>
      <c r="H4" s="189"/>
      <c r="I4" s="42" t="s">
        <v>93</v>
      </c>
      <c r="J4" s="43" t="s">
        <v>94</v>
      </c>
      <c r="K4" s="44" t="s">
        <v>95</v>
      </c>
    </row>
    <row r="5" spans="1:11" ht="15" customHeight="1" x14ac:dyDescent="0.25">
      <c r="A5" s="190" t="s">
        <v>88</v>
      </c>
      <c r="B5" s="187" t="s">
        <v>96</v>
      </c>
      <c r="C5" s="187" t="s">
        <v>59</v>
      </c>
      <c r="D5" s="191" t="s">
        <v>97</v>
      </c>
      <c r="E5" s="188" t="s">
        <v>98</v>
      </c>
      <c r="F5" s="188"/>
      <c r="G5" s="189" t="s">
        <v>99</v>
      </c>
      <c r="H5" s="189"/>
      <c r="I5" s="192" t="s">
        <v>100</v>
      </c>
      <c r="J5" s="193" t="s">
        <v>101</v>
      </c>
      <c r="K5" s="194" t="s">
        <v>102</v>
      </c>
    </row>
    <row r="6" spans="1:11" ht="15" customHeight="1" x14ac:dyDescent="0.25">
      <c r="A6" s="190"/>
      <c r="B6" s="190"/>
      <c r="C6" s="190"/>
      <c r="D6" s="190"/>
      <c r="E6" s="41" t="s">
        <v>103</v>
      </c>
      <c r="F6" s="41" t="s">
        <v>59</v>
      </c>
      <c r="G6" s="45" t="s">
        <v>104</v>
      </c>
      <c r="H6" s="45" t="s">
        <v>59</v>
      </c>
      <c r="I6" s="192"/>
      <c r="J6" s="192"/>
      <c r="K6" s="192"/>
    </row>
    <row r="7" spans="1:11" ht="30" customHeight="1" x14ac:dyDescent="0.25">
      <c r="A7" s="204" t="s">
        <v>18</v>
      </c>
      <c r="B7" s="244" t="s">
        <v>281</v>
      </c>
      <c r="C7" s="244" t="s">
        <v>282</v>
      </c>
      <c r="D7" s="204" t="str">
        <f>$B$2</f>
        <v>Barbero</v>
      </c>
      <c r="E7" s="244"/>
      <c r="F7" s="244"/>
      <c r="G7" s="62" t="str">
        <f>'P-Barbero'!A6</f>
        <v>P-BAR-0001</v>
      </c>
      <c r="H7" s="13" t="s">
        <v>195</v>
      </c>
      <c r="I7" s="204"/>
      <c r="J7" s="244" t="s">
        <v>323</v>
      </c>
      <c r="K7" s="244"/>
    </row>
    <row r="8" spans="1:11" ht="30" customHeight="1" x14ac:dyDescent="0.25">
      <c r="A8" s="204"/>
      <c r="B8" s="204"/>
      <c r="C8" s="204"/>
      <c r="D8" s="204"/>
      <c r="E8" s="204"/>
      <c r="F8" s="204"/>
      <c r="G8" s="62" t="str">
        <f>'P-Barbero'!A7</f>
        <v>P-BAR-0002</v>
      </c>
      <c r="H8" s="13" t="s">
        <v>195</v>
      </c>
      <c r="I8" s="204"/>
      <c r="J8" s="204"/>
      <c r="K8" s="204"/>
    </row>
    <row r="9" spans="1:11" ht="30" customHeight="1" x14ac:dyDescent="0.25">
      <c r="A9" s="2" t="s">
        <v>18</v>
      </c>
      <c r="B9" s="46" t="s">
        <v>288</v>
      </c>
      <c r="C9" s="46" t="s">
        <v>289</v>
      </c>
      <c r="D9" s="2" t="str">
        <f t="shared" ref="D9:D14" si="0">$B$2</f>
        <v>Barbero</v>
      </c>
      <c r="E9" s="46"/>
      <c r="F9" s="46"/>
      <c r="G9" s="83" t="str">
        <f>'P-Barbero'!A9</f>
        <v>P-BAR-0004</v>
      </c>
      <c r="H9" s="15" t="s">
        <v>195</v>
      </c>
      <c r="I9" s="2"/>
      <c r="J9" s="46" t="s">
        <v>324</v>
      </c>
      <c r="K9" s="46"/>
    </row>
    <row r="10" spans="1:11" ht="30" customHeight="1" x14ac:dyDescent="0.25">
      <c r="A10" s="2" t="s">
        <v>18</v>
      </c>
      <c r="B10" s="46" t="s">
        <v>295</v>
      </c>
      <c r="C10" s="46" t="s">
        <v>296</v>
      </c>
      <c r="D10" s="2" t="str">
        <f t="shared" si="0"/>
        <v>Barbero</v>
      </c>
      <c r="E10" s="46"/>
      <c r="F10" s="46"/>
      <c r="G10" s="83" t="str">
        <f>'P-Barbero'!A10</f>
        <v>P-BAR-0005</v>
      </c>
      <c r="H10" s="15" t="s">
        <v>195</v>
      </c>
      <c r="I10" s="2"/>
      <c r="J10" s="46" t="s">
        <v>325</v>
      </c>
      <c r="K10" s="46"/>
    </row>
    <row r="11" spans="1:11" ht="30" customHeight="1" x14ac:dyDescent="0.25">
      <c r="A11" s="2" t="s">
        <v>19</v>
      </c>
      <c r="B11" s="46" t="s">
        <v>302</v>
      </c>
      <c r="C11" s="46" t="s">
        <v>303</v>
      </c>
      <c r="D11" s="2" t="str">
        <f t="shared" si="0"/>
        <v>Barbero</v>
      </c>
      <c r="E11" s="46"/>
      <c r="F11" s="46"/>
      <c r="G11" s="2"/>
      <c r="H11" s="47"/>
      <c r="I11" s="2"/>
      <c r="J11" s="46" t="s">
        <v>326</v>
      </c>
      <c r="K11" s="46"/>
    </row>
    <row r="12" spans="1:11" ht="30" customHeight="1" x14ac:dyDescent="0.25">
      <c r="A12" s="2" t="s">
        <v>18</v>
      </c>
      <c r="B12" s="46" t="s">
        <v>302</v>
      </c>
      <c r="C12" s="46" t="s">
        <v>327</v>
      </c>
      <c r="D12" s="2" t="str">
        <f t="shared" si="0"/>
        <v>Barbero</v>
      </c>
      <c r="E12" s="46"/>
      <c r="F12" s="46"/>
      <c r="G12" s="2"/>
      <c r="H12" s="47"/>
      <c r="I12" s="2"/>
      <c r="J12" s="46" t="s">
        <v>326</v>
      </c>
      <c r="K12" s="46"/>
    </row>
    <row r="13" spans="1:11" ht="39.75" customHeight="1" x14ac:dyDescent="0.25">
      <c r="A13" s="2" t="s">
        <v>18</v>
      </c>
      <c r="B13" s="46" t="s">
        <v>306</v>
      </c>
      <c r="C13" s="46" t="s">
        <v>307</v>
      </c>
      <c r="D13" s="2" t="str">
        <f t="shared" si="0"/>
        <v>Barbero</v>
      </c>
      <c r="E13" s="46"/>
      <c r="F13" s="46"/>
      <c r="G13" s="62" t="str">
        <f>'P-Barbero'!A8</f>
        <v>P-BAR-0003</v>
      </c>
      <c r="H13" s="13" t="s">
        <v>195</v>
      </c>
      <c r="I13" s="2"/>
      <c r="J13" s="46" t="s">
        <v>328</v>
      </c>
      <c r="K13" s="46" t="s">
        <v>329</v>
      </c>
    </row>
    <row r="14" spans="1:11" ht="27.75" customHeight="1" x14ac:dyDescent="0.25">
      <c r="A14" s="2" t="s">
        <v>18</v>
      </c>
      <c r="B14" s="46" t="s">
        <v>310</v>
      </c>
      <c r="C14" s="46" t="s">
        <v>311</v>
      </c>
      <c r="D14" s="2" t="str">
        <f t="shared" si="0"/>
        <v>Barbero</v>
      </c>
      <c r="E14" s="46"/>
      <c r="F14" s="46"/>
      <c r="G14" s="62"/>
      <c r="H14" s="13"/>
      <c r="I14" s="2"/>
      <c r="J14" s="46"/>
      <c r="K14" s="46"/>
    </row>
  </sheetData>
  <mergeCells count="27">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F7:F8"/>
    <mergeCell ref="I7:I8"/>
    <mergeCell ref="J7:J8"/>
    <mergeCell ref="K7:K8"/>
    <mergeCell ref="A7:A8"/>
    <mergeCell ref="B7:B8"/>
    <mergeCell ref="C7:C8"/>
    <mergeCell ref="D7:D8"/>
    <mergeCell ref="E7:E8"/>
  </mergeCells>
  <hyperlinks>
    <hyperlink ref="A1" location="'Modelo de Dominio'!A1" display="&lt;&lt; Ir al modelo de dominio" xr:uid="{00000000-0004-0000-1800-000000000000}"/>
    <hyperlink ref="C1" location="'Objetos de Dominio'!A1" display="&lt;&lt; Ir al listado de objetos de dominio" xr:uid="{00000000-0004-0000-1800-000001000000}"/>
    <hyperlink ref="F1" location="'C-Barbero'!A1" display="&lt;&lt; Ir a la caracterización del objeto de dominio" xr:uid="{00000000-0004-0000-1800-000002000000}"/>
    <hyperlink ref="J1" location="'M-Barbero'!A1" display="Ir al muestreo de datos del objeto de dominio &gt;&gt;" xr:uid="{00000000-0004-0000-1800-000003000000}"/>
    <hyperlink ref="G7" location="'P-Barbero'!A6" display="#'P-Barbero'.A6" xr:uid="{00000000-0004-0000-1800-000004000000}"/>
    <hyperlink ref="H7" location="'P-Barbero'!B6" display="aquí" xr:uid="{00000000-0004-0000-1800-000005000000}"/>
    <hyperlink ref="G8" location="'P-Barbero'!A7" display="#'P-Barbero'.A7" xr:uid="{00000000-0004-0000-1800-000006000000}"/>
    <hyperlink ref="H8" location="'P-Barbero'!B7" display="aquí" xr:uid="{00000000-0004-0000-1800-000007000000}"/>
    <hyperlink ref="G9" location="'P-Barbero'!A9" display="#'P-Barbero'.A9" xr:uid="{00000000-0004-0000-1800-000008000000}"/>
    <hyperlink ref="H9" location="'P-Barbero'!B9" display="aquí" xr:uid="{00000000-0004-0000-1800-000009000000}"/>
    <hyperlink ref="G10" location="'P-Barbero'!A10" display="#'P-Barbero'.A10" xr:uid="{00000000-0004-0000-1800-00000A000000}"/>
    <hyperlink ref="H10" location="'P-Barbero'!B10" display="aquí" xr:uid="{00000000-0004-0000-1800-00000B000000}"/>
    <hyperlink ref="G13" location="'P-Barbero'!A8" display="#'P-Barbero'.A8" xr:uid="{00000000-0004-0000-1800-00000C000000}"/>
    <hyperlink ref="H13" location="'P-Barbero'!B8" display="aquí" xr:uid="{00000000-0004-0000-1800-00000D000000}"/>
  </hyperlink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0"/>
  <sheetViews>
    <sheetView zoomScaleNormal="100" workbookViewId="0">
      <selection activeCell="B1" sqref="B1"/>
    </sheetView>
  </sheetViews>
  <sheetFormatPr baseColWidth="10" defaultColWidth="8.7109375" defaultRowHeight="15" x14ac:dyDescent="0.25"/>
  <cols>
    <col min="1" max="1" width="27" customWidth="1"/>
    <col min="2" max="2" width="26.140625" customWidth="1"/>
    <col min="3" max="3" width="21.42578125" customWidth="1"/>
    <col min="4" max="4" width="19.42578125" customWidth="1"/>
    <col min="5" max="5" width="20.42578125" customWidth="1"/>
    <col min="6" max="6" width="20.5703125" customWidth="1"/>
    <col min="7" max="7" width="21" customWidth="1"/>
    <col min="8" max="8" width="27.7109375" customWidth="1"/>
    <col min="9" max="9" width="33" customWidth="1"/>
    <col min="10" max="10" width="37.5703125" customWidth="1"/>
    <col min="11" max="11" width="36.7109375" customWidth="1"/>
    <col min="12" max="12" width="42" customWidth="1"/>
  </cols>
  <sheetData>
    <row r="1" spans="1:12" ht="14.25" customHeight="1" x14ac:dyDescent="0.25">
      <c r="A1" s="6" t="s">
        <v>1</v>
      </c>
      <c r="B1" s="6" t="s">
        <v>28</v>
      </c>
      <c r="C1" s="63"/>
      <c r="D1" s="63"/>
      <c r="E1" s="63"/>
      <c r="F1" s="63"/>
      <c r="H1" s="53"/>
    </row>
    <row r="2" spans="1:12" ht="39" customHeight="1" x14ac:dyDescent="0.25">
      <c r="A2" s="48" t="s">
        <v>107</v>
      </c>
      <c r="B2" s="48" t="s">
        <v>330</v>
      </c>
      <c r="C2" s="48" t="s">
        <v>331</v>
      </c>
      <c r="D2" s="48" t="s">
        <v>332</v>
      </c>
      <c r="E2" s="48" t="s">
        <v>333</v>
      </c>
      <c r="F2" s="48" t="s">
        <v>334</v>
      </c>
      <c r="G2" s="48" t="s">
        <v>335</v>
      </c>
      <c r="H2" s="49" t="s">
        <v>336</v>
      </c>
      <c r="I2" s="48" t="s">
        <v>337</v>
      </c>
      <c r="J2" s="48" t="s">
        <v>338</v>
      </c>
      <c r="K2" s="48" t="s">
        <v>339</v>
      </c>
      <c r="L2" s="49" t="s">
        <v>340</v>
      </c>
    </row>
    <row r="3" spans="1:12" ht="14.25" customHeight="1" x14ac:dyDescent="0.25">
      <c r="A3" s="50" t="s">
        <v>110</v>
      </c>
      <c r="B3" s="51" t="s">
        <v>341</v>
      </c>
      <c r="C3" s="51" t="s">
        <v>342</v>
      </c>
      <c r="D3" s="51" t="s">
        <v>343</v>
      </c>
      <c r="E3" s="51" t="s">
        <v>344</v>
      </c>
      <c r="F3" s="84" t="s">
        <v>220</v>
      </c>
      <c r="G3" s="51" t="s">
        <v>345</v>
      </c>
      <c r="H3" s="51" t="s">
        <v>346</v>
      </c>
      <c r="I3" s="85" t="s">
        <v>347</v>
      </c>
      <c r="J3" s="51" t="s">
        <v>348</v>
      </c>
      <c r="K3" s="51" t="s">
        <v>349</v>
      </c>
      <c r="L3" s="52" t="s">
        <v>350</v>
      </c>
    </row>
    <row r="4" spans="1:12" ht="14.25" customHeight="1" x14ac:dyDescent="0.25">
      <c r="A4" s="53">
        <v>1</v>
      </c>
      <c r="B4" s="53" t="s">
        <v>351</v>
      </c>
      <c r="C4" s="53" t="s">
        <v>352</v>
      </c>
      <c r="D4" s="53" t="s">
        <v>353</v>
      </c>
      <c r="E4" s="53" t="s">
        <v>354</v>
      </c>
      <c r="F4" s="86" t="str">
        <f>'M-PrefijoCelular'!C4</f>
        <v>+57</v>
      </c>
      <c r="G4" s="53">
        <v>3245627890</v>
      </c>
      <c r="H4" s="53" t="s">
        <v>50</v>
      </c>
      <c r="I4" s="53" t="s">
        <v>210</v>
      </c>
      <c r="J4" s="53">
        <v>24</v>
      </c>
      <c r="K4" s="53">
        <v>0</v>
      </c>
      <c r="L4" s="53" t="str">
        <f>_xlfn.CONCAT(F4,"-",G4)</f>
        <v>+57-3245627890</v>
      </c>
    </row>
    <row r="5" spans="1:12" ht="14.25" customHeight="1" x14ac:dyDescent="0.25">
      <c r="A5" s="53">
        <v>2</v>
      </c>
      <c r="B5" s="53" t="s">
        <v>351</v>
      </c>
      <c r="C5" s="53" t="s">
        <v>355</v>
      </c>
      <c r="D5" s="53" t="s">
        <v>356</v>
      </c>
      <c r="E5" s="53" t="s">
        <v>357</v>
      </c>
      <c r="F5" s="86" t="str">
        <f>'M-PrefijoCelular'!C4</f>
        <v>+57</v>
      </c>
      <c r="G5" s="53">
        <v>3124518923</v>
      </c>
      <c r="H5" s="53" t="s">
        <v>50</v>
      </c>
      <c r="I5" s="53" t="s">
        <v>210</v>
      </c>
      <c r="J5" s="53">
        <v>0</v>
      </c>
      <c r="K5" s="53">
        <v>30</v>
      </c>
      <c r="L5" s="53" t="str">
        <f>_xlfn.CONCAT(F5,"-",G5)</f>
        <v>+57-3124518923</v>
      </c>
    </row>
    <row r="6" spans="1:12" ht="14.25" customHeight="1" x14ac:dyDescent="0.25">
      <c r="A6" s="53">
        <v>3</v>
      </c>
      <c r="B6" s="53" t="s">
        <v>358</v>
      </c>
      <c r="C6" s="53"/>
      <c r="D6" s="53" t="s">
        <v>359</v>
      </c>
      <c r="E6" s="53"/>
      <c r="F6" s="86" t="str">
        <f>'M-PrefijoCelular'!C4</f>
        <v>+57</v>
      </c>
      <c r="G6" s="53">
        <v>3214533321</v>
      </c>
      <c r="H6" s="53" t="s">
        <v>50</v>
      </c>
      <c r="I6" s="53" t="s">
        <v>210</v>
      </c>
      <c r="J6" s="53">
        <v>1</v>
      </c>
      <c r="K6" s="53">
        <v>0</v>
      </c>
      <c r="L6" s="53" t="str">
        <f>_xlfn.CONCAT(F6,"-",G6)</f>
        <v>+57-3214533321</v>
      </c>
    </row>
    <row r="7" spans="1:12" ht="14.25" customHeight="1" x14ac:dyDescent="0.25">
      <c r="A7" s="53">
        <v>4</v>
      </c>
      <c r="B7" s="53" t="s">
        <v>360</v>
      </c>
      <c r="C7" s="53"/>
      <c r="D7" s="53" t="s">
        <v>361</v>
      </c>
      <c r="E7" s="53" t="s">
        <v>362</v>
      </c>
      <c r="F7" s="86" t="str">
        <f>'M-PrefijoCelular'!C5</f>
        <v>+91</v>
      </c>
      <c r="G7" s="53">
        <v>9876543210</v>
      </c>
      <c r="H7" s="53" t="s">
        <v>50</v>
      </c>
      <c r="I7" s="53" t="s">
        <v>363</v>
      </c>
      <c r="J7" s="53">
        <v>0</v>
      </c>
      <c r="K7" s="53">
        <v>0</v>
      </c>
      <c r="L7" s="53" t="str">
        <f>_xlfn.CONCAT(F7,"-",G7)</f>
        <v>+91-9876543210</v>
      </c>
    </row>
    <row r="8" spans="1:12" ht="14.25" customHeight="1" x14ac:dyDescent="0.25">
      <c r="A8" s="53">
        <v>5</v>
      </c>
      <c r="B8" s="53" t="s">
        <v>351</v>
      </c>
      <c r="C8" s="53" t="s">
        <v>358</v>
      </c>
      <c r="D8" s="53" t="s">
        <v>364</v>
      </c>
      <c r="E8" s="53" t="s">
        <v>365</v>
      </c>
      <c r="F8" s="86" t="str">
        <f>'M-PrefijoCelular'!C6</f>
        <v>+593</v>
      </c>
      <c r="G8" s="53">
        <v>998765432</v>
      </c>
      <c r="H8" s="53" t="s">
        <v>50</v>
      </c>
      <c r="I8" s="53" t="s">
        <v>363</v>
      </c>
      <c r="J8" s="53">
        <v>2</v>
      </c>
      <c r="K8" s="53">
        <v>0</v>
      </c>
      <c r="L8" s="53" t="str">
        <f>_xlfn.CONCAT(F8,"-",G8)</f>
        <v>+593-998765432</v>
      </c>
    </row>
    <row r="14" spans="1:12" ht="28.5" customHeight="1" x14ac:dyDescent="0.25">
      <c r="A14" s="56"/>
      <c r="B14" s="57" t="s">
        <v>120</v>
      </c>
    </row>
    <row r="15" spans="1:12" ht="28.5" customHeight="1" x14ac:dyDescent="0.25">
      <c r="A15" s="58"/>
      <c r="B15" s="57" t="s">
        <v>121</v>
      </c>
    </row>
    <row r="16" spans="1:12" ht="28.5" customHeight="1" x14ac:dyDescent="0.25">
      <c r="A16" s="87"/>
      <c r="B16" s="57" t="s">
        <v>366</v>
      </c>
    </row>
    <row r="17" spans="1:2" ht="28.5" customHeight="1" x14ac:dyDescent="0.25">
      <c r="A17" s="88"/>
      <c r="B17" s="57" t="s">
        <v>367</v>
      </c>
    </row>
    <row r="18" spans="1:2" ht="28.5" customHeight="1" x14ac:dyDescent="0.25">
      <c r="A18" s="59"/>
      <c r="B18" s="57" t="s">
        <v>122</v>
      </c>
    </row>
    <row r="19" spans="1:2" ht="28.5" customHeight="1" x14ac:dyDescent="0.25">
      <c r="A19" s="60"/>
      <c r="B19" s="57" t="s">
        <v>123</v>
      </c>
    </row>
    <row r="20" spans="1:2" ht="28.5" customHeight="1" x14ac:dyDescent="0.25">
      <c r="B20" s="57"/>
    </row>
  </sheetData>
  <hyperlinks>
    <hyperlink ref="A1" location="'Modelo de Dominio'!A1" display="&lt;&lt;&lt;&lt; Ir al modulo de dominio" xr:uid="{00000000-0004-0000-1900-000000000000}"/>
    <hyperlink ref="B1" location="'Objetos de Dominio'!A1" display="&lt;&lt;&lt;&lt; Ir a objetos de dominio" xr:uid="{00000000-0004-0000-1900-000001000000}"/>
    <hyperlink ref="F4" location="'M-PrefijoCelular'!A4" display="#'M-PrefijoCelular'.A4" xr:uid="{00000000-0004-0000-1900-000002000000}"/>
    <hyperlink ref="F5" location="'M-PrefijoCelular'!A4" display="#'M-PrefijoCelular'.A4" xr:uid="{00000000-0004-0000-1900-000003000000}"/>
    <hyperlink ref="F6" location="'M-PrefijoCelular'!A4" display="#'M-PrefijoCelular'.A4" xr:uid="{00000000-0004-0000-1900-000004000000}"/>
    <hyperlink ref="F7" location="'M-PrefijoCelular'!A5" display="#'M-PrefijoCelular'.A5" xr:uid="{00000000-0004-0000-1900-000005000000}"/>
    <hyperlink ref="F8" location="'M-PrefijoCelular'!A6" display="#'M-PrefijoCelular'.A6" xr:uid="{00000000-0004-0000-1900-000006000000}"/>
  </hyperlink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41"/>
  <sheetViews>
    <sheetView topLeftCell="A22" zoomScaleNormal="100" workbookViewId="0">
      <selection activeCell="B29" sqref="B29"/>
    </sheetView>
  </sheetViews>
  <sheetFormatPr baseColWidth="10" defaultColWidth="8.7109375" defaultRowHeight="15" x14ac:dyDescent="0.25"/>
  <cols>
    <col min="1" max="1" width="27" customWidth="1"/>
    <col min="2" max="2" width="45" customWidth="1"/>
    <col min="3" max="3" width="30.42578125" customWidth="1"/>
    <col min="4" max="4" width="24.2851562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5" customWidth="1"/>
    <col min="17" max="17" width="38.42578125" customWidth="1"/>
    <col min="18" max="18" width="35.7109375" customWidth="1"/>
    <col min="19" max="19" width="21" customWidth="1"/>
    <col min="20" max="20" width="24" customWidth="1"/>
    <col min="21" max="21" width="18" customWidth="1"/>
  </cols>
  <sheetData>
    <row r="1" spans="1:21" ht="15" customHeight="1" x14ac:dyDescent="0.25">
      <c r="A1" s="6" t="s">
        <v>1</v>
      </c>
      <c r="B1" s="6" t="s">
        <v>28</v>
      </c>
    </row>
    <row r="2" spans="1:21" ht="15" customHeight="1" x14ac:dyDescent="0.25">
      <c r="A2" s="67" t="s">
        <v>29</v>
      </c>
      <c r="B2" s="67" t="s">
        <v>30</v>
      </c>
      <c r="C2" s="67" t="s">
        <v>31</v>
      </c>
      <c r="D2" s="67" t="s">
        <v>32</v>
      </c>
      <c r="E2" s="67" t="s">
        <v>33</v>
      </c>
      <c r="F2" s="67" t="s">
        <v>34</v>
      </c>
      <c r="G2" s="67" t="s">
        <v>35</v>
      </c>
      <c r="H2" s="67" t="s">
        <v>36</v>
      </c>
      <c r="I2" s="67" t="s">
        <v>37</v>
      </c>
      <c r="J2" s="67" t="s">
        <v>38</v>
      </c>
      <c r="K2" s="67" t="s">
        <v>39</v>
      </c>
      <c r="L2" s="67" t="s">
        <v>40</v>
      </c>
      <c r="M2" s="67" t="s">
        <v>41</v>
      </c>
      <c r="N2" s="67" t="s">
        <v>42</v>
      </c>
      <c r="O2" s="67" t="s">
        <v>43</v>
      </c>
      <c r="P2" s="67" t="s">
        <v>44</v>
      </c>
      <c r="Q2" s="67" t="s">
        <v>45</v>
      </c>
      <c r="R2" s="67" t="s">
        <v>46</v>
      </c>
      <c r="S2" s="67" t="s">
        <v>47</v>
      </c>
      <c r="T2" s="67" t="s">
        <v>48</v>
      </c>
      <c r="U2" s="67" t="s">
        <v>49</v>
      </c>
    </row>
    <row r="3" spans="1:21" ht="45" customHeight="1" x14ac:dyDescent="0.25">
      <c r="A3" s="18" t="str">
        <f>'M-Cliente'!A3</f>
        <v>id</v>
      </c>
      <c r="B3" s="19" t="str">
        <f>'M-Cliente'!A2</f>
        <v>Representa un identificador que hará unico cada objeto de dominio de este tipo, no se puede repetir</v>
      </c>
      <c r="C3" s="18" t="s">
        <v>50</v>
      </c>
      <c r="D3" s="18" t="s">
        <v>51</v>
      </c>
      <c r="E3" s="18" t="s">
        <v>50</v>
      </c>
      <c r="F3" s="18" t="s">
        <v>52</v>
      </c>
      <c r="G3" s="18" t="s">
        <v>52</v>
      </c>
      <c r="H3" s="18" t="s">
        <v>52</v>
      </c>
      <c r="I3" s="18" t="s">
        <v>52</v>
      </c>
      <c r="J3" s="18" t="s">
        <v>52</v>
      </c>
      <c r="K3" s="18" t="s">
        <v>52</v>
      </c>
      <c r="L3" s="18" t="s">
        <v>52</v>
      </c>
      <c r="M3" s="19" t="s">
        <v>52</v>
      </c>
      <c r="N3" s="18" t="s">
        <v>50</v>
      </c>
      <c r="O3" s="18" t="s">
        <v>53</v>
      </c>
      <c r="P3" s="18" t="s">
        <v>52</v>
      </c>
      <c r="Q3" s="18" t="s">
        <v>52</v>
      </c>
      <c r="R3" s="18" t="s">
        <v>52</v>
      </c>
      <c r="S3" s="18" t="s">
        <v>53</v>
      </c>
      <c r="T3" s="18" t="s">
        <v>54</v>
      </c>
      <c r="U3" s="18" t="s">
        <v>50</v>
      </c>
    </row>
    <row r="4" spans="1:21" ht="45" customHeight="1" x14ac:dyDescent="0.25">
      <c r="A4" s="18" t="str">
        <f>'M-Cliente'!B3</f>
        <v>primerNombre</v>
      </c>
      <c r="B4" s="19" t="str">
        <f>'M-Cliente'!B2</f>
        <v>Representa el primer nombre de la persona, que va a estar llendo a la barberia para las citas</v>
      </c>
      <c r="C4" s="18" t="s">
        <v>53</v>
      </c>
      <c r="D4" s="18" t="s">
        <v>55</v>
      </c>
      <c r="E4" s="18" t="s">
        <v>50</v>
      </c>
      <c r="F4" s="18">
        <v>2</v>
      </c>
      <c r="G4" s="18">
        <v>50</v>
      </c>
      <c r="H4" s="18" t="s">
        <v>52</v>
      </c>
      <c r="I4" s="18" t="s">
        <v>52</v>
      </c>
      <c r="J4" s="18" t="s">
        <v>52</v>
      </c>
      <c r="K4" s="18" t="s">
        <v>52</v>
      </c>
      <c r="L4" s="18" t="s">
        <v>52</v>
      </c>
      <c r="M4" s="19" t="s">
        <v>273</v>
      </c>
      <c r="N4" s="18" t="s">
        <v>53</v>
      </c>
      <c r="O4" s="18" t="s">
        <v>53</v>
      </c>
      <c r="P4" s="18" t="s">
        <v>53</v>
      </c>
      <c r="Q4" s="18" t="s">
        <v>50</v>
      </c>
      <c r="R4" s="18" t="s">
        <v>50</v>
      </c>
      <c r="S4" s="18" t="s">
        <v>53</v>
      </c>
      <c r="T4" s="18" t="s">
        <v>57</v>
      </c>
      <c r="U4" s="18" t="s">
        <v>53</v>
      </c>
    </row>
    <row r="5" spans="1:21" ht="45" customHeight="1" x14ac:dyDescent="0.25">
      <c r="A5" s="18" t="str">
        <f>'M-Cliente'!C3</f>
        <v>segundoNombre</v>
      </c>
      <c r="B5" s="19" t="str">
        <f>'M-Cliente'!C2</f>
        <v>Representa el segundo nombre de la persona, que va a estar llendo a la barberia para las citas</v>
      </c>
      <c r="C5" s="18" t="s">
        <v>53</v>
      </c>
      <c r="D5" s="18" t="s">
        <v>55</v>
      </c>
      <c r="E5" s="18" t="s">
        <v>53</v>
      </c>
      <c r="F5" s="18">
        <v>2</v>
      </c>
      <c r="G5" s="18">
        <v>50</v>
      </c>
      <c r="H5" s="18" t="s">
        <v>52</v>
      </c>
      <c r="I5" s="18" t="s">
        <v>52</v>
      </c>
      <c r="J5" s="18" t="s">
        <v>52</v>
      </c>
      <c r="K5" s="18" t="s">
        <v>52</v>
      </c>
      <c r="L5" s="18" t="s">
        <v>52</v>
      </c>
      <c r="M5" s="19" t="s">
        <v>273</v>
      </c>
      <c r="N5" s="18" t="s">
        <v>53</v>
      </c>
      <c r="O5" s="18" t="s">
        <v>53</v>
      </c>
      <c r="P5" s="18" t="s">
        <v>53</v>
      </c>
      <c r="Q5" s="18" t="s">
        <v>50</v>
      </c>
      <c r="R5" s="18" t="s">
        <v>50</v>
      </c>
      <c r="S5" s="18" t="s">
        <v>53</v>
      </c>
      <c r="T5" s="18" t="s">
        <v>57</v>
      </c>
      <c r="U5" s="18" t="s">
        <v>53</v>
      </c>
    </row>
    <row r="6" spans="1:21" ht="45" customHeight="1" x14ac:dyDescent="0.25">
      <c r="A6" s="18" t="str">
        <f>'M-Cliente'!D3</f>
        <v>primerApellido</v>
      </c>
      <c r="B6" s="19" t="str">
        <f>'M-Cliente'!D2</f>
        <v>Representa el primer apellido de la persona, que va a estar llendo a la barberia para las citas</v>
      </c>
      <c r="C6" s="18" t="s">
        <v>53</v>
      </c>
      <c r="D6" s="18" t="s">
        <v>55</v>
      </c>
      <c r="E6" s="18" t="s">
        <v>50</v>
      </c>
      <c r="F6" s="18">
        <v>2</v>
      </c>
      <c r="G6" s="18">
        <v>50</v>
      </c>
      <c r="H6" s="18" t="s">
        <v>52</v>
      </c>
      <c r="I6" s="18" t="s">
        <v>52</v>
      </c>
      <c r="J6" s="18" t="s">
        <v>52</v>
      </c>
      <c r="K6" s="18" t="s">
        <v>52</v>
      </c>
      <c r="L6" s="18" t="s">
        <v>52</v>
      </c>
      <c r="M6" s="19" t="s">
        <v>273</v>
      </c>
      <c r="N6" s="18" t="s">
        <v>53</v>
      </c>
      <c r="O6" s="18" t="s">
        <v>53</v>
      </c>
      <c r="P6" s="18" t="s">
        <v>53</v>
      </c>
      <c r="Q6" s="18" t="s">
        <v>50</v>
      </c>
      <c r="R6" s="18" t="s">
        <v>50</v>
      </c>
      <c r="S6" s="18" t="s">
        <v>53</v>
      </c>
      <c r="T6" s="18" t="s">
        <v>57</v>
      </c>
      <c r="U6" s="18" t="s">
        <v>53</v>
      </c>
    </row>
    <row r="7" spans="1:21" ht="45" customHeight="1" x14ac:dyDescent="0.25">
      <c r="A7" s="18" t="str">
        <f>'M-Cliente'!E3</f>
        <v>segundoApellido</v>
      </c>
      <c r="B7" s="19" t="str">
        <f>'M-Cliente'!E2</f>
        <v>Representa el segundo apellido de la persona, que va a estar llendo a la barberia para las citas</v>
      </c>
      <c r="C7" s="18" t="s">
        <v>53</v>
      </c>
      <c r="D7" s="18" t="s">
        <v>55</v>
      </c>
      <c r="E7" s="18" t="s">
        <v>53</v>
      </c>
      <c r="F7" s="18">
        <v>2</v>
      </c>
      <c r="G7" s="18">
        <v>50</v>
      </c>
      <c r="H7" s="18" t="s">
        <v>52</v>
      </c>
      <c r="I7" s="18" t="s">
        <v>52</v>
      </c>
      <c r="J7" s="18" t="s">
        <v>52</v>
      </c>
      <c r="K7" s="18" t="s">
        <v>52</v>
      </c>
      <c r="L7" s="18" t="s">
        <v>52</v>
      </c>
      <c r="M7" s="19" t="s">
        <v>273</v>
      </c>
      <c r="N7" s="18" t="s">
        <v>53</v>
      </c>
      <c r="O7" s="18" t="s">
        <v>53</v>
      </c>
      <c r="P7" s="18" t="s">
        <v>53</v>
      </c>
      <c r="Q7" s="18" t="s">
        <v>50</v>
      </c>
      <c r="R7" s="18" t="s">
        <v>50</v>
      </c>
      <c r="S7" s="18" t="s">
        <v>53</v>
      </c>
      <c r="T7" s="18" t="s">
        <v>57</v>
      </c>
      <c r="U7" s="18" t="s">
        <v>53</v>
      </c>
    </row>
    <row r="8" spans="1:21" ht="45" customHeight="1" x14ac:dyDescent="0.25">
      <c r="A8" s="18" t="str">
        <f>'M-Cliente'!F3</f>
        <v>prefijoCelular</v>
      </c>
      <c r="B8" s="19" t="str">
        <f>'M-Cliente'!F2</f>
        <v>Representa cual es el prefijo del numero de celular del cliente</v>
      </c>
      <c r="C8" s="18" t="s">
        <v>53</v>
      </c>
      <c r="D8" s="80" t="s">
        <v>16</v>
      </c>
      <c r="E8" s="18" t="s">
        <v>50</v>
      </c>
      <c r="F8" s="18" t="s">
        <v>52</v>
      </c>
      <c r="G8" s="18" t="s">
        <v>52</v>
      </c>
      <c r="H8" s="18" t="s">
        <v>52</v>
      </c>
      <c r="I8" s="18" t="s">
        <v>52</v>
      </c>
      <c r="J8" s="18" t="s">
        <v>52</v>
      </c>
      <c r="K8" s="18" t="s">
        <v>52</v>
      </c>
      <c r="L8" s="18" t="s">
        <v>52</v>
      </c>
      <c r="M8" s="81" t="s">
        <v>276</v>
      </c>
      <c r="N8" s="18" t="s">
        <v>53</v>
      </c>
      <c r="O8" s="18" t="s">
        <v>52</v>
      </c>
      <c r="P8" s="18" t="s">
        <v>52</v>
      </c>
      <c r="Q8" s="18" t="s">
        <v>52</v>
      </c>
      <c r="R8" s="18" t="s">
        <v>52</v>
      </c>
      <c r="S8" s="18" t="s">
        <v>53</v>
      </c>
      <c r="T8" s="18" t="s">
        <v>54</v>
      </c>
      <c r="U8" s="18" t="s">
        <v>53</v>
      </c>
    </row>
    <row r="9" spans="1:21" ht="57" customHeight="1" x14ac:dyDescent="0.25">
      <c r="A9" s="18" t="str">
        <f>'M-Cliente'!G3</f>
        <v>celular</v>
      </c>
      <c r="B9" s="19" t="str">
        <f>'M-Cliente'!G2</f>
        <v>Representa el numero de celular del cliente, es el dato que el barbero necesita en caso de que tenga que contactarse con el</v>
      </c>
      <c r="C9" s="18" t="s">
        <v>53</v>
      </c>
      <c r="D9" s="18" t="s">
        <v>55</v>
      </c>
      <c r="E9" s="18" t="s">
        <v>50</v>
      </c>
      <c r="F9" s="18">
        <v>6</v>
      </c>
      <c r="G9" s="18">
        <v>15</v>
      </c>
      <c r="H9" s="18" t="s">
        <v>52</v>
      </c>
      <c r="I9" s="18" t="s">
        <v>52</v>
      </c>
      <c r="J9" s="18" t="s">
        <v>52</v>
      </c>
      <c r="K9" s="18" t="s">
        <v>52</v>
      </c>
      <c r="L9" s="19" t="s">
        <v>52</v>
      </c>
      <c r="M9" s="19" t="s">
        <v>277</v>
      </c>
      <c r="N9" s="18" t="s">
        <v>53</v>
      </c>
      <c r="O9" s="18" t="s">
        <v>52</v>
      </c>
      <c r="P9" s="18" t="s">
        <v>52</v>
      </c>
      <c r="Q9" s="18" t="s">
        <v>50</v>
      </c>
      <c r="R9" s="18" t="s">
        <v>50</v>
      </c>
      <c r="S9" s="18" t="s">
        <v>50</v>
      </c>
      <c r="T9" s="18" t="s">
        <v>278</v>
      </c>
      <c r="U9" s="18" t="s">
        <v>53</v>
      </c>
    </row>
    <row r="10" spans="1:21" ht="57" customHeight="1" x14ac:dyDescent="0.25">
      <c r="A10" s="18" t="str">
        <f>'M-Cliente'!H3</f>
        <v>elNumeroCelularEsCorrecto</v>
      </c>
      <c r="B10" s="19" t="str">
        <f>'M-Cliente'!H2</f>
        <v>Representa si el numero que ingreso el cliente es correcto o no</v>
      </c>
      <c r="C10" s="18" t="s">
        <v>53</v>
      </c>
      <c r="D10" s="18" t="s">
        <v>166</v>
      </c>
      <c r="E10" s="18" t="s">
        <v>50</v>
      </c>
      <c r="F10" s="18" t="s">
        <v>52</v>
      </c>
      <c r="G10" s="18" t="s">
        <v>52</v>
      </c>
      <c r="H10" s="18" t="s">
        <v>52</v>
      </c>
      <c r="I10" s="18" t="s">
        <v>52</v>
      </c>
      <c r="J10" s="18" t="s">
        <v>52</v>
      </c>
      <c r="K10" s="18" t="s">
        <v>52</v>
      </c>
      <c r="L10" s="19" t="s">
        <v>52</v>
      </c>
      <c r="M10" s="19" t="s">
        <v>52</v>
      </c>
      <c r="N10" s="18" t="s">
        <v>53</v>
      </c>
      <c r="O10" s="18" t="s">
        <v>52</v>
      </c>
      <c r="P10" s="18" t="s">
        <v>52</v>
      </c>
      <c r="Q10" s="18" t="s">
        <v>52</v>
      </c>
      <c r="R10" s="18" t="s">
        <v>52</v>
      </c>
      <c r="S10" s="18" t="s">
        <v>53</v>
      </c>
      <c r="T10" s="18" t="s">
        <v>53</v>
      </c>
      <c r="U10" s="18" t="s">
        <v>53</v>
      </c>
    </row>
    <row r="11" spans="1:21" ht="60" customHeight="1" x14ac:dyDescent="0.25">
      <c r="A11" s="18" t="str">
        <f>'M-Cliente'!I3</f>
        <v>estaVetado</v>
      </c>
      <c r="B11" s="19" t="str">
        <f>'M-Cliente'!I2</f>
        <v>Representa si el cliente esta en estado de veto o no, cuando el cliente esta vetado el sistema no va a permitir agendar citas con este cliente con ningun barbero</v>
      </c>
      <c r="C11" s="18" t="s">
        <v>53</v>
      </c>
      <c r="D11" s="18" t="s">
        <v>166</v>
      </c>
      <c r="E11" s="18" t="s">
        <v>50</v>
      </c>
      <c r="F11" s="18" t="s">
        <v>52</v>
      </c>
      <c r="G11" s="18" t="s">
        <v>52</v>
      </c>
      <c r="H11" s="18" t="s">
        <v>52</v>
      </c>
      <c r="I11" s="18" t="s">
        <v>52</v>
      </c>
      <c r="J11" s="18" t="s">
        <v>52</v>
      </c>
      <c r="K11" s="18" t="s">
        <v>52</v>
      </c>
      <c r="L11" s="18" t="s">
        <v>52</v>
      </c>
      <c r="M11" s="19" t="s">
        <v>368</v>
      </c>
      <c r="N11" s="18" t="s">
        <v>50</v>
      </c>
      <c r="O11" s="18" t="s">
        <v>53</v>
      </c>
      <c r="P11" s="18" t="s">
        <v>52</v>
      </c>
      <c r="Q11" s="18" t="s">
        <v>52</v>
      </c>
      <c r="R11" s="18" t="s">
        <v>52</v>
      </c>
      <c r="S11" s="18" t="s">
        <v>53</v>
      </c>
      <c r="T11" s="18" t="s">
        <v>53</v>
      </c>
      <c r="U11" s="18" t="s">
        <v>53</v>
      </c>
    </row>
    <row r="12" spans="1:21" ht="15" customHeight="1" x14ac:dyDescent="0.25">
      <c r="A12" s="7"/>
      <c r="B12" s="7"/>
      <c r="C12" s="7"/>
      <c r="D12" s="7"/>
      <c r="E12" s="7"/>
      <c r="F12" s="7"/>
      <c r="G12" s="7"/>
      <c r="H12" s="7"/>
      <c r="I12" s="7"/>
      <c r="J12" s="7"/>
      <c r="K12" s="7"/>
      <c r="L12" s="7"/>
      <c r="M12" s="7"/>
      <c r="N12" s="7"/>
      <c r="O12" s="7"/>
      <c r="P12" s="7"/>
      <c r="Q12" s="7"/>
      <c r="R12" s="7"/>
      <c r="S12" s="7"/>
      <c r="T12" s="7"/>
      <c r="U12" s="7"/>
    </row>
    <row r="13" spans="1:21" ht="15" customHeight="1" x14ac:dyDescent="0.25">
      <c r="A13" s="20" t="s">
        <v>58</v>
      </c>
      <c r="B13" s="20" t="s">
        <v>59</v>
      </c>
      <c r="C13" s="20" t="s">
        <v>60</v>
      </c>
      <c r="D13" s="69"/>
      <c r="E13" s="69"/>
      <c r="F13" s="69"/>
      <c r="G13" s="69"/>
      <c r="H13" s="69"/>
      <c r="I13" s="69"/>
      <c r="J13" s="69"/>
      <c r="K13" s="69"/>
      <c r="L13" s="69"/>
      <c r="M13" s="69"/>
      <c r="N13" s="69"/>
      <c r="O13" s="69"/>
      <c r="P13" s="69"/>
      <c r="Q13" s="69"/>
      <c r="R13" s="69"/>
      <c r="S13" s="69"/>
      <c r="T13" s="69"/>
      <c r="U13" s="69"/>
    </row>
    <row r="14" spans="1:21" ht="15" customHeight="1" x14ac:dyDescent="0.25">
      <c r="A14" s="21" t="str">
        <f>'M-Cliente'!J3</f>
        <v>Combinación única  1</v>
      </c>
      <c r="B14" s="22" t="str">
        <f>'M-Cliente'!J2</f>
        <v>Combinacion única que indica que no puede existir más de un cliente con el mismo prefijo de celular y número de celular</v>
      </c>
      <c r="C14" s="274" t="str">
        <f>A8</f>
        <v>prefijoCelular</v>
      </c>
      <c r="D14" s="7"/>
      <c r="E14" s="7"/>
      <c r="F14" s="7"/>
      <c r="G14" s="7"/>
      <c r="H14" s="7"/>
      <c r="I14" s="7"/>
      <c r="J14" s="7"/>
      <c r="K14" s="7"/>
      <c r="L14" s="7"/>
      <c r="M14" s="7"/>
      <c r="N14" s="7"/>
      <c r="O14" s="7"/>
      <c r="P14" s="7"/>
      <c r="Q14" s="7"/>
      <c r="R14" s="7"/>
      <c r="S14" s="7"/>
      <c r="T14" s="7"/>
      <c r="U14" s="7"/>
    </row>
    <row r="15" spans="1:21" ht="15" customHeight="1" x14ac:dyDescent="0.25">
      <c r="C15" s="274"/>
      <c r="D15" s="7"/>
      <c r="E15" s="7"/>
      <c r="F15" s="7"/>
      <c r="G15" s="7"/>
      <c r="H15" s="7"/>
      <c r="I15" s="7"/>
      <c r="J15" s="7"/>
      <c r="K15" s="7"/>
      <c r="L15" s="7"/>
      <c r="M15" s="7"/>
      <c r="N15" s="7"/>
      <c r="O15" s="7"/>
      <c r="P15" s="7"/>
      <c r="Q15" s="7"/>
      <c r="R15" s="7"/>
      <c r="S15" s="7"/>
      <c r="T15" s="7"/>
      <c r="U15" s="7"/>
    </row>
    <row r="16" spans="1:21" ht="15" customHeight="1" x14ac:dyDescent="0.25">
      <c r="C16" s="274"/>
      <c r="D16" s="7"/>
      <c r="E16" s="7"/>
      <c r="F16" s="7"/>
      <c r="G16" s="7"/>
      <c r="H16" s="7"/>
      <c r="I16" s="7"/>
      <c r="J16" s="7"/>
      <c r="K16" s="7"/>
      <c r="L16" s="7"/>
      <c r="M16" s="7"/>
      <c r="N16" s="7"/>
      <c r="O16" s="7"/>
      <c r="P16" s="7"/>
      <c r="Q16" s="7"/>
      <c r="R16" s="7"/>
      <c r="S16" s="7"/>
      <c r="T16" s="7"/>
      <c r="U16" s="7"/>
    </row>
    <row r="17" spans="1:21" ht="15" customHeight="1" x14ac:dyDescent="0.25">
      <c r="C17" s="89" t="str">
        <f>A9</f>
        <v>celular</v>
      </c>
      <c r="D17" s="7"/>
      <c r="E17" s="7"/>
      <c r="F17" s="7"/>
      <c r="G17" s="7"/>
      <c r="H17" s="7"/>
      <c r="I17" s="7"/>
      <c r="J17" s="7"/>
      <c r="K17" s="7"/>
      <c r="L17" s="7"/>
      <c r="M17" s="7"/>
      <c r="N17" s="7"/>
      <c r="O17" s="7"/>
      <c r="P17" s="7"/>
      <c r="Q17" s="7"/>
      <c r="R17" s="7"/>
      <c r="S17" s="7"/>
      <c r="T17" s="7"/>
      <c r="U17" s="7"/>
    </row>
    <row r="18" spans="1:21" ht="15" customHeight="1" x14ac:dyDescent="0.25">
      <c r="D18" s="7"/>
      <c r="E18" s="7"/>
      <c r="F18" s="7"/>
      <c r="G18" s="7"/>
      <c r="H18" s="7"/>
      <c r="I18" s="7"/>
      <c r="J18" s="7"/>
      <c r="K18" s="7"/>
      <c r="L18" s="7"/>
      <c r="M18" s="7"/>
      <c r="N18" s="7"/>
      <c r="O18" s="7"/>
      <c r="P18" s="7"/>
      <c r="Q18" s="7"/>
      <c r="R18" s="7"/>
      <c r="S18" s="7"/>
      <c r="T18" s="7"/>
      <c r="U18" s="7"/>
    </row>
    <row r="19" spans="1:21" ht="15" customHeight="1" x14ac:dyDescent="0.25">
      <c r="A19" s="203" t="s">
        <v>62</v>
      </c>
      <c r="B19" s="203"/>
      <c r="C19" s="197" t="s">
        <v>59</v>
      </c>
      <c r="D19" s="197"/>
      <c r="E19" s="197"/>
      <c r="F19" s="197"/>
      <c r="G19" s="197" t="s">
        <v>63</v>
      </c>
      <c r="H19" s="197"/>
      <c r="I19" s="197"/>
      <c r="J19" s="197" t="s">
        <v>64</v>
      </c>
      <c r="K19" s="197"/>
      <c r="L19" s="197"/>
      <c r="M19" s="197"/>
      <c r="N19" s="197"/>
      <c r="O19" s="197" t="s">
        <v>65</v>
      </c>
      <c r="P19" s="197"/>
      <c r="Q19" s="197" t="s">
        <v>66</v>
      </c>
      <c r="R19" s="197"/>
      <c r="S19" s="7"/>
      <c r="T19" s="7"/>
      <c r="U19" s="7"/>
    </row>
    <row r="20" spans="1:21" ht="15" customHeight="1" x14ac:dyDescent="0.25">
      <c r="A20" s="203"/>
      <c r="B20" s="203"/>
      <c r="C20" s="197"/>
      <c r="D20" s="197"/>
      <c r="E20" s="197"/>
      <c r="F20" s="197"/>
      <c r="G20" s="24" t="s">
        <v>67</v>
      </c>
      <c r="H20" s="24" t="s">
        <v>32</v>
      </c>
      <c r="I20" s="24" t="s">
        <v>59</v>
      </c>
      <c r="J20" s="24" t="s">
        <v>68</v>
      </c>
      <c r="K20" s="200" t="s">
        <v>59</v>
      </c>
      <c r="L20" s="201"/>
      <c r="M20" s="201"/>
      <c r="N20" s="202"/>
      <c r="O20" s="24" t="s">
        <v>69</v>
      </c>
      <c r="P20" s="24" t="s">
        <v>59</v>
      </c>
      <c r="Q20" s="24" t="s">
        <v>70</v>
      </c>
      <c r="R20" s="27" t="s">
        <v>71</v>
      </c>
    </row>
    <row r="21" spans="1:21" ht="120" x14ac:dyDescent="0.25">
      <c r="A21" s="272" t="s">
        <v>369</v>
      </c>
      <c r="B21" s="216"/>
      <c r="C21" s="219" t="s">
        <v>370</v>
      </c>
      <c r="D21" s="220"/>
      <c r="E21" s="220"/>
      <c r="F21" s="221"/>
      <c r="G21" s="225" t="s">
        <v>283</v>
      </c>
      <c r="H21" s="227" t="s">
        <v>19</v>
      </c>
      <c r="I21" s="229" t="s">
        <v>371</v>
      </c>
      <c r="J21" s="231" t="s">
        <v>19</v>
      </c>
      <c r="K21" s="219" t="s">
        <v>372</v>
      </c>
      <c r="L21" s="220"/>
      <c r="M21" s="220"/>
      <c r="N21" s="221"/>
      <c r="O21" s="28" t="str">
        <f>'P-Cliente'!A6</f>
        <v>P-CLI-0001</v>
      </c>
      <c r="P21" s="3" t="str">
        <f>'P-Cliente'!B6</f>
        <v>Asegurar que los datos requeridos del cliente (nombres, apellidos, prefijo de celular, celular) sean válidos en tipo de dato, longitud, obligatoriedad, formato y rango</v>
      </c>
      <c r="Q21" s="3" t="s">
        <v>373</v>
      </c>
      <c r="R21" s="28" t="s">
        <v>134</v>
      </c>
    </row>
    <row r="22" spans="1:21" ht="60" x14ac:dyDescent="0.25">
      <c r="A22" s="273"/>
      <c r="B22" s="218"/>
      <c r="C22" s="222"/>
      <c r="D22" s="223"/>
      <c r="E22" s="223"/>
      <c r="F22" s="224"/>
      <c r="G22" s="226"/>
      <c r="H22" s="228"/>
      <c r="I22" s="230"/>
      <c r="J22" s="232"/>
      <c r="K22" s="222"/>
      <c r="L22" s="223"/>
      <c r="M22" s="223"/>
      <c r="N22" s="224"/>
      <c r="O22" s="28" t="str">
        <f>'P-Cliente'!A7</f>
        <v>P-CLI-0002</v>
      </c>
      <c r="P22" s="3" t="str">
        <f>'P-Cliente'!B7</f>
        <v>Asegurar que el número de celular y prefijo de celular no esté siendo utilizado por otro cliente</v>
      </c>
      <c r="Q22" s="3" t="s">
        <v>374</v>
      </c>
      <c r="R22" s="28" t="s">
        <v>134</v>
      </c>
    </row>
    <row r="23" spans="1:21" ht="100.9" customHeight="1" x14ac:dyDescent="0.25">
      <c r="A23" s="268" t="s">
        <v>288</v>
      </c>
      <c r="B23" s="235"/>
      <c r="C23" s="238" t="s">
        <v>375</v>
      </c>
      <c r="D23" s="239"/>
      <c r="E23" s="239"/>
      <c r="F23" s="240"/>
      <c r="G23" s="168" t="s">
        <v>110</v>
      </c>
      <c r="H23" s="168" t="s">
        <v>131</v>
      </c>
      <c r="I23" s="169" t="s">
        <v>376</v>
      </c>
      <c r="J23" s="245" t="s">
        <v>19</v>
      </c>
      <c r="K23" s="238" t="s">
        <v>377</v>
      </c>
      <c r="L23" s="239"/>
      <c r="M23" s="239"/>
      <c r="N23" s="240"/>
      <c r="O23" s="182" t="str">
        <f>'P-Cliente'!A8</f>
        <v>P-CLI-0003</v>
      </c>
      <c r="P23" s="252" t="str">
        <f>'P-Cliente'!B8</f>
        <v>Asegurar que los datos requeridos del cliente para editar su contacto (prefijo de celular y celular) sean válidos en tipo de dato, longitud, obligatoriedad, formato y rango</v>
      </c>
      <c r="Q23" s="252" t="s">
        <v>378</v>
      </c>
      <c r="R23" s="248" t="s">
        <v>134</v>
      </c>
    </row>
    <row r="24" spans="1:21" ht="38.25" x14ac:dyDescent="0.25">
      <c r="A24" s="269"/>
      <c r="B24" s="237"/>
      <c r="C24" s="241"/>
      <c r="D24" s="242"/>
      <c r="E24" s="242"/>
      <c r="F24" s="243"/>
      <c r="G24" s="168" t="s">
        <v>293</v>
      </c>
      <c r="H24" s="168" t="s">
        <v>19</v>
      </c>
      <c r="I24" s="169" t="s">
        <v>379</v>
      </c>
      <c r="J24" s="246"/>
      <c r="K24" s="241"/>
      <c r="L24" s="242"/>
      <c r="M24" s="242"/>
      <c r="N24" s="243"/>
      <c r="O24" s="183"/>
      <c r="P24" s="253"/>
      <c r="Q24" s="253"/>
      <c r="R24" s="249"/>
    </row>
    <row r="25" spans="1:21" ht="38.25" x14ac:dyDescent="0.25">
      <c r="A25" s="271" t="s">
        <v>380</v>
      </c>
      <c r="B25" s="271"/>
      <c r="C25" s="214" t="s">
        <v>381</v>
      </c>
      <c r="D25" s="214"/>
      <c r="E25" s="214"/>
      <c r="F25" s="214"/>
      <c r="G25" s="173" t="s">
        <v>110</v>
      </c>
      <c r="H25" s="173" t="s">
        <v>131</v>
      </c>
      <c r="I25" s="174" t="s">
        <v>382</v>
      </c>
      <c r="J25" s="175" t="s">
        <v>19</v>
      </c>
      <c r="K25" s="214" t="s">
        <v>383</v>
      </c>
      <c r="L25" s="214"/>
      <c r="M25" s="214"/>
      <c r="N25" s="214"/>
      <c r="O25" s="173"/>
      <c r="P25" s="172"/>
      <c r="Q25" s="172"/>
      <c r="R25" s="173"/>
      <c r="S25" s="70"/>
      <c r="T25" s="70"/>
      <c r="U25" s="70"/>
    </row>
    <row r="26" spans="1:21" ht="38.25" x14ac:dyDescent="0.25">
      <c r="A26" s="267" t="s">
        <v>384</v>
      </c>
      <c r="B26" s="267"/>
      <c r="C26" s="199" t="s">
        <v>385</v>
      </c>
      <c r="D26" s="199"/>
      <c r="E26" s="199"/>
      <c r="F26" s="199"/>
      <c r="G26" s="28" t="s">
        <v>110</v>
      </c>
      <c r="H26" s="28" t="s">
        <v>131</v>
      </c>
      <c r="I26" s="29" t="s">
        <v>382</v>
      </c>
      <c r="J26" s="30" t="s">
        <v>166</v>
      </c>
      <c r="K26" s="199" t="s">
        <v>386</v>
      </c>
      <c r="L26" s="199"/>
      <c r="M26" s="199"/>
      <c r="N26" s="199"/>
      <c r="O26" s="28"/>
      <c r="P26" s="3"/>
      <c r="Q26" s="3"/>
      <c r="R26" s="28"/>
    </row>
    <row r="27" spans="1:21" ht="38.25" x14ac:dyDescent="0.25">
      <c r="A27" s="270" t="s">
        <v>387</v>
      </c>
      <c r="B27" s="270"/>
      <c r="C27" s="233" t="s">
        <v>388</v>
      </c>
      <c r="D27" s="233"/>
      <c r="E27" s="233"/>
      <c r="F27" s="233"/>
      <c r="G27" s="168" t="s">
        <v>110</v>
      </c>
      <c r="H27" s="168" t="s">
        <v>131</v>
      </c>
      <c r="I27" s="169" t="s">
        <v>382</v>
      </c>
      <c r="J27" s="177" t="s">
        <v>165</v>
      </c>
      <c r="K27" s="233" t="s">
        <v>389</v>
      </c>
      <c r="L27" s="233"/>
      <c r="M27" s="233"/>
      <c r="N27" s="233"/>
      <c r="O27" s="168"/>
      <c r="P27" s="170"/>
      <c r="Q27" s="170"/>
      <c r="R27" s="168"/>
    </row>
    <row r="28" spans="1:21" ht="15" customHeight="1" x14ac:dyDescent="0.25">
      <c r="A28" s="178"/>
      <c r="C28" s="179"/>
      <c r="G28" s="180"/>
      <c r="H28" s="180"/>
      <c r="I28" s="1"/>
      <c r="J28" s="181"/>
      <c r="K28" s="179"/>
      <c r="O28" s="180"/>
      <c r="P28" s="179"/>
      <c r="Q28" s="179"/>
      <c r="R28" s="180"/>
    </row>
    <row r="29" spans="1:21" ht="15" customHeight="1" x14ac:dyDescent="0.25">
      <c r="A29" s="178"/>
      <c r="C29" s="179"/>
      <c r="G29" s="180"/>
      <c r="H29" s="180"/>
      <c r="I29" s="1"/>
      <c r="J29" s="181"/>
      <c r="K29" s="179"/>
      <c r="O29" s="180"/>
      <c r="P29" s="179"/>
      <c r="Q29" s="179"/>
      <c r="R29" s="180"/>
    </row>
    <row r="30" spans="1:21" ht="15" customHeight="1" x14ac:dyDescent="0.25">
      <c r="A30" s="178"/>
      <c r="C30" s="179"/>
      <c r="G30" s="180"/>
      <c r="H30" s="180"/>
      <c r="I30" s="1"/>
      <c r="J30" s="181"/>
      <c r="K30" s="179"/>
      <c r="O30" s="180"/>
      <c r="P30" s="179"/>
      <c r="Q30" s="179"/>
      <c r="R30" s="180"/>
    </row>
    <row r="31" spans="1:21" ht="15" customHeight="1" x14ac:dyDescent="0.25">
      <c r="A31" s="178"/>
      <c r="C31" s="179"/>
      <c r="G31" s="180"/>
      <c r="H31" s="180"/>
      <c r="I31" s="1"/>
      <c r="J31" s="181"/>
      <c r="K31" s="179"/>
      <c r="O31" s="180"/>
      <c r="P31" s="179"/>
      <c r="Q31" s="179"/>
      <c r="R31" s="180"/>
    </row>
    <row r="32" spans="1:21" ht="15" customHeight="1" x14ac:dyDescent="0.25">
      <c r="A32" s="178"/>
      <c r="C32" s="179"/>
      <c r="G32" s="180"/>
      <c r="H32" s="180"/>
      <c r="I32" s="1"/>
      <c r="J32" s="181"/>
      <c r="K32" s="179"/>
      <c r="O32" s="180"/>
      <c r="P32" s="179"/>
      <c r="Q32" s="179"/>
      <c r="R32" s="180"/>
    </row>
    <row r="33" spans="1:18" ht="15" customHeight="1" x14ac:dyDescent="0.25">
      <c r="A33" s="178"/>
      <c r="C33" s="179"/>
      <c r="G33" s="180"/>
      <c r="H33" s="180"/>
      <c r="I33" s="1"/>
      <c r="J33" s="181"/>
      <c r="K33" s="179"/>
      <c r="O33" s="180"/>
      <c r="P33" s="179"/>
      <c r="Q33" s="179"/>
      <c r="R33" s="180"/>
    </row>
    <row r="34" spans="1:18" ht="15" customHeight="1" x14ac:dyDescent="0.25">
      <c r="A34" s="178"/>
      <c r="C34" s="179"/>
      <c r="G34" s="180"/>
      <c r="H34" s="180"/>
      <c r="I34" s="1"/>
      <c r="J34" s="181"/>
      <c r="K34" s="179"/>
      <c r="O34" s="180"/>
      <c r="P34" s="179"/>
      <c r="Q34" s="179"/>
      <c r="R34" s="180"/>
    </row>
    <row r="35" spans="1:18" ht="15" customHeight="1" x14ac:dyDescent="0.25">
      <c r="A35" s="178"/>
      <c r="C35" s="179"/>
      <c r="G35" s="180"/>
      <c r="H35" s="180"/>
      <c r="I35" s="1"/>
      <c r="J35" s="181"/>
      <c r="K35" s="179"/>
      <c r="O35" s="180"/>
      <c r="P35" s="179"/>
      <c r="Q35" s="179"/>
      <c r="R35" s="180"/>
    </row>
    <row r="36" spans="1:18" ht="15" customHeight="1" x14ac:dyDescent="0.25">
      <c r="A36" s="178"/>
      <c r="C36" s="179"/>
      <c r="G36" s="180"/>
      <c r="H36" s="180"/>
      <c r="I36" s="1"/>
      <c r="J36" s="181"/>
      <c r="K36" s="179"/>
      <c r="O36" s="180"/>
      <c r="P36" s="179"/>
      <c r="Q36" s="179"/>
      <c r="R36" s="180"/>
    </row>
    <row r="37" spans="1:18" x14ac:dyDescent="0.25">
      <c r="A37" s="178"/>
      <c r="C37" s="179"/>
      <c r="G37" s="180"/>
      <c r="H37" s="180"/>
      <c r="I37" s="1"/>
      <c r="J37" s="181"/>
      <c r="K37" s="179"/>
      <c r="O37" s="180"/>
      <c r="P37" s="179"/>
      <c r="Q37" s="179"/>
      <c r="R37" s="180"/>
    </row>
    <row r="38" spans="1:18" ht="15" customHeight="1" x14ac:dyDescent="0.25">
      <c r="A38" s="178"/>
      <c r="C38" s="179"/>
      <c r="G38" s="180"/>
      <c r="H38" s="180"/>
      <c r="I38" s="1"/>
      <c r="J38" s="181"/>
      <c r="K38" s="179"/>
      <c r="O38" s="180"/>
      <c r="P38" s="179"/>
      <c r="Q38" s="179"/>
      <c r="R38" s="180"/>
    </row>
    <row r="39" spans="1:18" ht="15" customHeight="1" x14ac:dyDescent="0.25">
      <c r="A39" s="178"/>
      <c r="C39" s="179"/>
      <c r="G39" s="180"/>
      <c r="H39" s="180"/>
      <c r="I39" s="1"/>
      <c r="J39" s="181"/>
      <c r="K39" s="179"/>
      <c r="O39" s="180"/>
      <c r="P39" s="179"/>
      <c r="Q39" s="179"/>
      <c r="R39" s="180"/>
    </row>
    <row r="40" spans="1:18" ht="15" customHeight="1" x14ac:dyDescent="0.25">
      <c r="A40" s="178"/>
      <c r="C40" s="179"/>
      <c r="G40" s="180"/>
      <c r="H40" s="180"/>
      <c r="I40" s="1"/>
      <c r="J40" s="181"/>
      <c r="K40" s="179"/>
      <c r="O40" s="180"/>
      <c r="P40" s="179"/>
      <c r="Q40" s="179"/>
      <c r="R40" s="180"/>
    </row>
    <row r="41" spans="1:18" x14ac:dyDescent="0.25">
      <c r="A41" s="178"/>
      <c r="C41" s="179"/>
      <c r="G41" s="180"/>
      <c r="H41" s="180"/>
      <c r="I41" s="1"/>
      <c r="J41" s="181"/>
      <c r="K41" s="179"/>
      <c r="O41" s="180"/>
      <c r="P41" s="179"/>
      <c r="Q41" s="179"/>
      <c r="R41" s="180"/>
    </row>
  </sheetData>
  <mergeCells count="31">
    <mergeCell ref="C14:C16"/>
    <mergeCell ref="A19:B20"/>
    <mergeCell ref="C19:F20"/>
    <mergeCell ref="G19:I19"/>
    <mergeCell ref="J19:N19"/>
    <mergeCell ref="J21:J22"/>
    <mergeCell ref="K21:N22"/>
    <mergeCell ref="O19:P19"/>
    <mergeCell ref="Q19:R19"/>
    <mergeCell ref="K20:N20"/>
    <mergeCell ref="A21:B22"/>
    <mergeCell ref="C21:F22"/>
    <mergeCell ref="G21:G22"/>
    <mergeCell ref="H21:H22"/>
    <mergeCell ref="I21:I22"/>
    <mergeCell ref="A27:B27"/>
    <mergeCell ref="C27:F27"/>
    <mergeCell ref="K27:N27"/>
    <mergeCell ref="A25:B25"/>
    <mergeCell ref="C25:F25"/>
    <mergeCell ref="K25:N25"/>
    <mergeCell ref="P23:P24"/>
    <mergeCell ref="Q23:Q24"/>
    <mergeCell ref="R23:R24"/>
    <mergeCell ref="A26:B26"/>
    <mergeCell ref="C26:F26"/>
    <mergeCell ref="K26:N26"/>
    <mergeCell ref="A23:B24"/>
    <mergeCell ref="C23:F24"/>
    <mergeCell ref="J23:J24"/>
    <mergeCell ref="K23:N24"/>
  </mergeCells>
  <hyperlinks>
    <hyperlink ref="A1" location="'Modelo de Dominio'!A1" display="&lt;&lt;&lt;&lt; Ir al modulo de dominio" xr:uid="{00000000-0004-0000-1A00-000000000000}"/>
    <hyperlink ref="B1" location="'Objetos de Dominio'!A1" display="&lt;&lt;&lt;&lt; Ir a objetos de dominio" xr:uid="{00000000-0004-0000-1A00-000001000000}"/>
    <hyperlink ref="D8" location="'C-PrefijoCelular'!A1" display="PrefijoCelular" xr:uid="{00000000-0004-0000-1A00-000002000000}"/>
  </hyperlink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9"/>
  <sheetViews>
    <sheetView showGridLines="0" zoomScaleNormal="100" workbookViewId="0">
      <selection activeCell="B6" sqref="B6:C6"/>
    </sheetView>
  </sheetViews>
  <sheetFormatPr baseColWidth="10" defaultColWidth="8.7109375" defaultRowHeight="15" x14ac:dyDescent="0.25"/>
  <cols>
    <col min="1" max="1" width="20.7109375" customWidth="1"/>
    <col min="2" max="2" width="28.5703125" customWidth="1"/>
    <col min="3" max="3" width="35.5703125" customWidth="1"/>
    <col min="4" max="4" width="37.140625" customWidth="1"/>
    <col min="5" max="5" width="36.710937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Dominio'!A9</f>
        <v>Cliente</v>
      </c>
      <c r="C2" s="209"/>
      <c r="D2" s="209"/>
      <c r="E2" s="209"/>
    </row>
    <row r="3" spans="1:5" ht="30" customHeight="1" x14ac:dyDescent="0.25">
      <c r="A3" s="35" t="s">
        <v>82</v>
      </c>
      <c r="B3" s="210" t="str">
        <f>'Objetos de Dominio'!B9</f>
        <v xml:space="preserve">Representa a la persona que solicita citas en la barbería. </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48" customHeight="1" x14ac:dyDescent="0.25">
      <c r="A6" s="10" t="s">
        <v>390</v>
      </c>
      <c r="B6" s="247" t="s">
        <v>391</v>
      </c>
      <c r="C6" s="247"/>
      <c r="D6" s="36" t="s">
        <v>19</v>
      </c>
      <c r="E6" s="36"/>
    </row>
    <row r="7" spans="1:5" ht="30" customHeight="1" x14ac:dyDescent="0.25">
      <c r="A7" s="10" t="s">
        <v>392</v>
      </c>
      <c r="B7" s="247" t="s">
        <v>393</v>
      </c>
      <c r="C7" s="247"/>
      <c r="D7" s="36" t="s">
        <v>19</v>
      </c>
      <c r="E7" s="36"/>
    </row>
    <row r="8" spans="1:5" ht="54" customHeight="1" x14ac:dyDescent="0.25">
      <c r="A8" s="10" t="s">
        <v>394</v>
      </c>
      <c r="B8" s="247" t="s">
        <v>395</v>
      </c>
      <c r="C8" s="247"/>
      <c r="D8" s="36" t="s">
        <v>19</v>
      </c>
      <c r="E8" s="36"/>
    </row>
    <row r="9" spans="1:5" ht="54" customHeight="1" x14ac:dyDescent="0.25">
      <c r="A9" s="10" t="s">
        <v>396</v>
      </c>
      <c r="B9" s="247" t="s">
        <v>397</v>
      </c>
      <c r="C9" s="247"/>
      <c r="D9" s="36" t="s">
        <v>27</v>
      </c>
      <c r="E9" s="36"/>
    </row>
  </sheetData>
  <mergeCells count="10">
    <mergeCell ref="A4:A5"/>
    <mergeCell ref="B4:C5"/>
    <mergeCell ref="D4:D5"/>
    <mergeCell ref="E4:E5"/>
    <mergeCell ref="B6:C6"/>
    <mergeCell ref="B7:C7"/>
    <mergeCell ref="B8:C8"/>
    <mergeCell ref="B9:C9"/>
    <mergeCell ref="B2:E2"/>
    <mergeCell ref="B3:E3"/>
  </mergeCells>
  <hyperlinks>
    <hyperlink ref="A1" location="'Modelo de Dominio'!A1" display="&lt;&lt; Ir al modelo de dominio" xr:uid="{00000000-0004-0000-1B00-000000000000}"/>
    <hyperlink ref="B1" location="'Objetos de Dominio'!A1" display="&lt;&lt; Ir al listado de objetos de dominio" xr:uid="{00000000-0004-0000-1B00-000001000000}"/>
    <hyperlink ref="C1" location="'C-Cliente'!A1" display="&lt;&lt; Ir a la caracterización del objeto de dominio" xr:uid="{00000000-0004-0000-1B00-000002000000}"/>
    <hyperlink ref="D1" location="'M-Cliente'!A1" display="Ir al muestreo de datos del objeto de dominio &gt;&gt;" xr:uid="{00000000-0004-0000-1B00-000003000000}"/>
    <hyperlink ref="E1" location="'E-Cliente'!A1" display="Ir al event storming del objeto de dominio &gt;&gt;" xr:uid="{00000000-0004-0000-1B00-000004000000}"/>
  </hyperlink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3"/>
  <sheetViews>
    <sheetView showGridLines="0" topLeftCell="A3" zoomScaleNormal="100" workbookViewId="0">
      <selection activeCell="B14" sqref="B14"/>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38.1406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4" t="s">
        <v>81</v>
      </c>
      <c r="B2" s="196" t="str">
        <f>'Objetos de Dominio'!A9</f>
        <v>Cliente</v>
      </c>
      <c r="C2" s="196"/>
      <c r="D2" s="196"/>
      <c r="E2" s="196"/>
      <c r="F2" s="196"/>
      <c r="G2" s="196"/>
      <c r="H2" s="196"/>
      <c r="I2" s="196"/>
      <c r="J2" s="196"/>
      <c r="K2" s="196"/>
    </row>
    <row r="3" spans="1:11" ht="30" customHeight="1" x14ac:dyDescent="0.25">
      <c r="A3" s="35" t="s">
        <v>82</v>
      </c>
      <c r="B3" s="186" t="str">
        <f>'Objetos de Dominio'!B9</f>
        <v xml:space="preserve">Representa a la persona que solicita citas en la barbería. </v>
      </c>
      <c r="C3" s="186"/>
      <c r="D3" s="186"/>
      <c r="E3" s="186"/>
      <c r="F3" s="186"/>
      <c r="G3" s="186"/>
      <c r="H3" s="186"/>
      <c r="I3" s="186"/>
      <c r="J3" s="186"/>
      <c r="K3" s="186"/>
    </row>
    <row r="4" spans="1:11" ht="34.5" customHeight="1" x14ac:dyDescent="0.25">
      <c r="A4" s="39" t="s">
        <v>88</v>
      </c>
      <c r="B4" s="187" t="s">
        <v>89</v>
      </c>
      <c r="C4" s="187"/>
      <c r="D4" s="40" t="s">
        <v>90</v>
      </c>
      <c r="E4" s="188" t="s">
        <v>91</v>
      </c>
      <c r="F4" s="188"/>
      <c r="G4" s="189" t="s">
        <v>92</v>
      </c>
      <c r="H4" s="189"/>
      <c r="I4" s="42" t="s">
        <v>93</v>
      </c>
      <c r="J4" s="43" t="s">
        <v>94</v>
      </c>
      <c r="K4" s="44" t="s">
        <v>95</v>
      </c>
    </row>
    <row r="5" spans="1:11" ht="15" customHeight="1" x14ac:dyDescent="0.25">
      <c r="A5" s="190" t="s">
        <v>88</v>
      </c>
      <c r="B5" s="187" t="s">
        <v>96</v>
      </c>
      <c r="C5" s="187" t="s">
        <v>59</v>
      </c>
      <c r="D5" s="191" t="s">
        <v>97</v>
      </c>
      <c r="E5" s="188" t="s">
        <v>98</v>
      </c>
      <c r="F5" s="188"/>
      <c r="G5" s="189" t="s">
        <v>99</v>
      </c>
      <c r="H5" s="189"/>
      <c r="I5" s="192" t="s">
        <v>100</v>
      </c>
      <c r="J5" s="193" t="s">
        <v>101</v>
      </c>
      <c r="K5" s="194" t="s">
        <v>102</v>
      </c>
    </row>
    <row r="6" spans="1:11" ht="15" customHeight="1" x14ac:dyDescent="0.25">
      <c r="A6" s="190"/>
      <c r="B6" s="190"/>
      <c r="C6" s="190"/>
      <c r="D6" s="190"/>
      <c r="E6" s="41" t="s">
        <v>103</v>
      </c>
      <c r="F6" s="41" t="s">
        <v>59</v>
      </c>
      <c r="G6" s="45" t="s">
        <v>104</v>
      </c>
      <c r="H6" s="45" t="s">
        <v>59</v>
      </c>
      <c r="I6" s="192"/>
      <c r="J6" s="192"/>
      <c r="K6" s="192"/>
    </row>
    <row r="7" spans="1:11" ht="57" customHeight="1" x14ac:dyDescent="0.25">
      <c r="A7" s="204" t="s">
        <v>19</v>
      </c>
      <c r="B7" s="244" t="s">
        <v>369</v>
      </c>
      <c r="C7" s="244" t="s">
        <v>370</v>
      </c>
      <c r="D7" s="204" t="str">
        <f>$B$2</f>
        <v>Cliente</v>
      </c>
      <c r="E7" s="244" t="s">
        <v>16</v>
      </c>
      <c r="F7" s="244" t="s">
        <v>398</v>
      </c>
      <c r="G7" s="62" t="str">
        <f>'P-Cliente'!A6</f>
        <v>P-CLI-0001</v>
      </c>
      <c r="H7" s="14" t="str">
        <f>'P-Cliente'!B6</f>
        <v>Asegurar que los datos requeridos del cliente (nombres, apellidos, prefijo de celular, celular) sean válidos en tipo de dato, longitud, obligatoriedad, formato y rango</v>
      </c>
      <c r="I7" s="204"/>
      <c r="J7" s="244" t="s">
        <v>399</v>
      </c>
      <c r="K7" s="244"/>
    </row>
    <row r="8" spans="1:11" ht="42.75" customHeight="1" x14ac:dyDescent="0.25">
      <c r="A8" s="204"/>
      <c r="B8" s="204"/>
      <c r="C8" s="204"/>
      <c r="D8" s="204"/>
      <c r="E8" s="204"/>
      <c r="F8" s="204"/>
      <c r="G8" s="62" t="str">
        <f>'P-Cliente'!A7</f>
        <v>P-CLI-0002</v>
      </c>
      <c r="H8" s="14" t="str">
        <f>'P-Cliente'!B7</f>
        <v>Asegurar que el número de celular y prefijo de celular no esté siendo utilizado por otro cliente</v>
      </c>
      <c r="I8" s="204"/>
      <c r="J8" s="204"/>
      <c r="K8" s="204"/>
    </row>
    <row r="9" spans="1:11" ht="57" customHeight="1" x14ac:dyDescent="0.25">
      <c r="A9" s="2" t="s">
        <v>19</v>
      </c>
      <c r="B9" s="46" t="s">
        <v>288</v>
      </c>
      <c r="C9" s="46" t="s">
        <v>375</v>
      </c>
      <c r="D9" s="2" t="str">
        <f>$B$2</f>
        <v>Cliente</v>
      </c>
      <c r="E9" s="46" t="s">
        <v>16</v>
      </c>
      <c r="F9" s="46" t="s">
        <v>400</v>
      </c>
      <c r="G9" s="62" t="str">
        <f>'P-Cliente'!A8</f>
        <v>P-CLI-0003</v>
      </c>
      <c r="H9" s="14" t="str">
        <f>'P-Cliente'!B8</f>
        <v>Asegurar que los datos requeridos del cliente para editar su contacto (prefijo de celular y celular) sean válidos en tipo de dato, longitud, obligatoriedad, formato y rango</v>
      </c>
      <c r="I9" s="2"/>
      <c r="J9" s="46" t="s">
        <v>401</v>
      </c>
      <c r="K9" s="46"/>
    </row>
    <row r="10" spans="1:11" ht="30" customHeight="1" x14ac:dyDescent="0.25">
      <c r="A10" s="2" t="s">
        <v>18</v>
      </c>
      <c r="B10" s="46" t="s">
        <v>380</v>
      </c>
      <c r="C10" s="46" t="s">
        <v>381</v>
      </c>
      <c r="D10" s="2" t="str">
        <f>$B$2</f>
        <v>Cliente</v>
      </c>
      <c r="E10" s="46" t="s">
        <v>16</v>
      </c>
      <c r="F10" s="46" t="s">
        <v>402</v>
      </c>
      <c r="G10" s="2"/>
      <c r="H10" s="47"/>
      <c r="I10" s="2"/>
      <c r="J10" s="46" t="s">
        <v>403</v>
      </c>
      <c r="K10" s="46"/>
    </row>
    <row r="11" spans="1:11" ht="30" customHeight="1" x14ac:dyDescent="0.25">
      <c r="A11" s="2" t="s">
        <v>19</v>
      </c>
      <c r="B11" s="46" t="s">
        <v>384</v>
      </c>
      <c r="C11" s="46" t="s">
        <v>385</v>
      </c>
      <c r="D11" s="2" t="str">
        <f>$B$2</f>
        <v>Cliente</v>
      </c>
      <c r="E11" s="46" t="s">
        <v>27</v>
      </c>
      <c r="F11" s="46" t="s">
        <v>404</v>
      </c>
      <c r="G11" s="2"/>
      <c r="H11" s="47"/>
      <c r="I11" s="2"/>
      <c r="J11" s="46" t="s">
        <v>405</v>
      </c>
      <c r="K11" s="46"/>
    </row>
    <row r="12" spans="1:11" ht="30" customHeight="1" x14ac:dyDescent="0.25">
      <c r="A12" s="2" t="s">
        <v>19</v>
      </c>
      <c r="B12" s="46" t="s">
        <v>387</v>
      </c>
      <c r="C12" s="46" t="s">
        <v>388</v>
      </c>
      <c r="D12" s="2" t="str">
        <f>$B$2</f>
        <v>Cliente</v>
      </c>
      <c r="E12" s="46" t="s">
        <v>27</v>
      </c>
      <c r="F12" s="46" t="s">
        <v>406</v>
      </c>
      <c r="G12" s="2"/>
      <c r="H12" s="47"/>
      <c r="I12" s="2"/>
      <c r="J12" s="46" t="s">
        <v>407</v>
      </c>
      <c r="K12" s="46"/>
    </row>
    <row r="13" spans="1:11" ht="20.25" customHeight="1" x14ac:dyDescent="0.25">
      <c r="A13" s="90"/>
      <c r="B13" s="91"/>
      <c r="C13" s="91"/>
      <c r="D13" s="90"/>
      <c r="E13" s="91"/>
      <c r="F13" s="91"/>
      <c r="G13" s="90"/>
      <c r="H13" s="92"/>
      <c r="I13" s="90"/>
      <c r="J13" s="91"/>
      <c r="K13" s="91"/>
    </row>
  </sheetData>
  <mergeCells count="27">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F7:F8"/>
    <mergeCell ref="I7:I8"/>
    <mergeCell ref="J7:J8"/>
    <mergeCell ref="K7:K8"/>
    <mergeCell ref="A7:A8"/>
    <mergeCell ref="B7:B8"/>
    <mergeCell ref="C7:C8"/>
    <mergeCell ref="D7:D8"/>
    <mergeCell ref="E7:E8"/>
  </mergeCells>
  <hyperlinks>
    <hyperlink ref="A1" location="'Modelo de Dominio'!A1" display="&lt;&lt; Ir al modelo de dominio" xr:uid="{00000000-0004-0000-1C00-000000000000}"/>
    <hyperlink ref="C1" location="'Objetos de Dominio'!A1" display="&lt;&lt; Ir al listado de objetos de dominio" xr:uid="{00000000-0004-0000-1C00-000001000000}"/>
    <hyperlink ref="F1" location="'C-Cliente'!A1" display="&lt;&lt; Ir a la caracterización del objeto de dominio" xr:uid="{00000000-0004-0000-1C00-000002000000}"/>
    <hyperlink ref="J1" location="'M-Cliente'!A1" display="Ir al muestreo de datos del objeto de dominio &gt;&gt;" xr:uid="{00000000-0004-0000-1C00-000003000000}"/>
    <hyperlink ref="G7" location="'P-Cliente'!A6" display="#'P-Cliente'.A6" xr:uid="{00000000-0004-0000-1C00-000004000000}"/>
    <hyperlink ref="G8" location="'P-Cliente'!A7" display="#'P-Cliente'.A7" xr:uid="{00000000-0004-0000-1C00-000005000000}"/>
    <hyperlink ref="G9" location="'P-Cliente'!A6" display="#'P-Cliente'.A6" xr:uid="{00000000-0004-0000-1C00-000006000000}"/>
  </hyperlink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19"/>
  <sheetViews>
    <sheetView zoomScaleNormal="100" workbookViewId="0"/>
  </sheetViews>
  <sheetFormatPr baseColWidth="10" defaultColWidth="8.7109375" defaultRowHeight="15" x14ac:dyDescent="0.25"/>
  <cols>
    <col min="1" max="1" width="27" customWidth="1"/>
    <col min="2" max="2" width="26.140625" customWidth="1"/>
    <col min="3" max="3" width="21.85546875" customWidth="1"/>
    <col min="4" max="4" width="22.140625" customWidth="1"/>
    <col min="5" max="5" width="22.42578125" customWidth="1"/>
    <col min="6" max="6" width="19.5703125" customWidth="1"/>
    <col min="7" max="7" width="28.28515625" customWidth="1"/>
    <col min="8" max="8" width="27.7109375" customWidth="1"/>
    <col min="9" max="9" width="35.85546875" customWidth="1"/>
    <col min="10" max="10" width="28.28515625" customWidth="1"/>
  </cols>
  <sheetData>
    <row r="1" spans="1:10" ht="14.25" customHeight="1" x14ac:dyDescent="0.25">
      <c r="A1" s="6" t="s">
        <v>1</v>
      </c>
      <c r="B1" s="6" t="s">
        <v>28</v>
      </c>
      <c r="C1" s="86"/>
      <c r="D1" s="86"/>
      <c r="E1" s="86"/>
      <c r="F1" s="86"/>
      <c r="G1" s="53"/>
      <c r="H1" s="53"/>
      <c r="I1" s="53"/>
      <c r="J1" s="53"/>
    </row>
    <row r="2" spans="1:10" ht="37.5" customHeight="1" x14ac:dyDescent="0.25">
      <c r="A2" s="48" t="s">
        <v>107</v>
      </c>
      <c r="B2" s="48" t="s">
        <v>408</v>
      </c>
      <c r="C2" s="48" t="s">
        <v>409</v>
      </c>
      <c r="D2" s="48" t="s">
        <v>410</v>
      </c>
      <c r="E2" s="48" t="s">
        <v>411</v>
      </c>
      <c r="F2" s="48" t="s">
        <v>412</v>
      </c>
      <c r="G2" s="49" t="s">
        <v>413</v>
      </c>
      <c r="H2" s="49" t="s">
        <v>336</v>
      </c>
      <c r="I2" s="49" t="s">
        <v>414</v>
      </c>
      <c r="J2" s="93" t="s">
        <v>415</v>
      </c>
    </row>
    <row r="3" spans="1:10" ht="14.25" customHeight="1" x14ac:dyDescent="0.25">
      <c r="A3" s="50" t="s">
        <v>110</v>
      </c>
      <c r="B3" s="51" t="s">
        <v>341</v>
      </c>
      <c r="C3" s="51" t="s">
        <v>342</v>
      </c>
      <c r="D3" s="51" t="s">
        <v>343</v>
      </c>
      <c r="E3" s="51" t="s">
        <v>344</v>
      </c>
      <c r="F3" s="94" t="s">
        <v>416</v>
      </c>
      <c r="G3" s="51" t="s">
        <v>345</v>
      </c>
      <c r="H3" s="51" t="s">
        <v>346</v>
      </c>
      <c r="I3" s="85" t="s">
        <v>417</v>
      </c>
      <c r="J3" s="52" t="s">
        <v>350</v>
      </c>
    </row>
    <row r="4" spans="1:10" ht="14.25" customHeight="1" x14ac:dyDescent="0.25">
      <c r="A4" s="53">
        <v>1</v>
      </c>
      <c r="B4" s="53" t="s">
        <v>351</v>
      </c>
      <c r="C4" s="53"/>
      <c r="D4" s="53" t="s">
        <v>418</v>
      </c>
      <c r="E4" s="53"/>
      <c r="F4" s="86" t="str">
        <f>'M-PrefijoCelular'!C4</f>
        <v>+57</v>
      </c>
      <c r="G4" s="53">
        <v>3234528921</v>
      </c>
      <c r="H4" s="53" t="s">
        <v>50</v>
      </c>
      <c r="I4" s="53" t="s">
        <v>363</v>
      </c>
      <c r="J4" s="53" t="str">
        <f>_xlfn.CONCAT(F4,"-",G4)</f>
        <v>+57-3234528921</v>
      </c>
    </row>
    <row r="5" spans="1:10" ht="14.25" customHeight="1" x14ac:dyDescent="0.25">
      <c r="A5" s="53">
        <v>2</v>
      </c>
      <c r="B5" s="53" t="s">
        <v>419</v>
      </c>
      <c r="C5" s="53" t="s">
        <v>420</v>
      </c>
      <c r="D5" s="53" t="s">
        <v>361</v>
      </c>
      <c r="E5" s="53" t="s">
        <v>365</v>
      </c>
      <c r="F5" s="86" t="str">
        <f>'M-PrefijoCelular'!C4</f>
        <v>+57</v>
      </c>
      <c r="G5" s="53">
        <v>3161657782</v>
      </c>
      <c r="H5" s="53" t="s">
        <v>50</v>
      </c>
      <c r="I5" s="53" t="s">
        <v>363</v>
      </c>
      <c r="J5" s="53" t="str">
        <f>_xlfn.CONCAT(F5,"-",G5)</f>
        <v>+57-3161657782</v>
      </c>
    </row>
    <row r="6" spans="1:10" ht="14.25" customHeight="1" x14ac:dyDescent="0.25">
      <c r="A6" s="53">
        <v>3</v>
      </c>
      <c r="B6" s="53" t="s">
        <v>421</v>
      </c>
      <c r="C6" s="53"/>
      <c r="D6" s="53" t="s">
        <v>422</v>
      </c>
      <c r="E6" s="53" t="s">
        <v>361</v>
      </c>
      <c r="F6" s="86" t="str">
        <f>'M-PrefijoCelular'!C4</f>
        <v>+57</v>
      </c>
      <c r="G6" s="53">
        <v>3119884321</v>
      </c>
      <c r="H6" s="53" t="s">
        <v>50</v>
      </c>
      <c r="I6" s="53" t="s">
        <v>363</v>
      </c>
      <c r="J6" s="53" t="str">
        <f>_xlfn.CONCAT(F6,"-",G6)</f>
        <v>+57-3119884321</v>
      </c>
    </row>
    <row r="7" spans="1:10" ht="14.25" customHeight="1" x14ac:dyDescent="0.25">
      <c r="A7" s="53">
        <v>4</v>
      </c>
      <c r="B7" s="53" t="s">
        <v>423</v>
      </c>
      <c r="C7" s="53"/>
      <c r="D7" s="53" t="s">
        <v>424</v>
      </c>
      <c r="E7" s="53"/>
      <c r="F7" s="86" t="str">
        <f>'M-PrefijoCelular'!C7</f>
        <v>+58</v>
      </c>
      <c r="G7" s="53">
        <v>4127359182</v>
      </c>
      <c r="H7" s="53" t="s">
        <v>50</v>
      </c>
      <c r="I7" s="53" t="s">
        <v>363</v>
      </c>
      <c r="J7" s="53" t="str">
        <f>_xlfn.CONCAT(F7,"-",G7)</f>
        <v>+58-4127359182</v>
      </c>
    </row>
    <row r="8" spans="1:10" ht="14.25" customHeight="1" x14ac:dyDescent="0.25">
      <c r="A8" s="53">
        <v>5</v>
      </c>
      <c r="B8" s="53" t="s">
        <v>425</v>
      </c>
      <c r="C8" s="53" t="s">
        <v>426</v>
      </c>
      <c r="D8" s="53" t="s">
        <v>427</v>
      </c>
      <c r="E8" s="53" t="s">
        <v>428</v>
      </c>
      <c r="F8" s="86" t="str">
        <f>'M-PrefijoCelular'!C4</f>
        <v>+57</v>
      </c>
      <c r="G8" s="53">
        <v>3005544332</v>
      </c>
      <c r="H8" s="53" t="s">
        <v>50</v>
      </c>
      <c r="I8" s="53" t="s">
        <v>210</v>
      </c>
      <c r="J8" s="53" t="str">
        <f>_xlfn.CONCAT(F8,"-",G8)</f>
        <v>+57-3005544332</v>
      </c>
    </row>
    <row r="13" spans="1:10" ht="14.25" customHeight="1" x14ac:dyDescent="0.25">
      <c r="B13" s="57"/>
    </row>
    <row r="14" spans="1:10" ht="28.5" customHeight="1" x14ac:dyDescent="0.25">
      <c r="A14" s="56"/>
      <c r="B14" s="57" t="s">
        <v>120</v>
      </c>
    </row>
    <row r="15" spans="1:10" ht="28.5" customHeight="1" x14ac:dyDescent="0.25">
      <c r="A15" s="58"/>
      <c r="B15" s="57" t="s">
        <v>121</v>
      </c>
    </row>
    <row r="16" spans="1:10" ht="28.5" customHeight="1" x14ac:dyDescent="0.25">
      <c r="A16" s="87"/>
      <c r="B16" s="57" t="s">
        <v>366</v>
      </c>
    </row>
    <row r="17" spans="1:2" ht="28.5" customHeight="1" x14ac:dyDescent="0.25">
      <c r="A17" s="88"/>
      <c r="B17" s="57" t="s">
        <v>367</v>
      </c>
    </row>
    <row r="18" spans="1:2" ht="28.5" customHeight="1" x14ac:dyDescent="0.25">
      <c r="A18" s="59"/>
      <c r="B18" s="57" t="s">
        <v>122</v>
      </c>
    </row>
    <row r="19" spans="1:2" ht="28.5" customHeight="1" x14ac:dyDescent="0.25">
      <c r="A19" s="60"/>
      <c r="B19" s="57" t="s">
        <v>123</v>
      </c>
    </row>
  </sheetData>
  <hyperlinks>
    <hyperlink ref="A1" location="'Modelo de Dominio'!A1" display="&lt;&lt;&lt;&lt; Ir al modulo de dominio" xr:uid="{00000000-0004-0000-1D00-000000000000}"/>
    <hyperlink ref="B1" location="'Objetos de Dominio'!A1" display="&lt;&lt;&lt;&lt; Ir a objetos de dominio" xr:uid="{00000000-0004-0000-1D00-000001000000}"/>
    <hyperlink ref="F3" location="'M-PrefijoCelular'!A1" display="prefijoCelular" xr:uid="{00000000-0004-0000-1D00-000002000000}"/>
    <hyperlink ref="F4" location="'M-PrefijoCelular'!A4" display="#'M-PrefijoCelular'.A4" xr:uid="{00000000-0004-0000-1D00-000003000000}"/>
    <hyperlink ref="F5" location="'M-PrefijoCelular'!A4" display="#'M-PrefijoCelular'.A4" xr:uid="{00000000-0004-0000-1D00-000004000000}"/>
    <hyperlink ref="F6" location="'M-PrefijoCelular'!A4" display="#'M-PrefijoCelular'.A4" xr:uid="{00000000-0004-0000-1D00-000005000000}"/>
    <hyperlink ref="F7" location="'M-PrefijoCelular'!A7" display="#'M-PrefijoCelular'.A7" xr:uid="{00000000-0004-0000-1D00-000006000000}"/>
    <hyperlink ref="F8" location="'M-PrefijoCelular'!A4" display="#'M-PrefijoCelular'.A4" xr:uid="{00000000-0004-0000-1D00-000007000000}"/>
  </hyperlink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6"/>
  <sheetViews>
    <sheetView topLeftCell="E9" zoomScale="60" zoomScaleNormal="100" workbookViewId="0">
      <selection activeCell="H24" sqref="H24:H26"/>
    </sheetView>
  </sheetViews>
  <sheetFormatPr baseColWidth="10" defaultColWidth="8.7109375" defaultRowHeight="15" x14ac:dyDescent="0.25"/>
  <cols>
    <col min="1" max="1" width="26.7109375" customWidth="1"/>
    <col min="2" max="2" width="45" customWidth="1"/>
    <col min="3" max="3" width="35.7109375" customWidth="1"/>
    <col min="4" max="4" width="18" customWidth="1"/>
    <col min="5" max="5" width="10.28515625" customWidth="1"/>
    <col min="6" max="6" width="25.42578125" customWidth="1"/>
    <col min="7" max="7" width="25.7109375" customWidth="1"/>
    <col min="8" max="8" width="18" customWidth="1"/>
    <col min="9" max="9" width="21.28515625" customWidth="1"/>
    <col min="10" max="10" width="20.28515625" bestFit="1" customWidth="1"/>
    <col min="11" max="11" width="13" customWidth="1"/>
    <col min="13" max="13" width="40" customWidth="1"/>
    <col min="14" max="14" width="18" customWidth="1"/>
    <col min="15" max="15" width="29.7109375" customWidth="1"/>
    <col min="16" max="16" width="27" customWidth="1"/>
    <col min="17" max="17" width="38.42578125" customWidth="1"/>
    <col min="18" max="18" width="38.85546875" customWidth="1"/>
    <col min="19" max="19" width="22.85546875" customWidth="1"/>
    <col min="20" max="20" width="25.85546875" customWidth="1"/>
    <col min="21" max="21" width="18" customWidth="1"/>
  </cols>
  <sheetData>
    <row r="1" spans="1:21" ht="15" customHeight="1" x14ac:dyDescent="0.25">
      <c r="A1" s="6" t="s">
        <v>1</v>
      </c>
      <c r="B1" s="6" t="s">
        <v>28</v>
      </c>
    </row>
    <row r="2" spans="1:21" ht="15" customHeight="1" x14ac:dyDescent="0.25">
      <c r="A2" s="67" t="s">
        <v>29</v>
      </c>
      <c r="B2" s="67" t="s">
        <v>30</v>
      </c>
      <c r="C2" s="67" t="s">
        <v>31</v>
      </c>
      <c r="D2" s="67" t="s">
        <v>32</v>
      </c>
      <c r="E2" s="67" t="s">
        <v>33</v>
      </c>
      <c r="F2" s="67" t="s">
        <v>34</v>
      </c>
      <c r="G2" s="67" t="s">
        <v>35</v>
      </c>
      <c r="H2" s="67" t="s">
        <v>36</v>
      </c>
      <c r="I2" s="67" t="s">
        <v>37</v>
      </c>
      <c r="J2" s="67" t="s">
        <v>38</v>
      </c>
      <c r="K2" s="67" t="s">
        <v>39</v>
      </c>
      <c r="L2" s="67" t="s">
        <v>40</v>
      </c>
      <c r="M2" s="67" t="s">
        <v>41</v>
      </c>
      <c r="N2" s="67" t="s">
        <v>42</v>
      </c>
      <c r="O2" s="67" t="s">
        <v>43</v>
      </c>
      <c r="P2" s="67" t="s">
        <v>44</v>
      </c>
      <c r="Q2" s="67" t="s">
        <v>45</v>
      </c>
      <c r="R2" s="67" t="s">
        <v>46</v>
      </c>
      <c r="S2" s="67" t="s">
        <v>47</v>
      </c>
      <c r="T2" s="67" t="s">
        <v>48</v>
      </c>
      <c r="U2" s="67" t="s">
        <v>49</v>
      </c>
    </row>
    <row r="3" spans="1:21" ht="45" customHeight="1" x14ac:dyDescent="0.25">
      <c r="A3" s="18" t="str">
        <f>'M-HorarioBarberia'!A3</f>
        <v>id</v>
      </c>
      <c r="B3" s="19" t="str">
        <f>'M-HorarioBarberia'!A2</f>
        <v>Representa un identificador que hará unico cada objeto de dominio de este tipo, no se puede repetir</v>
      </c>
      <c r="C3" s="18" t="s">
        <v>50</v>
      </c>
      <c r="D3" s="18" t="s">
        <v>51</v>
      </c>
      <c r="E3" s="18" t="s">
        <v>50</v>
      </c>
      <c r="F3" s="18" t="s">
        <v>52</v>
      </c>
      <c r="G3" s="18" t="s">
        <v>52</v>
      </c>
      <c r="H3" s="18" t="s">
        <v>52</v>
      </c>
      <c r="I3" s="18" t="s">
        <v>52</v>
      </c>
      <c r="J3" s="18" t="s">
        <v>52</v>
      </c>
      <c r="K3" s="18" t="s">
        <v>52</v>
      </c>
      <c r="L3" s="18" t="s">
        <v>52</v>
      </c>
      <c r="M3" s="19" t="s">
        <v>52</v>
      </c>
      <c r="N3" s="18" t="s">
        <v>53</v>
      </c>
      <c r="O3" s="18" t="s">
        <v>53</v>
      </c>
      <c r="P3" s="18" t="s">
        <v>52</v>
      </c>
      <c r="Q3" s="18" t="s">
        <v>52</v>
      </c>
      <c r="R3" s="18" t="s">
        <v>52</v>
      </c>
      <c r="S3" s="18" t="s">
        <v>53</v>
      </c>
      <c r="T3" s="18" t="s">
        <v>54</v>
      </c>
      <c r="U3" s="18" t="s">
        <v>50</v>
      </c>
    </row>
    <row r="4" spans="1:21" ht="30" customHeight="1" x14ac:dyDescent="0.25">
      <c r="A4" s="18" t="str">
        <f>'M-HorarioBarberia'!B3</f>
        <v>diaDeLaSemana</v>
      </c>
      <c r="B4" s="19" t="str">
        <f>'M-HorarioBarberia'!B2</f>
        <v>Representa el día de la semana en el que la barberia abre</v>
      </c>
      <c r="C4" s="18" t="s">
        <v>53</v>
      </c>
      <c r="D4" s="80" t="s">
        <v>9</v>
      </c>
      <c r="E4" s="18" t="s">
        <v>50</v>
      </c>
      <c r="F4" s="18" t="s">
        <v>52</v>
      </c>
      <c r="G4" s="18" t="s">
        <v>52</v>
      </c>
      <c r="H4" s="18" t="s">
        <v>52</v>
      </c>
      <c r="I4" s="18" t="s">
        <v>52</v>
      </c>
      <c r="J4" s="18" t="s">
        <v>52</v>
      </c>
      <c r="K4" s="18" t="s">
        <v>52</v>
      </c>
      <c r="L4" s="18" t="s">
        <v>52</v>
      </c>
      <c r="M4" s="19" t="s">
        <v>276</v>
      </c>
      <c r="N4" s="18" t="s">
        <v>53</v>
      </c>
      <c r="O4" s="18" t="s">
        <v>53</v>
      </c>
      <c r="P4" s="18" t="s">
        <v>52</v>
      </c>
      <c r="Q4" s="18" t="s">
        <v>52</v>
      </c>
      <c r="R4" s="18" t="s">
        <v>52</v>
      </c>
      <c r="S4" s="18" t="s">
        <v>53</v>
      </c>
      <c r="T4" s="18" t="s">
        <v>54</v>
      </c>
      <c r="U4" s="18" t="s">
        <v>53</v>
      </c>
    </row>
    <row r="5" spans="1:21" ht="27.75" customHeight="1" x14ac:dyDescent="0.25">
      <c r="A5" s="18" t="str">
        <f>'M-HorarioBarberia'!C3</f>
        <v>horaApertura</v>
      </c>
      <c r="B5" s="19" t="str">
        <f>'M-HorarioBarberia'!C2</f>
        <v>Representa la hora a la que abre la barbería</v>
      </c>
      <c r="C5" s="18" t="s">
        <v>53</v>
      </c>
      <c r="D5" s="18" t="s">
        <v>429</v>
      </c>
      <c r="E5" s="18" t="s">
        <v>53</v>
      </c>
      <c r="F5" s="18" t="s">
        <v>52</v>
      </c>
      <c r="G5" s="18" t="s">
        <v>52</v>
      </c>
      <c r="H5" s="18" t="s">
        <v>52</v>
      </c>
      <c r="I5" s="18" t="s">
        <v>52</v>
      </c>
      <c r="J5" s="18" t="s">
        <v>52</v>
      </c>
      <c r="K5" s="18" t="s">
        <v>52</v>
      </c>
      <c r="L5" s="18" t="s">
        <v>52</v>
      </c>
      <c r="M5" s="19" t="s">
        <v>52</v>
      </c>
      <c r="N5" s="18" t="s">
        <v>53</v>
      </c>
      <c r="O5" s="18" t="s">
        <v>53</v>
      </c>
      <c r="P5" s="18" t="s">
        <v>52</v>
      </c>
      <c r="Q5" s="18" t="s">
        <v>52</v>
      </c>
      <c r="R5" s="18" t="s">
        <v>52</v>
      </c>
      <c r="S5" s="18" t="s">
        <v>53</v>
      </c>
      <c r="T5" s="18" t="s">
        <v>430</v>
      </c>
      <c r="U5" s="18" t="s">
        <v>53</v>
      </c>
    </row>
    <row r="6" spans="1:21" ht="27.75" customHeight="1" x14ac:dyDescent="0.25">
      <c r="A6" s="18" t="str">
        <f>'M-HorarioBarberia'!D3</f>
        <v>horaCierre</v>
      </c>
      <c r="B6" s="19" t="str">
        <f>'M-HorarioBarberia'!D2</f>
        <v>Representa la hora a la que cierra la barbería</v>
      </c>
      <c r="C6" s="18" t="s">
        <v>53</v>
      </c>
      <c r="D6" s="18" t="s">
        <v>429</v>
      </c>
      <c r="E6" s="18" t="s">
        <v>50</v>
      </c>
      <c r="F6" s="18" t="s">
        <v>52</v>
      </c>
      <c r="G6" s="18" t="s">
        <v>52</v>
      </c>
      <c r="H6" s="18" t="s">
        <v>52</v>
      </c>
      <c r="I6" s="18" t="s">
        <v>52</v>
      </c>
      <c r="J6" s="18" t="s">
        <v>52</v>
      </c>
      <c r="K6" s="18" t="s">
        <v>52</v>
      </c>
      <c r="L6" s="18" t="s">
        <v>52</v>
      </c>
      <c r="M6" s="19" t="s">
        <v>431</v>
      </c>
      <c r="N6" s="18" t="s">
        <v>53</v>
      </c>
      <c r="O6" s="18" t="s">
        <v>53</v>
      </c>
      <c r="P6" s="18" t="s">
        <v>52</v>
      </c>
      <c r="Q6" s="18" t="s">
        <v>52</v>
      </c>
      <c r="R6" s="18" t="s">
        <v>52</v>
      </c>
      <c r="S6" s="18" t="s">
        <v>53</v>
      </c>
      <c r="T6" s="18" t="s">
        <v>430</v>
      </c>
      <c r="U6" s="18" t="s">
        <v>53</v>
      </c>
    </row>
    <row r="7" spans="1:21" ht="45" customHeight="1" x14ac:dyDescent="0.25">
      <c r="A7" s="18" t="str">
        <f>'M-HorarioBarberia'!E3</f>
        <v>fechaCreacion</v>
      </c>
      <c r="B7" s="19" t="str">
        <f>'M-HorarioBarberia'!E2</f>
        <v>Representa la fecha en el que el dueño definio el horario de la barberia. Es un dato calculado que toma la fecha del sistema en ese momento</v>
      </c>
      <c r="C7" s="18" t="s">
        <v>53</v>
      </c>
      <c r="D7" s="18" t="s">
        <v>432</v>
      </c>
      <c r="E7" s="18" t="s">
        <v>50</v>
      </c>
      <c r="F7" s="18" t="s">
        <v>52</v>
      </c>
      <c r="G7" s="18" t="s">
        <v>52</v>
      </c>
      <c r="H7" s="18" t="s">
        <v>52</v>
      </c>
      <c r="I7" s="18" t="s">
        <v>52</v>
      </c>
      <c r="J7" s="18" t="s">
        <v>52</v>
      </c>
      <c r="K7" s="18" t="s">
        <v>52</v>
      </c>
      <c r="L7" s="18" t="s">
        <v>52</v>
      </c>
      <c r="M7" s="19" t="s">
        <v>52</v>
      </c>
      <c r="N7" s="18" t="s">
        <v>50</v>
      </c>
      <c r="O7" s="18" t="s">
        <v>53</v>
      </c>
      <c r="P7" s="18" t="s">
        <v>52</v>
      </c>
      <c r="Q7" s="18" t="s">
        <v>52</v>
      </c>
      <c r="R7" s="18" t="s">
        <v>52</v>
      </c>
      <c r="S7" s="18" t="s">
        <v>53</v>
      </c>
      <c r="T7" s="18" t="s">
        <v>433</v>
      </c>
      <c r="U7" s="18" t="s">
        <v>53</v>
      </c>
    </row>
    <row r="8" spans="1:21" ht="45" customHeight="1" x14ac:dyDescent="0.25">
      <c r="A8" s="18" t="str">
        <f>'M-HorarioBarberia'!F3</f>
        <v>fechaDesactivacion</v>
      </c>
      <c r="B8" s="19" t="str">
        <f>'M-HorarioBarberia'!F2</f>
        <v>Representa la fecha en la que este horario dejó de estar vigente, dueño. Es un dato calculado que toma la fecha del sistema en ese momento</v>
      </c>
      <c r="C8" s="18" t="s">
        <v>53</v>
      </c>
      <c r="D8" s="18" t="s">
        <v>432</v>
      </c>
      <c r="E8" s="18" t="s">
        <v>53</v>
      </c>
      <c r="F8" s="18" t="s">
        <v>52</v>
      </c>
      <c r="G8" s="18" t="s">
        <v>52</v>
      </c>
      <c r="H8" s="18" t="s">
        <v>52</v>
      </c>
      <c r="I8" s="18" t="s">
        <v>52</v>
      </c>
      <c r="J8" s="18" t="s">
        <v>52</v>
      </c>
      <c r="K8" s="18" t="s">
        <v>52</v>
      </c>
      <c r="L8" s="18" t="s">
        <v>52</v>
      </c>
      <c r="M8" s="19" t="s">
        <v>52</v>
      </c>
      <c r="N8" s="18" t="s">
        <v>50</v>
      </c>
      <c r="O8" s="18" t="s">
        <v>53</v>
      </c>
      <c r="P8" s="18" t="s">
        <v>52</v>
      </c>
      <c r="Q8" s="18" t="s">
        <v>52</v>
      </c>
      <c r="R8" s="18" t="s">
        <v>52</v>
      </c>
      <c r="S8" s="18" t="s">
        <v>53</v>
      </c>
      <c r="T8" s="18" t="s">
        <v>433</v>
      </c>
      <c r="U8" s="18" t="s">
        <v>53</v>
      </c>
    </row>
    <row r="9" spans="1:21" ht="60" customHeight="1" x14ac:dyDescent="0.25">
      <c r="A9" s="18" t="str">
        <f>'M-HorarioBarberia'!G3</f>
        <v>vigente</v>
      </c>
      <c r="B9" s="19" t="str">
        <f>'M-HorarioBarberia'!G2</f>
        <v>Representa si este horario lo sigue o no vigente en la barberia. Una vez que el dueño desactive el horario de la barberia, no se puede volver a cambiar</v>
      </c>
      <c r="C9" s="18" t="s">
        <v>53</v>
      </c>
      <c r="D9" s="95" t="s">
        <v>166</v>
      </c>
      <c r="E9" s="18" t="s">
        <v>53</v>
      </c>
      <c r="F9" s="18" t="s">
        <v>52</v>
      </c>
      <c r="G9" s="18" t="s">
        <v>52</v>
      </c>
      <c r="H9" s="18" t="s">
        <v>52</v>
      </c>
      <c r="I9" s="18" t="s">
        <v>52</v>
      </c>
      <c r="J9" s="18" t="s">
        <v>52</v>
      </c>
      <c r="K9" s="18" t="s">
        <v>52</v>
      </c>
      <c r="L9" s="18" t="s">
        <v>52</v>
      </c>
      <c r="M9" s="19" t="s">
        <v>52</v>
      </c>
      <c r="N9" s="18" t="s">
        <v>53</v>
      </c>
      <c r="O9" s="18" t="s">
        <v>53</v>
      </c>
      <c r="P9" s="18" t="s">
        <v>52</v>
      </c>
      <c r="Q9" s="18" t="s">
        <v>52</v>
      </c>
      <c r="R9" s="18" t="s">
        <v>52</v>
      </c>
      <c r="S9" s="18" t="s">
        <v>53</v>
      </c>
      <c r="T9" s="18" t="s">
        <v>50</v>
      </c>
      <c r="U9" s="18" t="s">
        <v>53</v>
      </c>
    </row>
    <row r="10" spans="1:21" ht="15" customHeight="1" x14ac:dyDescent="0.25">
      <c r="A10" s="7"/>
      <c r="B10" s="7"/>
      <c r="C10" s="7"/>
      <c r="D10" s="7"/>
      <c r="E10" s="7"/>
      <c r="F10" s="7"/>
      <c r="G10" s="7"/>
      <c r="H10" s="7"/>
      <c r="I10" s="7"/>
      <c r="J10" s="7"/>
      <c r="K10" s="7"/>
      <c r="L10" s="7"/>
      <c r="M10" s="7"/>
      <c r="N10" s="7"/>
      <c r="O10" s="7"/>
      <c r="P10" s="7"/>
      <c r="Q10" s="7"/>
      <c r="R10" s="7"/>
      <c r="S10" s="7"/>
      <c r="T10" s="7"/>
      <c r="U10" s="7"/>
    </row>
    <row r="11" spans="1:21" ht="15" customHeight="1" x14ac:dyDescent="0.25">
      <c r="A11" s="20" t="s">
        <v>58</v>
      </c>
      <c r="B11" s="20" t="s">
        <v>59</v>
      </c>
      <c r="C11" s="20" t="s">
        <v>60</v>
      </c>
      <c r="D11" s="69"/>
      <c r="E11" s="69"/>
      <c r="F11" s="69"/>
      <c r="G11" s="69"/>
      <c r="H11" s="69"/>
      <c r="I11" s="69"/>
      <c r="J11" s="69"/>
      <c r="K11" s="69"/>
      <c r="L11" s="69"/>
      <c r="M11" s="69"/>
      <c r="N11" s="69"/>
      <c r="O11" s="69"/>
      <c r="P11" s="69"/>
      <c r="Q11" s="69"/>
      <c r="R11" s="69"/>
      <c r="S11" s="69"/>
      <c r="T11" s="69"/>
      <c r="U11" s="69"/>
    </row>
    <row r="12" spans="1:21" ht="15" customHeight="1" x14ac:dyDescent="0.25">
      <c r="A12" s="265" t="str">
        <f>'M-HorarioBarberia'!H3</f>
        <v>Combinación única</v>
      </c>
      <c r="B12" s="266" t="str">
        <f>'M-HorarioBarberia'!H2</f>
        <v>Combinacion única que indica que no puede existir más de un horario con la misma barberia, dia de la semana, hora de apertura y cierre</v>
      </c>
      <c r="C12" s="23" t="str">
        <f t="shared" ref="C12:C17" si="0">A4</f>
        <v>diaDeLaSemana</v>
      </c>
      <c r="D12" s="7"/>
      <c r="E12" s="7"/>
      <c r="F12" s="7"/>
      <c r="G12" s="7"/>
      <c r="H12" s="7"/>
      <c r="I12" s="7"/>
      <c r="J12" s="7"/>
      <c r="K12" s="7"/>
      <c r="L12" s="7"/>
      <c r="M12" s="7"/>
      <c r="N12" s="7"/>
      <c r="O12" s="7"/>
      <c r="P12" s="7"/>
      <c r="Q12" s="7"/>
      <c r="R12" s="7"/>
      <c r="S12" s="7"/>
      <c r="T12" s="7"/>
      <c r="U12" s="7"/>
    </row>
    <row r="13" spans="1:21" ht="15" customHeight="1" x14ac:dyDescent="0.25">
      <c r="A13" s="265"/>
      <c r="B13" s="265"/>
      <c r="C13" s="23" t="str">
        <f t="shared" si="0"/>
        <v>horaApertura</v>
      </c>
      <c r="D13" s="7"/>
      <c r="E13" s="7"/>
      <c r="F13" s="7"/>
      <c r="G13" s="7"/>
      <c r="H13" s="7"/>
      <c r="I13" s="7"/>
      <c r="J13" s="7"/>
      <c r="K13" s="7"/>
      <c r="L13" s="7"/>
      <c r="M13" s="7"/>
      <c r="N13" s="7"/>
      <c r="O13" s="7"/>
      <c r="P13" s="7"/>
      <c r="Q13" s="7"/>
      <c r="R13" s="7"/>
      <c r="S13" s="7"/>
      <c r="T13" s="7"/>
      <c r="U13" s="7"/>
    </row>
    <row r="14" spans="1:21" ht="15" customHeight="1" x14ac:dyDescent="0.25">
      <c r="A14" s="265"/>
      <c r="B14" s="265"/>
      <c r="C14" s="23" t="str">
        <f t="shared" si="0"/>
        <v>horaCierre</v>
      </c>
      <c r="D14" s="7"/>
      <c r="E14" s="7"/>
      <c r="F14" s="7"/>
      <c r="G14" s="7"/>
      <c r="H14" s="7"/>
      <c r="I14" s="7"/>
      <c r="J14" s="7"/>
      <c r="K14" s="7"/>
      <c r="L14" s="7"/>
      <c r="M14" s="7"/>
      <c r="N14" s="7"/>
      <c r="O14" s="7"/>
      <c r="P14" s="7"/>
      <c r="Q14" s="7"/>
      <c r="R14" s="7"/>
      <c r="S14" s="7"/>
      <c r="T14" s="7"/>
      <c r="U14" s="7"/>
    </row>
    <row r="15" spans="1:21" ht="15" customHeight="1" x14ac:dyDescent="0.25">
      <c r="A15" s="265"/>
      <c r="B15" s="265"/>
      <c r="C15" s="23" t="str">
        <f t="shared" si="0"/>
        <v>fechaCreacion</v>
      </c>
    </row>
    <row r="16" spans="1:21" ht="15" customHeight="1" x14ac:dyDescent="0.25">
      <c r="A16" s="265"/>
      <c r="B16" s="265"/>
      <c r="C16" s="23" t="str">
        <f t="shared" si="0"/>
        <v>fechaDesactivacion</v>
      </c>
    </row>
    <row r="17" spans="1:21" ht="15" customHeight="1" x14ac:dyDescent="0.25">
      <c r="A17" s="265"/>
      <c r="B17" s="265"/>
      <c r="C17" s="23" t="str">
        <f t="shared" si="0"/>
        <v>vigente</v>
      </c>
      <c r="D17" s="70"/>
      <c r="E17" s="70"/>
      <c r="F17" s="70"/>
      <c r="G17" s="70"/>
      <c r="H17" s="70"/>
      <c r="I17" s="70"/>
      <c r="J17" s="70"/>
      <c r="K17" s="70"/>
      <c r="L17" s="70"/>
      <c r="M17" s="70"/>
      <c r="N17" s="70"/>
      <c r="O17" s="70"/>
      <c r="P17" s="70"/>
      <c r="Q17" s="70"/>
      <c r="R17" s="70"/>
      <c r="S17" s="70"/>
      <c r="T17" s="70"/>
      <c r="U17" s="70"/>
    </row>
    <row r="18" spans="1:21" ht="15" customHeight="1" x14ac:dyDescent="0.25">
      <c r="A18" s="63"/>
      <c r="B18" s="63"/>
    </row>
    <row r="19" spans="1:21" ht="15" customHeight="1" x14ac:dyDescent="0.25">
      <c r="A19" s="203" t="s">
        <v>62</v>
      </c>
      <c r="B19" s="203"/>
      <c r="C19" s="197" t="s">
        <v>59</v>
      </c>
      <c r="D19" s="197"/>
      <c r="E19" s="197"/>
      <c r="F19" s="197"/>
      <c r="G19" s="197" t="s">
        <v>63</v>
      </c>
      <c r="H19" s="197"/>
      <c r="I19" s="197"/>
      <c r="J19" s="197" t="s">
        <v>64</v>
      </c>
      <c r="K19" s="197"/>
      <c r="L19" s="197"/>
      <c r="M19" s="197"/>
      <c r="N19" s="197"/>
      <c r="O19" s="197" t="s">
        <v>65</v>
      </c>
      <c r="P19" s="197"/>
      <c r="Q19" s="197" t="s">
        <v>66</v>
      </c>
      <c r="R19" s="197"/>
    </row>
    <row r="20" spans="1:21" ht="15" customHeight="1" x14ac:dyDescent="0.25">
      <c r="A20" s="203"/>
      <c r="B20" s="203"/>
      <c r="C20" s="197"/>
      <c r="D20" s="197"/>
      <c r="E20" s="197"/>
      <c r="F20" s="197"/>
      <c r="G20" s="24" t="s">
        <v>67</v>
      </c>
      <c r="H20" s="24" t="s">
        <v>32</v>
      </c>
      <c r="I20" s="24" t="s">
        <v>59</v>
      </c>
      <c r="J20" s="24" t="s">
        <v>68</v>
      </c>
      <c r="K20" s="200" t="s">
        <v>59</v>
      </c>
      <c r="L20" s="201"/>
      <c r="M20" s="201"/>
      <c r="N20" s="202"/>
      <c r="O20" s="24" t="s">
        <v>69</v>
      </c>
      <c r="P20" s="24" t="s">
        <v>59</v>
      </c>
      <c r="Q20" s="24" t="s">
        <v>70</v>
      </c>
      <c r="R20" s="27" t="s">
        <v>71</v>
      </c>
    </row>
    <row r="21" spans="1:21" ht="135" x14ac:dyDescent="0.25">
      <c r="A21" s="215" t="s">
        <v>434</v>
      </c>
      <c r="B21" s="216"/>
      <c r="C21" s="219" t="s">
        <v>435</v>
      </c>
      <c r="D21" s="220"/>
      <c r="E21" s="220"/>
      <c r="F21" s="221"/>
      <c r="G21" s="227" t="s">
        <v>436</v>
      </c>
      <c r="H21" s="227" t="s">
        <v>20</v>
      </c>
      <c r="I21" s="229" t="s">
        <v>437</v>
      </c>
      <c r="J21" s="231" t="s">
        <v>20</v>
      </c>
      <c r="K21" s="219" t="s">
        <v>438</v>
      </c>
      <c r="L21" s="220"/>
      <c r="M21" s="220"/>
      <c r="N21" s="221"/>
      <c r="O21" s="28" t="str">
        <f>'P-HorarioBarberia'!A6</f>
        <v>P-HBA-0001</v>
      </c>
      <c r="P21" s="3" t="str">
        <f>'P-HorarioBarberia'!B6</f>
        <v>Asegurar que los datos requeridos (día de la semana, hora de apertura, hora de cierre) sean válidos en tipo de dato, obligatoriedad, formato y rango, y que la hora de cierre sea mayor a la hora de apertura</v>
      </c>
      <c r="Q21" s="3" t="s">
        <v>439</v>
      </c>
      <c r="R21" s="31" t="s">
        <v>134</v>
      </c>
    </row>
    <row r="22" spans="1:21" ht="75" x14ac:dyDescent="0.25">
      <c r="A22" s="217"/>
      <c r="B22" s="218"/>
      <c r="C22" s="222"/>
      <c r="D22" s="223"/>
      <c r="E22" s="223"/>
      <c r="F22" s="224"/>
      <c r="G22" s="228"/>
      <c r="H22" s="228"/>
      <c r="I22" s="230"/>
      <c r="J22" s="232"/>
      <c r="K22" s="222"/>
      <c r="L22" s="223"/>
      <c r="M22" s="223"/>
      <c r="N22" s="224"/>
      <c r="O22" s="28" t="str">
        <f>'P-HorarioBarberia'!A7</f>
        <v>P-HBA-0002</v>
      </c>
      <c r="P22" s="3" t="str">
        <f>'P-HorarioBarberia'!B7</f>
        <v>Asegurar que no exista otro horario vigente definido para el mismo día de la semana, que se cruze con las horas de apertura y cierre</v>
      </c>
      <c r="Q22" s="3" t="s">
        <v>440</v>
      </c>
      <c r="R22" s="31" t="s">
        <v>134</v>
      </c>
    </row>
    <row r="23" spans="1:21" ht="38.25" x14ac:dyDescent="0.25">
      <c r="A23" s="264" t="s">
        <v>441</v>
      </c>
      <c r="B23" s="264"/>
      <c r="C23" s="233" t="s">
        <v>442</v>
      </c>
      <c r="D23" s="233"/>
      <c r="E23" s="233"/>
      <c r="F23" s="233"/>
      <c r="G23" s="168" t="s">
        <v>74</v>
      </c>
      <c r="H23" s="168" t="s">
        <v>20</v>
      </c>
      <c r="I23" s="169" t="s">
        <v>443</v>
      </c>
      <c r="J23" s="177" t="s">
        <v>444</v>
      </c>
      <c r="K23" s="233" t="s">
        <v>445</v>
      </c>
      <c r="L23" s="233"/>
      <c r="M23" s="233"/>
      <c r="N23" s="233"/>
      <c r="O23" s="168"/>
      <c r="P23" s="170"/>
      <c r="Q23" s="170"/>
      <c r="R23" s="171"/>
    </row>
    <row r="24" spans="1:21" ht="78.599999999999994" customHeight="1" x14ac:dyDescent="0.25">
      <c r="A24" s="254" t="s">
        <v>446</v>
      </c>
      <c r="B24" s="255"/>
      <c r="C24" s="258" t="s">
        <v>447</v>
      </c>
      <c r="D24" s="259"/>
      <c r="E24" s="259"/>
      <c r="F24" s="260"/>
      <c r="G24" s="280" t="s">
        <v>110</v>
      </c>
      <c r="H24" s="280" t="s">
        <v>131</v>
      </c>
      <c r="I24" s="283" t="s">
        <v>448</v>
      </c>
      <c r="J24" s="286"/>
      <c r="K24" s="258" t="s">
        <v>187</v>
      </c>
      <c r="L24" s="259"/>
      <c r="M24" s="259"/>
      <c r="N24" s="260"/>
      <c r="O24" s="173" t="str">
        <f>'P-HorarioBarberia'!A8</f>
        <v>P-HBA-0003</v>
      </c>
      <c r="P24" s="172" t="str">
        <f>'P-HorarioBarberia'!B8</f>
        <v>Al desactivar un horario de barbería, desactivar en cascada todos los horarios de barbero que dependen de ese día</v>
      </c>
      <c r="Q24" s="172" t="s">
        <v>449</v>
      </c>
      <c r="R24" s="176" t="s">
        <v>450</v>
      </c>
    </row>
    <row r="25" spans="1:21" ht="91.9" customHeight="1" x14ac:dyDescent="0.25">
      <c r="A25" s="275"/>
      <c r="B25" s="276"/>
      <c r="C25" s="277"/>
      <c r="D25" s="278"/>
      <c r="E25" s="278"/>
      <c r="F25" s="279"/>
      <c r="G25" s="281"/>
      <c r="H25" s="281"/>
      <c r="I25" s="284"/>
      <c r="J25" s="287"/>
      <c r="K25" s="277"/>
      <c r="L25" s="278"/>
      <c r="M25" s="278"/>
      <c r="N25" s="279"/>
      <c r="O25" s="173" t="str">
        <f>'P-HorarioBarberia'!A9</f>
        <v>P-HBA-0004</v>
      </c>
      <c r="P25" s="172" t="str">
        <f>'P-HorarioBarberia'!B9</f>
        <v>Al desactivarse un horario de barbero por la cascada, desactivar también las agendas futuras que se habían generado a partir de ese horario</v>
      </c>
      <c r="Q25" s="172" t="s">
        <v>451</v>
      </c>
      <c r="R25" s="176" t="s">
        <v>450</v>
      </c>
    </row>
    <row r="26" spans="1:21" ht="75" x14ac:dyDescent="0.25">
      <c r="A26" s="256"/>
      <c r="B26" s="257"/>
      <c r="C26" s="261"/>
      <c r="D26" s="262"/>
      <c r="E26" s="262"/>
      <c r="F26" s="263"/>
      <c r="G26" s="282"/>
      <c r="H26" s="282"/>
      <c r="I26" s="285"/>
      <c r="J26" s="288"/>
      <c r="K26" s="261"/>
      <c r="L26" s="262"/>
      <c r="M26" s="262"/>
      <c r="N26" s="263"/>
      <c r="O26" s="173" t="str">
        <f>'P-HorarioBarberia'!A10</f>
        <v>P-HBA-0005</v>
      </c>
      <c r="P26" s="172" t="str">
        <f>'P-HorarioBarberia'!B10</f>
        <v>Cancelar las citas futuras que quedaron en esas agendas, dejándolas en el estado Cancelación por cambio de políticas de la barbería</v>
      </c>
      <c r="Q26" s="172" t="s">
        <v>452</v>
      </c>
      <c r="R26" s="176" t="s">
        <v>450</v>
      </c>
    </row>
  </sheetData>
  <mergeCells count="26">
    <mergeCell ref="A12:A17"/>
    <mergeCell ref="B12:B17"/>
    <mergeCell ref="A19:B20"/>
    <mergeCell ref="C19:F20"/>
    <mergeCell ref="G19:I19"/>
    <mergeCell ref="H21:H22"/>
    <mergeCell ref="J19:N19"/>
    <mergeCell ref="O19:P19"/>
    <mergeCell ref="Q19:R19"/>
    <mergeCell ref="K20:N20"/>
    <mergeCell ref="I21:I22"/>
    <mergeCell ref="J21:J22"/>
    <mergeCell ref="K21:N22"/>
    <mergeCell ref="A24:B26"/>
    <mergeCell ref="C24:F26"/>
    <mergeCell ref="G24:G26"/>
    <mergeCell ref="H24:H26"/>
    <mergeCell ref="I24:I26"/>
    <mergeCell ref="J24:J26"/>
    <mergeCell ref="K24:N26"/>
    <mergeCell ref="A23:B23"/>
    <mergeCell ref="C23:F23"/>
    <mergeCell ref="K23:N23"/>
    <mergeCell ref="A21:B22"/>
    <mergeCell ref="C21:F22"/>
    <mergeCell ref="G21:G22"/>
  </mergeCells>
  <hyperlinks>
    <hyperlink ref="A1" location="'Modelo de Dominio'!A1" display="&lt;&lt;&lt;&lt; Ir al modulo de dominio" xr:uid="{00000000-0004-0000-1E00-000000000000}"/>
    <hyperlink ref="B1" location="'Objetos de Dominio'!A1" display="&lt;&lt;&lt;&lt; Ir a objetos de dominio" xr:uid="{00000000-0004-0000-1E00-000001000000}"/>
    <hyperlink ref="D4" location="'C-DiaSemana'!A1" display="DiaSemana" xr:uid="{00000000-0004-0000-1E00-000002000000}"/>
  </hyperlink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6"/>
  <sheetViews>
    <sheetView showGridLines="0" zoomScaleNormal="100" workbookViewId="0">
      <selection activeCell="B11" sqref="B11"/>
    </sheetView>
  </sheetViews>
  <sheetFormatPr baseColWidth="10" defaultColWidth="8.7109375" defaultRowHeight="15" x14ac:dyDescent="0.25"/>
  <cols>
    <col min="1" max="1" width="21.28515625" customWidth="1"/>
    <col min="2" max="2" width="29.140625" customWidth="1"/>
    <col min="3" max="3" width="35.5703125" customWidth="1"/>
    <col min="4" max="4" width="37.140625" customWidth="1"/>
    <col min="5" max="5" width="36.710937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Dominio'!A10</f>
        <v>HorarioBarberia</v>
      </c>
      <c r="C2" s="209"/>
      <c r="D2" s="209"/>
      <c r="E2" s="209"/>
    </row>
    <row r="3" spans="1:5" ht="30" customHeight="1" x14ac:dyDescent="0.25">
      <c r="A3" s="35" t="s">
        <v>82</v>
      </c>
      <c r="B3" s="210" t="str">
        <f>'Objetos de Dominio'!B10</f>
        <v>Representa, día por día, a qué hora abre y cierra el negocio; es el límite dentro del cual debe caber el horario de cualquier barbero.</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49.5" customHeight="1" x14ac:dyDescent="0.25">
      <c r="A6" s="10" t="s">
        <v>453</v>
      </c>
      <c r="B6" s="247" t="s">
        <v>454</v>
      </c>
      <c r="C6" s="247"/>
      <c r="D6" s="36" t="s">
        <v>20</v>
      </c>
      <c r="E6" s="36"/>
    </row>
    <row r="7" spans="1:5" ht="30" customHeight="1" x14ac:dyDescent="0.25">
      <c r="A7" s="10" t="s">
        <v>455</v>
      </c>
      <c r="B7" s="247" t="s">
        <v>456</v>
      </c>
      <c r="C7" s="247"/>
      <c r="D7" s="36" t="s">
        <v>20</v>
      </c>
      <c r="E7" s="36"/>
    </row>
    <row r="8" spans="1:5" ht="30" customHeight="1" x14ac:dyDescent="0.25">
      <c r="A8" s="10" t="s">
        <v>457</v>
      </c>
      <c r="B8" s="247" t="s">
        <v>458</v>
      </c>
      <c r="C8" s="247"/>
      <c r="D8" s="36" t="s">
        <v>23</v>
      </c>
      <c r="E8" s="36"/>
    </row>
    <row r="9" spans="1:5" ht="30" customHeight="1" x14ac:dyDescent="0.25">
      <c r="A9" s="10" t="s">
        <v>459</v>
      </c>
      <c r="B9" s="247" t="s">
        <v>460</v>
      </c>
      <c r="C9" s="247"/>
      <c r="D9" s="36" t="s">
        <v>24</v>
      </c>
      <c r="E9" s="36"/>
    </row>
    <row r="10" spans="1:5" ht="30" customHeight="1" x14ac:dyDescent="0.25">
      <c r="A10" s="10" t="s">
        <v>461</v>
      </c>
      <c r="B10" s="247" t="s">
        <v>462</v>
      </c>
      <c r="C10" s="247"/>
      <c r="D10" s="36" t="s">
        <v>25</v>
      </c>
      <c r="E10" s="36"/>
    </row>
    <row r="14" spans="1:5" ht="14.25" customHeight="1" x14ac:dyDescent="0.25"/>
    <row r="15" spans="1:5" ht="14.25" customHeight="1" x14ac:dyDescent="0.25"/>
    <row r="16" spans="1:5" ht="14.25" customHeight="1" x14ac:dyDescent="0.25"/>
  </sheetData>
  <mergeCells count="11">
    <mergeCell ref="B2:E2"/>
    <mergeCell ref="B3:E3"/>
    <mergeCell ref="A4:A5"/>
    <mergeCell ref="B4:C5"/>
    <mergeCell ref="D4:D5"/>
    <mergeCell ref="E4:E5"/>
    <mergeCell ref="B6:C6"/>
    <mergeCell ref="B7:C7"/>
    <mergeCell ref="B8:C8"/>
    <mergeCell ref="B9:C9"/>
    <mergeCell ref="B10:C10"/>
  </mergeCells>
  <hyperlinks>
    <hyperlink ref="A1" location="'Modelo de Dominio'!A1" display="&lt;&lt; Ir al modelo de dominio" xr:uid="{00000000-0004-0000-1F00-000000000000}"/>
    <hyperlink ref="B1" location="'Objetos de Dominio'!A1" display="&lt;&lt; Ir al listado de objetos de dominio" xr:uid="{00000000-0004-0000-1F00-000001000000}"/>
    <hyperlink ref="C1" location="'C-HorarioBarberia'!A1" display="&lt;&lt; Ir a la caracterización del objeto de dominio" xr:uid="{00000000-0004-0000-1F00-000002000000}"/>
    <hyperlink ref="D1" location="'M-HorarioBarberia'!A1" display="Ir al muestreo de datos del objeto de dominio &gt;&gt;" xr:uid="{00000000-0004-0000-1F00-000003000000}"/>
    <hyperlink ref="E1" location="'E-HorarioBarberia'!A1" display="Ir al event storming del objeto de dominio &gt;&gt;" xr:uid="{00000000-0004-0000-1F00-000004000000}"/>
  </hyperlink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5"/>
  <sheetViews>
    <sheetView showGridLines="0" topLeftCell="A7" zoomScaleNormal="100" workbookViewId="0">
      <selection activeCell="H11" sqref="H1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7.28515625" customWidth="1"/>
    <col min="8" max="8" width="51.285156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4" t="s">
        <v>81</v>
      </c>
      <c r="B2" s="196" t="str">
        <f>'Objetos de Dominio'!A10</f>
        <v>HorarioBarberia</v>
      </c>
      <c r="C2" s="196"/>
      <c r="D2" s="196"/>
      <c r="E2" s="196"/>
      <c r="F2" s="196"/>
      <c r="G2" s="196"/>
      <c r="H2" s="196"/>
      <c r="I2" s="196"/>
      <c r="J2" s="196"/>
      <c r="K2" s="196"/>
    </row>
    <row r="3" spans="1:11" ht="30" customHeight="1" x14ac:dyDescent="0.25">
      <c r="A3" s="35" t="s">
        <v>82</v>
      </c>
      <c r="B3" s="186" t="str">
        <f>'Objetos de Dominio'!B10</f>
        <v>Representa, día por día, a qué hora abre y cierra el negocio; es el límite dentro del cual debe caber el horario de cualquier barbero.</v>
      </c>
      <c r="C3" s="186"/>
      <c r="D3" s="186"/>
      <c r="E3" s="186"/>
      <c r="F3" s="186"/>
      <c r="G3" s="186"/>
      <c r="H3" s="186"/>
      <c r="I3" s="186"/>
      <c r="J3" s="186"/>
      <c r="K3" s="186"/>
    </row>
    <row r="4" spans="1:11" ht="34.5" customHeight="1" x14ac:dyDescent="0.25">
      <c r="A4" s="39" t="s">
        <v>88</v>
      </c>
      <c r="B4" s="187" t="s">
        <v>89</v>
      </c>
      <c r="C4" s="187"/>
      <c r="D4" s="40" t="s">
        <v>90</v>
      </c>
      <c r="E4" s="188" t="s">
        <v>91</v>
      </c>
      <c r="F4" s="188"/>
      <c r="G4" s="189" t="s">
        <v>92</v>
      </c>
      <c r="H4" s="189"/>
      <c r="I4" s="42" t="s">
        <v>93</v>
      </c>
      <c r="J4" s="43" t="s">
        <v>94</v>
      </c>
      <c r="K4" s="44" t="s">
        <v>95</v>
      </c>
    </row>
    <row r="5" spans="1:11" ht="15" customHeight="1" x14ac:dyDescent="0.25">
      <c r="A5" s="190" t="s">
        <v>88</v>
      </c>
      <c r="B5" s="187" t="s">
        <v>96</v>
      </c>
      <c r="C5" s="187" t="s">
        <v>59</v>
      </c>
      <c r="D5" s="191" t="s">
        <v>97</v>
      </c>
      <c r="E5" s="188" t="s">
        <v>98</v>
      </c>
      <c r="F5" s="188"/>
      <c r="G5" s="189" t="s">
        <v>99</v>
      </c>
      <c r="H5" s="189"/>
      <c r="I5" s="192" t="s">
        <v>100</v>
      </c>
      <c r="J5" s="193" t="s">
        <v>101</v>
      </c>
      <c r="K5" s="194" t="s">
        <v>102</v>
      </c>
    </row>
    <row r="6" spans="1:11" ht="15" customHeight="1" x14ac:dyDescent="0.25">
      <c r="A6" s="190"/>
      <c r="B6" s="190"/>
      <c r="C6" s="190"/>
      <c r="D6" s="190"/>
      <c r="E6" s="41" t="s">
        <v>103</v>
      </c>
      <c r="F6" s="41" t="s">
        <v>59</v>
      </c>
      <c r="G6" s="45" t="s">
        <v>104</v>
      </c>
      <c r="H6" s="45" t="s">
        <v>59</v>
      </c>
      <c r="I6" s="192"/>
      <c r="J6" s="192"/>
      <c r="K6" s="192"/>
    </row>
    <row r="7" spans="1:11" ht="57" customHeight="1" x14ac:dyDescent="0.25">
      <c r="A7" s="204" t="s">
        <v>105</v>
      </c>
      <c r="B7" s="244" t="s">
        <v>434</v>
      </c>
      <c r="C7" s="244" t="s">
        <v>435</v>
      </c>
      <c r="D7" s="204" t="str">
        <f>$B$2</f>
        <v>HorarioBarberia</v>
      </c>
      <c r="E7" s="244"/>
      <c r="F7" s="244"/>
      <c r="G7" s="62" t="str">
        <f>'P-HorarioBarberia'!A6</f>
        <v>P-HBA-0001</v>
      </c>
      <c r="H7" s="14" t="str">
        <f>'P-HorarioBarberia'!B6</f>
        <v>Asegurar que los datos requeridos (día de la semana, hora de apertura, hora de cierre) sean válidos en tipo de dato, obligatoriedad, formato y rango, y que la hora de cierre sea mayor a la hora de apertura</v>
      </c>
      <c r="I7" s="204"/>
      <c r="J7" s="244" t="s">
        <v>463</v>
      </c>
      <c r="K7" s="244"/>
    </row>
    <row r="8" spans="1:11" ht="42.75" customHeight="1" x14ac:dyDescent="0.25">
      <c r="A8" s="204"/>
      <c r="B8" s="204"/>
      <c r="C8" s="204"/>
      <c r="D8" s="204"/>
      <c r="E8" s="204"/>
      <c r="F8" s="204"/>
      <c r="G8" s="62" t="str">
        <f>'P-HorarioBarberia'!A7</f>
        <v>P-HBA-0002</v>
      </c>
      <c r="H8" s="14" t="str">
        <f>'P-HorarioBarberia'!B7</f>
        <v>Asegurar que no exista otro horario vigente definido para el mismo día de la semana, que se cruze con las horas de apertura y cierre</v>
      </c>
      <c r="I8" s="204"/>
      <c r="J8" s="204"/>
      <c r="K8" s="204"/>
    </row>
    <row r="9" spans="1:11" ht="30" customHeight="1" x14ac:dyDescent="0.25">
      <c r="A9" s="2" t="s">
        <v>105</v>
      </c>
      <c r="B9" s="46" t="s">
        <v>441</v>
      </c>
      <c r="C9" s="46" t="s">
        <v>442</v>
      </c>
      <c r="D9" s="2" t="str">
        <f>$B$2</f>
        <v>HorarioBarberia</v>
      </c>
      <c r="E9" s="46"/>
      <c r="F9" s="46"/>
      <c r="G9" s="2"/>
      <c r="H9" s="96"/>
      <c r="I9" s="2"/>
      <c r="J9" s="46" t="s">
        <v>464</v>
      </c>
      <c r="K9" s="46"/>
    </row>
    <row r="10" spans="1:11" ht="30" customHeight="1" x14ac:dyDescent="0.25">
      <c r="A10" s="2" t="s">
        <v>18</v>
      </c>
      <c r="B10" s="46" t="s">
        <v>441</v>
      </c>
      <c r="C10" s="46" t="s">
        <v>465</v>
      </c>
      <c r="D10" s="2" t="str">
        <f>$B$2</f>
        <v>HorarioBarberia</v>
      </c>
      <c r="E10" s="46"/>
      <c r="F10" s="46"/>
      <c r="G10" s="2"/>
      <c r="H10" s="96"/>
      <c r="I10" s="2"/>
      <c r="J10" s="46" t="s">
        <v>464</v>
      </c>
      <c r="K10" s="46"/>
    </row>
    <row r="11" spans="1:11" ht="30" customHeight="1" x14ac:dyDescent="0.25">
      <c r="A11" s="2" t="s">
        <v>19</v>
      </c>
      <c r="B11" s="46" t="s">
        <v>441</v>
      </c>
      <c r="C11" s="46" t="s">
        <v>466</v>
      </c>
      <c r="D11" s="2" t="str">
        <f>$B$2</f>
        <v>HorarioBarberia</v>
      </c>
      <c r="E11" s="46"/>
      <c r="F11" s="46"/>
      <c r="G11" s="2"/>
      <c r="H11" s="96"/>
      <c r="I11" s="2"/>
      <c r="J11" s="46" t="s">
        <v>464</v>
      </c>
      <c r="K11" s="46"/>
    </row>
    <row r="12" spans="1:11" ht="41.25" customHeight="1" x14ac:dyDescent="0.25">
      <c r="A12" s="204" t="s">
        <v>105</v>
      </c>
      <c r="B12" s="244" t="s">
        <v>446</v>
      </c>
      <c r="C12" s="244" t="s">
        <v>447</v>
      </c>
      <c r="D12" s="204" t="str">
        <f>$B$2</f>
        <v>HorarioBarberia</v>
      </c>
      <c r="E12" s="46" t="s">
        <v>23</v>
      </c>
      <c r="F12" s="46" t="s">
        <v>467</v>
      </c>
      <c r="G12" s="62" t="str">
        <f>'P-HorarioBarberia'!A8</f>
        <v>P-HBA-0003</v>
      </c>
      <c r="H12" s="97" t="str">
        <f>'P-HorarioBarberia'!B8</f>
        <v>Al desactivar un horario de barbería, desactivar en cascada todos los horarios de barbero que dependen de ese día</v>
      </c>
      <c r="I12" s="204"/>
      <c r="J12" s="244" t="s">
        <v>468</v>
      </c>
      <c r="K12" s="244"/>
    </row>
    <row r="13" spans="1:11" ht="41.25" customHeight="1" x14ac:dyDescent="0.25">
      <c r="A13" s="204"/>
      <c r="B13" s="204"/>
      <c r="C13" s="204"/>
      <c r="D13" s="204"/>
      <c r="E13" s="46" t="s">
        <v>24</v>
      </c>
      <c r="F13" s="46" t="s">
        <v>469</v>
      </c>
      <c r="G13" s="62" t="str">
        <f>'P-HorarioBarberia'!A9</f>
        <v>P-HBA-0004</v>
      </c>
      <c r="H13" s="98" t="str">
        <f>'P-HorarioBarberia'!B9</f>
        <v>Al desactivarse un horario de barbero por la cascada, desactivar también las agendas futuras que se habían generado a partir de ese horario</v>
      </c>
      <c r="I13" s="204"/>
      <c r="J13" s="204"/>
      <c r="K13" s="204"/>
    </row>
    <row r="14" spans="1:11" ht="41.25" customHeight="1" x14ac:dyDescent="0.25">
      <c r="A14" s="204"/>
      <c r="B14" s="204"/>
      <c r="C14" s="204"/>
      <c r="D14" s="204"/>
      <c r="E14" s="46" t="s">
        <v>25</v>
      </c>
      <c r="F14" s="46" t="s">
        <v>470</v>
      </c>
      <c r="G14" s="62" t="str">
        <f>'P-HorarioBarberia'!A10</f>
        <v>P-HBA-0005</v>
      </c>
      <c r="H14" s="98" t="str">
        <f>'P-HorarioBarberia'!B10</f>
        <v>Cancelar las citas futuras que quedaron en esas agendas, dejándolas en el estado Cancelación por cambio de políticas de la barbería</v>
      </c>
      <c r="I14" s="204"/>
      <c r="J14" s="204"/>
      <c r="K14" s="204"/>
    </row>
    <row r="15" spans="1:11" ht="41.25" customHeight="1" x14ac:dyDescent="0.25">
      <c r="A15" s="204"/>
      <c r="B15" s="204"/>
      <c r="C15" s="204"/>
      <c r="D15" s="204"/>
      <c r="E15" s="46" t="s">
        <v>14</v>
      </c>
      <c r="F15" s="46" t="s">
        <v>471</v>
      </c>
      <c r="G15" s="62"/>
      <c r="H15" s="99"/>
      <c r="I15" s="204"/>
      <c r="J15" s="204"/>
      <c r="K15" s="204"/>
    </row>
  </sheetData>
  <mergeCells count="34">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F7:F8"/>
    <mergeCell ref="I7:I8"/>
    <mergeCell ref="J7:J8"/>
    <mergeCell ref="K7:K8"/>
    <mergeCell ref="A12:A15"/>
    <mergeCell ref="B12:B15"/>
    <mergeCell ref="C12:C15"/>
    <mergeCell ref="D12:D15"/>
    <mergeCell ref="I12:I15"/>
    <mergeCell ref="J12:J15"/>
    <mergeCell ref="K12:K15"/>
    <mergeCell ref="A7:A8"/>
    <mergeCell ref="B7:B8"/>
    <mergeCell ref="C7:C8"/>
    <mergeCell ref="D7:D8"/>
    <mergeCell ref="E7:E8"/>
  </mergeCells>
  <hyperlinks>
    <hyperlink ref="A1" location="'Modelo de Dominio'!A1" display="&lt;&lt; Ir al modelo de dominio" xr:uid="{00000000-0004-0000-2000-000000000000}"/>
    <hyperlink ref="C1" location="'Objetos de Dominio'!A1" display="&lt;&lt; Ir al listado de objetos de dominio" xr:uid="{00000000-0004-0000-2000-000001000000}"/>
    <hyperlink ref="F1" location="'C-HorarioBarberia'!A1" display="&lt;&lt; Ir a la caracterización del objeto de dominio" xr:uid="{00000000-0004-0000-2000-000002000000}"/>
    <hyperlink ref="J1" location="'M-HorarioBarberia'!A1" display="Ir al muestreo de datos del objeto de dominio &gt;&gt;" xr:uid="{00000000-0004-0000-2000-000003000000}"/>
    <hyperlink ref="G7" location="'P-HorarioBarberia'!A6" display="#'P-HorarioBarberia'.A6" xr:uid="{00000000-0004-0000-2000-000004000000}"/>
    <hyperlink ref="G8" location="'P-HorarioBarberia'!A7" display="#'P-HorarioBarberia'.A7" xr:uid="{00000000-0004-0000-2000-000005000000}"/>
    <hyperlink ref="G12" location="'P-HorarioBarberia'!A8" display="#'P-HorarioBarberia'.A8" xr:uid="{00000000-0004-0000-2000-000006000000}"/>
  </hyperlink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22"/>
  <sheetViews>
    <sheetView zoomScaleNormal="100" workbookViewId="0">
      <selection activeCell="B1" sqref="B1"/>
    </sheetView>
  </sheetViews>
  <sheetFormatPr baseColWidth="10" defaultColWidth="8.7109375" defaultRowHeight="15" x14ac:dyDescent="0.25"/>
  <cols>
    <col min="1" max="1" width="27" customWidth="1"/>
    <col min="2" max="2" width="26.140625" customWidth="1"/>
    <col min="3" max="3" width="15.7109375" customWidth="1"/>
    <col min="4" max="4" width="17.42578125" customWidth="1"/>
    <col min="5" max="5" width="24.85546875" customWidth="1"/>
    <col min="6" max="6" width="38.7109375" customWidth="1"/>
    <col min="7" max="7" width="24.42578125" customWidth="1"/>
    <col min="8" max="8" width="40.85546875" customWidth="1"/>
  </cols>
  <sheetData>
    <row r="1" spans="1:8" ht="14.25" customHeight="1" x14ac:dyDescent="0.25">
      <c r="A1" s="6" t="s">
        <v>1</v>
      </c>
      <c r="B1" s="6" t="s">
        <v>28</v>
      </c>
    </row>
    <row r="2" spans="1:8" ht="42" customHeight="1" x14ac:dyDescent="0.25">
      <c r="A2" s="49" t="s">
        <v>107</v>
      </c>
      <c r="B2" s="49" t="s">
        <v>472</v>
      </c>
      <c r="C2" s="49" t="s">
        <v>473</v>
      </c>
      <c r="D2" s="49" t="s">
        <v>474</v>
      </c>
      <c r="E2" s="48" t="s">
        <v>475</v>
      </c>
      <c r="F2" s="48" t="s">
        <v>476</v>
      </c>
      <c r="G2" s="48" t="s">
        <v>477</v>
      </c>
      <c r="H2" s="49" t="s">
        <v>478</v>
      </c>
    </row>
    <row r="3" spans="1:8" ht="23.25" customHeight="1" x14ac:dyDescent="0.25">
      <c r="A3" s="50" t="s">
        <v>110</v>
      </c>
      <c r="B3" s="94" t="s">
        <v>479</v>
      </c>
      <c r="C3" s="100" t="s">
        <v>480</v>
      </c>
      <c r="D3" s="51" t="s">
        <v>481</v>
      </c>
      <c r="E3" s="85" t="s">
        <v>482</v>
      </c>
      <c r="F3" s="85" t="s">
        <v>483</v>
      </c>
      <c r="G3" s="51" t="s">
        <v>347</v>
      </c>
      <c r="H3" s="52" t="s">
        <v>268</v>
      </c>
    </row>
    <row r="4" spans="1:8" ht="14.25" customHeight="1" x14ac:dyDescent="0.25">
      <c r="A4" s="53">
        <v>1</v>
      </c>
      <c r="B4" s="101" t="str">
        <f>'M-DiaSemana'!C4</f>
        <v>Lunes</v>
      </c>
      <c r="C4" s="102">
        <v>0.375</v>
      </c>
      <c r="D4" s="102">
        <v>0.79166666666666696</v>
      </c>
      <c r="E4" s="103">
        <v>45242</v>
      </c>
      <c r="F4" s="102" t="s">
        <v>433</v>
      </c>
      <c r="G4" s="102" t="s">
        <v>50</v>
      </c>
      <c r="H4" s="53" t="str">
        <f t="shared" ref="H4:H10" si="0">_xlfn.CONCAT(B4,"-",TEXT(C4,"hh:mm"),"-",TEXT(D4,"hh:mm"),"-",TEXT(E4,"dd/mm/yyyy"),"-",TEXT(F4,"dd/mm/yyyy"))</f>
        <v>Lunes-09:00-19:00-12/11/2023-1/01/1000</v>
      </c>
    </row>
    <row r="5" spans="1:8" ht="14.25" customHeight="1" x14ac:dyDescent="0.25">
      <c r="A5" s="53">
        <v>2</v>
      </c>
      <c r="B5" s="101" t="str">
        <f>'M-DiaSemana'!C5</f>
        <v>Martes</v>
      </c>
      <c r="C5" s="102">
        <v>0.375</v>
      </c>
      <c r="D5" s="102">
        <v>0.79166666666666696</v>
      </c>
      <c r="E5" s="103">
        <v>45242</v>
      </c>
      <c r="F5" s="102" t="s">
        <v>433</v>
      </c>
      <c r="G5" s="102" t="s">
        <v>50</v>
      </c>
      <c r="H5" s="53" t="str">
        <f t="shared" si="0"/>
        <v>Martes-09:00-19:00-12/11/2023-1/01/1000</v>
      </c>
    </row>
    <row r="6" spans="1:8" ht="14.25" customHeight="1" x14ac:dyDescent="0.25">
      <c r="A6" s="53">
        <v>3</v>
      </c>
      <c r="B6" s="101" t="str">
        <f>'M-DiaSemana'!C6</f>
        <v>Miércoles</v>
      </c>
      <c r="C6" s="102">
        <v>0.375</v>
      </c>
      <c r="D6" s="102">
        <v>0.79166666666666696</v>
      </c>
      <c r="E6" s="103">
        <v>45242</v>
      </c>
      <c r="F6" s="102" t="s">
        <v>433</v>
      </c>
      <c r="G6" s="102" t="s">
        <v>50</v>
      </c>
      <c r="H6" s="53" t="str">
        <f t="shared" si="0"/>
        <v>Miércoles-09:00-19:00-12/11/2023-1/01/1000</v>
      </c>
    </row>
    <row r="7" spans="1:8" ht="14.25" customHeight="1" x14ac:dyDescent="0.25">
      <c r="A7" s="53">
        <v>4</v>
      </c>
      <c r="B7" s="101" t="str">
        <f>'M-DiaSemana'!C7</f>
        <v>Jueves</v>
      </c>
      <c r="C7" s="102">
        <v>0.375</v>
      </c>
      <c r="D7" s="102">
        <v>0.79166666666666696</v>
      </c>
      <c r="E7" s="103">
        <v>45242</v>
      </c>
      <c r="F7" s="102" t="s">
        <v>433</v>
      </c>
      <c r="G7" s="102" t="s">
        <v>50</v>
      </c>
      <c r="H7" s="53" t="str">
        <f t="shared" si="0"/>
        <v>Jueves-09:00-19:00-12/11/2023-1/01/1000</v>
      </c>
    </row>
    <row r="8" spans="1:8" ht="14.25" customHeight="1" x14ac:dyDescent="0.25">
      <c r="A8" s="53">
        <v>5</v>
      </c>
      <c r="B8" s="101" t="str">
        <f>'M-DiaSemana'!C8</f>
        <v>Viernes</v>
      </c>
      <c r="C8" s="102">
        <v>0.375</v>
      </c>
      <c r="D8" s="102">
        <v>0.79166666666666696</v>
      </c>
      <c r="E8" s="103">
        <v>45242</v>
      </c>
      <c r="F8" s="102" t="s">
        <v>433</v>
      </c>
      <c r="G8" s="102" t="s">
        <v>50</v>
      </c>
      <c r="H8" s="53" t="str">
        <f t="shared" si="0"/>
        <v>Viernes-09:00-19:00-12/11/2023-1/01/1000</v>
      </c>
    </row>
    <row r="9" spans="1:8" ht="14.25" customHeight="1" x14ac:dyDescent="0.25">
      <c r="A9" s="53">
        <v>6</v>
      </c>
      <c r="B9" s="101" t="str">
        <f>'M-DiaSemana'!C9</f>
        <v>Sábado</v>
      </c>
      <c r="C9" s="104">
        <v>0.33333333333333298</v>
      </c>
      <c r="D9" s="102">
        <v>0.875</v>
      </c>
      <c r="E9" s="103">
        <v>45638</v>
      </c>
      <c r="F9" s="102" t="s">
        <v>433</v>
      </c>
      <c r="G9" s="102" t="s">
        <v>50</v>
      </c>
      <c r="H9" s="53" t="str">
        <f t="shared" si="0"/>
        <v>Sábado-08:00-21:00-12/12/2024-1/01/1000</v>
      </c>
    </row>
    <row r="10" spans="1:8" ht="14.25" customHeight="1" x14ac:dyDescent="0.25">
      <c r="A10" s="53">
        <v>7</v>
      </c>
      <c r="B10" s="101" t="str">
        <f>'M-DiaSemana'!C11</f>
        <v>Festivo</v>
      </c>
      <c r="C10" s="102">
        <v>0.41666666666666702</v>
      </c>
      <c r="D10" s="102">
        <v>0.625</v>
      </c>
      <c r="E10" s="103">
        <v>45638</v>
      </c>
      <c r="F10" s="102" t="s">
        <v>433</v>
      </c>
      <c r="G10" s="102" t="s">
        <v>50</v>
      </c>
      <c r="H10" s="53" t="str">
        <f t="shared" si="0"/>
        <v>Festivo-10:00-15:00-12/12/2024-1/01/1000</v>
      </c>
    </row>
    <row r="16" spans="1:8" ht="28.5" customHeight="1" x14ac:dyDescent="0.25">
      <c r="A16" s="56"/>
      <c r="B16" s="57" t="s">
        <v>120</v>
      </c>
    </row>
    <row r="17" spans="1:2" ht="28.5" customHeight="1" x14ac:dyDescent="0.25">
      <c r="A17" s="58"/>
      <c r="B17" s="57" t="s">
        <v>121</v>
      </c>
    </row>
    <row r="18" spans="1:2" ht="28.5" customHeight="1" x14ac:dyDescent="0.25">
      <c r="A18" s="87"/>
      <c r="B18" s="57" t="s">
        <v>366</v>
      </c>
    </row>
    <row r="19" spans="1:2" ht="28.5" customHeight="1" x14ac:dyDescent="0.25">
      <c r="A19" s="88"/>
      <c r="B19" s="57" t="s">
        <v>367</v>
      </c>
    </row>
    <row r="20" spans="1:2" ht="28.5" customHeight="1" x14ac:dyDescent="0.25">
      <c r="A20" s="105"/>
      <c r="B20" s="57" t="s">
        <v>122</v>
      </c>
    </row>
    <row r="21" spans="1:2" ht="28.5" customHeight="1" x14ac:dyDescent="0.25">
      <c r="A21" s="106"/>
      <c r="B21" s="57" t="s">
        <v>123</v>
      </c>
    </row>
    <row r="22" spans="1:2" ht="28.5" customHeight="1" x14ac:dyDescent="0.25">
      <c r="B22" s="57"/>
    </row>
  </sheetData>
  <hyperlinks>
    <hyperlink ref="A1" location="'Modelo de Dominio'!A1" display="&lt;&lt;&lt;&lt; Ir al modulo de dominio" xr:uid="{00000000-0004-0000-2100-000000000000}"/>
    <hyperlink ref="B1" location="'Objetos de Dominio'!A1" display="&lt;&lt;&lt;&lt; Ir a objetos de dominio" xr:uid="{00000000-0004-0000-2100-000001000000}"/>
    <hyperlink ref="B3" location="'M-DiaSemana'!A1" display="diaDeLaSemana" xr:uid="{00000000-0004-0000-2100-000002000000}"/>
    <hyperlink ref="B4" location="'M-DiaSemana'!A4" display="#'M-DiaSemana'.A4" xr:uid="{00000000-0004-0000-2100-000003000000}"/>
    <hyperlink ref="B5" location="'M-DiaSemana'!A5" display="#'M-DiaSemana'.A5" xr:uid="{00000000-0004-0000-2100-000004000000}"/>
    <hyperlink ref="B6" location="'M-DiaSemana'!A6" display="#'M-DiaSemana'.A6" xr:uid="{00000000-0004-0000-2100-000005000000}"/>
    <hyperlink ref="B7" location="'M-DiaSemana'!A7" display="#'M-DiaSemana'.A7" xr:uid="{00000000-0004-0000-2100-000006000000}"/>
    <hyperlink ref="B8" location="'M-DiaSemana'!A8" display="#'M-DiaSemana'.A8" xr:uid="{00000000-0004-0000-2100-000007000000}"/>
    <hyperlink ref="B9" location="'M-DiaSemana'!A9" display="#'M-DiaSemana'.A9" xr:uid="{00000000-0004-0000-2100-000008000000}"/>
    <hyperlink ref="B10" location="'M-DiaSemana'!A11" display="#'M-DiaSemana'.A11" xr:uid="{00000000-0004-0000-2100-000009000000}"/>
  </hyperlink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2"/>
  <sheetViews>
    <sheetView topLeftCell="A19" zoomScale="73" zoomScaleNormal="100" workbookViewId="0">
      <selection activeCell="K21" sqref="K21:N22"/>
    </sheetView>
  </sheetViews>
  <sheetFormatPr baseColWidth="10" defaultColWidth="8.7109375" defaultRowHeight="15" x14ac:dyDescent="0.25"/>
  <cols>
    <col min="1" max="1" width="26.7109375" customWidth="1"/>
    <col min="2" max="2" width="45" customWidth="1"/>
    <col min="3" max="3" width="21.5703125" customWidth="1"/>
    <col min="4" max="4" width="24.28515625" customWidth="1"/>
    <col min="5" max="5" width="18" customWidth="1"/>
    <col min="7" max="7" width="24.28515625" customWidth="1"/>
    <col min="8" max="8" width="13" customWidth="1"/>
    <col min="9" max="9" width="20.85546875" customWidth="1"/>
    <col min="10" max="10" width="17.85546875" customWidth="1"/>
    <col min="11" max="11" width="13" customWidth="1"/>
    <col min="13" max="13" width="40" customWidth="1"/>
    <col min="14" max="14" width="18" customWidth="1"/>
    <col min="15" max="15" width="13" customWidth="1"/>
    <col min="16" max="16" width="22.140625" customWidth="1"/>
    <col min="17" max="17" width="18.28515625" customWidth="1"/>
    <col min="18" max="18" width="16.42578125" bestFit="1" customWidth="1"/>
  </cols>
  <sheetData>
    <row r="1" spans="1:21" ht="15" customHeight="1" x14ac:dyDescent="0.25">
      <c r="A1" s="6" t="s">
        <v>1</v>
      </c>
      <c r="B1" s="6" t="s">
        <v>28</v>
      </c>
    </row>
    <row r="2" spans="1:21" ht="45" customHeight="1" x14ac:dyDescent="0.25">
      <c r="A2" s="107" t="s">
        <v>29</v>
      </c>
      <c r="B2" s="107" t="s">
        <v>30</v>
      </c>
      <c r="C2" s="107" t="s">
        <v>31</v>
      </c>
      <c r="D2" s="107" t="s">
        <v>32</v>
      </c>
      <c r="E2" s="107" t="s">
        <v>33</v>
      </c>
      <c r="F2" s="107" t="s">
        <v>34</v>
      </c>
      <c r="G2" s="107" t="s">
        <v>35</v>
      </c>
      <c r="H2" s="107" t="s">
        <v>36</v>
      </c>
      <c r="I2" s="107" t="s">
        <v>37</v>
      </c>
      <c r="J2" s="107" t="s">
        <v>38</v>
      </c>
      <c r="K2" s="107" t="s">
        <v>39</v>
      </c>
      <c r="L2" s="107" t="s">
        <v>40</v>
      </c>
      <c r="M2" s="107" t="s">
        <v>41</v>
      </c>
      <c r="N2" s="107" t="s">
        <v>42</v>
      </c>
      <c r="O2" s="107" t="s">
        <v>43</v>
      </c>
      <c r="P2" s="107" t="s">
        <v>44</v>
      </c>
      <c r="Q2" s="107" t="s">
        <v>45</v>
      </c>
      <c r="R2" s="107" t="s">
        <v>46</v>
      </c>
      <c r="S2" s="107" t="s">
        <v>47</v>
      </c>
      <c r="T2" s="107" t="s">
        <v>48</v>
      </c>
      <c r="U2" s="107" t="s">
        <v>49</v>
      </c>
    </row>
    <row r="3" spans="1:21" ht="28.5" customHeight="1" x14ac:dyDescent="0.25">
      <c r="A3" s="81" t="str">
        <f>'M-Bloqueo'!A3</f>
        <v>id</v>
      </c>
      <c r="B3" s="108" t="str">
        <f>'M-Bloqueo'!A2</f>
        <v>Representa un identificador que hará unico cada objeto de dominio de este tipo, no se puede repetir</v>
      </c>
      <c r="C3" s="81" t="s">
        <v>50</v>
      </c>
      <c r="D3" s="81" t="s">
        <v>51</v>
      </c>
      <c r="E3" s="81" t="s">
        <v>50</v>
      </c>
      <c r="F3" s="81" t="s">
        <v>52</v>
      </c>
      <c r="G3" s="81" t="s">
        <v>52</v>
      </c>
      <c r="H3" s="81" t="s">
        <v>52</v>
      </c>
      <c r="I3" s="81" t="s">
        <v>52</v>
      </c>
      <c r="J3" s="81" t="s">
        <v>52</v>
      </c>
      <c r="K3" s="81" t="s">
        <v>52</v>
      </c>
      <c r="L3" s="81" t="s">
        <v>52</v>
      </c>
      <c r="M3" s="81" t="s">
        <v>52</v>
      </c>
      <c r="N3" s="81" t="s">
        <v>53</v>
      </c>
      <c r="O3" s="81" t="s">
        <v>53</v>
      </c>
      <c r="P3" s="81" t="s">
        <v>52</v>
      </c>
      <c r="Q3" s="81" t="s">
        <v>53</v>
      </c>
      <c r="R3" s="81" t="s">
        <v>53</v>
      </c>
      <c r="S3" s="81" t="s">
        <v>53</v>
      </c>
      <c r="T3" s="81" t="s">
        <v>54</v>
      </c>
      <c r="U3" s="81" t="s">
        <v>50</v>
      </c>
    </row>
    <row r="4" spans="1:21" ht="15" customHeight="1" x14ac:dyDescent="0.25">
      <c r="A4" s="81" t="str">
        <f>'M-Bloqueo'!B3</f>
        <v>barbero</v>
      </c>
      <c r="B4" s="108" t="str">
        <f>'M-Bloqueo'!B2</f>
        <v>Referencia a qué barbero le pertence este bloqueo</v>
      </c>
      <c r="C4" s="81" t="s">
        <v>53</v>
      </c>
      <c r="D4" s="109" t="s">
        <v>18</v>
      </c>
      <c r="E4" s="81" t="s">
        <v>50</v>
      </c>
      <c r="F4" s="81" t="s">
        <v>52</v>
      </c>
      <c r="G4" s="81" t="s">
        <v>52</v>
      </c>
      <c r="H4" s="81" t="s">
        <v>52</v>
      </c>
      <c r="I4" s="81" t="s">
        <v>52</v>
      </c>
      <c r="J4" s="81" t="s">
        <v>52</v>
      </c>
      <c r="K4" s="81" t="s">
        <v>52</v>
      </c>
      <c r="L4" s="81" t="s">
        <v>52</v>
      </c>
      <c r="M4" s="81" t="s">
        <v>276</v>
      </c>
      <c r="N4" s="81" t="s">
        <v>53</v>
      </c>
      <c r="O4" s="81" t="s">
        <v>52</v>
      </c>
      <c r="P4" s="81" t="s">
        <v>52</v>
      </c>
      <c r="Q4" s="81" t="s">
        <v>52</v>
      </c>
      <c r="R4" s="81" t="s">
        <v>52</v>
      </c>
      <c r="S4" s="81" t="s">
        <v>53</v>
      </c>
      <c r="T4" s="81" t="s">
        <v>54</v>
      </c>
      <c r="U4" s="81" t="s">
        <v>53</v>
      </c>
    </row>
    <row r="5" spans="1:21" ht="28.5" customHeight="1" x14ac:dyDescent="0.25">
      <c r="A5" s="81" t="str">
        <f>'M-Bloqueo'!C3</f>
        <v>fechaHoraInicio</v>
      </c>
      <c r="B5" s="108" t="str">
        <f>'M-Bloqueo'!C2</f>
        <v>Representa la fecha y hora en el que el barbero empieza a no estar disponible para atender las citas</v>
      </c>
      <c r="C5" s="81" t="s">
        <v>53</v>
      </c>
      <c r="D5" s="81" t="s">
        <v>484</v>
      </c>
      <c r="E5" s="81" t="s">
        <v>50</v>
      </c>
      <c r="F5" s="81" t="s">
        <v>52</v>
      </c>
      <c r="G5" s="81" t="s">
        <v>52</v>
      </c>
      <c r="H5" s="81" t="s">
        <v>52</v>
      </c>
      <c r="I5" s="81" t="s">
        <v>52</v>
      </c>
      <c r="J5" s="81" t="s">
        <v>52</v>
      </c>
      <c r="K5" s="81" t="s">
        <v>52</v>
      </c>
      <c r="L5" s="81" t="s">
        <v>52</v>
      </c>
      <c r="M5" s="81" t="s">
        <v>52</v>
      </c>
      <c r="N5" s="81" t="s">
        <v>53</v>
      </c>
      <c r="O5" s="81" t="s">
        <v>52</v>
      </c>
      <c r="P5" s="81" t="s">
        <v>52</v>
      </c>
      <c r="Q5" s="81" t="s">
        <v>52</v>
      </c>
      <c r="R5" s="81" t="s">
        <v>52</v>
      </c>
      <c r="S5" s="81" t="s">
        <v>53</v>
      </c>
      <c r="T5" s="81" t="s">
        <v>485</v>
      </c>
      <c r="U5" s="81" t="s">
        <v>53</v>
      </c>
    </row>
    <row r="6" spans="1:21" ht="42.75" customHeight="1" x14ac:dyDescent="0.25">
      <c r="A6" s="81" t="str">
        <f>'M-Bloqueo'!D3</f>
        <v>fechaHoraFinal</v>
      </c>
      <c r="B6" s="108" t="str">
        <f>'M-Bloqueo'!D2</f>
        <v>Representa la fecha y hora en el que el barbero empieza estar disponible nuevamente para atender las citas</v>
      </c>
      <c r="C6" s="81" t="s">
        <v>53</v>
      </c>
      <c r="D6" s="81" t="s">
        <v>484</v>
      </c>
      <c r="E6" s="81" t="s">
        <v>50</v>
      </c>
      <c r="F6" s="81" t="s">
        <v>52</v>
      </c>
      <c r="G6" s="81" t="s">
        <v>52</v>
      </c>
      <c r="H6" s="81" t="s">
        <v>52</v>
      </c>
      <c r="I6" s="81" t="s">
        <v>52</v>
      </c>
      <c r="J6" s="81" t="s">
        <v>52</v>
      </c>
      <c r="K6" s="81" t="s">
        <v>52</v>
      </c>
      <c r="L6" s="81" t="s">
        <v>52</v>
      </c>
      <c r="M6" s="81" t="s">
        <v>486</v>
      </c>
      <c r="N6" s="81" t="s">
        <v>53</v>
      </c>
      <c r="O6" s="81" t="s">
        <v>52</v>
      </c>
      <c r="P6" s="81" t="s">
        <v>52</v>
      </c>
      <c r="Q6" s="81" t="s">
        <v>52</v>
      </c>
      <c r="R6" s="81" t="s">
        <v>52</v>
      </c>
      <c r="S6" s="81" t="s">
        <v>53</v>
      </c>
      <c r="T6" s="81" t="s">
        <v>485</v>
      </c>
      <c r="U6" s="81" t="s">
        <v>53</v>
      </c>
    </row>
    <row r="8" spans="1:21" ht="15" customHeight="1" x14ac:dyDescent="0.25">
      <c r="A8" s="110" t="s">
        <v>58</v>
      </c>
      <c r="B8" s="110" t="s">
        <v>59</v>
      </c>
      <c r="C8" s="110" t="s">
        <v>60</v>
      </c>
    </row>
    <row r="9" spans="1:21" ht="15" customHeight="1" x14ac:dyDescent="0.25">
      <c r="A9" s="265" t="str">
        <f>'M-Bloqueo'!E3</f>
        <v>Combinación única</v>
      </c>
      <c r="B9" s="298" t="str">
        <f>'M-Bloqueo'!E2</f>
        <v>Combinación única que indica que un mismo barbero no puede tener dos bloqueos con la misma fecha y hora de inicio y la misma fecha y hora final</v>
      </c>
      <c r="C9" s="111" t="str">
        <f>A4</f>
        <v>barbero</v>
      </c>
    </row>
    <row r="10" spans="1:21" ht="15" customHeight="1" x14ac:dyDescent="0.25">
      <c r="A10" s="265"/>
      <c r="B10" s="265"/>
      <c r="C10" s="111" t="str">
        <f>A5</f>
        <v>fechaHoraInicio</v>
      </c>
    </row>
    <row r="11" spans="1:21" ht="15" customHeight="1" x14ac:dyDescent="0.25">
      <c r="A11" s="265"/>
      <c r="B11" s="265"/>
      <c r="C11" s="111" t="str">
        <f>A6</f>
        <v>fechaHoraFinal</v>
      </c>
    </row>
    <row r="12" spans="1:21" ht="30" customHeight="1" x14ac:dyDescent="0.25"/>
    <row r="13" spans="1:21" x14ac:dyDescent="0.25">
      <c r="A13" s="203" t="s">
        <v>62</v>
      </c>
      <c r="B13" s="203"/>
      <c r="C13" s="197" t="s">
        <v>59</v>
      </c>
      <c r="D13" s="197"/>
      <c r="E13" s="197"/>
      <c r="F13" s="197"/>
      <c r="G13" s="197" t="s">
        <v>63</v>
      </c>
      <c r="H13" s="197"/>
      <c r="I13" s="197"/>
      <c r="J13" s="197" t="s">
        <v>64</v>
      </c>
      <c r="K13" s="197"/>
      <c r="L13" s="197"/>
      <c r="M13" s="197"/>
      <c r="N13" s="197"/>
      <c r="O13" s="197" t="s">
        <v>65</v>
      </c>
      <c r="P13" s="197"/>
      <c r="Q13" s="197" t="s">
        <v>66</v>
      </c>
      <c r="R13" s="197"/>
    </row>
    <row r="14" spans="1:21" x14ac:dyDescent="0.25">
      <c r="A14" s="203"/>
      <c r="B14" s="203"/>
      <c r="C14" s="197"/>
      <c r="D14" s="197"/>
      <c r="E14" s="197"/>
      <c r="F14" s="197"/>
      <c r="G14" s="24" t="s">
        <v>67</v>
      </c>
      <c r="H14" s="24" t="s">
        <v>32</v>
      </c>
      <c r="I14" s="24" t="s">
        <v>59</v>
      </c>
      <c r="J14" s="24" t="s">
        <v>68</v>
      </c>
      <c r="K14" s="200" t="s">
        <v>59</v>
      </c>
      <c r="L14" s="201"/>
      <c r="M14" s="201"/>
      <c r="N14" s="202"/>
      <c r="O14" s="24" t="s">
        <v>69</v>
      </c>
      <c r="P14" s="24" t="s">
        <v>59</v>
      </c>
      <c r="Q14" s="24" t="s">
        <v>70</v>
      </c>
      <c r="R14" s="27" t="s">
        <v>71</v>
      </c>
    </row>
    <row r="15" spans="1:21" ht="229.9" customHeight="1" x14ac:dyDescent="0.25">
      <c r="A15" s="215" t="s">
        <v>487</v>
      </c>
      <c r="B15" s="216"/>
      <c r="C15" s="219" t="s">
        <v>488</v>
      </c>
      <c r="D15" s="220"/>
      <c r="E15" s="220"/>
      <c r="F15" s="221"/>
      <c r="G15" s="225" t="s">
        <v>489</v>
      </c>
      <c r="H15" s="227" t="s">
        <v>21</v>
      </c>
      <c r="I15" s="229" t="s">
        <v>490</v>
      </c>
      <c r="J15" s="231" t="s">
        <v>21</v>
      </c>
      <c r="K15" s="219" t="s">
        <v>491</v>
      </c>
      <c r="L15" s="220"/>
      <c r="M15" s="220"/>
      <c r="N15" s="221"/>
      <c r="O15" s="28" t="str">
        <f>'P-Bloqueo'!A6</f>
        <v>P-BLO-0001</v>
      </c>
      <c r="P15" s="3" t="str">
        <f>'P-Bloqueo'!B6</f>
        <v>Asegurar que los datos requeridos (fecha y hora de inicio, fecha y hora de fin) sean válidos en tipo de dato, obligatoriedad, formato y rango, y que la fecha y hora de fin sea mayor a la fecha y hora de inicio</v>
      </c>
      <c r="Q15" s="3" t="s">
        <v>492</v>
      </c>
      <c r="R15" s="31" t="s">
        <v>134</v>
      </c>
    </row>
    <row r="16" spans="1:21" ht="120" x14ac:dyDescent="0.25">
      <c r="A16" s="289"/>
      <c r="B16" s="290"/>
      <c r="C16" s="291"/>
      <c r="D16" s="292"/>
      <c r="E16" s="292"/>
      <c r="F16" s="293"/>
      <c r="G16" s="294"/>
      <c r="H16" s="295"/>
      <c r="I16" s="296"/>
      <c r="J16" s="297"/>
      <c r="K16" s="291"/>
      <c r="L16" s="292"/>
      <c r="M16" s="292"/>
      <c r="N16" s="293"/>
      <c r="O16" s="28" t="str">
        <f>'P-Bloqueo'!A7</f>
        <v>P-BLO-0002</v>
      </c>
      <c r="P16" s="3" t="str">
        <f>'P-Bloqueo'!B7</f>
        <v>Rechazar el bloqueo si ya existen citas agendadas dentro de ese mismo rango elegido, en lugar de cancelarlas automáticamente</v>
      </c>
      <c r="Q16" s="3" t="s">
        <v>493</v>
      </c>
      <c r="R16" s="31" t="s">
        <v>134</v>
      </c>
    </row>
    <row r="17" spans="1:18" ht="90" x14ac:dyDescent="0.25">
      <c r="A17" s="217"/>
      <c r="B17" s="218"/>
      <c r="C17" s="222"/>
      <c r="D17" s="223"/>
      <c r="E17" s="223"/>
      <c r="F17" s="224"/>
      <c r="G17" s="226"/>
      <c r="H17" s="228"/>
      <c r="I17" s="230"/>
      <c r="J17" s="232"/>
      <c r="K17" s="222"/>
      <c r="L17" s="223"/>
      <c r="M17" s="223"/>
      <c r="N17" s="224"/>
      <c r="O17" s="28" t="str">
        <f>'P-Bloqueo'!A10</f>
        <v>P-BLO-0005</v>
      </c>
      <c r="P17" s="3" t="str">
        <f>'P-Bloqueo'!B10</f>
        <v>Asegurar que el bloqueo no se solape con otro bloqueo suyo</v>
      </c>
      <c r="Q17" s="3" t="s">
        <v>494</v>
      </c>
      <c r="R17" s="31" t="s">
        <v>134</v>
      </c>
    </row>
    <row r="18" spans="1:18" ht="135.75" customHeight="1" x14ac:dyDescent="0.25">
      <c r="A18" s="264" t="s">
        <v>495</v>
      </c>
      <c r="B18" s="264"/>
      <c r="C18" s="233" t="s">
        <v>496</v>
      </c>
      <c r="D18" s="233"/>
      <c r="E18" s="233"/>
      <c r="F18" s="233"/>
      <c r="G18" s="168" t="s">
        <v>110</v>
      </c>
      <c r="H18" s="168" t="s">
        <v>131</v>
      </c>
      <c r="I18" s="169" t="s">
        <v>497</v>
      </c>
      <c r="J18" s="177"/>
      <c r="K18" s="233" t="s">
        <v>187</v>
      </c>
      <c r="L18" s="233"/>
      <c r="M18" s="233"/>
      <c r="N18" s="233"/>
      <c r="O18" s="168" t="str">
        <f>'P-Bloqueo'!A9</f>
        <v>P-BLO-0004</v>
      </c>
      <c r="P18" s="170" t="str">
        <f>'P-Bloqueo'!B9</f>
        <v>Asegurar que el bloqueo que se va a editar o eliminar le pertenezca al mismo barbero que hace la solicitud</v>
      </c>
      <c r="Q18" s="170" t="s">
        <v>498</v>
      </c>
      <c r="R18" s="171" t="s">
        <v>134</v>
      </c>
    </row>
    <row r="19" spans="1:18" ht="68.650000000000006" customHeight="1" x14ac:dyDescent="0.25">
      <c r="A19" s="213" t="s">
        <v>499</v>
      </c>
      <c r="B19" s="213"/>
      <c r="C19" s="214" t="s">
        <v>500</v>
      </c>
      <c r="D19" s="214"/>
      <c r="E19" s="214"/>
      <c r="F19" s="214"/>
      <c r="G19" s="173" t="s">
        <v>501</v>
      </c>
      <c r="H19" s="173" t="s">
        <v>21</v>
      </c>
      <c r="I19" s="174" t="s">
        <v>502</v>
      </c>
      <c r="J19" s="175" t="s">
        <v>503</v>
      </c>
      <c r="K19" s="214" t="s">
        <v>504</v>
      </c>
      <c r="L19" s="214"/>
      <c r="M19" s="214"/>
      <c r="N19" s="214"/>
      <c r="O19" s="28"/>
      <c r="P19" s="3"/>
      <c r="Q19" s="3"/>
      <c r="R19" s="31"/>
    </row>
    <row r="20" spans="1:18" ht="68.650000000000006" customHeight="1" x14ac:dyDescent="0.25">
      <c r="A20" s="198" t="s">
        <v>505</v>
      </c>
      <c r="B20" s="198"/>
      <c r="C20" s="199" t="s">
        <v>506</v>
      </c>
      <c r="D20" s="199"/>
      <c r="E20" s="199"/>
      <c r="F20" s="199"/>
      <c r="G20" s="28" t="s">
        <v>507</v>
      </c>
      <c r="H20" s="28" t="s">
        <v>21</v>
      </c>
      <c r="I20" s="29" t="s">
        <v>508</v>
      </c>
      <c r="J20" s="30" t="s">
        <v>21</v>
      </c>
      <c r="K20" s="199" t="s">
        <v>509</v>
      </c>
      <c r="L20" s="199"/>
      <c r="M20" s="199"/>
      <c r="N20" s="199"/>
      <c r="O20" s="28"/>
      <c r="P20" s="3"/>
      <c r="Q20" s="3"/>
      <c r="R20" s="31"/>
    </row>
    <row r="21" spans="1:18" ht="243.4" customHeight="1" x14ac:dyDescent="0.25">
      <c r="A21" s="234" t="s">
        <v>510</v>
      </c>
      <c r="B21" s="235"/>
      <c r="C21" s="238" t="s">
        <v>511</v>
      </c>
      <c r="D21" s="239"/>
      <c r="E21" s="239"/>
      <c r="F21" s="240"/>
      <c r="G21" s="168" t="s">
        <v>110</v>
      </c>
      <c r="H21" s="168" t="s">
        <v>131</v>
      </c>
      <c r="I21" s="169" t="s">
        <v>512</v>
      </c>
      <c r="J21" s="245" t="s">
        <v>21</v>
      </c>
      <c r="K21" s="238" t="s">
        <v>513</v>
      </c>
      <c r="L21" s="239"/>
      <c r="M21" s="239"/>
      <c r="N21" s="240"/>
      <c r="O21" s="168" t="str">
        <f>'P-Bloqueo'!A8</f>
        <v>P-BLO-0003</v>
      </c>
      <c r="P21" s="170" t="str">
        <f>'P-Bloqueo'!B8</f>
        <v>Asegurar que los datos requeridos para editar el bloqueo (fecha y hora de inicio, fecha y hora de fin) sean válidos en tipo de dato, obligatoriedad, formato y rango, y que la fecha y hora de fin sea mayor a la de inicio</v>
      </c>
      <c r="Q21" s="170" t="s">
        <v>514</v>
      </c>
      <c r="R21" s="171" t="s">
        <v>134</v>
      </c>
    </row>
    <row r="22" spans="1:18" ht="158.44999999999999" customHeight="1" x14ac:dyDescent="0.25">
      <c r="A22" s="236"/>
      <c r="B22" s="237"/>
      <c r="C22" s="241"/>
      <c r="D22" s="242"/>
      <c r="E22" s="242"/>
      <c r="F22" s="243"/>
      <c r="G22" s="168" t="s">
        <v>515</v>
      </c>
      <c r="H22" s="168" t="s">
        <v>21</v>
      </c>
      <c r="I22" s="169" t="s">
        <v>516</v>
      </c>
      <c r="J22" s="246"/>
      <c r="K22" s="241"/>
      <c r="L22" s="242"/>
      <c r="M22" s="242"/>
      <c r="N22" s="243"/>
      <c r="O22" s="168" t="str">
        <f>'P-Bloqueo'!A7</f>
        <v>P-BLO-0002</v>
      </c>
      <c r="P22" s="170" t="str">
        <f>'P-Bloqueo'!B7</f>
        <v>Rechazar el bloqueo si ya existen citas agendadas dentro de ese mismo rango elegido, en lugar de cancelarlas automáticamente</v>
      </c>
      <c r="Q22" s="170" t="s">
        <v>493</v>
      </c>
      <c r="R22" s="171" t="s">
        <v>134</v>
      </c>
    </row>
  </sheetData>
  <mergeCells count="29">
    <mergeCell ref="A9:A11"/>
    <mergeCell ref="B9:B11"/>
    <mergeCell ref="A13:B14"/>
    <mergeCell ref="C13:F14"/>
    <mergeCell ref="G13:I13"/>
    <mergeCell ref="J13:N13"/>
    <mergeCell ref="O13:P13"/>
    <mergeCell ref="Q13:R13"/>
    <mergeCell ref="K14:N14"/>
    <mergeCell ref="A15:B17"/>
    <mergeCell ref="C15:F17"/>
    <mergeCell ref="G15:G17"/>
    <mergeCell ref="H15:H17"/>
    <mergeCell ref="I15:I17"/>
    <mergeCell ref="J15:J17"/>
    <mergeCell ref="K15:N17"/>
    <mergeCell ref="A18:B18"/>
    <mergeCell ref="C18:F18"/>
    <mergeCell ref="K18:N18"/>
    <mergeCell ref="A19:B19"/>
    <mergeCell ref="C19:F19"/>
    <mergeCell ref="K19:N19"/>
    <mergeCell ref="A20:B20"/>
    <mergeCell ref="C20:F20"/>
    <mergeCell ref="K20:N20"/>
    <mergeCell ref="A21:B22"/>
    <mergeCell ref="C21:F22"/>
    <mergeCell ref="J21:J22"/>
    <mergeCell ref="K21:N22"/>
  </mergeCells>
  <hyperlinks>
    <hyperlink ref="A1" location="'Modelo de Dominio'!A1" display="&lt;&lt;&lt;&lt; Ir al modulo de dominio" xr:uid="{00000000-0004-0000-2200-000000000000}"/>
    <hyperlink ref="B1" location="'Objetos de Dominio'!A1" display="&lt;&lt;&lt;&lt; Ir a objetos de dominio" xr:uid="{00000000-0004-0000-2200-000001000000}"/>
    <hyperlink ref="D4" location="'C-Barbero'!A1" display="Barbero" xr:uid="{00000000-0004-0000-2200-000002000000}"/>
  </hyperlink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0"/>
  <sheetViews>
    <sheetView showGridLines="0" zoomScale="110" zoomScaleNormal="110" workbookViewId="0">
      <selection activeCell="C12" sqref="C12"/>
    </sheetView>
  </sheetViews>
  <sheetFormatPr baseColWidth="10" defaultColWidth="8.7109375" defaultRowHeight="15" x14ac:dyDescent="0.25"/>
  <cols>
    <col min="1" max="1" width="21.28515625" customWidth="1"/>
    <col min="2" max="2" width="30.85546875" customWidth="1"/>
    <col min="3" max="3" width="39" customWidth="1"/>
    <col min="4" max="4" width="39.85546875" customWidth="1"/>
    <col min="5" max="5" width="37.570312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Dominio'!A11</f>
        <v>Bloqueo</v>
      </c>
      <c r="C2" s="209"/>
      <c r="D2" s="209"/>
      <c r="E2" s="209"/>
    </row>
    <row r="3" spans="1:5" ht="30" customHeight="1" x14ac:dyDescent="0.25">
      <c r="A3" s="35" t="s">
        <v>82</v>
      </c>
      <c r="B3" s="210" t="str">
        <f>'Objetos de Dominio'!B11</f>
        <v>Representa los momentos en que el barbero no esta disponible para atender sus citas, el barbero establece la hora y la fecha en que empieza y termina ese estado de no disponible.</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45" customHeight="1" x14ac:dyDescent="0.25">
      <c r="A6" s="10" t="s">
        <v>517</v>
      </c>
      <c r="B6" s="247" t="s">
        <v>518</v>
      </c>
      <c r="C6" s="247"/>
      <c r="D6" s="36" t="s">
        <v>21</v>
      </c>
      <c r="E6" s="36"/>
    </row>
    <row r="7" spans="1:5" ht="30" customHeight="1" x14ac:dyDescent="0.25">
      <c r="A7" s="10" t="s">
        <v>519</v>
      </c>
      <c r="B7" s="247" t="s">
        <v>520</v>
      </c>
      <c r="C7" s="247"/>
      <c r="D7" s="36" t="s">
        <v>25</v>
      </c>
      <c r="E7" s="36"/>
    </row>
    <row r="8" spans="1:5" ht="43.5" customHeight="1" x14ac:dyDescent="0.25">
      <c r="A8" s="10" t="s">
        <v>521</v>
      </c>
      <c r="B8" s="247" t="s">
        <v>522</v>
      </c>
      <c r="C8" s="247"/>
      <c r="D8" s="10" t="s">
        <v>21</v>
      </c>
      <c r="E8" s="10"/>
    </row>
    <row r="9" spans="1:5" ht="43.5" customHeight="1" x14ac:dyDescent="0.25">
      <c r="A9" s="10" t="s">
        <v>523</v>
      </c>
      <c r="B9" s="247" t="s">
        <v>524</v>
      </c>
      <c r="C9" s="247"/>
      <c r="D9" s="10" t="s">
        <v>21</v>
      </c>
      <c r="E9" s="10"/>
    </row>
    <row r="10" spans="1:5" ht="43.5" customHeight="1" x14ac:dyDescent="0.25">
      <c r="A10" s="10" t="s">
        <v>525</v>
      </c>
      <c r="B10" s="247" t="s">
        <v>526</v>
      </c>
      <c r="C10" s="247"/>
      <c r="D10" s="10" t="s">
        <v>23</v>
      </c>
      <c r="E10" s="10"/>
    </row>
  </sheetData>
  <mergeCells count="11">
    <mergeCell ref="B2:E2"/>
    <mergeCell ref="B3:E3"/>
    <mergeCell ref="A4:A5"/>
    <mergeCell ref="B4:C5"/>
    <mergeCell ref="D4:D5"/>
    <mergeCell ref="E4:E5"/>
    <mergeCell ref="B6:C6"/>
    <mergeCell ref="B7:C7"/>
    <mergeCell ref="B8:C8"/>
    <mergeCell ref="B9:C9"/>
    <mergeCell ref="B10:C10"/>
  </mergeCells>
  <hyperlinks>
    <hyperlink ref="A1" location="'Modelo de Dominio'!A1" display="&lt;&lt; Ir al modelo de dominio" xr:uid="{00000000-0004-0000-2300-000000000000}"/>
    <hyperlink ref="B1" location="'Objetos de Dominio'!A1" display="&lt;&lt; Ir al listado de objetos de dominio" xr:uid="{00000000-0004-0000-2300-000001000000}"/>
    <hyperlink ref="C1" location="'C-Bloqueo'!A1" display="&lt;&lt; Ir a la caracterización del objeto de dominio" xr:uid="{00000000-0004-0000-2300-000002000000}"/>
    <hyperlink ref="D1" location="'M-Bloqueo'!A1" display="Ir al muestreo de datos del objeto de dominio &gt;&gt;" xr:uid="{00000000-0004-0000-2300-000003000000}"/>
    <hyperlink ref="E1" location="'E-Bloqueo'!A1" display="Ir al event storming del objeto de dominio &gt;&gt;" xr:uid="{00000000-0004-0000-2300-000004000000}"/>
  </hyperlink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4"/>
  <sheetViews>
    <sheetView showGridLines="0"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1.42578125" customWidth="1"/>
    <col min="8" max="8" width="55.285156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112" t="s">
        <v>81</v>
      </c>
      <c r="B2" s="303" t="str">
        <f>'Objetos de Dominio'!A11</f>
        <v>Bloqueo</v>
      </c>
      <c r="C2" s="303"/>
      <c r="D2" s="303"/>
      <c r="E2" s="303"/>
      <c r="F2" s="303"/>
      <c r="G2" s="303"/>
      <c r="H2" s="303"/>
      <c r="I2" s="303"/>
      <c r="J2" s="303"/>
      <c r="K2" s="303"/>
    </row>
    <row r="3" spans="1:11" ht="30" customHeight="1" x14ac:dyDescent="0.25">
      <c r="A3" s="113" t="s">
        <v>82</v>
      </c>
      <c r="B3" s="299" t="str">
        <f>'Objetos de Dominio'!B11</f>
        <v>Representa los momentos en que el barbero no esta disponible para atender sus citas, el barbero establece la hora y la fecha en que empieza y termina ese estado de no disponible.</v>
      </c>
      <c r="C3" s="299"/>
      <c r="D3" s="299"/>
      <c r="E3" s="299"/>
      <c r="F3" s="299"/>
      <c r="G3" s="299"/>
      <c r="H3" s="299"/>
      <c r="I3" s="299"/>
      <c r="J3" s="299"/>
      <c r="K3" s="299"/>
    </row>
    <row r="4" spans="1:11" ht="34.5" customHeight="1" x14ac:dyDescent="0.25">
      <c r="A4" s="39" t="s">
        <v>88</v>
      </c>
      <c r="B4" s="300" t="s">
        <v>89</v>
      </c>
      <c r="C4" s="300"/>
      <c r="D4" s="40" t="s">
        <v>90</v>
      </c>
      <c r="E4" s="188" t="s">
        <v>91</v>
      </c>
      <c r="F4" s="188"/>
      <c r="G4" s="189" t="s">
        <v>92</v>
      </c>
      <c r="H4" s="189"/>
      <c r="I4" s="114" t="s">
        <v>93</v>
      </c>
      <c r="J4" s="43" t="s">
        <v>94</v>
      </c>
      <c r="K4" s="115" t="s">
        <v>95</v>
      </c>
    </row>
    <row r="5" spans="1:11" ht="15" customHeight="1" x14ac:dyDescent="0.25">
      <c r="A5" s="190" t="s">
        <v>88</v>
      </c>
      <c r="B5" s="300" t="s">
        <v>96</v>
      </c>
      <c r="C5" s="300" t="s">
        <v>59</v>
      </c>
      <c r="D5" s="191" t="s">
        <v>97</v>
      </c>
      <c r="E5" s="188" t="s">
        <v>98</v>
      </c>
      <c r="F5" s="188"/>
      <c r="G5" s="189" t="s">
        <v>99</v>
      </c>
      <c r="H5" s="189"/>
      <c r="I5" s="301" t="s">
        <v>100</v>
      </c>
      <c r="J5" s="193" t="s">
        <v>101</v>
      </c>
      <c r="K5" s="302" t="s">
        <v>102</v>
      </c>
    </row>
    <row r="6" spans="1:11" ht="15" customHeight="1" x14ac:dyDescent="0.25">
      <c r="A6" s="190"/>
      <c r="B6" s="190"/>
      <c r="C6" s="190"/>
      <c r="D6" s="190"/>
      <c r="E6" s="41" t="s">
        <v>103</v>
      </c>
      <c r="F6" s="41" t="s">
        <v>59</v>
      </c>
      <c r="G6" s="45" t="s">
        <v>104</v>
      </c>
      <c r="H6" s="45" t="s">
        <v>59</v>
      </c>
      <c r="I6" s="301"/>
      <c r="J6" s="301"/>
      <c r="K6" s="301"/>
    </row>
    <row r="7" spans="1:11" ht="41.25" customHeight="1" x14ac:dyDescent="0.25">
      <c r="A7" s="204" t="s">
        <v>18</v>
      </c>
      <c r="B7" s="244" t="s">
        <v>487</v>
      </c>
      <c r="C7" s="244" t="s">
        <v>488</v>
      </c>
      <c r="D7" s="204" t="str">
        <f>$B$2</f>
        <v>Bloqueo</v>
      </c>
      <c r="E7" s="46" t="s">
        <v>25</v>
      </c>
      <c r="F7" s="46" t="s">
        <v>527</v>
      </c>
      <c r="G7" s="116" t="str">
        <f>'P-Bloqueo'!A6</f>
        <v>P-BLO-0001</v>
      </c>
      <c r="H7" s="79" t="str">
        <f>'P-Bloqueo'!B6</f>
        <v>Asegurar que los datos requeridos (fecha y hora de inicio, fecha y hora de fin) sean válidos en tipo de dato, obligatoriedad, formato y rango, y que la fecha y hora de fin sea mayor a la fecha y hora de inicio</v>
      </c>
      <c r="I7" s="204"/>
      <c r="J7" s="244" t="s">
        <v>528</v>
      </c>
      <c r="K7" s="244"/>
    </row>
    <row r="8" spans="1:11" ht="27" customHeight="1" x14ac:dyDescent="0.25">
      <c r="A8" s="204"/>
      <c r="B8" s="204"/>
      <c r="C8" s="204"/>
      <c r="D8" s="204"/>
      <c r="E8" s="117" t="s">
        <v>23</v>
      </c>
      <c r="F8" s="118" t="s">
        <v>529</v>
      </c>
      <c r="G8" s="119" t="str">
        <f>'P-Bloqueo'!A7</f>
        <v>P-BLO-0002</v>
      </c>
      <c r="H8" s="79" t="str">
        <f>'P-Bloqueo'!B7</f>
        <v>Rechazar el bloqueo si ya existen citas agendadas dentro de ese mismo rango elegido, en lugar de cancelarlas automáticamente</v>
      </c>
      <c r="I8" s="204"/>
      <c r="J8" s="204"/>
      <c r="K8" s="204"/>
    </row>
    <row r="9" spans="1:11" ht="19.5" customHeight="1" x14ac:dyDescent="0.25">
      <c r="A9" s="204"/>
      <c r="B9" s="204"/>
      <c r="C9" s="204"/>
      <c r="D9" s="204"/>
      <c r="E9" s="117" t="s">
        <v>18</v>
      </c>
      <c r="F9" s="117" t="s">
        <v>530</v>
      </c>
      <c r="G9" s="116" t="str">
        <f>'P-Bloqueo'!A10</f>
        <v>P-BLO-0005</v>
      </c>
      <c r="H9" s="79" t="str">
        <f>'P-Bloqueo'!B10</f>
        <v>Asegurar que el bloqueo no se solape con otro bloqueo suyo</v>
      </c>
      <c r="I9" s="204"/>
      <c r="J9" s="204"/>
      <c r="K9" s="204"/>
    </row>
    <row r="10" spans="1:11" ht="30" customHeight="1" x14ac:dyDescent="0.25">
      <c r="A10" s="2" t="s">
        <v>18</v>
      </c>
      <c r="B10" s="46" t="s">
        <v>495</v>
      </c>
      <c r="C10" s="46" t="s">
        <v>496</v>
      </c>
      <c r="D10" s="2" t="str">
        <f>$B$2</f>
        <v>Bloqueo</v>
      </c>
      <c r="E10" s="46"/>
      <c r="F10" s="46"/>
      <c r="G10" s="119" t="str">
        <f>'P-Bloqueo'!A9</f>
        <v>P-BLO-0004</v>
      </c>
      <c r="H10" s="79" t="str">
        <f>'P-Bloqueo'!B9</f>
        <v>Asegurar que el bloqueo que se va a editar o eliminar le pertenezca al mismo barbero que hace la solicitud</v>
      </c>
      <c r="I10" s="2"/>
      <c r="J10" s="46" t="s">
        <v>531</v>
      </c>
      <c r="K10" s="46"/>
    </row>
    <row r="11" spans="1:11" ht="27" customHeight="1" x14ac:dyDescent="0.25">
      <c r="A11" s="2" t="s">
        <v>18</v>
      </c>
      <c r="B11" s="46" t="s">
        <v>499</v>
      </c>
      <c r="C11" s="46" t="s">
        <v>500</v>
      </c>
      <c r="D11" s="2" t="str">
        <f>$B$2</f>
        <v>Bloqueo</v>
      </c>
      <c r="E11" s="46"/>
      <c r="F11" s="46"/>
      <c r="G11" s="120"/>
      <c r="H11" s="79"/>
      <c r="I11" s="2"/>
      <c r="J11" s="46" t="s">
        <v>532</v>
      </c>
      <c r="K11" s="46"/>
    </row>
    <row r="12" spans="1:11" ht="54.75" customHeight="1" x14ac:dyDescent="0.25">
      <c r="A12" s="2" t="s">
        <v>533</v>
      </c>
      <c r="B12" s="46" t="s">
        <v>505</v>
      </c>
      <c r="C12" s="46" t="s">
        <v>506</v>
      </c>
      <c r="D12" s="2" t="str">
        <f>$B$2</f>
        <v>Bloqueo</v>
      </c>
      <c r="E12" s="46"/>
      <c r="F12" s="46"/>
      <c r="G12" s="120"/>
      <c r="H12" s="79"/>
      <c r="I12" s="2"/>
      <c r="J12" s="46" t="s">
        <v>534</v>
      </c>
      <c r="K12" s="46"/>
    </row>
    <row r="13" spans="1:11" ht="54.75" customHeight="1" x14ac:dyDescent="0.25">
      <c r="A13" s="204" t="s">
        <v>18</v>
      </c>
      <c r="B13" s="244" t="s">
        <v>510</v>
      </c>
      <c r="C13" s="244" t="s">
        <v>511</v>
      </c>
      <c r="D13" s="204" t="str">
        <f>$B$2</f>
        <v>Bloqueo</v>
      </c>
      <c r="E13" s="46" t="s">
        <v>25</v>
      </c>
      <c r="F13" s="46" t="s">
        <v>535</v>
      </c>
      <c r="G13" s="119" t="str">
        <f>'P-Bloqueo'!A8</f>
        <v>P-BLO-0003</v>
      </c>
      <c r="H13" s="79" t="str">
        <f>'P-Bloqueo'!B8</f>
        <v>Asegurar que los datos requeridos para editar el bloqueo (fecha y hora de inicio, fecha y hora de fin) sean válidos en tipo de dato, obligatoriedad, formato y rango, y que la fecha y hora de fin sea mayor a la de inicio</v>
      </c>
      <c r="I13" s="204"/>
      <c r="J13" s="244" t="s">
        <v>536</v>
      </c>
      <c r="K13" s="244"/>
    </row>
    <row r="14" spans="1:11" ht="27" customHeight="1" x14ac:dyDescent="0.25">
      <c r="A14" s="204"/>
      <c r="B14" s="204"/>
      <c r="C14" s="204"/>
      <c r="D14" s="204"/>
      <c r="E14" s="46"/>
      <c r="F14" s="46"/>
      <c r="G14" s="119" t="str">
        <f>'P-Bloqueo'!A7</f>
        <v>P-BLO-0002</v>
      </c>
      <c r="H14" s="79" t="str">
        <f>'P-Bloqueo'!B7</f>
        <v>Rechazar el bloqueo si ya existen citas agendadas dentro de ese mismo rango elegido, en lugar de cancelarlas automáticamente</v>
      </c>
      <c r="I14" s="204"/>
      <c r="J14" s="204"/>
      <c r="K14" s="204"/>
    </row>
  </sheetData>
  <mergeCells count="32">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J7:J9"/>
    <mergeCell ref="K7:K9"/>
    <mergeCell ref="A13:A14"/>
    <mergeCell ref="B13:B14"/>
    <mergeCell ref="C13:C14"/>
    <mergeCell ref="D13:D14"/>
    <mergeCell ref="I13:I14"/>
    <mergeCell ref="J13:J14"/>
    <mergeCell ref="K13:K14"/>
    <mergeCell ref="A7:A9"/>
    <mergeCell ref="B7:B9"/>
    <mergeCell ref="C7:C9"/>
    <mergeCell ref="D7:D9"/>
    <mergeCell ref="I7:I9"/>
  </mergeCells>
  <hyperlinks>
    <hyperlink ref="A1" location="'Modelo de Dominio'!A1" display="&lt;&lt; Ir al modelo de dominio" xr:uid="{00000000-0004-0000-2400-000000000000}"/>
    <hyperlink ref="C1" location="'Objetos de Dominio'!A1" display="&lt;&lt; Ir al listado de objetos de dominio" xr:uid="{00000000-0004-0000-2400-000001000000}"/>
    <hyperlink ref="F1" location="'C-Bloqueo'!A1" display="&lt;&lt; Ir a la caracterización del objeto de dominio" xr:uid="{00000000-0004-0000-2400-000002000000}"/>
    <hyperlink ref="J1" location="'M-Bloqueo'!A1" display="Ir al muestreo de datos del objeto de dominio &gt;&gt;" xr:uid="{00000000-0004-0000-2400-000003000000}"/>
    <hyperlink ref="G7" location="'P-Bloqueo'!A6" display="#'P-Bloqueo'.A6" xr:uid="{00000000-0004-0000-2400-000004000000}"/>
    <hyperlink ref="G8" location="'P-Bloqueo'!A7" display="#'P-Bloqueo'.A7" xr:uid="{00000000-0004-0000-2400-000005000000}"/>
    <hyperlink ref="G10" location="'P-Bloqueo'!A9" display="#'P-Bloqueo'.A9" xr:uid="{00000000-0004-0000-2400-000006000000}"/>
    <hyperlink ref="G13" location="'P-Bloqueo'!A8" display="#'P-Bloqueo'.A8" xr:uid="{00000000-0004-0000-2400-000007000000}"/>
    <hyperlink ref="G14" location="'P-Bloqueo'!A7" display="#'P-Bloqueo'.A7" xr:uid="{00000000-0004-0000-2400-000008000000}"/>
  </hyperlink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8"/>
  <sheetViews>
    <sheetView zoomScale="130" zoomScaleNormal="130" workbookViewId="0">
      <selection activeCell="A3" sqref="A3"/>
    </sheetView>
  </sheetViews>
  <sheetFormatPr baseColWidth="10" defaultColWidth="8.7109375" defaultRowHeight="15" x14ac:dyDescent="0.25"/>
  <cols>
    <col min="1" max="1" width="27" customWidth="1"/>
    <col min="2" max="2" width="26.140625" customWidth="1"/>
    <col min="3" max="3" width="24.42578125" customWidth="1"/>
    <col min="4" max="4" width="20.28515625" customWidth="1"/>
    <col min="5" max="5" width="41.42578125" customWidth="1"/>
  </cols>
  <sheetData>
    <row r="1" spans="1:5" ht="14.25" customHeight="1" x14ac:dyDescent="0.25">
      <c r="A1" s="6" t="s">
        <v>1</v>
      </c>
      <c r="B1" s="6" t="s">
        <v>28</v>
      </c>
      <c r="C1" s="6"/>
      <c r="D1" s="6"/>
    </row>
    <row r="2" spans="1:5" ht="44.25" customHeight="1" x14ac:dyDescent="0.25">
      <c r="A2" s="48" t="s">
        <v>107</v>
      </c>
      <c r="B2" s="48" t="s">
        <v>537</v>
      </c>
      <c r="C2" s="48" t="s">
        <v>538</v>
      </c>
      <c r="D2" s="48" t="s">
        <v>539</v>
      </c>
      <c r="E2" s="73" t="s">
        <v>540</v>
      </c>
    </row>
    <row r="3" spans="1:5" ht="14.25" customHeight="1" x14ac:dyDescent="0.25">
      <c r="A3" s="50" t="s">
        <v>110</v>
      </c>
      <c r="B3" s="84" t="s">
        <v>541</v>
      </c>
      <c r="C3" s="51" t="s">
        <v>542</v>
      </c>
      <c r="D3" s="51" t="s">
        <v>543</v>
      </c>
      <c r="E3" s="52" t="s">
        <v>268</v>
      </c>
    </row>
    <row r="4" spans="1:5" ht="28.5" customHeight="1" x14ac:dyDescent="0.25">
      <c r="A4" s="53">
        <v>1</v>
      </c>
      <c r="B4" s="121" t="str">
        <f>'M-Barbero'!L4</f>
        <v>+57-3245627890</v>
      </c>
      <c r="C4" s="122">
        <v>46188.5</v>
      </c>
      <c r="D4" s="122">
        <v>46188.541666666701</v>
      </c>
      <c r="E4" s="65" t="str">
        <f>_xlfn.CONCAT(B4,"-",TEXT(C4,"dd/mm/yyyy hh:mm"),"-",TEXT(D4,"dd/mm/yyyy hh:mm"))</f>
        <v>+57-3245627890-15/06/2026 12:00-15/06/2026 13:00</v>
      </c>
    </row>
    <row r="5" spans="1:5" ht="28.5" customHeight="1" x14ac:dyDescent="0.25">
      <c r="A5" s="53">
        <v>2</v>
      </c>
      <c r="B5" s="121" t="str">
        <f>'M-Barbero'!L5</f>
        <v>+57-3124518923</v>
      </c>
      <c r="C5" s="122">
        <v>46189.416666666701</v>
      </c>
      <c r="D5" s="122">
        <v>46189.4375</v>
      </c>
      <c r="E5" s="65" t="str">
        <f>_xlfn.CONCAT(B5,"-",TEXT(C5,"dd/mm/yyyy hh:mm"),"-",TEXT(D5,"dd/mm/yyyy hh:mm"))</f>
        <v>+57-3124518923-16/06/2026 10:00-16/06/2026 10:30</v>
      </c>
    </row>
    <row r="6" spans="1:5" ht="28.5" customHeight="1" x14ac:dyDescent="0.25">
      <c r="A6" s="53">
        <v>3</v>
      </c>
      <c r="B6" s="121" t="str">
        <f>'M-Barbero'!L6</f>
        <v>+57-3214533321</v>
      </c>
      <c r="C6" s="122">
        <v>46191.583333333299</v>
      </c>
      <c r="D6" s="122">
        <v>46191.625</v>
      </c>
      <c r="E6" s="65" t="str">
        <f>_xlfn.CONCAT(B6,"-",TEXT(C6,"dd/mm/yyyy hh:mm"),"-",TEXT(D6,"dd/mm/yyyy hh:mm"))</f>
        <v>+57-3214533321-18/06/2026 14:00-18/06/2026 15:00</v>
      </c>
    </row>
    <row r="7" spans="1:5" ht="28.5" customHeight="1" x14ac:dyDescent="0.25">
      <c r="A7" s="53">
        <v>4</v>
      </c>
      <c r="B7" s="121" t="str">
        <f>'M-Barbero'!L7</f>
        <v>+91-9876543210</v>
      </c>
      <c r="C7" s="122">
        <v>46193.375</v>
      </c>
      <c r="D7" s="122">
        <v>46193.395833333299</v>
      </c>
      <c r="E7" s="65" t="str">
        <f>_xlfn.CONCAT(B7,"-",TEXT(C7,"dd/mm/yyyy hh:mm"),"-",TEXT(D7,"dd/mm/yyyy hh:mm"))</f>
        <v>+91-9876543210-20/06/2026 09:00-20/06/2026 09:30</v>
      </c>
    </row>
    <row r="8" spans="1:5" ht="28.5" customHeight="1" x14ac:dyDescent="0.25">
      <c r="A8" s="53">
        <v>5</v>
      </c>
      <c r="B8" s="121" t="str">
        <f>'M-Barbero'!L7</f>
        <v>+91-9876543210</v>
      </c>
      <c r="C8" s="122">
        <v>46195.666666666701</v>
      </c>
      <c r="D8" s="122">
        <v>46195.697916666701</v>
      </c>
      <c r="E8" s="65" t="str">
        <f>_xlfn.CONCAT(B8,"-",TEXT(C8,"dd/mm/yyyy hh:mm"),"-",TEXT(D8,"dd/mm/yyyy hh:mm"))</f>
        <v>+91-9876543210-22/06/2026 16:00-22/06/2026 16:45</v>
      </c>
    </row>
    <row r="10" spans="1:5" ht="14.25" customHeight="1" x14ac:dyDescent="0.25"/>
    <row r="12" spans="1:5" ht="15" customHeight="1" x14ac:dyDescent="0.25">
      <c r="E12" s="123"/>
    </row>
    <row r="14" spans="1:5" ht="28.5" customHeight="1" x14ac:dyDescent="0.25">
      <c r="A14" s="56"/>
      <c r="B14" s="57" t="s">
        <v>120</v>
      </c>
    </row>
    <row r="15" spans="1:5" ht="28.5" customHeight="1" x14ac:dyDescent="0.25">
      <c r="A15" s="58"/>
      <c r="B15" s="57" t="s">
        <v>121</v>
      </c>
    </row>
    <row r="16" spans="1:5" ht="28.5" customHeight="1" x14ac:dyDescent="0.25">
      <c r="A16" s="87"/>
      <c r="B16" s="57" t="s">
        <v>366</v>
      </c>
    </row>
    <row r="17" spans="1:2" ht="28.5" customHeight="1" x14ac:dyDescent="0.25">
      <c r="A17" s="59"/>
      <c r="B17" s="57" t="s">
        <v>122</v>
      </c>
    </row>
    <row r="18" spans="1:2" ht="28.5" customHeight="1" x14ac:dyDescent="0.25">
      <c r="A18" s="60"/>
      <c r="B18" s="57" t="s">
        <v>123</v>
      </c>
    </row>
  </sheetData>
  <hyperlinks>
    <hyperlink ref="A1" location="'Modelo de Dominio'!A1" display="&lt;&lt;&lt;&lt; Ir al modulo de dominio" xr:uid="{00000000-0004-0000-2500-000000000000}"/>
    <hyperlink ref="B1" location="'Objetos de Dominio'!A1" display="&lt;&lt;&lt;&lt; Ir a objetos de dominio" xr:uid="{00000000-0004-0000-2500-000001000000}"/>
    <hyperlink ref="B3" location="'M-Barbero'!A1" display="barbero" xr:uid="{00000000-0004-0000-2500-000002000000}"/>
    <hyperlink ref="B4" location="'M-Barbero'!A4" display="#'M-Barbero'.A4" xr:uid="{00000000-0004-0000-2500-000003000000}"/>
    <hyperlink ref="B5" location="'M-Barbero'!A5" display="#'M-Barbero'.A5" xr:uid="{00000000-0004-0000-2500-000004000000}"/>
    <hyperlink ref="B6" location="'M-Barbero'!A6" display="#'M-Barbero'.A6" xr:uid="{00000000-0004-0000-2500-000005000000}"/>
    <hyperlink ref="B7" location="'M-Barbero'!A7" display="#'M-Barbero'.A7" xr:uid="{00000000-0004-0000-2500-000006000000}"/>
    <hyperlink ref="B8" location="'M-Barbero'!A7" display="#'M-Barbero'.A7" xr:uid="{00000000-0004-0000-2500-000007000000}"/>
  </hyperlink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3"/>
  <sheetViews>
    <sheetView topLeftCell="A19" zoomScaleNormal="100" workbookViewId="0">
      <selection activeCell="A23" sqref="A23:R23"/>
    </sheetView>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5" width="18" customWidth="1"/>
    <col min="7" max="7" width="24.28515625" customWidth="1"/>
    <col min="8" max="8" width="17.140625" customWidth="1"/>
    <col min="9" max="9" width="19" customWidth="1"/>
    <col min="10" max="10" width="17" customWidth="1"/>
    <col min="11" max="11" width="13" customWidth="1"/>
    <col min="13" max="13" width="40" customWidth="1"/>
    <col min="14" max="14" width="18" customWidth="1"/>
    <col min="15" max="15" width="13" customWidth="1"/>
    <col min="16" max="16" width="21.7109375" customWidth="1"/>
    <col min="17" max="17" width="18.5703125" customWidth="1"/>
    <col min="18" max="18" width="16.28515625" bestFit="1" customWidth="1"/>
  </cols>
  <sheetData>
    <row r="1" spans="1:21" ht="15" customHeight="1" x14ac:dyDescent="0.25">
      <c r="A1" s="6" t="s">
        <v>1</v>
      </c>
      <c r="B1" s="6" t="s">
        <v>28</v>
      </c>
    </row>
    <row r="2" spans="1:21" ht="45" customHeight="1" x14ac:dyDescent="0.25">
      <c r="A2" s="107" t="s">
        <v>29</v>
      </c>
      <c r="B2" s="107" t="s">
        <v>30</v>
      </c>
      <c r="C2" s="107" t="s">
        <v>31</v>
      </c>
      <c r="D2" s="107" t="s">
        <v>32</v>
      </c>
      <c r="E2" s="107" t="s">
        <v>33</v>
      </c>
      <c r="F2" s="107" t="s">
        <v>34</v>
      </c>
      <c r="G2" s="107" t="s">
        <v>35</v>
      </c>
      <c r="H2" s="107" t="s">
        <v>36</v>
      </c>
      <c r="I2" s="107" t="s">
        <v>37</v>
      </c>
      <c r="J2" s="107" t="s">
        <v>38</v>
      </c>
      <c r="K2" s="107" t="s">
        <v>39</v>
      </c>
      <c r="L2" s="107" t="s">
        <v>40</v>
      </c>
      <c r="M2" s="107" t="s">
        <v>41</v>
      </c>
      <c r="N2" s="107" t="s">
        <v>42</v>
      </c>
      <c r="O2" s="107" t="s">
        <v>43</v>
      </c>
      <c r="P2" s="107" t="s">
        <v>44</v>
      </c>
      <c r="Q2" s="107" t="s">
        <v>45</v>
      </c>
      <c r="R2" s="107" t="s">
        <v>46</v>
      </c>
      <c r="S2" s="107" t="s">
        <v>47</v>
      </c>
      <c r="T2" s="107" t="s">
        <v>48</v>
      </c>
      <c r="U2" s="107" t="s">
        <v>49</v>
      </c>
    </row>
    <row r="3" spans="1:21" ht="45" customHeight="1" x14ac:dyDescent="0.25">
      <c r="A3" s="81" t="str">
        <f>'M-BarberoServicio'!A3</f>
        <v>id</v>
      </c>
      <c r="B3" s="108" t="str">
        <f>'M-BarberoServicio'!A2</f>
        <v>Representa un identificador que hará unico cada objeto de dominio de este tipo, no se puede repetir</v>
      </c>
      <c r="C3" s="81" t="s">
        <v>50</v>
      </c>
      <c r="D3" s="81" t="s">
        <v>51</v>
      </c>
      <c r="E3" s="81" t="s">
        <v>50</v>
      </c>
      <c r="F3" s="81" t="s">
        <v>52</v>
      </c>
      <c r="G3" s="81" t="s">
        <v>52</v>
      </c>
      <c r="H3" s="81" t="s">
        <v>52</v>
      </c>
      <c r="I3" s="81" t="s">
        <v>52</v>
      </c>
      <c r="J3" s="81" t="s">
        <v>52</v>
      </c>
      <c r="K3" s="81" t="s">
        <v>52</v>
      </c>
      <c r="L3" s="81" t="s">
        <v>52</v>
      </c>
      <c r="M3" s="81" t="s">
        <v>52</v>
      </c>
      <c r="N3" s="81" t="s">
        <v>53</v>
      </c>
      <c r="O3" s="81" t="s">
        <v>52</v>
      </c>
      <c r="P3" s="81" t="s">
        <v>52</v>
      </c>
      <c r="Q3" s="81" t="s">
        <v>52</v>
      </c>
      <c r="R3" s="81" t="s">
        <v>52</v>
      </c>
      <c r="S3" s="81" t="s">
        <v>53</v>
      </c>
      <c r="T3" s="81" t="s">
        <v>54</v>
      </c>
      <c r="U3" s="81" t="s">
        <v>50</v>
      </c>
    </row>
    <row r="4" spans="1:21" ht="27.75" customHeight="1" x14ac:dyDescent="0.25">
      <c r="A4" s="81" t="str">
        <f>'M-BarberoServicio'!B3</f>
        <v>barbero</v>
      </c>
      <c r="B4" s="108" t="str">
        <f>'M-BarberoServicio'!B2</f>
        <v>Representa el nombre y apellidos del barbero</v>
      </c>
      <c r="C4" s="81" t="s">
        <v>53</v>
      </c>
      <c r="D4" s="109" t="s">
        <v>18</v>
      </c>
      <c r="E4" s="81" t="s">
        <v>50</v>
      </c>
      <c r="F4" s="81" t="s">
        <v>52</v>
      </c>
      <c r="G4" s="81" t="s">
        <v>52</v>
      </c>
      <c r="H4" s="81" t="s">
        <v>52</v>
      </c>
      <c r="I4" s="81" t="s">
        <v>52</v>
      </c>
      <c r="J4" s="81" t="s">
        <v>52</v>
      </c>
      <c r="K4" s="81" t="s">
        <v>52</v>
      </c>
      <c r="L4" s="81" t="s">
        <v>52</v>
      </c>
      <c r="M4" s="19" t="s">
        <v>276</v>
      </c>
      <c r="N4" s="81" t="s">
        <v>53</v>
      </c>
      <c r="O4" s="81" t="s">
        <v>52</v>
      </c>
      <c r="P4" s="81" t="s">
        <v>52</v>
      </c>
      <c r="Q4" s="81" t="s">
        <v>52</v>
      </c>
      <c r="R4" s="81" t="s">
        <v>52</v>
      </c>
      <c r="S4" s="81" t="s">
        <v>53</v>
      </c>
      <c r="T4" s="81" t="s">
        <v>54</v>
      </c>
      <c r="U4" s="81" t="s">
        <v>53</v>
      </c>
    </row>
    <row r="5" spans="1:21" ht="27.75" customHeight="1" x14ac:dyDescent="0.25">
      <c r="A5" s="81" t="str">
        <f>'M-BarberoServicio'!C3</f>
        <v>servicio</v>
      </c>
      <c r="B5" s="108" t="str">
        <f>'M-BarberoServicio'!C2</f>
        <v xml:space="preserve">Representa el nombre del servicio de la barberia </v>
      </c>
      <c r="C5" s="81" t="s">
        <v>53</v>
      </c>
      <c r="D5" s="109" t="s">
        <v>15</v>
      </c>
      <c r="E5" s="81" t="s">
        <v>50</v>
      </c>
      <c r="F5" s="81" t="s">
        <v>52</v>
      </c>
      <c r="G5" s="81" t="s">
        <v>52</v>
      </c>
      <c r="H5" s="81" t="s">
        <v>52</v>
      </c>
      <c r="I5" s="81" t="s">
        <v>52</v>
      </c>
      <c r="J5" s="81" t="s">
        <v>52</v>
      </c>
      <c r="K5" s="81" t="s">
        <v>52</v>
      </c>
      <c r="L5" s="81" t="s">
        <v>52</v>
      </c>
      <c r="M5" s="19" t="s">
        <v>276</v>
      </c>
      <c r="N5" s="81" t="s">
        <v>53</v>
      </c>
      <c r="O5" s="81" t="s">
        <v>52</v>
      </c>
      <c r="P5" s="81" t="s">
        <v>52</v>
      </c>
      <c r="Q5" s="81" t="s">
        <v>52</v>
      </c>
      <c r="R5" s="81" t="s">
        <v>52</v>
      </c>
      <c r="S5" s="81" t="s">
        <v>53</v>
      </c>
      <c r="T5" s="81" t="s">
        <v>54</v>
      </c>
      <c r="U5" s="81" t="s">
        <v>53</v>
      </c>
    </row>
    <row r="6" spans="1:21" ht="60" customHeight="1" x14ac:dyDescent="0.25">
      <c r="A6" s="81" t="str">
        <f>'M-BarberoServicio'!D3</f>
        <v>duracionEnHoras</v>
      </c>
      <c r="B6" s="108" t="str">
        <f>'M-BarberoServicio'!D2</f>
        <v>Representa la cantidad de horas que un barbero tarda en realizar un servicio, esta duracion el barbero debe de ser consiente de cuanto se demora en realizarlo</v>
      </c>
      <c r="C6" s="81" t="s">
        <v>53</v>
      </c>
      <c r="D6" s="124" t="s">
        <v>165</v>
      </c>
      <c r="E6" s="81" t="s">
        <v>53</v>
      </c>
      <c r="F6" s="81" t="s">
        <v>52</v>
      </c>
      <c r="G6" s="81" t="s">
        <v>52</v>
      </c>
      <c r="H6" s="81" t="s">
        <v>52</v>
      </c>
      <c r="I6" s="81" t="s">
        <v>52</v>
      </c>
      <c r="J6" s="81">
        <v>0</v>
      </c>
      <c r="K6" s="81">
        <v>3</v>
      </c>
      <c r="L6" s="81" t="s">
        <v>52</v>
      </c>
      <c r="M6" s="81" t="s">
        <v>52</v>
      </c>
      <c r="N6" s="81" t="s">
        <v>53</v>
      </c>
      <c r="O6" s="81" t="s">
        <v>52</v>
      </c>
      <c r="P6" s="81" t="s">
        <v>52</v>
      </c>
      <c r="Q6" s="81" t="s">
        <v>52</v>
      </c>
      <c r="R6" s="81" t="s">
        <v>52</v>
      </c>
      <c r="S6" s="81" t="s">
        <v>53</v>
      </c>
      <c r="T6" s="125">
        <v>0</v>
      </c>
      <c r="U6" s="81" t="s">
        <v>53</v>
      </c>
    </row>
    <row r="7" spans="1:21" ht="60" customHeight="1" x14ac:dyDescent="0.25">
      <c r="A7" s="81" t="str">
        <f>'M-BarberoServicio'!E3</f>
        <v>duracionEnMinutos</v>
      </c>
      <c r="B7" s="108" t="str">
        <f>'M-BarberoServicio'!E2</f>
        <v>Representa la cantidad de minutos que un barbero tarda en realizar un servicio, esta duracion el barbero debe de ser consiente de cuanto se demora en realizarlo</v>
      </c>
      <c r="C7" s="81" t="s">
        <v>53</v>
      </c>
      <c r="D7" s="81" t="s">
        <v>165</v>
      </c>
      <c r="E7" s="81" t="s">
        <v>53</v>
      </c>
      <c r="F7" s="81" t="s">
        <v>52</v>
      </c>
      <c r="G7" s="81" t="s">
        <v>52</v>
      </c>
      <c r="H7" s="81" t="s">
        <v>52</v>
      </c>
      <c r="I7" s="81" t="s">
        <v>52</v>
      </c>
      <c r="J7" s="81">
        <v>0</v>
      </c>
      <c r="K7" s="81">
        <v>59</v>
      </c>
      <c r="L7" s="81" t="s">
        <v>52</v>
      </c>
      <c r="M7" s="81" t="s">
        <v>52</v>
      </c>
      <c r="N7" s="81" t="s">
        <v>53</v>
      </c>
      <c r="O7" s="81" t="s">
        <v>52</v>
      </c>
      <c r="P7" s="81" t="s">
        <v>52</v>
      </c>
      <c r="Q7" s="81" t="s">
        <v>52</v>
      </c>
      <c r="R7" s="81" t="s">
        <v>52</v>
      </c>
      <c r="S7" s="81" t="s">
        <v>53</v>
      </c>
      <c r="T7" s="81" t="s">
        <v>278</v>
      </c>
      <c r="U7" s="81" t="s">
        <v>53</v>
      </c>
    </row>
    <row r="8" spans="1:21" ht="90" customHeight="1" x14ac:dyDescent="0.25">
      <c r="A8" s="81" t="str">
        <f>'M-BarberoServicio'!F3</f>
        <v>tiempoExtra</v>
      </c>
      <c r="B8" s="108" t="str">
        <f>'M-BarberoServicio'!F2</f>
        <v>Representa la cantidad de minutos que un barbero pone de tiempo extra en las citas de su agenda, cada barbero usa este tiempo porque hay ocaciones que la cita se puede demorar más de lo previsto. Este tiempo les ayuda a evitar que se les retrase la agenda</v>
      </c>
      <c r="C8" s="81" t="s">
        <v>53</v>
      </c>
      <c r="D8" s="81" t="s">
        <v>165</v>
      </c>
      <c r="E8" s="81" t="s">
        <v>53</v>
      </c>
      <c r="F8" s="81" t="s">
        <v>52</v>
      </c>
      <c r="G8" s="81" t="s">
        <v>52</v>
      </c>
      <c r="H8" s="81" t="s">
        <v>52</v>
      </c>
      <c r="I8" s="81" t="s">
        <v>52</v>
      </c>
      <c r="J8" s="81">
        <v>0</v>
      </c>
      <c r="K8" s="81">
        <v>59</v>
      </c>
      <c r="L8" s="81" t="s">
        <v>52</v>
      </c>
      <c r="M8" s="81" t="s">
        <v>52</v>
      </c>
      <c r="N8" s="81" t="s">
        <v>53</v>
      </c>
      <c r="O8" s="81" t="s">
        <v>52</v>
      </c>
      <c r="P8" s="81" t="s">
        <v>52</v>
      </c>
      <c r="Q8" s="81" t="s">
        <v>52</v>
      </c>
      <c r="R8" s="81" t="s">
        <v>52</v>
      </c>
      <c r="S8" s="81" t="s">
        <v>53</v>
      </c>
      <c r="T8" s="81" t="s">
        <v>278</v>
      </c>
      <c r="U8" s="81" t="s">
        <v>53</v>
      </c>
    </row>
    <row r="9" spans="1:21" ht="30" customHeight="1" x14ac:dyDescent="0.25">
      <c r="A9" s="81" t="str">
        <f>'M-BarberoServicio'!G3</f>
        <v>vigente</v>
      </c>
      <c r="B9" s="108" t="str">
        <f>'M-BarberoServicio'!G2</f>
        <v>Representa si el barbero sigue o no presentando el servicio en la barbería</v>
      </c>
      <c r="C9" s="81" t="s">
        <v>53</v>
      </c>
      <c r="D9" s="81" t="s">
        <v>166</v>
      </c>
      <c r="E9" s="81" t="s">
        <v>53</v>
      </c>
      <c r="F9" s="81" t="s">
        <v>52</v>
      </c>
      <c r="G9" s="81" t="s">
        <v>52</v>
      </c>
      <c r="H9" s="81" t="s">
        <v>52</v>
      </c>
      <c r="I9" s="81" t="s">
        <v>52</v>
      </c>
      <c r="J9" s="81" t="s">
        <v>52</v>
      </c>
      <c r="K9" s="81" t="s">
        <v>52</v>
      </c>
      <c r="L9" s="81" t="s">
        <v>52</v>
      </c>
      <c r="M9" s="81" t="s">
        <v>52</v>
      </c>
      <c r="N9" s="81" t="s">
        <v>53</v>
      </c>
      <c r="O9" s="81" t="s">
        <v>52</v>
      </c>
      <c r="P9" s="81" t="s">
        <v>52</v>
      </c>
      <c r="Q9" s="81" t="s">
        <v>52</v>
      </c>
      <c r="R9" s="81" t="s">
        <v>52</v>
      </c>
      <c r="S9" s="81" t="s">
        <v>53</v>
      </c>
      <c r="T9" s="81" t="s">
        <v>50</v>
      </c>
      <c r="U9" s="81" t="s">
        <v>53</v>
      </c>
    </row>
    <row r="10" spans="1:21" ht="15" customHeight="1" x14ac:dyDescent="0.25"/>
    <row r="11" spans="1:21" ht="15" customHeight="1" x14ac:dyDescent="0.25">
      <c r="A11" s="20" t="s">
        <v>58</v>
      </c>
      <c r="B11" s="20" t="s">
        <v>59</v>
      </c>
      <c r="C11" s="20" t="s">
        <v>60</v>
      </c>
    </row>
    <row r="12" spans="1:21" ht="15" customHeight="1" x14ac:dyDescent="0.25">
      <c r="A12" s="265" t="str">
        <f>'M-BarberoServicio'!H3</f>
        <v>Combinación única</v>
      </c>
      <c r="B12" s="266" t="str">
        <f>'M-BarberoServicio'!H2</f>
        <v>Combinación única que indica que un mismo barbero no puede aparecer dos veces ofreciendo el mismo servicio</v>
      </c>
      <c r="C12" s="21" t="s">
        <v>541</v>
      </c>
    </row>
    <row r="13" spans="1:21" ht="24" customHeight="1" x14ac:dyDescent="0.25">
      <c r="A13" s="265"/>
      <c r="B13" s="265"/>
      <c r="C13" s="21" t="s">
        <v>544</v>
      </c>
    </row>
    <row r="15" spans="1:21" x14ac:dyDescent="0.25">
      <c r="A15" s="203" t="s">
        <v>62</v>
      </c>
      <c r="B15" s="203"/>
      <c r="C15" s="197" t="s">
        <v>59</v>
      </c>
      <c r="D15" s="197"/>
      <c r="E15" s="197"/>
      <c r="F15" s="197"/>
      <c r="G15" s="197" t="s">
        <v>63</v>
      </c>
      <c r="H15" s="197"/>
      <c r="I15" s="197"/>
      <c r="J15" s="197" t="s">
        <v>64</v>
      </c>
      <c r="K15" s="197"/>
      <c r="L15" s="197"/>
      <c r="M15" s="197"/>
      <c r="N15" s="197"/>
      <c r="O15" s="197" t="s">
        <v>65</v>
      </c>
      <c r="P15" s="197"/>
      <c r="Q15" s="197" t="s">
        <v>66</v>
      </c>
      <c r="R15" s="197"/>
    </row>
    <row r="16" spans="1:21" x14ac:dyDescent="0.25">
      <c r="A16" s="203"/>
      <c r="B16" s="203"/>
      <c r="C16" s="197"/>
      <c r="D16" s="197"/>
      <c r="E16" s="197"/>
      <c r="F16" s="197"/>
      <c r="G16" s="24" t="s">
        <v>67</v>
      </c>
      <c r="H16" s="24" t="s">
        <v>32</v>
      </c>
      <c r="I16" s="24" t="s">
        <v>59</v>
      </c>
      <c r="J16" s="24" t="s">
        <v>68</v>
      </c>
      <c r="K16" s="200" t="s">
        <v>59</v>
      </c>
      <c r="L16" s="201"/>
      <c r="M16" s="201"/>
      <c r="N16" s="202"/>
      <c r="O16" s="24" t="s">
        <v>69</v>
      </c>
      <c r="P16" s="24" t="s">
        <v>59</v>
      </c>
      <c r="Q16" s="24" t="s">
        <v>70</v>
      </c>
      <c r="R16" s="27" t="s">
        <v>71</v>
      </c>
    </row>
    <row r="17" spans="1:18" ht="176.1" customHeight="1" x14ac:dyDescent="0.25">
      <c r="A17" s="215" t="s">
        <v>545</v>
      </c>
      <c r="B17" s="216"/>
      <c r="C17" s="219" t="s">
        <v>546</v>
      </c>
      <c r="D17" s="220"/>
      <c r="E17" s="220"/>
      <c r="F17" s="221"/>
      <c r="G17" s="225" t="s">
        <v>547</v>
      </c>
      <c r="H17" s="227" t="s">
        <v>22</v>
      </c>
      <c r="I17" s="229" t="s">
        <v>548</v>
      </c>
      <c r="J17" s="231" t="s">
        <v>22</v>
      </c>
      <c r="K17" s="219" t="s">
        <v>549</v>
      </c>
      <c r="L17" s="220"/>
      <c r="M17" s="220"/>
      <c r="N17" s="221"/>
      <c r="O17" s="28" t="str">
        <f>'P-BarberoServicio'!A6</f>
        <v>P-BSE-0001</v>
      </c>
      <c r="P17" s="3" t="str">
        <f>'P-BarberoServicio'!B6</f>
        <v>Asegurar que los datos requeridos (duración en horas, duración en minutos, tiempo extra) sean válidos en tipo de dato, obligatoriedad y rango</v>
      </c>
      <c r="Q17" s="3" t="s">
        <v>550</v>
      </c>
      <c r="R17" s="31" t="s">
        <v>134</v>
      </c>
    </row>
    <row r="18" spans="1:18" ht="105" x14ac:dyDescent="0.25">
      <c r="A18" s="217"/>
      <c r="B18" s="218"/>
      <c r="C18" s="222"/>
      <c r="D18" s="223"/>
      <c r="E18" s="223"/>
      <c r="F18" s="224"/>
      <c r="G18" s="226"/>
      <c r="H18" s="228"/>
      <c r="I18" s="230"/>
      <c r="J18" s="232"/>
      <c r="K18" s="222"/>
      <c r="L18" s="223"/>
      <c r="M18" s="223"/>
      <c r="N18" s="224"/>
      <c r="O18" s="28" t="str">
        <f>'P-BarberoServicio'!A7</f>
        <v>P-BSE-0002</v>
      </c>
      <c r="P18" s="3" t="str">
        <f>'P-BarberoServicio'!B7</f>
        <v>Asegurar que el barbero no tenga ya habilitado ese mismo servicio</v>
      </c>
      <c r="Q18" s="3" t="s">
        <v>551</v>
      </c>
      <c r="R18" s="31" t="s">
        <v>134</v>
      </c>
    </row>
    <row r="19" spans="1:18" ht="51" x14ac:dyDescent="0.25">
      <c r="A19" s="234" t="s">
        <v>552</v>
      </c>
      <c r="B19" s="235"/>
      <c r="C19" s="238" t="s">
        <v>553</v>
      </c>
      <c r="D19" s="239"/>
      <c r="E19" s="239"/>
      <c r="F19" s="240"/>
      <c r="G19" s="168" t="s">
        <v>110</v>
      </c>
      <c r="H19" s="168" t="s">
        <v>131</v>
      </c>
      <c r="I19" s="169" t="s">
        <v>554</v>
      </c>
      <c r="J19" s="245" t="s">
        <v>22</v>
      </c>
      <c r="K19" s="238" t="s">
        <v>555</v>
      </c>
      <c r="L19" s="239"/>
      <c r="M19" s="239"/>
      <c r="N19" s="240"/>
      <c r="O19" s="248" t="str">
        <f>'P-BarberoServicio'!A6</f>
        <v>P-BSE-0001</v>
      </c>
      <c r="P19" s="252" t="str">
        <f>'P-BarberoServicio'!B6</f>
        <v>Asegurar que los datos requeridos (duración en horas, duración en minutos, tiempo extra) sean válidos en tipo de dato, obligatoriedad y rango</v>
      </c>
      <c r="Q19" s="252" t="s">
        <v>550</v>
      </c>
      <c r="R19" s="250" t="s">
        <v>134</v>
      </c>
    </row>
    <row r="20" spans="1:18" ht="51" x14ac:dyDescent="0.25">
      <c r="A20" s="236"/>
      <c r="B20" s="237"/>
      <c r="C20" s="241"/>
      <c r="D20" s="242"/>
      <c r="E20" s="242"/>
      <c r="F20" s="243"/>
      <c r="G20" s="170" t="s">
        <v>556</v>
      </c>
      <c r="H20" s="168" t="s">
        <v>22</v>
      </c>
      <c r="I20" s="169" t="s">
        <v>557</v>
      </c>
      <c r="J20" s="246"/>
      <c r="K20" s="241"/>
      <c r="L20" s="242"/>
      <c r="M20" s="242"/>
      <c r="N20" s="243"/>
      <c r="O20" s="249"/>
      <c r="P20" s="253"/>
      <c r="Q20" s="253"/>
      <c r="R20" s="251"/>
    </row>
    <row r="21" spans="1:18" ht="68.650000000000006" customHeight="1" x14ac:dyDescent="0.25">
      <c r="A21" s="213" t="s">
        <v>558</v>
      </c>
      <c r="B21" s="213"/>
      <c r="C21" s="214" t="s">
        <v>559</v>
      </c>
      <c r="D21" s="214"/>
      <c r="E21" s="214"/>
      <c r="F21" s="214"/>
      <c r="G21" s="173" t="s">
        <v>560</v>
      </c>
      <c r="H21" s="173" t="s">
        <v>22</v>
      </c>
      <c r="I21" s="174" t="s">
        <v>561</v>
      </c>
      <c r="J21" s="175" t="s">
        <v>562</v>
      </c>
      <c r="K21" s="214" t="s">
        <v>563</v>
      </c>
      <c r="L21" s="214"/>
      <c r="M21" s="214"/>
      <c r="N21" s="214"/>
      <c r="O21" s="173"/>
      <c r="P21" s="172"/>
      <c r="Q21" s="172"/>
      <c r="R21" s="176"/>
    </row>
    <row r="22" spans="1:18" ht="68.650000000000006" customHeight="1" x14ac:dyDescent="0.25">
      <c r="A22" s="198" t="s">
        <v>564</v>
      </c>
      <c r="B22" s="198"/>
      <c r="C22" s="199" t="s">
        <v>565</v>
      </c>
      <c r="D22" s="199"/>
      <c r="E22" s="199"/>
      <c r="F22" s="199"/>
      <c r="G22" s="28" t="s">
        <v>560</v>
      </c>
      <c r="H22" s="28" t="s">
        <v>22</v>
      </c>
      <c r="I22" s="29" t="s">
        <v>566</v>
      </c>
      <c r="J22" s="30" t="s">
        <v>562</v>
      </c>
      <c r="K22" s="199" t="s">
        <v>567</v>
      </c>
      <c r="L22" s="199"/>
      <c r="M22" s="199"/>
      <c r="N22" s="199"/>
      <c r="O22" s="28"/>
      <c r="P22" s="3"/>
      <c r="Q22" s="3"/>
      <c r="R22" s="31"/>
    </row>
    <row r="23" spans="1:18" ht="57.4" customHeight="1" x14ac:dyDescent="0.25">
      <c r="A23" s="264" t="s">
        <v>568</v>
      </c>
      <c r="B23" s="264"/>
      <c r="C23" s="233" t="s">
        <v>569</v>
      </c>
      <c r="D23" s="233"/>
      <c r="E23" s="233"/>
      <c r="F23" s="233"/>
      <c r="G23" s="168" t="s">
        <v>110</v>
      </c>
      <c r="H23" s="168" t="s">
        <v>131</v>
      </c>
      <c r="I23" s="169" t="s">
        <v>570</v>
      </c>
      <c r="J23" s="177"/>
      <c r="K23" s="233" t="s">
        <v>187</v>
      </c>
      <c r="L23" s="233"/>
      <c r="M23" s="233"/>
      <c r="N23" s="233"/>
      <c r="O23" s="168"/>
      <c r="P23" s="170"/>
      <c r="Q23" s="170"/>
      <c r="R23" s="171"/>
    </row>
  </sheetData>
  <mergeCells count="33">
    <mergeCell ref="O19:O20"/>
    <mergeCell ref="P19:P20"/>
    <mergeCell ref="Q19:Q20"/>
    <mergeCell ref="R19:R20"/>
    <mergeCell ref="A12:A13"/>
    <mergeCell ref="B12:B13"/>
    <mergeCell ref="A15:B16"/>
    <mergeCell ref="C15:F16"/>
    <mergeCell ref="G15:I15"/>
    <mergeCell ref="J15:N15"/>
    <mergeCell ref="O15:P15"/>
    <mergeCell ref="Q15:R15"/>
    <mergeCell ref="A17:B18"/>
    <mergeCell ref="C17:F18"/>
    <mergeCell ref="G17:G18"/>
    <mergeCell ref="H17:H18"/>
    <mergeCell ref="I17:I18"/>
    <mergeCell ref="J17:J18"/>
    <mergeCell ref="K16:N16"/>
    <mergeCell ref="K17:N18"/>
    <mergeCell ref="A19:B20"/>
    <mergeCell ref="C19:F20"/>
    <mergeCell ref="J19:J20"/>
    <mergeCell ref="K19:N20"/>
    <mergeCell ref="A23:B23"/>
    <mergeCell ref="C23:F23"/>
    <mergeCell ref="K23:N23"/>
    <mergeCell ref="A21:B21"/>
    <mergeCell ref="C21:F21"/>
    <mergeCell ref="K21:N21"/>
    <mergeCell ref="A22:B22"/>
    <mergeCell ref="C22:F22"/>
    <mergeCell ref="K22:N22"/>
  </mergeCells>
  <hyperlinks>
    <hyperlink ref="A1" location="'Modelo de Dominio'!A1" display="&lt;&lt;&lt;&lt; Ir al modulo de dominio" xr:uid="{00000000-0004-0000-2600-000000000000}"/>
    <hyperlink ref="B1" location="'Objetos de Dominio'!A1" display="&lt;&lt;&lt;&lt; Ir a objetos de dominio" xr:uid="{00000000-0004-0000-2600-000001000000}"/>
    <hyperlink ref="D4" location="'C-Barbero'!A1" display="Barbero" xr:uid="{00000000-0004-0000-2600-000002000000}"/>
    <hyperlink ref="D5" location="'C-Servicio'!A1" display="Servicio" xr:uid="{00000000-0004-0000-2600-000003000000}"/>
  </hyperlink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7"/>
  <sheetViews>
    <sheetView showGridLines="0" zoomScaleNormal="100" workbookViewId="0"/>
  </sheetViews>
  <sheetFormatPr baseColWidth="10" defaultColWidth="8.7109375" defaultRowHeight="15" x14ac:dyDescent="0.25"/>
  <cols>
    <col min="1" max="1" width="16" customWidth="1"/>
    <col min="2" max="2" width="28.5703125" customWidth="1"/>
    <col min="3" max="3" width="35.5703125" customWidth="1"/>
    <col min="4" max="4" width="37.140625" customWidth="1"/>
    <col min="5" max="5" width="36.710937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Dominio'!A12</f>
        <v>BarberoServicio</v>
      </c>
      <c r="C2" s="209"/>
      <c r="D2" s="209"/>
      <c r="E2" s="209"/>
    </row>
    <row r="3" spans="1:5" ht="30" customHeight="1" x14ac:dyDescent="0.25">
      <c r="A3" s="35" t="s">
        <v>82</v>
      </c>
      <c r="B3" s="210" t="str">
        <f>'Objetos de Dominio'!B12</f>
        <v>Representa qué servicios sabe hacer cada barbero, cuánto se demora en realizarlos y cuánto tiempo extra usa de colchón, ya que no todos los barberos ofrecen los mismos servicios que están en la barbería.</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48" customHeight="1" x14ac:dyDescent="0.25">
      <c r="A6" s="10" t="s">
        <v>571</v>
      </c>
      <c r="B6" s="247" t="s">
        <v>572</v>
      </c>
      <c r="C6" s="247"/>
      <c r="D6" s="36" t="s">
        <v>22</v>
      </c>
      <c r="E6" s="36"/>
    </row>
    <row r="7" spans="1:5" ht="30" customHeight="1" x14ac:dyDescent="0.25">
      <c r="A7" s="10" t="s">
        <v>573</v>
      </c>
      <c r="B7" s="247" t="s">
        <v>574</v>
      </c>
      <c r="C7" s="247"/>
      <c r="D7" s="36" t="s">
        <v>22</v>
      </c>
      <c r="E7" s="36"/>
    </row>
  </sheetData>
  <mergeCells count="8">
    <mergeCell ref="B6:C6"/>
    <mergeCell ref="B7:C7"/>
    <mergeCell ref="B2:E2"/>
    <mergeCell ref="B3:E3"/>
    <mergeCell ref="A4:A5"/>
    <mergeCell ref="B4:C5"/>
    <mergeCell ref="D4:D5"/>
    <mergeCell ref="E4:E5"/>
  </mergeCells>
  <hyperlinks>
    <hyperlink ref="A1" location="'Modelo de Dominio'!A1" display="&lt;&lt; Ir al modelo de dominio" xr:uid="{00000000-0004-0000-2700-000000000000}"/>
    <hyperlink ref="B1" location="'Objetos de Dominio'!A1" display="&lt;&lt; Ir al listado de objetos de dominio" xr:uid="{00000000-0004-0000-2700-000001000000}"/>
    <hyperlink ref="C1" location="'C-BarberoServicio'!A1" display="&lt;&lt; Ir a la caracterización del objeto de dominio" xr:uid="{00000000-0004-0000-2700-000002000000}"/>
    <hyperlink ref="D1" location="'M-BarberoServicio'!A1" display="Ir al muestreo de datos del objeto de dominio &gt;&gt;" xr:uid="{00000000-0004-0000-2700-000003000000}"/>
    <hyperlink ref="E1" location="'E-BarberoServicio'!A1" display="Ir al event storming del objeto de dominio &gt;&gt;" xr:uid="{00000000-0004-0000-2700-000004000000}"/>
  </hyperlink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12"/>
  <sheetViews>
    <sheetView showGridLines="0" zoomScaleNormal="100" workbookViewId="0">
      <selection activeCell="G7" sqref="G7"/>
    </sheetView>
  </sheetViews>
  <sheetFormatPr baseColWidth="10" defaultColWidth="8.7109375" defaultRowHeight="15" x14ac:dyDescent="0.25"/>
  <cols>
    <col min="1" max="1" width="20" customWidth="1"/>
    <col min="2" max="2" width="30" customWidth="1"/>
    <col min="3" max="3" width="42" customWidth="1"/>
    <col min="4" max="4" width="15.7109375"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4" t="s">
        <v>81</v>
      </c>
      <c r="B2" s="196" t="str">
        <f>'Objetos de Dominio'!A12</f>
        <v>BarberoServicio</v>
      </c>
      <c r="C2" s="196"/>
      <c r="D2" s="196"/>
      <c r="E2" s="196"/>
      <c r="F2" s="196"/>
      <c r="G2" s="196"/>
      <c r="H2" s="196"/>
      <c r="I2" s="196"/>
      <c r="J2" s="196"/>
      <c r="K2" s="196"/>
    </row>
    <row r="3" spans="1:11" ht="30" customHeight="1" x14ac:dyDescent="0.25">
      <c r="A3" s="35" t="s">
        <v>82</v>
      </c>
      <c r="B3" s="186" t="str">
        <f>'Objetos de Dominio'!B12</f>
        <v>Representa qué servicios sabe hacer cada barbero, cuánto se demora en realizarlos y cuánto tiempo extra usa de colchón, ya que no todos los barberos ofrecen los mismos servicios que están en la barbería.</v>
      </c>
      <c r="C3" s="186"/>
      <c r="D3" s="186"/>
      <c r="E3" s="186"/>
      <c r="F3" s="186"/>
      <c r="G3" s="186"/>
      <c r="H3" s="186"/>
      <c r="I3" s="186"/>
      <c r="J3" s="186"/>
      <c r="K3" s="186"/>
    </row>
    <row r="4" spans="1:11" ht="34.5" customHeight="1" x14ac:dyDescent="0.25">
      <c r="A4" s="39" t="s">
        <v>88</v>
      </c>
      <c r="B4" s="187" t="s">
        <v>89</v>
      </c>
      <c r="C4" s="187"/>
      <c r="D4" s="40" t="s">
        <v>90</v>
      </c>
      <c r="E4" s="188" t="s">
        <v>91</v>
      </c>
      <c r="F4" s="188"/>
      <c r="G4" s="189" t="s">
        <v>92</v>
      </c>
      <c r="H4" s="189"/>
      <c r="I4" s="42" t="s">
        <v>93</v>
      </c>
      <c r="J4" s="43" t="s">
        <v>94</v>
      </c>
      <c r="K4" s="44" t="s">
        <v>95</v>
      </c>
    </row>
    <row r="5" spans="1:11" ht="15" customHeight="1" x14ac:dyDescent="0.25">
      <c r="A5" s="190" t="s">
        <v>88</v>
      </c>
      <c r="B5" s="187" t="s">
        <v>96</v>
      </c>
      <c r="C5" s="187" t="s">
        <v>59</v>
      </c>
      <c r="D5" s="191" t="s">
        <v>97</v>
      </c>
      <c r="E5" s="188" t="s">
        <v>98</v>
      </c>
      <c r="F5" s="188"/>
      <c r="G5" s="189" t="s">
        <v>99</v>
      </c>
      <c r="H5" s="189"/>
      <c r="I5" s="192" t="s">
        <v>100</v>
      </c>
      <c r="J5" s="193" t="s">
        <v>101</v>
      </c>
      <c r="K5" s="194" t="s">
        <v>102</v>
      </c>
    </row>
    <row r="6" spans="1:11" ht="15" customHeight="1" x14ac:dyDescent="0.25">
      <c r="A6" s="190"/>
      <c r="B6" s="190"/>
      <c r="C6" s="190"/>
      <c r="D6" s="190"/>
      <c r="E6" s="41" t="s">
        <v>103</v>
      </c>
      <c r="F6" s="41" t="s">
        <v>59</v>
      </c>
      <c r="G6" s="45" t="s">
        <v>104</v>
      </c>
      <c r="H6" s="45" t="s">
        <v>59</v>
      </c>
      <c r="I6" s="192"/>
      <c r="J6" s="192"/>
      <c r="K6" s="192"/>
    </row>
    <row r="7" spans="1:11" ht="30" customHeight="1" x14ac:dyDescent="0.25">
      <c r="A7" s="204" t="s">
        <v>18</v>
      </c>
      <c r="B7" s="244" t="s">
        <v>545</v>
      </c>
      <c r="C7" s="244" t="s">
        <v>546</v>
      </c>
      <c r="D7" s="204" t="str">
        <f>$B$2</f>
        <v>BarberoServicio</v>
      </c>
      <c r="E7" s="244"/>
      <c r="F7" s="244"/>
      <c r="G7" s="62" t="str">
        <f>'P-BarberoServicio'!A6</f>
        <v>P-BSE-0001</v>
      </c>
      <c r="H7" s="13" t="s">
        <v>195</v>
      </c>
      <c r="I7" s="204"/>
      <c r="J7" s="244" t="s">
        <v>575</v>
      </c>
      <c r="K7" s="244"/>
    </row>
    <row r="8" spans="1:11" ht="30" customHeight="1" x14ac:dyDescent="0.25">
      <c r="A8" s="204"/>
      <c r="B8" s="204"/>
      <c r="C8" s="204"/>
      <c r="D8" s="204"/>
      <c r="E8" s="204"/>
      <c r="F8" s="204"/>
      <c r="G8" s="62" t="str">
        <f>'P-BarberoServicio'!A7</f>
        <v>P-BSE-0002</v>
      </c>
      <c r="H8" s="13" t="s">
        <v>195</v>
      </c>
      <c r="I8" s="204"/>
      <c r="J8" s="204"/>
      <c r="K8" s="204"/>
    </row>
    <row r="9" spans="1:11" ht="30" customHeight="1" x14ac:dyDescent="0.25">
      <c r="A9" s="2" t="s">
        <v>18</v>
      </c>
      <c r="B9" s="46" t="s">
        <v>552</v>
      </c>
      <c r="C9" s="46" t="s">
        <v>553</v>
      </c>
      <c r="D9" s="2" t="str">
        <f>$B$2</f>
        <v>BarberoServicio</v>
      </c>
      <c r="E9" s="46"/>
      <c r="F9" s="46"/>
      <c r="G9" s="62" t="str">
        <f>'P-BarberoServicio'!A6</f>
        <v>P-BSE-0001</v>
      </c>
      <c r="H9" s="13" t="s">
        <v>195</v>
      </c>
      <c r="I9" s="2"/>
      <c r="J9" s="46" t="s">
        <v>576</v>
      </c>
      <c r="K9" s="46"/>
    </row>
    <row r="10" spans="1:11" ht="30" customHeight="1" x14ac:dyDescent="0.25">
      <c r="A10" s="2" t="s">
        <v>18</v>
      </c>
      <c r="B10" s="46" t="s">
        <v>558</v>
      </c>
      <c r="C10" s="46" t="s">
        <v>559</v>
      </c>
      <c r="D10" s="2" t="str">
        <f>$B$2</f>
        <v>BarberoServicio</v>
      </c>
      <c r="E10" s="46"/>
      <c r="F10" s="46"/>
      <c r="G10" s="2"/>
      <c r="H10" s="47"/>
      <c r="I10" s="2"/>
      <c r="J10" s="46" t="s">
        <v>577</v>
      </c>
      <c r="K10" s="46"/>
    </row>
    <row r="11" spans="1:11" ht="30" customHeight="1" x14ac:dyDescent="0.25">
      <c r="A11" s="2" t="s">
        <v>19</v>
      </c>
      <c r="B11" s="46" t="s">
        <v>564</v>
      </c>
      <c r="C11" s="46" t="s">
        <v>565</v>
      </c>
      <c r="D11" s="2" t="str">
        <f>$B$2</f>
        <v>BarberoServicio</v>
      </c>
      <c r="E11" s="46"/>
      <c r="F11" s="46"/>
      <c r="G11" s="2"/>
      <c r="H11" s="47"/>
      <c r="I11" s="2"/>
      <c r="J11" s="46" t="s">
        <v>577</v>
      </c>
      <c r="K11" s="46"/>
    </row>
    <row r="12" spans="1:11" ht="30" customHeight="1" x14ac:dyDescent="0.25">
      <c r="A12" s="2" t="s">
        <v>18</v>
      </c>
      <c r="B12" s="46" t="s">
        <v>568</v>
      </c>
      <c r="C12" s="46" t="s">
        <v>569</v>
      </c>
      <c r="D12" s="2" t="str">
        <f>$B$2</f>
        <v>BarberoServicio</v>
      </c>
      <c r="E12" s="46"/>
      <c r="F12" s="46"/>
      <c r="G12" s="2"/>
      <c r="H12" s="47"/>
      <c r="I12" s="2"/>
      <c r="J12" s="46" t="s">
        <v>578</v>
      </c>
      <c r="K12" s="46"/>
    </row>
  </sheetData>
  <mergeCells count="27">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F7:F8"/>
    <mergeCell ref="I7:I8"/>
    <mergeCell ref="J7:J8"/>
    <mergeCell ref="K7:K8"/>
    <mergeCell ref="A7:A8"/>
    <mergeCell ref="B7:B8"/>
    <mergeCell ref="C7:C8"/>
    <mergeCell ref="D7:D8"/>
    <mergeCell ref="E7:E8"/>
  </mergeCells>
  <hyperlinks>
    <hyperlink ref="A1" location="'Modelo de Dominio'!A1" display="&lt;&lt; Ir al modelo de dominio" xr:uid="{00000000-0004-0000-2800-000000000000}"/>
    <hyperlink ref="C1" location="'Objetos de Dominio'!A1" display="&lt;&lt; Ir al listado de objetos de dominio" xr:uid="{00000000-0004-0000-2800-000001000000}"/>
    <hyperlink ref="F1" location="'C-BarberoServicio'!A1" display="&lt;&lt; Ir a la caracterización del objeto de dominio" xr:uid="{00000000-0004-0000-2800-000002000000}"/>
    <hyperlink ref="J1" location="'M-BarberoServicio'!A1" display="Ir al muestreo de datos del objeto de dominio &gt;&gt;" xr:uid="{00000000-0004-0000-2800-000003000000}"/>
    <hyperlink ref="G7" location="'P-BarberoServicio'!A6" display="#'P-BarberoServicio'.A6" xr:uid="{00000000-0004-0000-2800-000004000000}"/>
    <hyperlink ref="H7" location="'P-BarberoServicio'!B6" display="aquí" xr:uid="{00000000-0004-0000-2800-000005000000}"/>
    <hyperlink ref="G8" location="'P-BarberoServicio'!A7" display="#'P-BarberoServicio'.A7" xr:uid="{00000000-0004-0000-2800-000006000000}"/>
    <hyperlink ref="H8" location="'P-BarberoServicio'!B7" display="aquí" xr:uid="{00000000-0004-0000-2800-000007000000}"/>
    <hyperlink ref="G9" location="'P-BarberoServicio'!A6" display="#'P-BarberoServicio'.A6" xr:uid="{00000000-0004-0000-2800-000008000000}"/>
    <hyperlink ref="H9" location="'P-BarberoServicio'!B6" display="aquí" xr:uid="{00000000-0004-0000-2800-000009000000}"/>
  </hyperlink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18"/>
  <sheetViews>
    <sheetView zoomScaleNormal="100" workbookViewId="0">
      <selection activeCell="A3" sqref="A3"/>
    </sheetView>
  </sheetViews>
  <sheetFormatPr baseColWidth="10" defaultColWidth="8.7109375" defaultRowHeight="15" x14ac:dyDescent="0.25"/>
  <cols>
    <col min="1" max="1" width="27" customWidth="1"/>
    <col min="2" max="2" width="26.140625" customWidth="1"/>
    <col min="3" max="4" width="42" customWidth="1"/>
    <col min="5" max="5" width="40.28515625" customWidth="1"/>
    <col min="6" max="6" width="35.7109375" customWidth="1"/>
    <col min="8" max="8" width="56.85546875" customWidth="1"/>
  </cols>
  <sheetData>
    <row r="1" spans="1:8" ht="14.25" customHeight="1" x14ac:dyDescent="0.25">
      <c r="A1" s="6" t="s">
        <v>1</v>
      </c>
      <c r="B1" s="6" t="s">
        <v>28</v>
      </c>
    </row>
    <row r="2" spans="1:8" ht="51.75" customHeight="1" x14ac:dyDescent="0.25">
      <c r="A2" s="48" t="s">
        <v>107</v>
      </c>
      <c r="B2" s="126" t="s">
        <v>579</v>
      </c>
      <c r="C2" s="48" t="s">
        <v>580</v>
      </c>
      <c r="D2" s="48" t="s">
        <v>581</v>
      </c>
      <c r="E2" s="48" t="s">
        <v>582</v>
      </c>
      <c r="F2" s="48" t="s">
        <v>583</v>
      </c>
      <c r="G2" s="48" t="s">
        <v>584</v>
      </c>
      <c r="H2" s="73" t="s">
        <v>585</v>
      </c>
    </row>
    <row r="3" spans="1:8" ht="14.25" customHeight="1" x14ac:dyDescent="0.25">
      <c r="A3" s="50" t="s">
        <v>110</v>
      </c>
      <c r="B3" s="84" t="s">
        <v>541</v>
      </c>
      <c r="C3" s="84" t="s">
        <v>544</v>
      </c>
      <c r="D3" s="51" t="s">
        <v>586</v>
      </c>
      <c r="E3" s="51" t="s">
        <v>587</v>
      </c>
      <c r="F3" s="51" t="s">
        <v>588</v>
      </c>
      <c r="G3" s="51" t="s">
        <v>347</v>
      </c>
      <c r="H3" s="52" t="s">
        <v>268</v>
      </c>
    </row>
    <row r="4" spans="1:8" ht="14.25" customHeight="1" x14ac:dyDescent="0.25">
      <c r="A4" s="53">
        <v>1</v>
      </c>
      <c r="B4" s="86" t="str">
        <f>_xlfn.CONCAT('M-Barbero'!B4," ",'M-Barbero'!D4)</f>
        <v>Juan García</v>
      </c>
      <c r="C4" s="86" t="str">
        <f>'M-Servicio'!B4</f>
        <v>Motilada</v>
      </c>
      <c r="D4" s="127">
        <v>0</v>
      </c>
      <c r="E4" s="127">
        <v>45</v>
      </c>
      <c r="F4" s="127">
        <v>15</v>
      </c>
      <c r="G4" s="127" t="s">
        <v>210</v>
      </c>
      <c r="H4" s="53" t="str">
        <f t="shared" ref="H4:H12" si="0">_xlfn.CONCAT(B4,"-",C4)</f>
        <v>Juan García-Motilada</v>
      </c>
    </row>
    <row r="5" spans="1:8" ht="14.25" customHeight="1" x14ac:dyDescent="0.25">
      <c r="A5" s="53">
        <v>2</v>
      </c>
      <c r="B5" s="86" t="str">
        <f>_xlfn.CONCAT('M-Barbero'!B5," ",'M-Barbero'!D5)</f>
        <v>Juan Ortiz</v>
      </c>
      <c r="C5" s="86" t="str">
        <f>'M-Servicio'!B5</f>
        <v>Corte de barba</v>
      </c>
      <c r="D5" s="127">
        <v>0</v>
      </c>
      <c r="E5" s="127">
        <v>10</v>
      </c>
      <c r="F5" s="127">
        <v>5</v>
      </c>
      <c r="G5" s="127" t="s">
        <v>210</v>
      </c>
      <c r="H5" s="53" t="str">
        <f t="shared" si="0"/>
        <v>Juan Ortiz-Corte de barba</v>
      </c>
    </row>
    <row r="6" spans="1:8" ht="14.25" customHeight="1" x14ac:dyDescent="0.25">
      <c r="A6" s="53">
        <v>3</v>
      </c>
      <c r="B6" s="86" t="str">
        <f>_xlfn.CONCAT('M-Barbero'!B6," ",'M-Barbero'!D6)</f>
        <v>Carlos Arbeladez</v>
      </c>
      <c r="C6" s="86" t="str">
        <f>'M-Servicio'!B6</f>
        <v>Perfilada de barba</v>
      </c>
      <c r="D6" s="127">
        <v>0</v>
      </c>
      <c r="E6" s="127">
        <v>15</v>
      </c>
      <c r="F6" s="127">
        <v>5</v>
      </c>
      <c r="G6" s="127" t="s">
        <v>210</v>
      </c>
      <c r="H6" s="53" t="str">
        <f t="shared" si="0"/>
        <v>Carlos Arbeladez-Perfilada de barba</v>
      </c>
    </row>
    <row r="7" spans="1:8" ht="14.25" customHeight="1" x14ac:dyDescent="0.25">
      <c r="A7" s="53">
        <v>4</v>
      </c>
      <c r="B7" s="86" t="str">
        <f>_xlfn.CONCAT('M-Barbero'!B7," ",'M-Barbero'!D7)</f>
        <v>Andres Ramirez</v>
      </c>
      <c r="C7" s="86" t="str">
        <f>'M-Servicio'!B7</f>
        <v>Arreglo completo de barba con toalla caliente</v>
      </c>
      <c r="D7" s="127">
        <v>0</v>
      </c>
      <c r="E7" s="127">
        <v>40</v>
      </c>
      <c r="F7" s="127">
        <v>10</v>
      </c>
      <c r="G7" s="127" t="s">
        <v>210</v>
      </c>
      <c r="H7" s="53" t="str">
        <f t="shared" si="0"/>
        <v>Andres Ramirez-Arreglo completo de barba con toalla caliente</v>
      </c>
    </row>
    <row r="8" spans="1:8" ht="14.25" customHeight="1" x14ac:dyDescent="0.25">
      <c r="A8" s="53">
        <v>5</v>
      </c>
      <c r="B8" s="86" t="str">
        <f>_xlfn.CONCAT('M-Barbero'!B5," ",'M-Barbero'!D5)</f>
        <v>Juan Ortiz</v>
      </c>
      <c r="C8" s="86" t="str">
        <f>'M-Servicio'!B4</f>
        <v>Motilada</v>
      </c>
      <c r="D8" s="127">
        <v>0</v>
      </c>
      <c r="E8" s="127">
        <v>40</v>
      </c>
      <c r="F8" s="127">
        <v>10</v>
      </c>
      <c r="G8" s="127" t="s">
        <v>210</v>
      </c>
      <c r="H8" s="53" t="str">
        <f t="shared" si="0"/>
        <v>Juan Ortiz-Motilada</v>
      </c>
    </row>
    <row r="9" spans="1:8" ht="14.25" customHeight="1" x14ac:dyDescent="0.25">
      <c r="A9" s="53">
        <v>6</v>
      </c>
      <c r="B9" s="86" t="str">
        <f>_xlfn.CONCAT('M-Barbero'!B6," ",'M-Barbero'!D6)</f>
        <v>Carlos Arbeladez</v>
      </c>
      <c r="C9" s="86" t="str">
        <f>'M-Servicio'!B5</f>
        <v>Corte de barba</v>
      </c>
      <c r="D9" s="127">
        <v>0</v>
      </c>
      <c r="E9" s="127">
        <v>15</v>
      </c>
      <c r="F9" s="127">
        <v>5</v>
      </c>
      <c r="G9" s="127" t="s">
        <v>210</v>
      </c>
      <c r="H9" s="53" t="str">
        <f t="shared" si="0"/>
        <v>Carlos Arbeladez-Corte de barba</v>
      </c>
    </row>
    <row r="10" spans="1:8" ht="14.25" customHeight="1" x14ac:dyDescent="0.25">
      <c r="A10" s="53">
        <v>7</v>
      </c>
      <c r="B10" s="86" t="str">
        <f>_xlfn.CONCAT('M-Barbero'!B4," ",'M-Barbero'!D4)</f>
        <v>Juan García</v>
      </c>
      <c r="C10" s="86" t="str">
        <f>'M-Servicio'!B6</f>
        <v>Perfilada de barba</v>
      </c>
      <c r="D10" s="127">
        <v>0</v>
      </c>
      <c r="E10" s="127">
        <v>20</v>
      </c>
      <c r="F10" s="127">
        <v>5</v>
      </c>
      <c r="G10" s="127" t="s">
        <v>210</v>
      </c>
      <c r="H10" s="53" t="str">
        <f t="shared" si="0"/>
        <v>Juan García-Perfilada de barba</v>
      </c>
    </row>
    <row r="11" spans="1:8" ht="14.25" customHeight="1" x14ac:dyDescent="0.25">
      <c r="A11" s="53">
        <v>8</v>
      </c>
      <c r="B11" s="86" t="str">
        <f>_xlfn.CONCAT('M-Barbero'!B7," ",'M-Barbero'!D7)</f>
        <v>Andres Ramirez</v>
      </c>
      <c r="C11" s="86" t="str">
        <f>'M-Servicio'!B4</f>
        <v>Motilada</v>
      </c>
      <c r="D11" s="127">
        <v>0</v>
      </c>
      <c r="E11" s="127">
        <v>50</v>
      </c>
      <c r="F11" s="127">
        <v>15</v>
      </c>
      <c r="G11" s="127" t="s">
        <v>210</v>
      </c>
      <c r="H11" s="53" t="str">
        <f t="shared" si="0"/>
        <v>Andres Ramirez-Motilada</v>
      </c>
    </row>
    <row r="12" spans="1:8" ht="14.25" customHeight="1" x14ac:dyDescent="0.25">
      <c r="A12" s="53">
        <v>9</v>
      </c>
      <c r="B12" s="86" t="str">
        <f>_xlfn.CONCAT('M-Barbero'!B8," ",'M-Barbero'!D8)</f>
        <v>Juan Zambrano</v>
      </c>
      <c r="C12" s="86" t="str">
        <f>'M-Servicio'!B5</f>
        <v>Corte de barba</v>
      </c>
      <c r="D12" s="127">
        <v>0</v>
      </c>
      <c r="E12" s="127">
        <v>12</v>
      </c>
      <c r="F12" s="127">
        <v>5</v>
      </c>
      <c r="G12" s="127" t="s">
        <v>210</v>
      </c>
      <c r="H12" s="53" t="str">
        <f t="shared" si="0"/>
        <v>Juan Zambrano-Corte de barba</v>
      </c>
    </row>
    <row r="14" spans="1:8" x14ac:dyDescent="0.25">
      <c r="A14" s="56"/>
      <c r="B14" t="s">
        <v>120</v>
      </c>
    </row>
    <row r="15" spans="1:8" x14ac:dyDescent="0.25">
      <c r="A15" s="58"/>
      <c r="B15" t="s">
        <v>121</v>
      </c>
    </row>
    <row r="16" spans="1:8" x14ac:dyDescent="0.25">
      <c r="A16" s="87"/>
      <c r="B16" t="s">
        <v>366</v>
      </c>
    </row>
    <row r="17" spans="1:2" x14ac:dyDescent="0.25">
      <c r="A17" s="59"/>
      <c r="B17" t="s">
        <v>122</v>
      </c>
    </row>
    <row r="18" spans="1:2" x14ac:dyDescent="0.25">
      <c r="A18" s="60"/>
      <c r="B18" t="s">
        <v>123</v>
      </c>
    </row>
  </sheetData>
  <hyperlinks>
    <hyperlink ref="A1" location="'Modelo de Dominio'!A1" display="&lt;&lt;&lt;&lt; Ir al modulo de dominio" xr:uid="{00000000-0004-0000-2900-000000000000}"/>
    <hyperlink ref="B1" location="'Objetos de Dominio'!A1" display="&lt;&lt;&lt;&lt; Ir a objetos de dominio" xr:uid="{00000000-0004-0000-2900-000001000000}"/>
    <hyperlink ref="B3" location="'M-Barbero'!A1" display="barbero" xr:uid="{00000000-0004-0000-2900-000002000000}"/>
    <hyperlink ref="C3" location="'M-Servicio'!A1" display="servicio" xr:uid="{00000000-0004-0000-2900-000003000000}"/>
    <hyperlink ref="B4" location="'M-Barbero'!A4" display="#'M-Barbero'.A4" xr:uid="{00000000-0004-0000-2900-000004000000}"/>
    <hyperlink ref="C4" location="'M-Servicio'!A4" display="#'M-Servicio'.A4" xr:uid="{00000000-0004-0000-2900-000005000000}"/>
    <hyperlink ref="B5" location="'M-Barbero'!A5" display="#'M-Barbero'.A5" xr:uid="{00000000-0004-0000-2900-000006000000}"/>
    <hyperlink ref="C5" location="'M-Servicio'!A5" display="#'M-Servicio'.A5" xr:uid="{00000000-0004-0000-2900-000007000000}"/>
    <hyperlink ref="B6" location="'M-Barbero'!A6" display="#'M-Barbero'.A6" xr:uid="{00000000-0004-0000-2900-000008000000}"/>
    <hyperlink ref="C6" location="'M-Servicio'!A6" display="#'M-Servicio'.A6" xr:uid="{00000000-0004-0000-2900-000009000000}"/>
    <hyperlink ref="B7" location="'M-Barbero'!A7" display="#'M-Barbero'.A7" xr:uid="{00000000-0004-0000-2900-00000A000000}"/>
    <hyperlink ref="C7" location="'M-Servicio'!A7" display="#'M-Servicio'.A7" xr:uid="{00000000-0004-0000-2900-00000B000000}"/>
    <hyperlink ref="B8" location="'M-Barbero'!A5" display="#'M-Barbero'.A5" xr:uid="{00000000-0004-0000-2900-00000C000000}"/>
    <hyperlink ref="C8" location="'M-Servicio'!A4" display="#'M-Servicio'.A4" xr:uid="{00000000-0004-0000-2900-00000D000000}"/>
    <hyperlink ref="B9" location="'M-Barbero'!A6" display="#'M-Barbero'.A6" xr:uid="{00000000-0004-0000-2900-00000E000000}"/>
    <hyperlink ref="C9" location="'M-Servicio'!A5" display="#'M-Servicio'.A5" xr:uid="{00000000-0004-0000-2900-00000F000000}"/>
    <hyperlink ref="B10" location="'M-Barbero'!A4" display="#'M-Barbero'.A4" xr:uid="{00000000-0004-0000-2900-000010000000}"/>
    <hyperlink ref="C10" location="'M-Servicio'!A6" display="#'M-Servicio'.A6" xr:uid="{00000000-0004-0000-2900-000011000000}"/>
    <hyperlink ref="B11" location="'M-Barbero'!A7" display="#'M-Barbero'.A7" xr:uid="{00000000-0004-0000-2900-000012000000}"/>
    <hyperlink ref="C11" location="'M-Servicio'!A4" display="#'M-Servicio'.A4" xr:uid="{00000000-0004-0000-2900-000013000000}"/>
    <hyperlink ref="B12" location="'M-Barbero'!A8" display="#'M-Barbero'.A8" xr:uid="{00000000-0004-0000-2900-000014000000}"/>
    <hyperlink ref="C12" location="'M-Servicio'!A5" display="#'M-Servicio'.A5" xr:uid="{00000000-0004-0000-2900-000015000000}"/>
  </hyperlink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7"/>
  <sheetViews>
    <sheetView topLeftCell="A21" zoomScale="66" zoomScaleNormal="100" workbookViewId="0">
      <selection activeCell="C24" sqref="C24:F26"/>
    </sheetView>
  </sheetViews>
  <sheetFormatPr baseColWidth="10" defaultColWidth="8.7109375" defaultRowHeight="15" x14ac:dyDescent="0.25"/>
  <cols>
    <col min="1" max="1" width="26.7109375" customWidth="1"/>
    <col min="2" max="2" width="51.85546875" customWidth="1"/>
    <col min="3" max="3" width="43" customWidth="1"/>
    <col min="4" max="4" width="25" customWidth="1"/>
    <col min="5" max="5" width="18" customWidth="1"/>
    <col min="7" max="7" width="20.28515625" customWidth="1"/>
    <col min="8" max="8" width="15.28515625" bestFit="1" customWidth="1"/>
    <col min="9" max="9" width="28.140625" customWidth="1"/>
    <col min="10" max="10" width="22" bestFit="1" customWidth="1"/>
    <col min="11" max="11" width="13" customWidth="1"/>
    <col min="13" max="13" width="40" customWidth="1"/>
    <col min="14" max="14" width="18" customWidth="1"/>
    <col min="15" max="15" width="11.7109375" bestFit="1" customWidth="1"/>
    <col min="16" max="16" width="23.7109375" customWidth="1"/>
    <col min="17" max="17" width="22.5703125" customWidth="1"/>
    <col min="18" max="18" width="20" bestFit="1" customWidth="1"/>
  </cols>
  <sheetData>
    <row r="1" spans="1:21" ht="15" customHeight="1" x14ac:dyDescent="0.25">
      <c r="A1" s="6" t="s">
        <v>1</v>
      </c>
      <c r="B1" s="6" t="s">
        <v>28</v>
      </c>
    </row>
    <row r="2" spans="1:21" ht="45" customHeight="1" x14ac:dyDescent="0.25">
      <c r="A2" s="107" t="s">
        <v>29</v>
      </c>
      <c r="B2" s="107" t="s">
        <v>30</v>
      </c>
      <c r="C2" s="107" t="s">
        <v>31</v>
      </c>
      <c r="D2" s="107" t="s">
        <v>32</v>
      </c>
      <c r="E2" s="107" t="s">
        <v>33</v>
      </c>
      <c r="F2" s="107" t="s">
        <v>34</v>
      </c>
      <c r="G2" s="107" t="s">
        <v>35</v>
      </c>
      <c r="H2" s="107" t="s">
        <v>36</v>
      </c>
      <c r="I2" s="107" t="s">
        <v>37</v>
      </c>
      <c r="J2" s="107" t="s">
        <v>38</v>
      </c>
      <c r="K2" s="107" t="s">
        <v>39</v>
      </c>
      <c r="L2" s="107" t="s">
        <v>40</v>
      </c>
      <c r="M2" s="107" t="s">
        <v>41</v>
      </c>
      <c r="N2" s="107" t="s">
        <v>42</v>
      </c>
      <c r="O2" s="107" t="s">
        <v>43</v>
      </c>
      <c r="P2" s="107" t="s">
        <v>44</v>
      </c>
      <c r="Q2" s="107" t="s">
        <v>45</v>
      </c>
      <c r="R2" s="107" t="s">
        <v>46</v>
      </c>
      <c r="S2" s="107" t="s">
        <v>47</v>
      </c>
      <c r="T2" s="107" t="s">
        <v>48</v>
      </c>
      <c r="U2" s="107" t="s">
        <v>49</v>
      </c>
    </row>
    <row r="3" spans="1:21" ht="30" customHeight="1" x14ac:dyDescent="0.25">
      <c r="A3" s="81" t="str">
        <f>'M-HorarioBarbero'!A3</f>
        <v>id</v>
      </c>
      <c r="B3" s="108" t="str">
        <f>'M-HorarioBarbero'!A2</f>
        <v>Representa un identificador que hará unico cada objeto de dominio de este tipo, no se puede repetir</v>
      </c>
      <c r="C3" s="81" t="s">
        <v>50</v>
      </c>
      <c r="D3" s="81" t="s">
        <v>51</v>
      </c>
      <c r="E3" s="81" t="s">
        <v>50</v>
      </c>
      <c r="F3" s="81" t="s">
        <v>52</v>
      </c>
      <c r="G3" s="81" t="s">
        <v>52</v>
      </c>
      <c r="H3" s="81" t="s">
        <v>52</v>
      </c>
      <c r="I3" s="81" t="s">
        <v>52</v>
      </c>
      <c r="J3" s="81" t="s">
        <v>52</v>
      </c>
      <c r="K3" s="81" t="s">
        <v>52</v>
      </c>
      <c r="L3" s="81" t="s">
        <v>52</v>
      </c>
      <c r="M3" s="81" t="s">
        <v>52</v>
      </c>
      <c r="N3" s="81" t="s">
        <v>53</v>
      </c>
      <c r="O3" s="81" t="s">
        <v>53</v>
      </c>
      <c r="P3" s="81" t="s">
        <v>52</v>
      </c>
      <c r="Q3" s="81" t="s">
        <v>53</v>
      </c>
      <c r="R3" s="81" t="s">
        <v>53</v>
      </c>
      <c r="S3" s="81" t="s">
        <v>53</v>
      </c>
      <c r="T3" s="81" t="s">
        <v>54</v>
      </c>
      <c r="U3" s="81" t="s">
        <v>50</v>
      </c>
    </row>
    <row r="4" spans="1:21" ht="27.75" customHeight="1" x14ac:dyDescent="0.25">
      <c r="A4" s="81" t="str">
        <f>'M-HorarioBarbero'!B3</f>
        <v>barbero</v>
      </c>
      <c r="B4" s="108" t="str">
        <f>'M-HorarioBarbero'!B2</f>
        <v>Referencia a que barbero va a ser dueño de este horario</v>
      </c>
      <c r="C4" s="81" t="s">
        <v>53</v>
      </c>
      <c r="D4" s="109" t="s">
        <v>18</v>
      </c>
      <c r="E4" s="81" t="s">
        <v>50</v>
      </c>
      <c r="F4" s="81" t="s">
        <v>52</v>
      </c>
      <c r="G4" s="81" t="s">
        <v>52</v>
      </c>
      <c r="H4" s="81" t="s">
        <v>52</v>
      </c>
      <c r="I4" s="81" t="s">
        <v>52</v>
      </c>
      <c r="J4" s="81" t="s">
        <v>52</v>
      </c>
      <c r="K4" s="81" t="s">
        <v>52</v>
      </c>
      <c r="L4" s="81" t="s">
        <v>52</v>
      </c>
      <c r="M4" s="19" t="s">
        <v>276</v>
      </c>
      <c r="N4" s="81" t="s">
        <v>53</v>
      </c>
      <c r="O4" s="81" t="s">
        <v>52</v>
      </c>
      <c r="P4" s="81" t="s">
        <v>52</v>
      </c>
      <c r="Q4" s="81" t="s">
        <v>52</v>
      </c>
      <c r="R4" s="81" t="s">
        <v>52</v>
      </c>
      <c r="S4" s="81" t="s">
        <v>53</v>
      </c>
      <c r="T4" s="81" t="s">
        <v>54</v>
      </c>
      <c r="U4" s="81" t="s">
        <v>53</v>
      </c>
    </row>
    <row r="5" spans="1:21" ht="30" customHeight="1" x14ac:dyDescent="0.25">
      <c r="A5" s="81" t="str">
        <f>'M-HorarioBarbero'!C3</f>
        <v>horarioDeLaBarberia</v>
      </c>
      <c r="B5" s="108" t="str">
        <f>'M-HorarioBarbero'!C2</f>
        <v>Hace referencia a la agenda del barbero en la que queda guardado este horario de trabajo</v>
      </c>
      <c r="C5" s="81" t="s">
        <v>53</v>
      </c>
      <c r="D5" s="109" t="s">
        <v>20</v>
      </c>
      <c r="E5" s="81" t="s">
        <v>50</v>
      </c>
      <c r="F5" s="81" t="s">
        <v>52</v>
      </c>
      <c r="G5" s="81" t="s">
        <v>52</v>
      </c>
      <c r="H5" s="81" t="s">
        <v>52</v>
      </c>
      <c r="I5" s="81" t="s">
        <v>52</v>
      </c>
      <c r="J5" s="81" t="s">
        <v>52</v>
      </c>
      <c r="K5" s="81" t="s">
        <v>52</v>
      </c>
      <c r="L5" s="81" t="s">
        <v>52</v>
      </c>
      <c r="M5" s="19" t="s">
        <v>276</v>
      </c>
      <c r="N5" s="81" t="s">
        <v>53</v>
      </c>
      <c r="O5" s="81" t="s">
        <v>52</v>
      </c>
      <c r="P5" s="81" t="s">
        <v>52</v>
      </c>
      <c r="Q5" s="81" t="s">
        <v>52</v>
      </c>
      <c r="R5" s="81" t="s">
        <v>52</v>
      </c>
      <c r="S5" s="81" t="s">
        <v>53</v>
      </c>
      <c r="T5" s="81" t="s">
        <v>54</v>
      </c>
      <c r="U5" s="81" t="s">
        <v>53</v>
      </c>
    </row>
    <row r="6" spans="1:21" ht="30" customHeight="1" x14ac:dyDescent="0.25">
      <c r="A6" s="81" t="str">
        <f>'M-HorarioBarbero'!D3</f>
        <v>horaInicio</v>
      </c>
      <c r="B6" s="108" t="str">
        <f>'M-HorarioBarbero'!D2</f>
        <v>Representa la hora en la que el barbero empieza a estar disponible ese dia</v>
      </c>
      <c r="C6" s="81" t="s">
        <v>53</v>
      </c>
      <c r="D6" s="81" t="s">
        <v>429</v>
      </c>
      <c r="E6" s="81" t="s">
        <v>50</v>
      </c>
      <c r="F6" s="81" t="s">
        <v>52</v>
      </c>
      <c r="G6" s="81" t="s">
        <v>52</v>
      </c>
      <c r="H6" s="81" t="s">
        <v>52</v>
      </c>
      <c r="I6" s="81" t="s">
        <v>52</v>
      </c>
      <c r="J6" s="81" t="s">
        <v>52</v>
      </c>
      <c r="K6" s="81" t="s">
        <v>52</v>
      </c>
      <c r="L6" s="81" t="s">
        <v>589</v>
      </c>
      <c r="M6" s="108" t="s">
        <v>590</v>
      </c>
      <c r="N6" s="81" t="s">
        <v>53</v>
      </c>
      <c r="O6" s="81" t="s">
        <v>52</v>
      </c>
      <c r="P6" s="81" t="s">
        <v>52</v>
      </c>
      <c r="Q6" s="81" t="s">
        <v>52</v>
      </c>
      <c r="R6" s="81" t="s">
        <v>52</v>
      </c>
      <c r="S6" s="81" t="s">
        <v>53</v>
      </c>
      <c r="T6" s="81" t="s">
        <v>430</v>
      </c>
      <c r="U6" s="81" t="s">
        <v>53</v>
      </c>
    </row>
    <row r="7" spans="1:21" ht="28.5" customHeight="1" x14ac:dyDescent="0.25">
      <c r="A7" s="81" t="str">
        <f>'M-HorarioBarbero'!E3</f>
        <v>horaFinal</v>
      </c>
      <c r="B7" s="108" t="str">
        <f>'M-HorarioBarbero'!E2</f>
        <v>Representa la hora en la que el barbero deja de estar disponible ese día.</v>
      </c>
      <c r="C7" s="81" t="s">
        <v>53</v>
      </c>
      <c r="D7" s="81" t="s">
        <v>429</v>
      </c>
      <c r="E7" s="81" t="s">
        <v>50</v>
      </c>
      <c r="F7" s="81" t="s">
        <v>52</v>
      </c>
      <c r="G7" s="81" t="s">
        <v>52</v>
      </c>
      <c r="H7" s="81" t="s">
        <v>52</v>
      </c>
      <c r="I7" s="81" t="s">
        <v>52</v>
      </c>
      <c r="J7" s="81" t="s">
        <v>52</v>
      </c>
      <c r="K7" s="81" t="s">
        <v>52</v>
      </c>
      <c r="L7" s="81" t="s">
        <v>589</v>
      </c>
      <c r="M7" s="108" t="s">
        <v>591</v>
      </c>
      <c r="N7" s="81" t="s">
        <v>53</v>
      </c>
      <c r="O7" s="81" t="s">
        <v>52</v>
      </c>
      <c r="P7" s="81" t="s">
        <v>52</v>
      </c>
      <c r="Q7" s="81" t="s">
        <v>52</v>
      </c>
      <c r="R7" s="81" t="s">
        <v>52</v>
      </c>
      <c r="S7" s="81" t="s">
        <v>53</v>
      </c>
      <c r="T7" s="81" t="s">
        <v>430</v>
      </c>
      <c r="U7" s="81" t="s">
        <v>53</v>
      </c>
    </row>
    <row r="8" spans="1:21" ht="45" customHeight="1" x14ac:dyDescent="0.25">
      <c r="A8" s="81" t="str">
        <f>'M-HorarioBarbero'!F3</f>
        <v>fechaCreacion</v>
      </c>
      <c r="B8" s="108" t="str">
        <f>'M-HorarioBarbero'!F2</f>
        <v>Representa la fecha en el que el barbero creo su horario. Es un dato calculado que toma la fecha de hoy cuando el barbero la crea</v>
      </c>
      <c r="C8" s="81" t="s">
        <v>53</v>
      </c>
      <c r="D8" s="81" t="s">
        <v>432</v>
      </c>
      <c r="E8" s="81" t="s">
        <v>50</v>
      </c>
      <c r="F8" s="81" t="s">
        <v>52</v>
      </c>
      <c r="G8" s="81" t="s">
        <v>52</v>
      </c>
      <c r="H8" s="81" t="s">
        <v>52</v>
      </c>
      <c r="I8" s="81" t="s">
        <v>52</v>
      </c>
      <c r="J8" s="81" t="s">
        <v>52</v>
      </c>
      <c r="K8" s="81" t="s">
        <v>52</v>
      </c>
      <c r="L8" s="81" t="s">
        <v>592</v>
      </c>
      <c r="M8" s="108" t="s">
        <v>593</v>
      </c>
      <c r="N8" s="81" t="s">
        <v>50</v>
      </c>
      <c r="O8" s="81" t="s">
        <v>52</v>
      </c>
      <c r="P8" s="81" t="s">
        <v>52</v>
      </c>
      <c r="Q8" s="81" t="s">
        <v>52</v>
      </c>
      <c r="R8" s="81" t="s">
        <v>52</v>
      </c>
      <c r="S8" s="81" t="s">
        <v>53</v>
      </c>
      <c r="T8" s="81" t="s">
        <v>594</v>
      </c>
      <c r="U8" s="81" t="s">
        <v>53</v>
      </c>
    </row>
    <row r="9" spans="1:21" ht="60" customHeight="1" x14ac:dyDescent="0.25">
      <c r="A9" s="81" t="str">
        <f>'M-HorarioBarbero'!G3</f>
        <v>fechaDesactivacion</v>
      </c>
      <c r="B9" s="108" t="str">
        <f>'M-HorarioBarbero'!G2</f>
        <v>Representa la fecha en la que este horario dejó de estar vigente, ya sea porque el barbero lo retiró o porque se desactivó el horario de la barbería del que depende. Es un dato calculado que toma la fecha del sistema en ese momento.</v>
      </c>
      <c r="C9" s="128" t="s">
        <v>53</v>
      </c>
      <c r="D9" s="128" t="s">
        <v>432</v>
      </c>
      <c r="E9" s="128" t="s">
        <v>53</v>
      </c>
      <c r="F9" s="128" t="s">
        <v>52</v>
      </c>
      <c r="G9" s="128" t="s">
        <v>52</v>
      </c>
      <c r="H9" s="128" t="s">
        <v>52</v>
      </c>
      <c r="I9" s="128" t="s">
        <v>52</v>
      </c>
      <c r="J9" s="128" t="s">
        <v>52</v>
      </c>
      <c r="K9" s="128" t="s">
        <v>52</v>
      </c>
      <c r="L9" s="128" t="s">
        <v>592</v>
      </c>
      <c r="M9" s="128" t="s">
        <v>595</v>
      </c>
      <c r="N9" s="128" t="s">
        <v>50</v>
      </c>
      <c r="O9" s="128" t="s">
        <v>52</v>
      </c>
      <c r="P9" s="128" t="s">
        <v>52</v>
      </c>
      <c r="Q9" s="128" t="s">
        <v>52</v>
      </c>
      <c r="R9" s="128" t="s">
        <v>52</v>
      </c>
      <c r="S9" s="128" t="s">
        <v>53</v>
      </c>
      <c r="T9" s="128" t="s">
        <v>594</v>
      </c>
      <c r="U9" s="128" t="s">
        <v>53</v>
      </c>
    </row>
    <row r="10" spans="1:21" ht="45" customHeight="1" x14ac:dyDescent="0.25">
      <c r="A10" s="81" t="str">
        <f>'M-HorarioBarbero'!H3</f>
        <v>vigente</v>
      </c>
      <c r="B10" s="108" t="str">
        <f>'M-HorarioBarbero'!H2</f>
        <v>Representa si este horario lo sigue o no usando el barbero. Una vez que el barbero cambie este estado a no vigente, no se puede volver a cambiar</v>
      </c>
      <c r="C10" s="81" t="s">
        <v>53</v>
      </c>
      <c r="D10" s="81" t="s">
        <v>166</v>
      </c>
      <c r="E10" s="81" t="s">
        <v>50</v>
      </c>
      <c r="F10" s="81" t="s">
        <v>52</v>
      </c>
      <c r="G10" s="81" t="s">
        <v>52</v>
      </c>
      <c r="H10" s="81" t="s">
        <v>52</v>
      </c>
      <c r="I10" s="81" t="s">
        <v>52</v>
      </c>
      <c r="J10" s="81" t="s">
        <v>52</v>
      </c>
      <c r="K10" s="81" t="s">
        <v>52</v>
      </c>
      <c r="L10" s="81" t="s">
        <v>52</v>
      </c>
      <c r="M10" s="108" t="s">
        <v>596</v>
      </c>
      <c r="N10" s="81" t="s">
        <v>53</v>
      </c>
      <c r="O10" s="81" t="s">
        <v>52</v>
      </c>
      <c r="P10" s="81" t="s">
        <v>52</v>
      </c>
      <c r="Q10" s="81" t="s">
        <v>52</v>
      </c>
      <c r="R10" s="81" t="s">
        <v>52</v>
      </c>
      <c r="S10" s="81" t="s">
        <v>53</v>
      </c>
      <c r="T10" s="81" t="s">
        <v>50</v>
      </c>
      <c r="U10" s="81" t="s">
        <v>53</v>
      </c>
    </row>
    <row r="12" spans="1:21" ht="15" customHeight="1" x14ac:dyDescent="0.25">
      <c r="A12" s="20" t="s">
        <v>58</v>
      </c>
      <c r="B12" s="20" t="s">
        <v>59</v>
      </c>
      <c r="C12" s="20" t="s">
        <v>60</v>
      </c>
    </row>
    <row r="13" spans="1:21" ht="15" customHeight="1" x14ac:dyDescent="0.25">
      <c r="A13" s="265" t="str">
        <f>'M-HorarioBarbero'!I3</f>
        <v>Combinación única</v>
      </c>
      <c r="B13" s="266" t="str">
        <f>'M-HorarioBarbero'!I2</f>
        <v>Combinación única que indica que un mismo barbero no puede tener dos horarios con el mismo día de la barbería, la misma hora de inicio y la misma hora final. No incluye vigente porque la identidad de un horario no puede cambiar cuando se desactiva</v>
      </c>
      <c r="C13" s="21" t="str">
        <f>A4</f>
        <v>barbero</v>
      </c>
    </row>
    <row r="14" spans="1:21" ht="15" customHeight="1" x14ac:dyDescent="0.25">
      <c r="A14" s="265"/>
      <c r="B14" s="265"/>
      <c r="C14" s="21" t="str">
        <f>A5</f>
        <v>horarioDeLaBarberia</v>
      </c>
    </row>
    <row r="15" spans="1:21" ht="15" customHeight="1" x14ac:dyDescent="0.25">
      <c r="A15" s="265"/>
      <c r="B15" s="265"/>
      <c r="C15" s="21" t="str">
        <f>A6</f>
        <v>horaInicio</v>
      </c>
    </row>
    <row r="16" spans="1:21" ht="15" customHeight="1" x14ac:dyDescent="0.25">
      <c r="A16" s="265"/>
      <c r="B16" s="265"/>
      <c r="C16" s="21" t="str">
        <f>A7</f>
        <v>horaFinal</v>
      </c>
    </row>
    <row r="17" spans="1:18" ht="15" customHeight="1" x14ac:dyDescent="0.25">
      <c r="A17" s="265"/>
      <c r="B17" s="265"/>
      <c r="C17" s="21" t="str">
        <f>A10</f>
        <v>vigente</v>
      </c>
    </row>
    <row r="19" spans="1:18" x14ac:dyDescent="0.25">
      <c r="A19" s="203" t="s">
        <v>62</v>
      </c>
      <c r="B19" s="203"/>
      <c r="C19" s="197" t="s">
        <v>59</v>
      </c>
      <c r="D19" s="197"/>
      <c r="E19" s="197"/>
      <c r="F19" s="197"/>
      <c r="G19" s="197" t="s">
        <v>63</v>
      </c>
      <c r="H19" s="197"/>
      <c r="I19" s="197"/>
      <c r="J19" s="197" t="s">
        <v>64</v>
      </c>
      <c r="K19" s="197"/>
      <c r="L19" s="197"/>
      <c r="M19" s="197"/>
      <c r="N19" s="197"/>
      <c r="O19" s="197" t="s">
        <v>65</v>
      </c>
      <c r="P19" s="197"/>
      <c r="Q19" s="197" t="s">
        <v>66</v>
      </c>
      <c r="R19" s="197"/>
    </row>
    <row r="20" spans="1:18" x14ac:dyDescent="0.25">
      <c r="A20" s="203"/>
      <c r="B20" s="203"/>
      <c r="C20" s="197"/>
      <c r="D20" s="197"/>
      <c r="E20" s="197"/>
      <c r="F20" s="197"/>
      <c r="G20" s="24" t="s">
        <v>67</v>
      </c>
      <c r="H20" s="24" t="s">
        <v>32</v>
      </c>
      <c r="I20" s="24" t="s">
        <v>59</v>
      </c>
      <c r="J20" s="24" t="s">
        <v>68</v>
      </c>
      <c r="K20" s="24" t="s">
        <v>59</v>
      </c>
      <c r="L20" s="25"/>
      <c r="M20" s="25"/>
      <c r="N20" s="26"/>
      <c r="O20" s="24" t="s">
        <v>69</v>
      </c>
      <c r="P20" s="24" t="s">
        <v>59</v>
      </c>
      <c r="Q20" s="24" t="s">
        <v>70</v>
      </c>
      <c r="R20" s="27" t="s">
        <v>71</v>
      </c>
    </row>
    <row r="21" spans="1:18" ht="135" x14ac:dyDescent="0.25">
      <c r="A21" s="215" t="s">
        <v>597</v>
      </c>
      <c r="B21" s="216"/>
      <c r="C21" s="219" t="s">
        <v>598</v>
      </c>
      <c r="D21" s="220"/>
      <c r="E21" s="220"/>
      <c r="F21" s="221"/>
      <c r="G21" s="225" t="s">
        <v>599</v>
      </c>
      <c r="H21" s="227" t="s">
        <v>23</v>
      </c>
      <c r="I21" s="229" t="s">
        <v>600</v>
      </c>
      <c r="J21" s="231" t="s">
        <v>23</v>
      </c>
      <c r="K21" s="219" t="s">
        <v>601</v>
      </c>
      <c r="L21" s="220"/>
      <c r="M21" s="220"/>
      <c r="N21" s="221"/>
      <c r="O21" s="28" t="str">
        <f>'P-HorarioBarbero'!A6</f>
        <v>P-HBO-0001</v>
      </c>
      <c r="P21" s="3" t="str">
        <f>'P-HorarioBarbero'!B6</f>
        <v>Asegurar que los datos requeridos (día de la semana, hora de inicio, hora de fin) sean válidos en tipo de dato, obligatoriedad, formato y rango, y que la hora de fin sea mayor a la hora de inicio</v>
      </c>
      <c r="Q21" s="3" t="s">
        <v>602</v>
      </c>
      <c r="R21" s="31" t="s">
        <v>134</v>
      </c>
    </row>
    <row r="22" spans="1:18" ht="105" x14ac:dyDescent="0.25">
      <c r="A22" s="217"/>
      <c r="B22" s="218"/>
      <c r="C22" s="222"/>
      <c r="D22" s="223"/>
      <c r="E22" s="223"/>
      <c r="F22" s="224"/>
      <c r="G22" s="226"/>
      <c r="H22" s="228"/>
      <c r="I22" s="230"/>
      <c r="J22" s="232"/>
      <c r="K22" s="222"/>
      <c r="L22" s="223"/>
      <c r="M22" s="223"/>
      <c r="N22" s="224"/>
      <c r="O22" s="28" t="str">
        <f>'P-HorarioBarbero'!A7</f>
        <v>P-HBO-0002</v>
      </c>
      <c r="P22" s="3" t="str">
        <f>'P-HorarioBarbero'!B7</f>
        <v>Asegurar que el horario de trabajo esté dentro del horario de apertura y cierre de la barbería para ese día</v>
      </c>
      <c r="Q22" s="3" t="s">
        <v>603</v>
      </c>
      <c r="R22" s="31" t="s">
        <v>134</v>
      </c>
    </row>
    <row r="23" spans="1:18" ht="68.650000000000006" customHeight="1" x14ac:dyDescent="0.25">
      <c r="A23" s="264" t="s">
        <v>604</v>
      </c>
      <c r="B23" s="264"/>
      <c r="C23" s="233" t="s">
        <v>605</v>
      </c>
      <c r="D23" s="233"/>
      <c r="E23" s="233"/>
      <c r="F23" s="233"/>
      <c r="G23" s="168" t="s">
        <v>560</v>
      </c>
      <c r="H23" s="168" t="s">
        <v>23</v>
      </c>
      <c r="I23" s="169" t="s">
        <v>606</v>
      </c>
      <c r="J23" s="177" t="s">
        <v>607</v>
      </c>
      <c r="K23" s="233" t="s">
        <v>608</v>
      </c>
      <c r="L23" s="233"/>
      <c r="M23" s="233"/>
      <c r="N23" s="233"/>
      <c r="O23" s="168"/>
      <c r="P23" s="170"/>
      <c r="Q23" s="170"/>
      <c r="R23" s="171"/>
    </row>
    <row r="24" spans="1:18" ht="90" x14ac:dyDescent="0.25">
      <c r="A24" s="254" t="s">
        <v>609</v>
      </c>
      <c r="B24" s="255"/>
      <c r="C24" s="258" t="s">
        <v>610</v>
      </c>
      <c r="D24" s="259"/>
      <c r="E24" s="259"/>
      <c r="F24" s="260"/>
      <c r="G24" s="280" t="s">
        <v>110</v>
      </c>
      <c r="H24" s="280" t="s">
        <v>131</v>
      </c>
      <c r="I24" s="283" t="s">
        <v>611</v>
      </c>
      <c r="J24" s="286"/>
      <c r="K24" s="258" t="s">
        <v>187</v>
      </c>
      <c r="L24" s="259"/>
      <c r="M24" s="259"/>
      <c r="N24" s="260"/>
      <c r="O24" s="173" t="str">
        <f>'P-HorarioBarbero'!A8</f>
        <v>P-HBO-0003</v>
      </c>
      <c r="P24" s="172" t="str">
        <f>'P-HorarioBarbero'!B8</f>
        <v>Al desactivar un horario de trabajo del barbero, desactivar en cascada las agendas futuras que se habían generado a partir de ese horario</v>
      </c>
      <c r="Q24" s="172" t="s">
        <v>612</v>
      </c>
      <c r="R24" s="176" t="s">
        <v>450</v>
      </c>
    </row>
    <row r="25" spans="1:18" ht="105" x14ac:dyDescent="0.25">
      <c r="A25" s="275"/>
      <c r="B25" s="276"/>
      <c r="C25" s="277"/>
      <c r="D25" s="278"/>
      <c r="E25" s="278"/>
      <c r="F25" s="279"/>
      <c r="G25" s="281"/>
      <c r="H25" s="281"/>
      <c r="I25" s="284"/>
      <c r="J25" s="287"/>
      <c r="K25" s="277"/>
      <c r="L25" s="278"/>
      <c r="M25" s="278"/>
      <c r="N25" s="279"/>
      <c r="O25" s="173" t="str">
        <f>'P-HorarioBarbero'!A9</f>
        <v>P-HBO-0004</v>
      </c>
      <c r="P25" s="172" t="str">
        <f>'P-HorarioBarbero'!B9</f>
        <v>Cancelar las citas futuras que quedaron en esas agendas, dejándolas en el estado Cancelación por cambio de las políticas de horario de la barbería</v>
      </c>
      <c r="Q25" s="172" t="s">
        <v>452</v>
      </c>
      <c r="R25" s="176" t="s">
        <v>450</v>
      </c>
    </row>
    <row r="26" spans="1:18" ht="105" x14ac:dyDescent="0.25">
      <c r="A26" s="256"/>
      <c r="B26" s="257"/>
      <c r="C26" s="261"/>
      <c r="D26" s="262"/>
      <c r="E26" s="262"/>
      <c r="F26" s="263"/>
      <c r="G26" s="282"/>
      <c r="H26" s="282"/>
      <c r="I26" s="285"/>
      <c r="J26" s="288"/>
      <c r="K26" s="261"/>
      <c r="L26" s="262"/>
      <c r="M26" s="262"/>
      <c r="N26" s="263"/>
      <c r="O26" s="173" t="str">
        <f>'P-HorarioBarbero'!A10</f>
        <v>P-HBO-0005</v>
      </c>
      <c r="P26" s="172" t="str">
        <f>'P-HorarioBarbero'!B10</f>
        <v>Liberar los bloqueos futuros que el barbero tenía dentro de la jornada del horario que se desactiva, porque ya no hay disponibilidad que bloquear</v>
      </c>
      <c r="Q26" s="172" t="s">
        <v>613</v>
      </c>
      <c r="R26" s="176" t="s">
        <v>450</v>
      </c>
    </row>
    <row r="27" spans="1:18" ht="68.650000000000006" customHeight="1" x14ac:dyDescent="0.25">
      <c r="A27" s="198" t="s">
        <v>614</v>
      </c>
      <c r="B27" s="198"/>
      <c r="C27" s="199" t="s">
        <v>615</v>
      </c>
      <c r="D27" s="199"/>
      <c r="E27" s="199"/>
      <c r="F27" s="199"/>
      <c r="G27" s="28" t="s">
        <v>560</v>
      </c>
      <c r="H27" s="28" t="s">
        <v>23</v>
      </c>
      <c r="I27" s="29" t="s">
        <v>606</v>
      </c>
      <c r="J27" s="30" t="s">
        <v>607</v>
      </c>
      <c r="K27" s="199" t="s">
        <v>616</v>
      </c>
      <c r="L27" s="199"/>
      <c r="M27" s="199"/>
      <c r="N27" s="199"/>
      <c r="O27" s="28"/>
      <c r="P27" s="3"/>
      <c r="Q27" s="3"/>
      <c r="R27" s="31"/>
    </row>
  </sheetData>
  <mergeCells count="28">
    <mergeCell ref="A13:A17"/>
    <mergeCell ref="B13:B17"/>
    <mergeCell ref="A19:B20"/>
    <mergeCell ref="C19:F20"/>
    <mergeCell ref="G19:I19"/>
    <mergeCell ref="J19:N19"/>
    <mergeCell ref="O19:P19"/>
    <mergeCell ref="Q19:R19"/>
    <mergeCell ref="A21:B22"/>
    <mergeCell ref="C21:F22"/>
    <mergeCell ref="G21:G22"/>
    <mergeCell ref="H21:H22"/>
    <mergeCell ref="I21:I22"/>
    <mergeCell ref="J21:J22"/>
    <mergeCell ref="K21:N22"/>
    <mergeCell ref="A27:B27"/>
    <mergeCell ref="C27:F27"/>
    <mergeCell ref="K27:N27"/>
    <mergeCell ref="A23:B23"/>
    <mergeCell ref="C23:F23"/>
    <mergeCell ref="K23:N23"/>
    <mergeCell ref="A24:B26"/>
    <mergeCell ref="C24:F26"/>
    <mergeCell ref="G24:G26"/>
    <mergeCell ref="H24:H26"/>
    <mergeCell ref="I24:I26"/>
    <mergeCell ref="J24:J26"/>
    <mergeCell ref="K24:N26"/>
  </mergeCells>
  <hyperlinks>
    <hyperlink ref="A1" location="'Modelo de Dominio'!A1" display="&lt;&lt;&lt;&lt; Ir al modulo de dominio" xr:uid="{00000000-0004-0000-2A00-000000000000}"/>
    <hyperlink ref="B1" location="'Objetos de Dominio'!A1" display="&lt;&lt;&lt;&lt; Ir a objetos de dominio" xr:uid="{00000000-0004-0000-2A00-000001000000}"/>
    <hyperlink ref="D4" location="'C-Barbero'!A1" display="Barbero" xr:uid="{00000000-0004-0000-2A00-000002000000}"/>
    <hyperlink ref="D5" location="'C-HorarioBarberia'!A1" display="HorarioBarberia" xr:uid="{00000000-0004-0000-2A00-000003000000}"/>
    <hyperlink ref="A13" location="'M-HorarioBarbero'!A3" display="#'M-HorarioBarbero'.A3" xr:uid="{00000000-0004-0000-2A00-000004000000}"/>
    <hyperlink ref="B13" location="'M-HorarioBarbero'!A2" display="#'M-HorarioBarbero'.A2" xr:uid="{00000000-0004-0000-2A00-000005000000}"/>
  </hyperlinks>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0"/>
  <sheetViews>
    <sheetView showGridLines="0" zoomScaleNormal="100" workbookViewId="0"/>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Dominio'!A13</f>
        <v>HorarioBarbero</v>
      </c>
      <c r="C2" s="209"/>
      <c r="D2" s="209"/>
      <c r="E2" s="209"/>
    </row>
    <row r="3" spans="1:5" ht="30" customHeight="1" x14ac:dyDescent="0.25">
      <c r="A3" s="35" t="s">
        <v>82</v>
      </c>
      <c r="B3" s="210" t="str">
        <f>'Objetos de Dominio'!B13</f>
        <v>Representa el día de la semana en que trabaja un barbero, junto con la hora en la que empieza y termina su jornada de trabajo.</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30" customHeight="1" x14ac:dyDescent="0.25">
      <c r="A6" s="10" t="s">
        <v>617</v>
      </c>
      <c r="B6" s="247" t="s">
        <v>618</v>
      </c>
      <c r="C6" s="247"/>
      <c r="D6" s="36" t="s">
        <v>23</v>
      </c>
      <c r="E6" s="36"/>
    </row>
    <row r="7" spans="1:5" ht="30" customHeight="1" x14ac:dyDescent="0.25">
      <c r="A7" s="10" t="s">
        <v>619</v>
      </c>
      <c r="B7" s="247" t="s">
        <v>620</v>
      </c>
      <c r="C7" s="247"/>
      <c r="D7" s="36" t="s">
        <v>20</v>
      </c>
      <c r="E7" s="36"/>
    </row>
    <row r="8" spans="1:5" ht="30" customHeight="1" x14ac:dyDescent="0.25">
      <c r="A8" s="10" t="s">
        <v>621</v>
      </c>
      <c r="B8" s="247" t="s">
        <v>622</v>
      </c>
      <c r="C8" s="247"/>
      <c r="D8" s="36" t="s">
        <v>24</v>
      </c>
      <c r="E8" s="36"/>
    </row>
    <row r="9" spans="1:5" ht="30" customHeight="1" x14ac:dyDescent="0.25">
      <c r="A9" s="10" t="s">
        <v>623</v>
      </c>
      <c r="B9" s="247" t="s">
        <v>624</v>
      </c>
      <c r="C9" s="247"/>
      <c r="D9" s="36" t="s">
        <v>25</v>
      </c>
      <c r="E9" s="36"/>
    </row>
    <row r="10" spans="1:5" ht="30" customHeight="1" x14ac:dyDescent="0.25">
      <c r="A10" s="10" t="s">
        <v>625</v>
      </c>
      <c r="B10" s="247" t="s">
        <v>626</v>
      </c>
      <c r="C10" s="247"/>
      <c r="D10" s="36" t="s">
        <v>21</v>
      </c>
      <c r="E10" s="36"/>
    </row>
  </sheetData>
  <mergeCells count="11">
    <mergeCell ref="B2:E2"/>
    <mergeCell ref="B3:E3"/>
    <mergeCell ref="A4:A5"/>
    <mergeCell ref="B4:C5"/>
    <mergeCell ref="D4:D5"/>
    <mergeCell ref="E4:E5"/>
    <mergeCell ref="B6:C6"/>
    <mergeCell ref="B7:C7"/>
    <mergeCell ref="B8:C8"/>
    <mergeCell ref="B9:C9"/>
    <mergeCell ref="B10:C10"/>
  </mergeCells>
  <hyperlinks>
    <hyperlink ref="A1" location="'Modelo de Dominio'!A1" display="&lt;&lt; Ir al modelo de dominio" xr:uid="{00000000-0004-0000-2B00-000000000000}"/>
    <hyperlink ref="B1" location="'Objetos de Dominio'!A1" display="&lt;&lt; Ir al listado de objetos de dominio" xr:uid="{00000000-0004-0000-2B00-000001000000}"/>
    <hyperlink ref="C1" location="'C-HorarioBarbero'!A1" display="&lt;&lt; Ir a la caracterización del objeto de dominio" xr:uid="{00000000-0004-0000-2B00-000002000000}"/>
    <hyperlink ref="D1" location="'M-HorarioBarbero'!A1" display="Ir al muestreo de datos del objeto de dominio &gt;&gt;" xr:uid="{00000000-0004-0000-2B00-000003000000}"/>
    <hyperlink ref="E1" location="'E-HorarioBarbero'!A1" display="Ir al event storming del objeto de dominio &gt;&gt;" xr:uid="{00000000-0004-0000-2B00-000004000000}"/>
  </hyperlink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14"/>
  <sheetViews>
    <sheetView showGridLines="0" topLeftCell="C1" zoomScaleNormal="100" workbookViewId="0">
      <selection activeCell="J16" sqref="J16"/>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4" t="s">
        <v>81</v>
      </c>
      <c r="B2" s="196" t="str">
        <f>'Objetos de Dominio'!A13</f>
        <v>HorarioBarbero</v>
      </c>
      <c r="C2" s="196"/>
      <c r="D2" s="196"/>
      <c r="E2" s="196"/>
      <c r="F2" s="196"/>
      <c r="G2" s="196"/>
      <c r="H2" s="196"/>
      <c r="I2" s="196"/>
      <c r="J2" s="196"/>
      <c r="K2" s="196"/>
    </row>
    <row r="3" spans="1:11" ht="30" customHeight="1" x14ac:dyDescent="0.25">
      <c r="A3" s="35" t="s">
        <v>82</v>
      </c>
      <c r="B3" s="186" t="str">
        <f>'Objetos de Dominio'!B13</f>
        <v>Representa el día de la semana en que trabaja un barbero, junto con la hora en la que empieza y termina su jornada de trabajo.</v>
      </c>
      <c r="C3" s="186"/>
      <c r="D3" s="186"/>
      <c r="E3" s="186"/>
      <c r="F3" s="186"/>
      <c r="G3" s="186"/>
      <c r="H3" s="186"/>
      <c r="I3" s="186"/>
      <c r="J3" s="186"/>
      <c r="K3" s="186"/>
    </row>
    <row r="4" spans="1:11" ht="34.5" customHeight="1" x14ac:dyDescent="0.25">
      <c r="A4" s="39" t="s">
        <v>88</v>
      </c>
      <c r="B4" s="187" t="s">
        <v>89</v>
      </c>
      <c r="C4" s="187"/>
      <c r="D4" s="40" t="s">
        <v>90</v>
      </c>
      <c r="E4" s="188" t="s">
        <v>91</v>
      </c>
      <c r="F4" s="188"/>
      <c r="G4" s="189" t="s">
        <v>92</v>
      </c>
      <c r="H4" s="189"/>
      <c r="I4" s="42" t="s">
        <v>93</v>
      </c>
      <c r="J4" s="43" t="s">
        <v>94</v>
      </c>
      <c r="K4" s="44" t="s">
        <v>95</v>
      </c>
    </row>
    <row r="5" spans="1:11" ht="15" customHeight="1" x14ac:dyDescent="0.25">
      <c r="A5" s="190" t="s">
        <v>88</v>
      </c>
      <c r="B5" s="187" t="s">
        <v>96</v>
      </c>
      <c r="C5" s="187" t="s">
        <v>59</v>
      </c>
      <c r="D5" s="191" t="s">
        <v>97</v>
      </c>
      <c r="E5" s="188" t="s">
        <v>98</v>
      </c>
      <c r="F5" s="188"/>
      <c r="G5" s="189" t="s">
        <v>99</v>
      </c>
      <c r="H5" s="189"/>
      <c r="I5" s="192" t="s">
        <v>100</v>
      </c>
      <c r="J5" s="193" t="s">
        <v>101</v>
      </c>
      <c r="K5" s="194" t="s">
        <v>102</v>
      </c>
    </row>
    <row r="6" spans="1:11" ht="15" customHeight="1" x14ac:dyDescent="0.25">
      <c r="A6" s="190"/>
      <c r="B6" s="190"/>
      <c r="C6" s="190"/>
      <c r="D6" s="190"/>
      <c r="E6" s="41" t="s">
        <v>103</v>
      </c>
      <c r="F6" s="41" t="s">
        <v>59</v>
      </c>
      <c r="G6" s="45" t="s">
        <v>104</v>
      </c>
      <c r="H6" s="45" t="s">
        <v>59</v>
      </c>
      <c r="I6" s="192"/>
      <c r="J6" s="192"/>
      <c r="K6" s="192"/>
    </row>
    <row r="7" spans="1:11" ht="30" customHeight="1" x14ac:dyDescent="0.25">
      <c r="A7" s="204" t="s">
        <v>18</v>
      </c>
      <c r="B7" s="244" t="s">
        <v>597</v>
      </c>
      <c r="C7" s="244" t="s">
        <v>598</v>
      </c>
      <c r="D7" s="204" t="str">
        <f>$B$2</f>
        <v>HorarioBarbero</v>
      </c>
      <c r="E7" s="244"/>
      <c r="F7" s="244"/>
      <c r="G7" s="62" t="str">
        <f>'P-HorarioBarbero'!A6</f>
        <v>P-HBO-0001</v>
      </c>
      <c r="H7" s="13" t="s">
        <v>195</v>
      </c>
      <c r="I7" s="204"/>
      <c r="J7" s="244" t="s">
        <v>627</v>
      </c>
      <c r="K7" s="244"/>
    </row>
    <row r="8" spans="1:11" ht="30" customHeight="1" x14ac:dyDescent="0.25">
      <c r="A8" s="204"/>
      <c r="B8" s="204"/>
      <c r="C8" s="204"/>
      <c r="D8" s="204"/>
      <c r="E8" s="204"/>
      <c r="F8" s="204"/>
      <c r="G8" s="62" t="str">
        <f>'P-HorarioBarbero'!A7</f>
        <v>P-HBO-0002</v>
      </c>
      <c r="H8" s="13" t="s">
        <v>195</v>
      </c>
      <c r="I8" s="204"/>
      <c r="J8" s="204"/>
      <c r="K8" s="204"/>
    </row>
    <row r="9" spans="1:11" ht="30" customHeight="1" x14ac:dyDescent="0.25">
      <c r="A9" s="2" t="s">
        <v>18</v>
      </c>
      <c r="B9" s="46" t="s">
        <v>604</v>
      </c>
      <c r="C9" s="46" t="s">
        <v>605</v>
      </c>
      <c r="D9" s="2" t="str">
        <f>$B$2</f>
        <v>HorarioBarbero</v>
      </c>
      <c r="E9" s="46"/>
      <c r="F9" s="46"/>
      <c r="G9" s="2"/>
      <c r="H9" s="47"/>
      <c r="I9" s="2"/>
      <c r="J9" s="46" t="s">
        <v>628</v>
      </c>
      <c r="K9" s="46"/>
    </row>
    <row r="10" spans="1:11" ht="30" customHeight="1" x14ac:dyDescent="0.25">
      <c r="A10" s="204" t="s">
        <v>18</v>
      </c>
      <c r="B10" s="244" t="s">
        <v>609</v>
      </c>
      <c r="C10" s="244" t="s">
        <v>610</v>
      </c>
      <c r="D10" s="204" t="str">
        <f>$B$2</f>
        <v>HorarioBarbero</v>
      </c>
      <c r="E10" s="46" t="s">
        <v>24</v>
      </c>
      <c r="F10" s="46" t="s">
        <v>629</v>
      </c>
      <c r="G10" s="62" t="str">
        <f>'P-HorarioBarbero'!A8</f>
        <v>P-HBO-0003</v>
      </c>
      <c r="H10" s="13" t="str">
        <f>'P-HorarioBarbero'!B8</f>
        <v>Al desactivar un horario de trabajo del barbero, desactivar en cascada las agendas futuras que se habían generado a partir de ese horario</v>
      </c>
      <c r="I10" s="204"/>
      <c r="J10" s="244" t="s">
        <v>630</v>
      </c>
      <c r="K10" s="244"/>
    </row>
    <row r="11" spans="1:11" ht="30" customHeight="1" x14ac:dyDescent="0.25">
      <c r="A11" s="204"/>
      <c r="B11" s="204"/>
      <c r="C11" s="204"/>
      <c r="D11" s="204"/>
      <c r="E11" s="46" t="s">
        <v>25</v>
      </c>
      <c r="F11" s="46" t="s">
        <v>470</v>
      </c>
      <c r="G11" s="62" t="str">
        <f>'P-HorarioBarbero'!A9</f>
        <v>P-HBO-0004</v>
      </c>
      <c r="H11" s="13" t="str">
        <f>'P-HorarioBarbero'!B9</f>
        <v>Cancelar las citas futuras que quedaron en esas agendas, dejándolas en el estado Cancelación por cambio de las políticas de horario de la barbería</v>
      </c>
      <c r="I11" s="204"/>
      <c r="J11" s="204"/>
      <c r="K11" s="204"/>
    </row>
    <row r="12" spans="1:11" ht="30" customHeight="1" x14ac:dyDescent="0.25">
      <c r="A12" s="204"/>
      <c r="B12" s="204"/>
      <c r="C12" s="204"/>
      <c r="D12" s="204"/>
      <c r="E12" s="46" t="s">
        <v>21</v>
      </c>
      <c r="F12" s="46" t="s">
        <v>631</v>
      </c>
      <c r="G12" s="62" t="str">
        <f>'P-HorarioBarbero'!A10</f>
        <v>P-HBO-0005</v>
      </c>
      <c r="H12" s="13" t="str">
        <f>'P-HorarioBarbero'!B10</f>
        <v>Liberar los bloqueos futuros que el barbero tenía dentro de la jornada del horario que se desactiva, porque ya no hay disponibilidad que bloquear</v>
      </c>
      <c r="I12" s="204"/>
      <c r="J12" s="204"/>
      <c r="K12" s="204"/>
    </row>
    <row r="13" spans="1:11" ht="30" customHeight="1" x14ac:dyDescent="0.25">
      <c r="A13" s="204"/>
      <c r="B13" s="204"/>
      <c r="C13" s="204"/>
      <c r="D13" s="204"/>
      <c r="E13" s="46" t="s">
        <v>14</v>
      </c>
      <c r="F13" s="46" t="s">
        <v>471</v>
      </c>
      <c r="G13" s="62"/>
      <c r="H13" s="13"/>
      <c r="I13" s="204"/>
      <c r="J13" s="204"/>
      <c r="K13" s="204"/>
    </row>
    <row r="14" spans="1:11" ht="27" customHeight="1" x14ac:dyDescent="0.25">
      <c r="A14" s="2" t="s">
        <v>19</v>
      </c>
      <c r="B14" s="46" t="s">
        <v>614</v>
      </c>
      <c r="C14" s="46" t="s">
        <v>615</v>
      </c>
      <c r="D14" s="2" t="str">
        <f>$B$2</f>
        <v>HorarioBarbero</v>
      </c>
      <c r="E14" s="46"/>
      <c r="F14" s="46"/>
      <c r="G14" s="2"/>
      <c r="H14" s="47"/>
      <c r="I14" s="2"/>
      <c r="J14" s="46" t="s">
        <v>628</v>
      </c>
      <c r="K14" s="46"/>
    </row>
  </sheetData>
  <mergeCells count="34">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F7:F8"/>
    <mergeCell ref="I7:I8"/>
    <mergeCell ref="J7:J8"/>
    <mergeCell ref="K7:K8"/>
    <mergeCell ref="A10:A13"/>
    <mergeCell ref="B10:B13"/>
    <mergeCell ref="C10:C13"/>
    <mergeCell ref="D10:D13"/>
    <mergeCell ref="I10:I13"/>
    <mergeCell ref="J10:J13"/>
    <mergeCell ref="K10:K13"/>
    <mergeCell ref="A7:A8"/>
    <mergeCell ref="B7:B8"/>
    <mergeCell ref="C7:C8"/>
    <mergeCell ref="D7:D8"/>
    <mergeCell ref="E7:E8"/>
  </mergeCells>
  <hyperlinks>
    <hyperlink ref="A1" location="'Modelo de Dominio'!A1" display="&lt;&lt; Ir al modelo de dominio" xr:uid="{00000000-0004-0000-2C00-000000000000}"/>
    <hyperlink ref="C1" location="'Objetos de Dominio'!A1" display="&lt;&lt; Ir al listado de objetos de dominio" xr:uid="{00000000-0004-0000-2C00-000001000000}"/>
    <hyperlink ref="F1" location="'C-HorarioBarbero'!A1" display="&lt;&lt; Ir a la caracterización del objeto de dominio" xr:uid="{00000000-0004-0000-2C00-000002000000}"/>
    <hyperlink ref="J1" location="'M-HorarioBarbero'!A1" display="Ir al muestreo de datos del objeto de dominio &gt;&gt;" xr:uid="{00000000-0004-0000-2C00-000003000000}"/>
    <hyperlink ref="G7" location="'P-HorarioBarbero'!A6" display="#'P-HorarioBarbero'.A6" xr:uid="{00000000-0004-0000-2C00-000004000000}"/>
    <hyperlink ref="H7" location="'P-HorarioBarbero'!B6" display="aquí" xr:uid="{00000000-0004-0000-2C00-000005000000}"/>
    <hyperlink ref="G8" location="'P-HorarioBarbero'!A7" display="#'P-HorarioBarbero'.A7" xr:uid="{00000000-0004-0000-2C00-000006000000}"/>
    <hyperlink ref="H8" location="'P-HorarioBarbero'!B7" display="aquí" xr:uid="{00000000-0004-0000-2C00-000007000000}"/>
    <hyperlink ref="G10" location="'P-HorarioBarbero'!A8" display="#'P-HorarioBarbero'.A8" xr:uid="{00000000-0004-0000-2C00-000008000000}"/>
    <hyperlink ref="H10" location="'P-HorarioBarbero'!B8" display="#'P-HorarioBarbero'.B8" xr:uid="{00000000-0004-0000-2C00-000009000000}"/>
  </hyperlink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21"/>
  <sheetViews>
    <sheetView topLeftCell="C1" zoomScaleNormal="100" workbookViewId="0">
      <selection activeCell="F14" sqref="F14"/>
    </sheetView>
  </sheetViews>
  <sheetFormatPr baseColWidth="10" defaultColWidth="8.7109375" defaultRowHeight="15" x14ac:dyDescent="0.25"/>
  <cols>
    <col min="1" max="1" width="27" customWidth="1"/>
    <col min="2" max="2" width="26.140625" customWidth="1"/>
    <col min="3" max="3" width="20.5703125" customWidth="1"/>
    <col min="4" max="4" width="24.42578125" customWidth="1"/>
    <col min="5" max="5" width="38.42578125" customWidth="1"/>
    <col min="6" max="6" width="26.42578125" customWidth="1"/>
    <col min="7" max="7" width="34" customWidth="1"/>
    <col min="8" max="8" width="26" customWidth="1"/>
    <col min="9" max="9" width="41.42578125" customWidth="1"/>
  </cols>
  <sheetData>
    <row r="1" spans="1:9" ht="14.25" customHeight="1" x14ac:dyDescent="0.25">
      <c r="A1" s="6" t="s">
        <v>1</v>
      </c>
      <c r="B1" s="6" t="s">
        <v>28</v>
      </c>
      <c r="C1" s="6"/>
      <c r="D1" s="6"/>
      <c r="E1" s="6"/>
      <c r="F1" s="6"/>
      <c r="G1" s="6"/>
      <c r="H1" s="6"/>
    </row>
    <row r="2" spans="1:9" ht="51.75" customHeight="1" x14ac:dyDescent="0.25">
      <c r="A2" s="48" t="s">
        <v>107</v>
      </c>
      <c r="B2" s="48" t="s">
        <v>632</v>
      </c>
      <c r="C2" s="48" t="s">
        <v>633</v>
      </c>
      <c r="D2" s="48" t="s">
        <v>634</v>
      </c>
      <c r="E2" s="48" t="s">
        <v>635</v>
      </c>
      <c r="F2" s="48" t="s">
        <v>636</v>
      </c>
      <c r="G2" s="48" t="s">
        <v>637</v>
      </c>
      <c r="H2" s="48" t="s">
        <v>638</v>
      </c>
      <c r="I2" s="73" t="s">
        <v>639</v>
      </c>
    </row>
    <row r="3" spans="1:9" ht="14.25" customHeight="1" x14ac:dyDescent="0.25">
      <c r="A3" s="50" t="s">
        <v>110</v>
      </c>
      <c r="B3" s="84" t="s">
        <v>541</v>
      </c>
      <c r="C3" s="84" t="s">
        <v>640</v>
      </c>
      <c r="D3" s="51" t="s">
        <v>641</v>
      </c>
      <c r="E3" s="51" t="s">
        <v>642</v>
      </c>
      <c r="F3" s="85" t="s">
        <v>482</v>
      </c>
      <c r="G3" s="85" t="s">
        <v>483</v>
      </c>
      <c r="H3" s="51" t="s">
        <v>347</v>
      </c>
      <c r="I3" s="52" t="s">
        <v>268</v>
      </c>
    </row>
    <row r="4" spans="1:9" ht="28.5" customHeight="1" x14ac:dyDescent="0.25">
      <c r="A4" s="53">
        <v>1</v>
      </c>
      <c r="B4" s="121" t="str">
        <f>'M-Barbero'!L4</f>
        <v>+57-3245627890</v>
      </c>
      <c r="C4" s="121" t="str">
        <f>'M-HorarioBarberia'!H4</f>
        <v>Lunes-09:00-19:00-12/11/2023-1/01/1000</v>
      </c>
      <c r="D4" s="102">
        <v>0.41666666666666702</v>
      </c>
      <c r="E4" s="102">
        <v>0.66666666666666696</v>
      </c>
      <c r="F4" s="103">
        <v>45780</v>
      </c>
      <c r="G4" s="103" t="s">
        <v>433</v>
      </c>
      <c r="H4" s="102" t="s">
        <v>210</v>
      </c>
      <c r="I4" s="65" t="str">
        <f>_xlfn.CONCAT(B4,"-",C4,"-",TEXT(D4,"hh:mm"),"-",TEXT(E4,"hh:mm"))</f>
        <v>+57-3245627890-Lunes-09:00-19:00-12/11/2023-1/01/1000-10:00-16:00</v>
      </c>
    </row>
    <row r="5" spans="1:9" ht="28.5" customHeight="1" x14ac:dyDescent="0.25">
      <c r="A5" s="53">
        <v>2</v>
      </c>
      <c r="B5" s="121" t="str">
        <f>'M-Barbero'!L5</f>
        <v>+57-3124518923</v>
      </c>
      <c r="C5" s="121" t="str">
        <f>'M-HorarioBarberia'!H5</f>
        <v>Martes-09:00-19:00-12/11/2023-1/01/1000</v>
      </c>
      <c r="D5" s="102">
        <v>0.375</v>
      </c>
      <c r="E5" s="102">
        <v>0.625</v>
      </c>
      <c r="F5" s="103">
        <v>45718</v>
      </c>
      <c r="G5" s="103" t="s">
        <v>433</v>
      </c>
      <c r="H5" s="102" t="s">
        <v>210</v>
      </c>
      <c r="I5" s="65" t="str">
        <f>_xlfn.CONCAT(B5,"-",C5,"-",TEXT(D5,"hh:mm"),"-",TEXT(E5,"hh:mm"))</f>
        <v>+57-3124518923-Martes-09:00-19:00-12/11/2023-1/01/1000-09:00-15:00</v>
      </c>
    </row>
    <row r="6" spans="1:9" ht="28.5" customHeight="1" x14ac:dyDescent="0.25">
      <c r="A6" s="53">
        <v>3</v>
      </c>
      <c r="B6" s="121" t="str">
        <f>'M-Barbero'!L6</f>
        <v>+57-3214533321</v>
      </c>
      <c r="C6" s="121" t="str">
        <f>'M-HorarioBarberia'!H7</f>
        <v>Jueves-09:00-19:00-12/11/2023-1/01/1000</v>
      </c>
      <c r="D6" s="102">
        <v>0.54166666666666696</v>
      </c>
      <c r="E6" s="102">
        <v>0.79166666666666696</v>
      </c>
      <c r="F6" s="103">
        <v>44917</v>
      </c>
      <c r="G6" s="129" t="s">
        <v>433</v>
      </c>
      <c r="H6" s="102" t="s">
        <v>210</v>
      </c>
      <c r="I6" s="65" t="str">
        <f>_xlfn.CONCAT(B6,"-",C6,"-",TEXT(D6,"hh:mm"),"-",TEXT(E6,"hh:mm"))</f>
        <v>+57-3214533321-Jueves-09:00-19:00-12/11/2023-1/01/1000-13:00-19:00</v>
      </c>
    </row>
    <row r="7" spans="1:9" ht="28.5" customHeight="1" x14ac:dyDescent="0.25">
      <c r="A7" s="53">
        <v>4</v>
      </c>
      <c r="B7" s="121" t="str">
        <f>'M-Barbero'!L7</f>
        <v>+91-9876543210</v>
      </c>
      <c r="C7" s="121" t="str">
        <f>'M-HorarioBarberia'!H9</f>
        <v>Sábado-08:00-21:00-12/12/2024-1/01/1000</v>
      </c>
      <c r="D7" s="102">
        <v>0.33333333333333298</v>
      </c>
      <c r="E7" s="102">
        <v>0.58333333333333304</v>
      </c>
      <c r="F7" s="130">
        <v>45915</v>
      </c>
      <c r="G7" s="103">
        <v>46023</v>
      </c>
      <c r="H7" s="131" t="s">
        <v>363</v>
      </c>
      <c r="I7" s="65" t="str">
        <f>_xlfn.CONCAT(B7,"-",C7,"-",TEXT(D7,"hh:mm"),"-",TEXT(E7,"hh:mm"))</f>
        <v>+91-9876543210-Sábado-08:00-21:00-12/12/2024-1/01/1000-08:00-14:00</v>
      </c>
    </row>
    <row r="8" spans="1:9" ht="28.5" customHeight="1" x14ac:dyDescent="0.25">
      <c r="A8" s="53">
        <v>5</v>
      </c>
      <c r="B8" s="121" t="str">
        <f>'M-Barbero'!L7</f>
        <v>+91-9876543210</v>
      </c>
      <c r="C8" s="121" t="str">
        <f>'M-HorarioBarberia'!H10</f>
        <v>Festivo-10:00-15:00-12/12/2024-1/01/1000</v>
      </c>
      <c r="D8" s="102">
        <v>0.5</v>
      </c>
      <c r="E8" s="102">
        <v>0.625</v>
      </c>
      <c r="F8" s="130">
        <v>46054</v>
      </c>
      <c r="G8" s="103">
        <v>46083</v>
      </c>
      <c r="H8" s="131" t="s">
        <v>363</v>
      </c>
      <c r="I8" s="65" t="str">
        <f>_xlfn.CONCAT(B8,"-",C8,"-",TEXT(D8,"hh:mm"),"-",TEXT(E8,"hh:mm"))</f>
        <v>+91-9876543210-Festivo-10:00-15:00-12/12/2024-1/01/1000-12:00-15:00</v>
      </c>
    </row>
    <row r="10" spans="1:9" ht="14.25" customHeight="1" x14ac:dyDescent="0.25">
      <c r="G10" s="132"/>
    </row>
    <row r="14" spans="1:9" ht="28.5" customHeight="1" x14ac:dyDescent="0.25">
      <c r="A14" s="56"/>
      <c r="B14" s="57" t="s">
        <v>120</v>
      </c>
      <c r="C14" s="57"/>
    </row>
    <row r="15" spans="1:9" ht="28.5" customHeight="1" x14ac:dyDescent="0.25">
      <c r="A15" s="58"/>
      <c r="B15" s="57" t="s">
        <v>121</v>
      </c>
      <c r="C15" s="57"/>
    </row>
    <row r="16" spans="1:9" ht="28.5" customHeight="1" x14ac:dyDescent="0.25">
      <c r="A16" s="87"/>
      <c r="B16" s="57" t="s">
        <v>366</v>
      </c>
      <c r="C16" s="57"/>
    </row>
    <row r="17" spans="1:3" ht="28.5" customHeight="1" x14ac:dyDescent="0.25">
      <c r="A17" s="88"/>
      <c r="B17" s="57" t="s">
        <v>367</v>
      </c>
      <c r="C17" s="57"/>
    </row>
    <row r="18" spans="1:3" ht="28.5" customHeight="1" x14ac:dyDescent="0.25">
      <c r="A18" s="59"/>
      <c r="B18" s="57" t="s">
        <v>122</v>
      </c>
      <c r="C18" s="57"/>
    </row>
    <row r="19" spans="1:3" ht="28.5" customHeight="1" x14ac:dyDescent="0.25">
      <c r="A19" s="106"/>
      <c r="B19" s="57" t="s">
        <v>123</v>
      </c>
      <c r="C19" s="57"/>
    </row>
    <row r="20" spans="1:3" ht="28.5" customHeight="1" x14ac:dyDescent="0.25">
      <c r="B20" s="57"/>
      <c r="C20" s="57"/>
    </row>
    <row r="21" spans="1:3" ht="28.5" customHeight="1" x14ac:dyDescent="0.25">
      <c r="B21" s="57"/>
      <c r="C21" s="57"/>
    </row>
  </sheetData>
  <hyperlinks>
    <hyperlink ref="A1" location="'Modelo de Dominio'!A1" display="&lt;&lt;&lt;&lt; Ir al modulo de dominio" xr:uid="{00000000-0004-0000-2D00-000000000000}"/>
    <hyperlink ref="B1" location="'Objetos de Dominio'!A1" display="&lt;&lt;&lt;&lt; Ir a objetos de dominio" xr:uid="{00000000-0004-0000-2D00-000001000000}"/>
    <hyperlink ref="B3" location="'M-Barbero'!A1" display="barbero" xr:uid="{00000000-0004-0000-2D00-000002000000}"/>
    <hyperlink ref="C3" location="'M-HorarioBarberia'!A1" display="horarioDeLaBarberia" xr:uid="{00000000-0004-0000-2D00-000003000000}"/>
    <hyperlink ref="B4" location="'M-Barbero'!A4" display="#'M-Barbero'.A4" xr:uid="{00000000-0004-0000-2D00-000004000000}"/>
    <hyperlink ref="C4" location="'M-HorarioBarberia'!A4" display="#'M-HorarioBarberia'.A4" xr:uid="{00000000-0004-0000-2D00-000005000000}"/>
    <hyperlink ref="B5" location="'M-Barbero'!A5" display="#'M-Barbero'.A5" xr:uid="{00000000-0004-0000-2D00-000006000000}"/>
    <hyperlink ref="C5" location="'M-HorarioBarberia'!A5" display="#'M-HorarioBarberia'.A5" xr:uid="{00000000-0004-0000-2D00-000007000000}"/>
    <hyperlink ref="B6" location="'M-Barbero'!A6" display="#'M-Barbero'.A6" xr:uid="{00000000-0004-0000-2D00-000008000000}"/>
    <hyperlink ref="C6" location="'M-HorarioBarberia'!A7" display="#'M-HorarioBarberia'.A7" xr:uid="{00000000-0004-0000-2D00-000009000000}"/>
    <hyperlink ref="B7" location="'M-Barbero'!A7" display="#'M-Barbero'.A7" xr:uid="{00000000-0004-0000-2D00-00000A000000}"/>
    <hyperlink ref="C7" location="'M-HorarioBarberia'!A9" display="#'M-HorarioBarberia'.A9" xr:uid="{00000000-0004-0000-2D00-00000B000000}"/>
    <hyperlink ref="B8" location="'M-Barbero'!A7" display="#'M-Barbero'.A7" xr:uid="{00000000-0004-0000-2D00-00000C000000}"/>
    <hyperlink ref="C8" location="'M-HorarioBarberia'!A10" display="#'M-HorarioBarberia'.A10" xr:uid="{00000000-0004-0000-2D00-00000D000000}"/>
  </hyperlink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16"/>
  <sheetViews>
    <sheetView topLeftCell="A14" zoomScaleNormal="100" workbookViewId="0">
      <selection activeCell="A15" sqref="A15:B15"/>
    </sheetView>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5" width="18" customWidth="1"/>
    <col min="7" max="11" width="13" customWidth="1"/>
    <col min="13" max="13" width="40" customWidth="1"/>
    <col min="14" max="14" width="18" customWidth="1"/>
    <col min="15" max="17" width="13" customWidth="1"/>
    <col min="18" max="18" width="16.28515625" bestFit="1" customWidth="1"/>
  </cols>
  <sheetData>
    <row r="1" spans="1:21" ht="15" customHeight="1" x14ac:dyDescent="0.25">
      <c r="A1" s="6" t="s">
        <v>1</v>
      </c>
      <c r="B1" s="6" t="s">
        <v>28</v>
      </c>
    </row>
    <row r="2" spans="1:21" ht="45" customHeight="1" x14ac:dyDescent="0.25">
      <c r="A2" s="107" t="s">
        <v>29</v>
      </c>
      <c r="B2" s="107" t="s">
        <v>30</v>
      </c>
      <c r="C2" s="107" t="s">
        <v>31</v>
      </c>
      <c r="D2" s="107" t="s">
        <v>32</v>
      </c>
      <c r="E2" s="107" t="s">
        <v>33</v>
      </c>
      <c r="F2" s="107" t="s">
        <v>34</v>
      </c>
      <c r="G2" s="107" t="s">
        <v>35</v>
      </c>
      <c r="H2" s="107" t="s">
        <v>36</v>
      </c>
      <c r="I2" s="107" t="s">
        <v>37</v>
      </c>
      <c r="J2" s="107" t="s">
        <v>38</v>
      </c>
      <c r="K2" s="107" t="s">
        <v>39</v>
      </c>
      <c r="L2" s="107" t="s">
        <v>40</v>
      </c>
      <c r="M2" s="107" t="s">
        <v>41</v>
      </c>
      <c r="N2" s="107" t="s">
        <v>42</v>
      </c>
      <c r="O2" s="107" t="s">
        <v>43</v>
      </c>
      <c r="P2" s="107" t="s">
        <v>44</v>
      </c>
      <c r="Q2" s="107" t="s">
        <v>45</v>
      </c>
      <c r="R2" s="107" t="s">
        <v>46</v>
      </c>
      <c r="S2" s="107" t="s">
        <v>47</v>
      </c>
      <c r="T2" s="107" t="s">
        <v>48</v>
      </c>
      <c r="U2" s="107" t="s">
        <v>49</v>
      </c>
    </row>
    <row r="3" spans="1:21" ht="45" customHeight="1" x14ac:dyDescent="0.25">
      <c r="A3" s="81" t="str">
        <f>'M-Agenda'!A3</f>
        <v>id</v>
      </c>
      <c r="B3" s="108" t="str">
        <f>'M-Agenda'!A2</f>
        <v>Representa un identificador que hará unico cada objeto de dominio de este tipo, no se puede repetir</v>
      </c>
      <c r="C3" s="81" t="s">
        <v>50</v>
      </c>
      <c r="D3" s="81" t="s">
        <v>51</v>
      </c>
      <c r="E3" s="81" t="s">
        <v>50</v>
      </c>
      <c r="F3" s="81" t="s">
        <v>52</v>
      </c>
      <c r="G3" s="81" t="s">
        <v>52</v>
      </c>
      <c r="H3" s="81" t="s">
        <v>52</v>
      </c>
      <c r="I3" s="81" t="s">
        <v>52</v>
      </c>
      <c r="J3" s="81" t="s">
        <v>52</v>
      </c>
      <c r="K3" s="81" t="s">
        <v>52</v>
      </c>
      <c r="L3" s="81" t="s">
        <v>52</v>
      </c>
      <c r="M3" s="81" t="s">
        <v>52</v>
      </c>
      <c r="N3" s="81" t="s">
        <v>53</v>
      </c>
      <c r="O3" s="81" t="s">
        <v>53</v>
      </c>
      <c r="P3" s="81" t="s">
        <v>52</v>
      </c>
      <c r="Q3" s="81" t="s">
        <v>53</v>
      </c>
      <c r="R3" s="81" t="s">
        <v>53</v>
      </c>
      <c r="S3" s="81" t="s">
        <v>53</v>
      </c>
      <c r="T3" s="81" t="s">
        <v>54</v>
      </c>
      <c r="U3" s="81" t="s">
        <v>50</v>
      </c>
    </row>
    <row r="4" spans="1:21" ht="45" customHeight="1" x14ac:dyDescent="0.25">
      <c r="A4" s="81" t="str">
        <f>'M-Agenda'!B3</f>
        <v>horarioDelBarbero</v>
      </c>
      <c r="B4" s="108" t="str">
        <f>'M-Agenda'!B2</f>
        <v>Hace referencia al horario de trabajo del barbero (día de la semana, hora de inicio y hora final) al que pertenece esta agenda</v>
      </c>
      <c r="C4" s="81" t="s">
        <v>53</v>
      </c>
      <c r="D4" s="109" t="s">
        <v>23</v>
      </c>
      <c r="E4" s="81" t="s">
        <v>50</v>
      </c>
      <c r="F4" s="81" t="s">
        <v>52</v>
      </c>
      <c r="G4" s="81" t="s">
        <v>52</v>
      </c>
      <c r="H4" s="81" t="s">
        <v>52</v>
      </c>
      <c r="I4" s="81" t="s">
        <v>52</v>
      </c>
      <c r="J4" s="81" t="s">
        <v>52</v>
      </c>
      <c r="K4" s="81" t="s">
        <v>52</v>
      </c>
      <c r="L4" s="81" t="s">
        <v>52</v>
      </c>
      <c r="M4" s="19" t="s">
        <v>276</v>
      </c>
      <c r="N4" s="81" t="s">
        <v>53</v>
      </c>
      <c r="O4" s="81" t="s">
        <v>52</v>
      </c>
      <c r="P4" s="81" t="s">
        <v>52</v>
      </c>
      <c r="Q4" s="81" t="s">
        <v>52</v>
      </c>
      <c r="R4" s="81" t="s">
        <v>52</v>
      </c>
      <c r="S4" s="81" t="s">
        <v>53</v>
      </c>
      <c r="T4" s="81" t="s">
        <v>54</v>
      </c>
      <c r="U4" s="81" t="s">
        <v>53</v>
      </c>
    </row>
    <row r="5" spans="1:21" ht="30" customHeight="1" x14ac:dyDescent="0.25">
      <c r="A5" s="81" t="str">
        <f>'M-Agenda'!C3</f>
        <v>fecha</v>
      </c>
      <c r="B5" s="108" t="str">
        <f>'M-Agenda'!C2</f>
        <v>Representa la fecha específica en el que la agenda va a guardar las citas de ese barbero</v>
      </c>
      <c r="C5" s="81" t="s">
        <v>53</v>
      </c>
      <c r="D5" s="124" t="s">
        <v>432</v>
      </c>
      <c r="E5" s="81" t="s">
        <v>50</v>
      </c>
      <c r="F5" s="81" t="s">
        <v>52</v>
      </c>
      <c r="G5" s="81" t="s">
        <v>52</v>
      </c>
      <c r="H5" s="81" t="s">
        <v>52</v>
      </c>
      <c r="I5" s="81" t="s">
        <v>52</v>
      </c>
      <c r="J5" s="81" t="s">
        <v>52</v>
      </c>
      <c r="K5" s="81" t="s">
        <v>52</v>
      </c>
      <c r="L5" s="81" t="s">
        <v>52</v>
      </c>
      <c r="M5" s="19" t="s">
        <v>52</v>
      </c>
      <c r="N5" s="81" t="s">
        <v>53</v>
      </c>
      <c r="O5" s="81" t="s">
        <v>52</v>
      </c>
      <c r="P5" s="81" t="s">
        <v>52</v>
      </c>
      <c r="Q5" s="81" t="s">
        <v>52</v>
      </c>
      <c r="R5" s="81" t="s">
        <v>52</v>
      </c>
      <c r="S5" s="81" t="s">
        <v>53</v>
      </c>
      <c r="T5" s="81" t="s">
        <v>594</v>
      </c>
      <c r="U5" s="81" t="s">
        <v>50</v>
      </c>
    </row>
    <row r="7" spans="1:21" ht="15" customHeight="1" x14ac:dyDescent="0.25">
      <c r="A7" s="20" t="s">
        <v>58</v>
      </c>
      <c r="B7" s="20" t="s">
        <v>59</v>
      </c>
      <c r="C7" s="20" t="s">
        <v>60</v>
      </c>
    </row>
    <row r="8" spans="1:21" ht="21" customHeight="1" x14ac:dyDescent="0.25">
      <c r="A8" s="265" t="str">
        <f>'M-Agenda'!D3</f>
        <v xml:space="preserve">Combinación única </v>
      </c>
      <c r="B8" s="266" t="str">
        <f>'M-Agenda'!D2</f>
        <v>Combinación única que indica que un mismo horario de barbero no puede tener más de una agenda para el mismo día</v>
      </c>
      <c r="C8" s="21" t="str">
        <f>A4</f>
        <v>horarioDelBarbero</v>
      </c>
    </row>
    <row r="9" spans="1:21" ht="21.75" customHeight="1" x14ac:dyDescent="0.25">
      <c r="A9" s="265"/>
      <c r="B9" s="265"/>
      <c r="C9" s="21" t="str">
        <f>A5</f>
        <v>fecha</v>
      </c>
    </row>
    <row r="11" spans="1:21" x14ac:dyDescent="0.25">
      <c r="A11" s="203" t="s">
        <v>62</v>
      </c>
      <c r="B11" s="203"/>
      <c r="C11" s="197" t="s">
        <v>59</v>
      </c>
      <c r="D11" s="197"/>
      <c r="E11" s="197"/>
      <c r="F11" s="197"/>
      <c r="G11" s="197" t="s">
        <v>63</v>
      </c>
      <c r="H11" s="197"/>
      <c r="I11" s="197"/>
      <c r="J11" s="197" t="s">
        <v>64</v>
      </c>
      <c r="K11" s="197"/>
      <c r="L11" s="197"/>
      <c r="M11" s="197"/>
      <c r="N11" s="197"/>
      <c r="O11" s="197" t="s">
        <v>65</v>
      </c>
      <c r="P11" s="197"/>
      <c r="Q11" s="197" t="s">
        <v>66</v>
      </c>
      <c r="R11" s="197"/>
    </row>
    <row r="12" spans="1:21" x14ac:dyDescent="0.25">
      <c r="A12" s="203"/>
      <c r="B12" s="203"/>
      <c r="C12" s="197"/>
      <c r="D12" s="197"/>
      <c r="E12" s="197"/>
      <c r="F12" s="197"/>
      <c r="G12" s="24" t="s">
        <v>67</v>
      </c>
      <c r="H12" s="24" t="s">
        <v>32</v>
      </c>
      <c r="I12" s="24" t="s">
        <v>59</v>
      </c>
      <c r="J12" s="24" t="s">
        <v>68</v>
      </c>
      <c r="K12" s="200" t="s">
        <v>59</v>
      </c>
      <c r="L12" s="201"/>
      <c r="M12" s="201"/>
      <c r="N12" s="202"/>
      <c r="O12" s="24" t="s">
        <v>69</v>
      </c>
      <c r="P12" s="24" t="s">
        <v>59</v>
      </c>
      <c r="Q12" s="24" t="s">
        <v>70</v>
      </c>
      <c r="R12" s="27" t="s">
        <v>71</v>
      </c>
    </row>
    <row r="13" spans="1:21" ht="150" x14ac:dyDescent="0.25">
      <c r="A13" s="215" t="s">
        <v>643</v>
      </c>
      <c r="B13" s="216"/>
      <c r="C13" s="219" t="s">
        <v>644</v>
      </c>
      <c r="D13" s="220"/>
      <c r="E13" s="220"/>
      <c r="F13" s="221"/>
      <c r="G13" s="227" t="s">
        <v>645</v>
      </c>
      <c r="H13" s="227" t="s">
        <v>24</v>
      </c>
      <c r="I13" s="229" t="s">
        <v>646</v>
      </c>
      <c r="J13" s="231" t="s">
        <v>24</v>
      </c>
      <c r="K13" s="219" t="s">
        <v>647</v>
      </c>
      <c r="L13" s="220"/>
      <c r="M13" s="220"/>
      <c r="N13" s="221"/>
      <c r="O13" s="28" t="str">
        <f>'P-Agenda'!A6</f>
        <v>P-AGE-0001</v>
      </c>
      <c r="P13" s="3" t="str">
        <f>'P-Agenda'!B6</f>
        <v>Asegurar que no exista ya una agenda para ese mismo horario de barbero y esa misma fecha</v>
      </c>
      <c r="Q13" s="3" t="s">
        <v>648</v>
      </c>
      <c r="R13" s="31" t="s">
        <v>134</v>
      </c>
    </row>
    <row r="14" spans="1:21" ht="150" x14ac:dyDescent="0.25">
      <c r="A14" s="217"/>
      <c r="B14" s="218"/>
      <c r="C14" s="222"/>
      <c r="D14" s="223"/>
      <c r="E14" s="223"/>
      <c r="F14" s="224"/>
      <c r="G14" s="228"/>
      <c r="H14" s="228"/>
      <c r="I14" s="230"/>
      <c r="J14" s="232"/>
      <c r="K14" s="222"/>
      <c r="L14" s="223"/>
      <c r="M14" s="223"/>
      <c r="N14" s="224"/>
      <c r="O14" s="28" t="str">
        <f>'P-Agenda'!A7</f>
        <v>P-AGE-0002</v>
      </c>
      <c r="P14" s="3" t="str">
        <f>'P-Agenda'!B7</f>
        <v>Asegurar que el barbero esté vigente antes de abrirle una nueva agenda</v>
      </c>
      <c r="Q14" s="3" t="s">
        <v>649</v>
      </c>
      <c r="R14" s="31" t="s">
        <v>134</v>
      </c>
    </row>
    <row r="15" spans="1:21" ht="176.1" customHeight="1" x14ac:dyDescent="0.25">
      <c r="A15" s="264" t="s">
        <v>650</v>
      </c>
      <c r="B15" s="264"/>
      <c r="C15" s="233" t="s">
        <v>651</v>
      </c>
      <c r="D15" s="233"/>
      <c r="E15" s="233"/>
      <c r="F15" s="233"/>
      <c r="G15" s="168" t="s">
        <v>501</v>
      </c>
      <c r="H15" s="168" t="s">
        <v>24</v>
      </c>
      <c r="I15" s="169" t="s">
        <v>652</v>
      </c>
      <c r="J15" s="177" t="s">
        <v>653</v>
      </c>
      <c r="K15" s="233" t="s">
        <v>654</v>
      </c>
      <c r="L15" s="233"/>
      <c r="M15" s="233"/>
      <c r="N15" s="233"/>
      <c r="O15" s="168" t="str">
        <f>'P-Agenda'!A8</f>
        <v>P-AGE-0003</v>
      </c>
      <c r="P15" s="170" t="str">
        <f>'P-Agenda'!B8</f>
        <v>Al consultar la disponibilidad de una agenda, descontar de la jornada del barbero las horas que ya tienen una cita y las que están cubiertas por un bloqueo</v>
      </c>
      <c r="Q15" s="170" t="s">
        <v>655</v>
      </c>
      <c r="R15" s="171" t="s">
        <v>134</v>
      </c>
    </row>
    <row r="16" spans="1:21" ht="68.650000000000006" customHeight="1" x14ac:dyDescent="0.25">
      <c r="A16" s="213" t="s">
        <v>656</v>
      </c>
      <c r="B16" s="213"/>
      <c r="C16" s="214" t="s">
        <v>657</v>
      </c>
      <c r="D16" s="214"/>
      <c r="E16" s="214"/>
      <c r="F16" s="214"/>
      <c r="G16" s="173" t="s">
        <v>501</v>
      </c>
      <c r="H16" s="173" t="s">
        <v>24</v>
      </c>
      <c r="I16" s="174" t="s">
        <v>658</v>
      </c>
      <c r="J16" s="175" t="s">
        <v>659</v>
      </c>
      <c r="K16" s="214" t="s">
        <v>660</v>
      </c>
      <c r="L16" s="214"/>
      <c r="M16" s="214"/>
      <c r="N16" s="214"/>
      <c r="O16" s="173"/>
      <c r="P16" s="172"/>
      <c r="Q16" s="172"/>
      <c r="R16" s="176"/>
    </row>
  </sheetData>
  <mergeCells count="22">
    <mergeCell ref="A8:A9"/>
    <mergeCell ref="B8:B9"/>
    <mergeCell ref="A11:B12"/>
    <mergeCell ref="C11:F12"/>
    <mergeCell ref="G11:I11"/>
    <mergeCell ref="J11:N11"/>
    <mergeCell ref="O11:P11"/>
    <mergeCell ref="Q11:R11"/>
    <mergeCell ref="A13:B14"/>
    <mergeCell ref="C13:F14"/>
    <mergeCell ref="G13:G14"/>
    <mergeCell ref="H13:H14"/>
    <mergeCell ref="I13:I14"/>
    <mergeCell ref="J13:J14"/>
    <mergeCell ref="K12:N12"/>
    <mergeCell ref="K13:N14"/>
    <mergeCell ref="A16:B16"/>
    <mergeCell ref="C16:F16"/>
    <mergeCell ref="K16:N16"/>
    <mergeCell ref="A15:B15"/>
    <mergeCell ref="C15:F15"/>
    <mergeCell ref="K15:N15"/>
  </mergeCells>
  <hyperlinks>
    <hyperlink ref="A1" location="'Modelo de Dominio'!A1" display="&lt;&lt;&lt;&lt; Ir al modulo de dominio" xr:uid="{00000000-0004-0000-2E00-000000000000}"/>
    <hyperlink ref="B1" location="'Objetos de Dominio'!A1" display="&lt;&lt;&lt;&lt; Ir a objetos de dominio" xr:uid="{00000000-0004-0000-2E00-000001000000}"/>
    <hyperlink ref="A3" location="'M-Agenda'!A3" display="#'M-Agenda'.A3" xr:uid="{00000000-0004-0000-2E00-000002000000}"/>
    <hyperlink ref="B3" location="'M-Agenda'!A2" display="#'M-Agenda'.A2" xr:uid="{00000000-0004-0000-2E00-000003000000}"/>
    <hyperlink ref="A4" location="'M-Agenda'!A3" display="#'M-Agenda'.A3" xr:uid="{00000000-0004-0000-2E00-000004000000}"/>
    <hyperlink ref="B4" location="'M-Agenda'!A2" display="#'M-Agenda'.A2" xr:uid="{00000000-0004-0000-2E00-000005000000}"/>
    <hyperlink ref="D4" location="'C-HorarioBarbero'!A1" display="HorarioBarbero" xr:uid="{00000000-0004-0000-2E00-000006000000}"/>
    <hyperlink ref="A5" location="'M-Agenda'!A3" display="#'M-Agenda'.A3" xr:uid="{00000000-0004-0000-2E00-000007000000}"/>
    <hyperlink ref="B5" location="'M-Agenda'!A2" display="#'M-Agenda'.A2" xr:uid="{00000000-0004-0000-2E00-000008000000}"/>
    <hyperlink ref="A8" location="'M-Agenda'!A3" display="#'M-Agenda'.A3" xr:uid="{00000000-0004-0000-2E00-000009000000}"/>
    <hyperlink ref="B8" location="'M-Agenda'!A2" display="#'M-Agenda'.A2" xr:uid="{00000000-0004-0000-2E00-00000A000000}"/>
  </hyperlink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8"/>
  <sheetViews>
    <sheetView showGridLines="0" zoomScaleNormal="100" workbookViewId="0">
      <selection activeCell="D8" sqref="D8"/>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Dominio'!A14</f>
        <v>Agenda</v>
      </c>
      <c r="C2" s="209"/>
      <c r="D2" s="209"/>
      <c r="E2" s="209"/>
    </row>
    <row r="3" spans="1:5" ht="30" customHeight="1" x14ac:dyDescent="0.25">
      <c r="A3" s="35" t="s">
        <v>82</v>
      </c>
      <c r="B3" s="210" t="str">
        <f>'Objetos de Dominio'!B14</f>
        <v>Representa una fecha puntual en donde el barbero ve todas las citas que debe de atender ese día.</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30" customHeight="1" x14ac:dyDescent="0.25">
      <c r="A6" s="10" t="s">
        <v>661</v>
      </c>
      <c r="B6" s="247" t="s">
        <v>662</v>
      </c>
      <c r="C6" s="247"/>
      <c r="D6" s="36" t="s">
        <v>24</v>
      </c>
      <c r="E6" s="36"/>
    </row>
    <row r="7" spans="1:5" ht="30" customHeight="1" x14ac:dyDescent="0.25">
      <c r="A7" s="10" t="s">
        <v>663</v>
      </c>
      <c r="B7" s="247" t="s">
        <v>664</v>
      </c>
      <c r="C7" s="247"/>
      <c r="D7" s="36" t="s">
        <v>18</v>
      </c>
      <c r="E7" s="36"/>
    </row>
    <row r="8" spans="1:5" ht="45" customHeight="1" x14ac:dyDescent="0.25">
      <c r="A8" s="10" t="s">
        <v>665</v>
      </c>
      <c r="B8" s="247" t="s">
        <v>666</v>
      </c>
      <c r="C8" s="247"/>
      <c r="D8" s="36" t="s">
        <v>24</v>
      </c>
      <c r="E8" s="36"/>
    </row>
  </sheetData>
  <mergeCells count="9">
    <mergeCell ref="B7:C7"/>
    <mergeCell ref="B8:C8"/>
    <mergeCell ref="B2:E2"/>
    <mergeCell ref="B3:E3"/>
    <mergeCell ref="A4:A5"/>
    <mergeCell ref="B4:C5"/>
    <mergeCell ref="D4:D5"/>
    <mergeCell ref="E4:E5"/>
    <mergeCell ref="B6:C6"/>
  </mergeCells>
  <hyperlinks>
    <hyperlink ref="A1" location="'Modelo de Dominio'!A1" display="&lt;&lt; Ir al modelo de dominio" xr:uid="{00000000-0004-0000-2F00-000000000000}"/>
    <hyperlink ref="B1" location="'Objetos de Dominio'!A1" display="&lt;&lt; Ir al listado de objetos de dominio" xr:uid="{00000000-0004-0000-2F00-000001000000}"/>
    <hyperlink ref="C1" location="'C-Agenda'!A1" display="&lt;&lt; Ir a la caracterización del objeto de dominio" xr:uid="{00000000-0004-0000-2F00-000002000000}"/>
    <hyperlink ref="D1" location="'M-Agenda'!A1" display="Ir al muestreo de datos del objeto de dominio &gt;&gt;" xr:uid="{00000000-0004-0000-2F00-000003000000}"/>
    <hyperlink ref="E1" location="'E-Agenda'!A1" display="Ir al event storming del objeto de dominio &gt;&gt;" xr:uid="{00000000-0004-0000-2F00-000004000000}"/>
  </hyperlinks>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12"/>
  <sheetViews>
    <sheetView showGridLines="0" zoomScaleNormal="100" workbookViewId="0">
      <selection sqref="A1:B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31.425781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112" t="s">
        <v>81</v>
      </c>
      <c r="B2" s="303" t="str">
        <f>'Objetos de Dominio'!A14</f>
        <v>Agenda</v>
      </c>
      <c r="C2" s="303"/>
      <c r="D2" s="303"/>
      <c r="E2" s="303"/>
      <c r="F2" s="303"/>
      <c r="G2" s="303"/>
      <c r="H2" s="303"/>
      <c r="I2" s="303"/>
      <c r="J2" s="303"/>
      <c r="K2" s="303"/>
    </row>
    <row r="3" spans="1:11" ht="30" customHeight="1" x14ac:dyDescent="0.25">
      <c r="A3" s="113" t="s">
        <v>82</v>
      </c>
      <c r="B3" s="299" t="str">
        <f>'Objetos de Dominio'!B14</f>
        <v>Representa una fecha puntual en donde el barbero ve todas las citas que debe de atender ese día.</v>
      </c>
      <c r="C3" s="299"/>
      <c r="D3" s="299"/>
      <c r="E3" s="299"/>
      <c r="F3" s="299"/>
      <c r="G3" s="299"/>
      <c r="H3" s="299"/>
      <c r="I3" s="299"/>
      <c r="J3" s="299"/>
      <c r="K3" s="299"/>
    </row>
    <row r="4" spans="1:11" ht="34.5" customHeight="1" x14ac:dyDescent="0.25">
      <c r="A4" s="39" t="s">
        <v>88</v>
      </c>
      <c r="B4" s="300" t="s">
        <v>89</v>
      </c>
      <c r="C4" s="300"/>
      <c r="D4" s="40" t="s">
        <v>90</v>
      </c>
      <c r="E4" s="188" t="s">
        <v>91</v>
      </c>
      <c r="F4" s="188"/>
      <c r="G4" s="189" t="s">
        <v>92</v>
      </c>
      <c r="H4" s="189"/>
      <c r="I4" s="114" t="s">
        <v>93</v>
      </c>
      <c r="J4" s="43" t="s">
        <v>94</v>
      </c>
      <c r="K4" s="115" t="s">
        <v>95</v>
      </c>
    </row>
    <row r="5" spans="1:11" ht="15" customHeight="1" x14ac:dyDescent="0.25">
      <c r="A5" s="190" t="s">
        <v>88</v>
      </c>
      <c r="B5" s="300" t="s">
        <v>96</v>
      </c>
      <c r="C5" s="300" t="s">
        <v>59</v>
      </c>
      <c r="D5" s="191" t="s">
        <v>97</v>
      </c>
      <c r="E5" s="188" t="s">
        <v>98</v>
      </c>
      <c r="F5" s="188"/>
      <c r="G5" s="189" t="s">
        <v>99</v>
      </c>
      <c r="H5" s="189"/>
      <c r="I5" s="301" t="s">
        <v>100</v>
      </c>
      <c r="J5" s="193" t="s">
        <v>101</v>
      </c>
      <c r="K5" s="302" t="s">
        <v>102</v>
      </c>
    </row>
    <row r="6" spans="1:11" ht="15" customHeight="1" x14ac:dyDescent="0.25">
      <c r="A6" s="190"/>
      <c r="B6" s="190"/>
      <c r="C6" s="190"/>
      <c r="D6" s="190"/>
      <c r="E6" s="41" t="s">
        <v>103</v>
      </c>
      <c r="F6" s="41" t="s">
        <v>59</v>
      </c>
      <c r="G6" s="45" t="s">
        <v>104</v>
      </c>
      <c r="H6" s="45" t="s">
        <v>59</v>
      </c>
      <c r="I6" s="301"/>
      <c r="J6" s="301"/>
      <c r="K6" s="301"/>
    </row>
    <row r="7" spans="1:11" ht="41.25" customHeight="1" x14ac:dyDescent="0.25">
      <c r="A7" s="204" t="s">
        <v>533</v>
      </c>
      <c r="B7" s="244" t="s">
        <v>643</v>
      </c>
      <c r="C7" s="244" t="s">
        <v>644</v>
      </c>
      <c r="D7" s="204" t="str">
        <f>$B$2</f>
        <v>Agenda</v>
      </c>
      <c r="E7" s="46" t="s">
        <v>18</v>
      </c>
      <c r="F7" s="46" t="s">
        <v>667</v>
      </c>
      <c r="G7" s="116" t="str">
        <f>'P-Agenda'!A6</f>
        <v>P-AGE-0001</v>
      </c>
      <c r="H7" s="79" t="str">
        <f>'P-Agenda'!B6</f>
        <v>Asegurar que no exista ya una agenda para ese mismo horario de barbero y esa misma fecha</v>
      </c>
      <c r="I7" s="204"/>
      <c r="J7" s="244" t="s">
        <v>668</v>
      </c>
      <c r="K7" s="244"/>
    </row>
    <row r="8" spans="1:11" ht="27" customHeight="1" x14ac:dyDescent="0.25">
      <c r="A8" s="204"/>
      <c r="B8" s="204"/>
      <c r="C8" s="204"/>
      <c r="D8" s="204"/>
      <c r="E8" s="117" t="s">
        <v>23</v>
      </c>
      <c r="F8" s="118" t="s">
        <v>669</v>
      </c>
      <c r="G8" s="116" t="str">
        <f>'P-Agenda'!A7</f>
        <v>P-AGE-0002</v>
      </c>
      <c r="H8" s="79" t="str">
        <f>'P-Agenda'!B7</f>
        <v>Asegurar que el barbero esté vigente antes de abrirle una nueva agenda</v>
      </c>
      <c r="I8" s="204"/>
      <c r="J8" s="204"/>
      <c r="K8" s="204"/>
    </row>
    <row r="9" spans="1:11" ht="59.25" customHeight="1" x14ac:dyDescent="0.25">
      <c r="A9" s="204" t="s">
        <v>19</v>
      </c>
      <c r="B9" s="244" t="s">
        <v>650</v>
      </c>
      <c r="C9" s="244" t="s">
        <v>651</v>
      </c>
      <c r="D9" s="204" t="str">
        <f>$B$2</f>
        <v>Agenda</v>
      </c>
      <c r="E9" s="46" t="s">
        <v>25</v>
      </c>
      <c r="F9" s="46" t="s">
        <v>670</v>
      </c>
      <c r="G9" s="133" t="str">
        <f>'P-Agenda'!A8</f>
        <v>P-AGE-0003</v>
      </c>
      <c r="H9" s="79" t="str">
        <f>'P-Agenda'!B8</f>
        <v>Al consultar la disponibilidad de una agenda, descontar de la jornada del barbero las horas que ya tienen una cita y las que están cubiertas por un bloqueo</v>
      </c>
      <c r="I9" s="204"/>
      <c r="J9" s="244" t="s">
        <v>671</v>
      </c>
      <c r="K9" s="244"/>
    </row>
    <row r="10" spans="1:11" ht="30" customHeight="1" x14ac:dyDescent="0.25">
      <c r="A10" s="204"/>
      <c r="B10" s="204"/>
      <c r="C10" s="204"/>
      <c r="D10" s="204"/>
      <c r="E10" s="46" t="s">
        <v>21</v>
      </c>
      <c r="F10" s="46" t="s">
        <v>672</v>
      </c>
      <c r="G10" s="2"/>
      <c r="H10" s="47"/>
      <c r="I10" s="204"/>
      <c r="J10" s="204"/>
      <c r="K10" s="204"/>
    </row>
    <row r="11" spans="1:11" ht="30" customHeight="1" x14ac:dyDescent="0.25">
      <c r="A11" s="2" t="s">
        <v>18</v>
      </c>
      <c r="B11" s="46" t="s">
        <v>656</v>
      </c>
      <c r="C11" s="46" t="s">
        <v>657</v>
      </c>
      <c r="D11" s="2" t="str">
        <f>$B$2</f>
        <v>Agenda</v>
      </c>
      <c r="E11" s="46"/>
      <c r="F11" s="46"/>
      <c r="G11" s="2"/>
      <c r="H11" s="47"/>
      <c r="I11" s="2"/>
      <c r="J11" s="46" t="s">
        <v>673</v>
      </c>
      <c r="K11" s="46"/>
    </row>
    <row r="12" spans="1:11" ht="27" customHeight="1" x14ac:dyDescent="0.25">
      <c r="A12" s="2" t="s">
        <v>19</v>
      </c>
      <c r="B12" s="46" t="s">
        <v>656</v>
      </c>
      <c r="C12" s="46" t="s">
        <v>657</v>
      </c>
      <c r="D12" s="2" t="str">
        <f>$B$2</f>
        <v>Agenda</v>
      </c>
      <c r="E12" s="46"/>
      <c r="F12" s="46"/>
      <c r="G12" s="2"/>
      <c r="H12" s="47"/>
      <c r="I12" s="2"/>
      <c r="J12" s="46" t="s">
        <v>673</v>
      </c>
      <c r="K12" s="46"/>
    </row>
  </sheetData>
  <mergeCells count="32">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J7:J8"/>
    <mergeCell ref="K7:K8"/>
    <mergeCell ref="A9:A10"/>
    <mergeCell ref="B9:B10"/>
    <mergeCell ref="C9:C10"/>
    <mergeCell ref="D9:D10"/>
    <mergeCell ref="I9:I10"/>
    <mergeCell ref="J9:J10"/>
    <mergeCell ref="K9:K10"/>
    <mergeCell ref="A7:A8"/>
    <mergeCell ref="B7:B8"/>
    <mergeCell ref="C7:C8"/>
    <mergeCell ref="D7:D8"/>
    <mergeCell ref="I7:I8"/>
  </mergeCells>
  <hyperlinks>
    <hyperlink ref="A1" location="'Modelo de Dominio'!A1" display="&lt;&lt; Ir al modelo de dominio" xr:uid="{00000000-0004-0000-3000-000000000000}"/>
    <hyperlink ref="C1" location="'Objetos de Dominio'!A1" display="&lt;&lt; Ir al listado de objetos de dominio" xr:uid="{00000000-0004-0000-3000-000001000000}"/>
    <hyperlink ref="F1" location="'C-Agenda'!A1" display="&lt;&lt; Ir a la caracterización del objeto de dominio" xr:uid="{00000000-0004-0000-3000-000002000000}"/>
    <hyperlink ref="J1" location="'M-Agenda'!A1" display="Ir al muestreo de datos del objeto de dominio &gt;&gt;" xr:uid="{00000000-0004-0000-3000-000003000000}"/>
    <hyperlink ref="G7" location="'P-Agenda'!A6" display="#'P-Agenda'.A6" xr:uid="{00000000-0004-0000-3000-000004000000}"/>
    <hyperlink ref="G8" location="'P-Agenda'!A7" display="#'P-Agenda'.A7" xr:uid="{00000000-0004-0000-3000-000005000000}"/>
    <hyperlink ref="G9" location="'P-Agenda'!A8" display="#'P-Agenda'.A8" xr:uid="{00000000-0004-0000-3000-000006000000}"/>
  </hyperlink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22"/>
  <sheetViews>
    <sheetView zoomScaleNormal="100" workbookViewId="0">
      <selection activeCell="A3" sqref="A3"/>
    </sheetView>
  </sheetViews>
  <sheetFormatPr baseColWidth="10" defaultColWidth="8.7109375" defaultRowHeight="15" x14ac:dyDescent="0.25"/>
  <cols>
    <col min="1" max="1" width="27" customWidth="1"/>
    <col min="2" max="2" width="69.140625" customWidth="1"/>
    <col min="3" max="3" width="33.7109375" customWidth="1"/>
    <col min="4" max="4" width="80.85546875" customWidth="1"/>
  </cols>
  <sheetData>
    <row r="1" spans="1:4" ht="14.25" customHeight="1" x14ac:dyDescent="0.25">
      <c r="A1" s="6" t="s">
        <v>1</v>
      </c>
      <c r="B1" s="6" t="s">
        <v>28</v>
      </c>
      <c r="C1" s="63"/>
    </row>
    <row r="2" spans="1:4" ht="36" customHeight="1" x14ac:dyDescent="0.25">
      <c r="A2" s="48" t="s">
        <v>107</v>
      </c>
      <c r="B2" s="48" t="s">
        <v>674</v>
      </c>
      <c r="C2" s="48" t="s">
        <v>675</v>
      </c>
      <c r="D2" s="49" t="s">
        <v>676</v>
      </c>
    </row>
    <row r="3" spans="1:4" ht="14.25" customHeight="1" x14ac:dyDescent="0.25">
      <c r="A3" s="50" t="s">
        <v>110</v>
      </c>
      <c r="B3" s="84" t="s">
        <v>677</v>
      </c>
      <c r="C3" s="134" t="s">
        <v>678</v>
      </c>
      <c r="D3" s="52" t="s">
        <v>111</v>
      </c>
    </row>
    <row r="4" spans="1:4" ht="14.25" customHeight="1" x14ac:dyDescent="0.25">
      <c r="A4" s="53">
        <v>1</v>
      </c>
      <c r="B4" s="86" t="str">
        <f>'M-HorarioBarbero'!I4</f>
        <v>+57-3245627890-Lunes-09:00-19:00-12/11/2023-1/01/1000-10:00-16:00</v>
      </c>
      <c r="C4" s="135">
        <v>46265</v>
      </c>
      <c r="D4" s="53" t="str">
        <f t="shared" ref="D4:D12" si="0">_xlfn.CONCAT(B4,"-",TEXT(C4,"dd/mm/yyyy"))</f>
        <v>+57-3245627890-Lunes-09:00-19:00-12/11/2023-1/01/1000-10:00-16:00-31/08/2026</v>
      </c>
    </row>
    <row r="5" spans="1:4" ht="14.25" customHeight="1" x14ac:dyDescent="0.25">
      <c r="A5" s="53">
        <v>2</v>
      </c>
      <c r="B5" s="86" t="str">
        <f>'M-HorarioBarbero'!I5</f>
        <v>+57-3124518923-Martes-09:00-19:00-12/11/2023-1/01/1000-09:00-15:00</v>
      </c>
      <c r="C5" s="135">
        <v>46091</v>
      </c>
      <c r="D5" s="53" t="str">
        <f t="shared" si="0"/>
        <v>+57-3124518923-Martes-09:00-19:00-12/11/2023-1/01/1000-09:00-15:00-10/03/2026</v>
      </c>
    </row>
    <row r="6" spans="1:4" ht="14.25" customHeight="1" x14ac:dyDescent="0.25">
      <c r="A6" s="53">
        <v>3</v>
      </c>
      <c r="B6" s="86" t="str">
        <f>'M-HorarioBarbero'!I6</f>
        <v>+57-3214533321-Jueves-09:00-19:00-12/11/2023-1/01/1000-13:00-19:00</v>
      </c>
      <c r="C6" s="135">
        <v>46156</v>
      </c>
      <c r="D6" s="53" t="str">
        <f t="shared" si="0"/>
        <v>+57-3214533321-Jueves-09:00-19:00-12/11/2023-1/01/1000-13:00-19:00-14/05/2026</v>
      </c>
    </row>
    <row r="7" spans="1:4" ht="14.25" customHeight="1" x14ac:dyDescent="0.25">
      <c r="A7" s="53">
        <v>4</v>
      </c>
      <c r="B7" s="86" t="str">
        <f>'M-HorarioBarbero'!I8</f>
        <v>+91-9876543210-Festivo-10:00-15:00-12/12/2024-1/01/1000-12:00-15:00</v>
      </c>
      <c r="C7" s="135">
        <v>46073</v>
      </c>
      <c r="D7" s="53" t="str">
        <f t="shared" si="0"/>
        <v>+91-9876543210-Festivo-10:00-15:00-12/12/2024-1/01/1000-12:00-15:00-20/02/2026</v>
      </c>
    </row>
    <row r="8" spans="1:4" ht="14.25" customHeight="1" x14ac:dyDescent="0.25">
      <c r="A8" s="53">
        <v>5</v>
      </c>
      <c r="B8" s="86" t="str">
        <f>'M-HorarioBarbero'!I7</f>
        <v>+91-9876543210-Sábado-08:00-21:00-12/12/2024-1/01/1000-08:00-14:00</v>
      </c>
      <c r="C8" s="135">
        <v>45983</v>
      </c>
      <c r="D8" s="53" t="str">
        <f t="shared" si="0"/>
        <v>+91-9876543210-Sábado-08:00-21:00-12/12/2024-1/01/1000-08:00-14:00-22/11/2025</v>
      </c>
    </row>
    <row r="9" spans="1:4" ht="14.25" customHeight="1" x14ac:dyDescent="0.25">
      <c r="A9" s="53">
        <v>6</v>
      </c>
      <c r="B9" s="86" t="str">
        <f>'M-HorarioBarbero'!I6</f>
        <v>+57-3214533321-Jueves-09:00-19:00-12/11/2023-1/01/1000-13:00-19:00</v>
      </c>
      <c r="C9" s="135">
        <v>46240</v>
      </c>
      <c r="D9" s="53" t="str">
        <f t="shared" si="0"/>
        <v>+57-3214533321-Jueves-09:00-19:00-12/11/2023-1/01/1000-13:00-19:00-06/08/2026</v>
      </c>
    </row>
    <row r="10" spans="1:4" ht="14.25" customHeight="1" x14ac:dyDescent="0.25">
      <c r="A10" s="53">
        <v>7</v>
      </c>
      <c r="B10" s="86" t="str">
        <f>'M-HorarioBarbero'!I4</f>
        <v>+57-3245627890-Lunes-09:00-19:00-12/11/2023-1/01/1000-10:00-16:00</v>
      </c>
      <c r="C10" s="135">
        <v>46174</v>
      </c>
      <c r="D10" s="53" t="str">
        <f t="shared" si="0"/>
        <v>+57-3245627890-Lunes-09:00-19:00-12/11/2023-1/01/1000-10:00-16:00-01/06/2026</v>
      </c>
    </row>
    <row r="11" spans="1:4" ht="14.25" customHeight="1" x14ac:dyDescent="0.25">
      <c r="A11" s="53">
        <v>8</v>
      </c>
      <c r="B11" s="86" t="str">
        <f>'M-HorarioBarbero'!I5</f>
        <v>+57-3124518923-Martes-09:00-19:00-12/11/2023-1/01/1000-09:00-15:00</v>
      </c>
      <c r="C11" s="135">
        <v>46189</v>
      </c>
      <c r="D11" s="53" t="str">
        <f t="shared" si="0"/>
        <v>+57-3124518923-Martes-09:00-19:00-12/11/2023-1/01/1000-09:00-15:00-16/06/2026</v>
      </c>
    </row>
    <row r="12" spans="1:4" ht="14.25" customHeight="1" x14ac:dyDescent="0.25">
      <c r="A12" s="53">
        <v>9</v>
      </c>
      <c r="B12" s="86" t="str">
        <f>'M-HorarioBarbero'!I6</f>
        <v>+57-3214533321-Jueves-09:00-19:00-12/11/2023-1/01/1000-13:00-19:00</v>
      </c>
      <c r="C12" s="135">
        <v>46205</v>
      </c>
      <c r="D12" s="53" t="str">
        <f t="shared" si="0"/>
        <v>+57-3214533321-Jueves-09:00-19:00-12/11/2023-1/01/1000-13:00-19:00-02/07/2026</v>
      </c>
    </row>
    <row r="13" spans="1:4" ht="14.25" customHeight="1" x14ac:dyDescent="0.25">
      <c r="B13" s="57"/>
    </row>
    <row r="14" spans="1:4" ht="14.25" customHeight="1" x14ac:dyDescent="0.25">
      <c r="B14" s="57"/>
    </row>
    <row r="15" spans="1:4" ht="14.25" customHeight="1" x14ac:dyDescent="0.25">
      <c r="B15" s="57"/>
    </row>
    <row r="16" spans="1:4" ht="14.25" customHeight="1" x14ac:dyDescent="0.25">
      <c r="B16" s="57"/>
    </row>
    <row r="17" spans="1:2" ht="14.25" customHeight="1" x14ac:dyDescent="0.25">
      <c r="B17" s="57"/>
    </row>
    <row r="18" spans="1:2" ht="14.25" customHeight="1" x14ac:dyDescent="0.25">
      <c r="A18" s="56"/>
      <c r="B18" s="57" t="s">
        <v>120</v>
      </c>
    </row>
    <row r="19" spans="1:2" ht="14.25" customHeight="1" x14ac:dyDescent="0.25">
      <c r="A19" s="58"/>
      <c r="B19" s="57" t="s">
        <v>121</v>
      </c>
    </row>
    <row r="20" spans="1:2" ht="14.25" customHeight="1" x14ac:dyDescent="0.25">
      <c r="A20" s="87"/>
      <c r="B20" t="s">
        <v>366</v>
      </c>
    </row>
    <row r="21" spans="1:2" ht="14.25" customHeight="1" x14ac:dyDescent="0.25">
      <c r="A21" s="136"/>
      <c r="B21" t="s">
        <v>679</v>
      </c>
    </row>
    <row r="22" spans="1:2" ht="14.25" customHeight="1" x14ac:dyDescent="0.25">
      <c r="A22" s="60"/>
      <c r="B22" t="s">
        <v>123</v>
      </c>
    </row>
  </sheetData>
  <hyperlinks>
    <hyperlink ref="A1" location="'Modelo de Dominio'!A1" display="&lt;&lt;&lt;&lt; Ir al modulo de dominio" xr:uid="{00000000-0004-0000-3100-000000000000}"/>
    <hyperlink ref="B1" location="'Objetos de Dominio'!A1" display="&lt;&lt;&lt;&lt; Ir a objetos de dominio" xr:uid="{00000000-0004-0000-3100-000001000000}"/>
    <hyperlink ref="B3" location="'M-HorarioBarbero'!A1" display="horarioDelBarbero" xr:uid="{00000000-0004-0000-3100-000002000000}"/>
    <hyperlink ref="B4" location="'M-HorarioBarbero'!A4" display="#'M-HorarioBarbero'.A4" xr:uid="{00000000-0004-0000-3100-000003000000}"/>
    <hyperlink ref="B5" location="'M-HorarioBarbero'!A5" display="#'M-HorarioBarbero'.A5" xr:uid="{00000000-0004-0000-3100-000004000000}"/>
    <hyperlink ref="B6" location="'M-HorarioBarbero'!A6" display="#'M-HorarioBarbero'.A6" xr:uid="{00000000-0004-0000-3100-000005000000}"/>
    <hyperlink ref="B7" location="'M-HorarioBarbero'!A8" display="#'M-HorarioBarbero'.A8" xr:uid="{00000000-0004-0000-3100-000006000000}"/>
    <hyperlink ref="B8" location="'M-HorarioBarbero'!A7" display="#'M-HorarioBarbero'.A7" xr:uid="{00000000-0004-0000-3100-000007000000}"/>
    <hyperlink ref="B9" location="'M-HorarioBarbero'!A6" display="#'M-HorarioBarbero'.A6" xr:uid="{00000000-0004-0000-3100-000008000000}"/>
    <hyperlink ref="B10" location="'M-HorarioBarbero'!A4" display="#'M-HorarioBarbero'.A4" xr:uid="{00000000-0004-0000-3100-000009000000}"/>
    <hyperlink ref="B11" location="'M-HorarioBarbero'!A5" display="#'M-HorarioBarbero'.A5" xr:uid="{00000000-0004-0000-3100-00000A000000}"/>
    <hyperlink ref="B12" location="'M-HorarioBarbero'!A6" display="#'M-HorarioBarbero'.A6" xr:uid="{00000000-0004-0000-3100-00000B000000}"/>
  </hyperlink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Y47"/>
  <sheetViews>
    <sheetView topLeftCell="A42" zoomScale="77" zoomScaleNormal="55" workbookViewId="0">
      <selection activeCell="U45" sqref="U45"/>
    </sheetView>
  </sheetViews>
  <sheetFormatPr baseColWidth="10" defaultColWidth="8.7109375" defaultRowHeight="15" x14ac:dyDescent="0.25"/>
  <cols>
    <col min="1" max="1" width="28.140625" customWidth="1"/>
    <col min="2" max="2" width="45" customWidth="1"/>
    <col min="3" max="3" width="21.5703125" customWidth="1"/>
    <col min="4" max="4" width="26.7109375" customWidth="1"/>
    <col min="5" max="5" width="18" customWidth="1"/>
    <col min="7" max="7" width="16.7109375" customWidth="1"/>
    <col min="8" max="8" width="11.140625" customWidth="1"/>
    <col min="9" max="9" width="11" customWidth="1"/>
    <col min="10" max="10" width="11.28515625" customWidth="1"/>
    <col min="11" max="11" width="14.5703125" customWidth="1"/>
    <col min="13" max="13" width="42.85546875" customWidth="1"/>
    <col min="14" max="14" width="18" customWidth="1"/>
    <col min="15" max="15" width="12.85546875" customWidth="1"/>
    <col min="16" max="16" width="16.28515625" customWidth="1"/>
    <col min="17" max="17" width="13.7109375" customWidth="1"/>
    <col min="18" max="18" width="17.7109375" bestFit="1" customWidth="1"/>
  </cols>
  <sheetData>
    <row r="1" spans="1:25" ht="15" customHeight="1" x14ac:dyDescent="0.25">
      <c r="A1" s="6" t="s">
        <v>1</v>
      </c>
      <c r="B1" s="6" t="s">
        <v>28</v>
      </c>
    </row>
    <row r="2" spans="1:25" ht="45" customHeight="1" x14ac:dyDescent="0.25">
      <c r="A2" s="107" t="s">
        <v>29</v>
      </c>
      <c r="B2" s="107" t="s">
        <v>30</v>
      </c>
      <c r="C2" s="107" t="s">
        <v>31</v>
      </c>
      <c r="D2" s="107" t="s">
        <v>32</v>
      </c>
      <c r="E2" s="107" t="s">
        <v>33</v>
      </c>
      <c r="F2" s="107" t="s">
        <v>34</v>
      </c>
      <c r="G2" s="107" t="s">
        <v>35</v>
      </c>
      <c r="H2" s="107" t="s">
        <v>36</v>
      </c>
      <c r="I2" s="107" t="s">
        <v>37</v>
      </c>
      <c r="J2" s="107" t="s">
        <v>38</v>
      </c>
      <c r="K2" s="107" t="s">
        <v>39</v>
      </c>
      <c r="L2" s="107" t="s">
        <v>40</v>
      </c>
      <c r="M2" s="107" t="s">
        <v>41</v>
      </c>
      <c r="N2" s="107" t="s">
        <v>42</v>
      </c>
      <c r="O2" s="107" t="s">
        <v>43</v>
      </c>
      <c r="P2" s="107" t="s">
        <v>44</v>
      </c>
      <c r="Q2" s="107" t="s">
        <v>45</v>
      </c>
      <c r="R2" s="107" t="s">
        <v>46</v>
      </c>
      <c r="S2" s="107" t="s">
        <v>47</v>
      </c>
      <c r="T2" s="107" t="s">
        <v>48</v>
      </c>
      <c r="U2" s="107" t="s">
        <v>49</v>
      </c>
      <c r="V2" s="180"/>
      <c r="W2" s="184"/>
      <c r="X2" s="185"/>
      <c r="Y2" s="185"/>
    </row>
    <row r="3" spans="1:25" ht="45" customHeight="1" x14ac:dyDescent="0.25">
      <c r="A3" s="81" t="str">
        <f>'M-Cita'!A3</f>
        <v>id</v>
      </c>
      <c r="B3" s="108" t="str">
        <f>'M-Cita'!A2</f>
        <v>Representa un identificador que hará unico cada objeto de dominio de este tipo, no se puede repetir</v>
      </c>
      <c r="C3" s="81" t="s">
        <v>50</v>
      </c>
      <c r="D3" s="81" t="s">
        <v>51</v>
      </c>
      <c r="E3" s="81" t="s">
        <v>50</v>
      </c>
      <c r="F3" s="81" t="s">
        <v>52</v>
      </c>
      <c r="G3" s="81" t="s">
        <v>52</v>
      </c>
      <c r="H3" s="81" t="s">
        <v>52</v>
      </c>
      <c r="I3" s="81" t="s">
        <v>52</v>
      </c>
      <c r="J3" s="81" t="s">
        <v>52</v>
      </c>
      <c r="K3" s="81" t="s">
        <v>52</v>
      </c>
      <c r="L3" s="81" t="s">
        <v>52</v>
      </c>
      <c r="M3" s="81" t="s">
        <v>52</v>
      </c>
      <c r="N3" s="81" t="s">
        <v>53</v>
      </c>
      <c r="O3" s="81" t="s">
        <v>53</v>
      </c>
      <c r="P3" s="81" t="s">
        <v>52</v>
      </c>
      <c r="Q3" s="81" t="s">
        <v>53</v>
      </c>
      <c r="R3" s="81" t="s">
        <v>53</v>
      </c>
      <c r="S3" s="81" t="s">
        <v>53</v>
      </c>
      <c r="T3" s="81" t="s">
        <v>54</v>
      </c>
      <c r="U3" s="81" t="s">
        <v>50</v>
      </c>
      <c r="V3" s="180"/>
      <c r="W3" s="184"/>
      <c r="X3" s="185"/>
      <c r="Y3" s="185"/>
    </row>
    <row r="4" spans="1:25" ht="45" customHeight="1" x14ac:dyDescent="0.25">
      <c r="A4" s="81" t="str">
        <f>'M-Cita'!B3</f>
        <v>cliente</v>
      </c>
      <c r="B4" s="108" t="str">
        <f>'M-Cita'!B2</f>
        <v>Representa a cuál cliente le pertenece esta cita</v>
      </c>
      <c r="C4" s="81" t="s">
        <v>53</v>
      </c>
      <c r="D4" s="109" t="s">
        <v>19</v>
      </c>
      <c r="E4" s="81" t="s">
        <v>50</v>
      </c>
      <c r="F4" s="81" t="s">
        <v>52</v>
      </c>
      <c r="G4" s="81" t="s">
        <v>52</v>
      </c>
      <c r="H4" s="81" t="s">
        <v>52</v>
      </c>
      <c r="I4" s="81" t="s">
        <v>52</v>
      </c>
      <c r="J4" s="81" t="s">
        <v>52</v>
      </c>
      <c r="K4" s="81" t="s">
        <v>52</v>
      </c>
      <c r="L4" s="81" t="s">
        <v>52</v>
      </c>
      <c r="M4" s="137" t="s">
        <v>680</v>
      </c>
      <c r="N4" s="81" t="s">
        <v>53</v>
      </c>
      <c r="O4" s="81" t="s">
        <v>52</v>
      </c>
      <c r="P4" s="81" t="s">
        <v>52</v>
      </c>
      <c r="Q4" s="81" t="s">
        <v>52</v>
      </c>
      <c r="R4" s="81" t="s">
        <v>52</v>
      </c>
      <c r="S4" s="81" t="s">
        <v>53</v>
      </c>
      <c r="T4" s="81" t="s">
        <v>54</v>
      </c>
      <c r="U4" s="81" t="s">
        <v>53</v>
      </c>
      <c r="V4" s="180"/>
      <c r="W4" s="184"/>
      <c r="X4" s="185"/>
      <c r="Y4" s="185"/>
    </row>
    <row r="5" spans="1:25" ht="27.75" customHeight="1" x14ac:dyDescent="0.25">
      <c r="A5" s="81" t="str">
        <f>'M-Cita'!C3</f>
        <v>agenda</v>
      </c>
      <c r="B5" s="108" t="str">
        <f>'M-Cita'!C2</f>
        <v>Referencia en cual agenda va a estar esta cita</v>
      </c>
      <c r="C5" s="81" t="s">
        <v>53</v>
      </c>
      <c r="D5" s="109" t="s">
        <v>24</v>
      </c>
      <c r="E5" s="81" t="s">
        <v>50</v>
      </c>
      <c r="F5" s="81" t="s">
        <v>52</v>
      </c>
      <c r="G5" s="81" t="s">
        <v>52</v>
      </c>
      <c r="H5" s="81" t="s">
        <v>52</v>
      </c>
      <c r="I5" s="81" t="s">
        <v>52</v>
      </c>
      <c r="J5" s="81" t="s">
        <v>52</v>
      </c>
      <c r="K5" s="81" t="s">
        <v>52</v>
      </c>
      <c r="L5" s="81" t="s">
        <v>52</v>
      </c>
      <c r="M5" s="137" t="s">
        <v>276</v>
      </c>
      <c r="N5" s="81" t="s">
        <v>53</v>
      </c>
      <c r="O5" s="81" t="s">
        <v>52</v>
      </c>
      <c r="P5" s="81" t="s">
        <v>52</v>
      </c>
      <c r="Q5" s="81" t="s">
        <v>52</v>
      </c>
      <c r="R5" s="81" t="s">
        <v>52</v>
      </c>
      <c r="S5" s="81" t="s">
        <v>53</v>
      </c>
      <c r="T5" s="81" t="s">
        <v>54</v>
      </c>
      <c r="U5" s="81" t="s">
        <v>53</v>
      </c>
      <c r="V5" s="180"/>
      <c r="W5" s="184"/>
      <c r="X5" s="185"/>
      <c r="Y5" s="185"/>
    </row>
    <row r="6" spans="1:25" ht="45" customHeight="1" x14ac:dyDescent="0.25">
      <c r="A6" s="81" t="str">
        <f>'M-Cita'!D3</f>
        <v>estado</v>
      </c>
      <c r="B6" s="108" t="str">
        <f>'M-Cita'!D2</f>
        <v>Representa en qué estado se encuentra esta cita puntual: agendada, finalizada, cancelada, con tardanza del cliente o del barbero, o inasistencia</v>
      </c>
      <c r="C6" s="81" t="s">
        <v>53</v>
      </c>
      <c r="D6" s="109" t="s">
        <v>14</v>
      </c>
      <c r="E6" s="81" t="s">
        <v>50</v>
      </c>
      <c r="F6" s="81" t="s">
        <v>52</v>
      </c>
      <c r="G6" s="81" t="s">
        <v>52</v>
      </c>
      <c r="H6" s="81" t="s">
        <v>52</v>
      </c>
      <c r="I6" s="81" t="s">
        <v>52</v>
      </c>
      <c r="J6" s="81" t="s">
        <v>52</v>
      </c>
      <c r="K6" s="81" t="s">
        <v>52</v>
      </c>
      <c r="L6" s="81" t="s">
        <v>52</v>
      </c>
      <c r="M6" s="81" t="s">
        <v>276</v>
      </c>
      <c r="N6" s="81" t="s">
        <v>53</v>
      </c>
      <c r="O6" s="81" t="s">
        <v>52</v>
      </c>
      <c r="P6" s="81" t="s">
        <v>52</v>
      </c>
      <c r="Q6" s="81" t="s">
        <v>52</v>
      </c>
      <c r="R6" s="81" t="s">
        <v>52</v>
      </c>
      <c r="S6" s="81" t="s">
        <v>53</v>
      </c>
      <c r="T6" s="81" t="s">
        <v>54</v>
      </c>
      <c r="U6" s="81" t="s">
        <v>53</v>
      </c>
      <c r="V6" s="180"/>
      <c r="W6" s="184"/>
      <c r="X6" s="185"/>
      <c r="Y6" s="185"/>
    </row>
    <row r="7" spans="1:25" ht="30" customHeight="1" x14ac:dyDescent="0.25">
      <c r="A7" s="81" t="str">
        <f>'M-Cita'!E3</f>
        <v>horaInicio</v>
      </c>
      <c r="B7" s="108" t="str">
        <f>'M-Cita'!E2</f>
        <v>Representa la hora en la que se va a realizar la cita al cliente</v>
      </c>
      <c r="C7" s="81" t="s">
        <v>53</v>
      </c>
      <c r="D7" s="124" t="s">
        <v>429</v>
      </c>
      <c r="E7" s="81" t="s">
        <v>53</v>
      </c>
      <c r="F7" s="81" t="s">
        <v>52</v>
      </c>
      <c r="G7" s="81" t="s">
        <v>52</v>
      </c>
      <c r="H7" s="81" t="s">
        <v>52</v>
      </c>
      <c r="I7" s="81" t="s">
        <v>52</v>
      </c>
      <c r="J7" s="81" t="s">
        <v>52</v>
      </c>
      <c r="K7" s="81" t="s">
        <v>52</v>
      </c>
      <c r="L7" s="81" t="s">
        <v>52</v>
      </c>
      <c r="M7" s="137" t="s">
        <v>681</v>
      </c>
      <c r="N7" s="81" t="s">
        <v>53</v>
      </c>
      <c r="O7" s="81" t="s">
        <v>52</v>
      </c>
      <c r="P7" s="81" t="s">
        <v>52</v>
      </c>
      <c r="Q7" s="81" t="s">
        <v>52</v>
      </c>
      <c r="R7" s="81" t="s">
        <v>52</v>
      </c>
      <c r="S7" s="81" t="s">
        <v>53</v>
      </c>
      <c r="T7" s="81" t="s">
        <v>430</v>
      </c>
      <c r="U7" s="81" t="s">
        <v>53</v>
      </c>
      <c r="V7" s="180"/>
      <c r="W7" s="184"/>
      <c r="X7" s="185"/>
      <c r="Y7" s="185"/>
    </row>
    <row r="8" spans="1:25" ht="60" customHeight="1" x14ac:dyDescent="0.25">
      <c r="A8" s="81" t="str">
        <f>'M-Cita'!F3</f>
        <v>horaFinEstimada</v>
      </c>
      <c r="B8" s="108" t="str">
        <f>'M-Cita'!F2</f>
        <v>Representa la hora en la que se espera que termine la cita, sumando horaInicio más la duración total de los servicios pedidos. Es un dato calculado</v>
      </c>
      <c r="C8" s="81" t="s">
        <v>53</v>
      </c>
      <c r="D8" s="124" t="s">
        <v>429</v>
      </c>
      <c r="E8" s="81" t="s">
        <v>50</v>
      </c>
      <c r="F8" s="81" t="s">
        <v>52</v>
      </c>
      <c r="G8" s="81" t="s">
        <v>52</v>
      </c>
      <c r="H8" s="81" t="s">
        <v>52</v>
      </c>
      <c r="I8" s="81" t="s">
        <v>52</v>
      </c>
      <c r="J8" s="81" t="s">
        <v>52</v>
      </c>
      <c r="K8" s="81" t="s">
        <v>52</v>
      </c>
      <c r="L8" s="81" t="s">
        <v>52</v>
      </c>
      <c r="M8" s="137" t="s">
        <v>682</v>
      </c>
      <c r="N8" s="81" t="s">
        <v>50</v>
      </c>
      <c r="O8" s="81" t="s">
        <v>52</v>
      </c>
      <c r="P8" s="81" t="s">
        <v>52</v>
      </c>
      <c r="Q8" s="81" t="s">
        <v>52</v>
      </c>
      <c r="R8" s="81" t="s">
        <v>52</v>
      </c>
      <c r="S8" s="81" t="s">
        <v>53</v>
      </c>
      <c r="T8" s="81" t="s">
        <v>430</v>
      </c>
      <c r="U8" s="81" t="s">
        <v>53</v>
      </c>
      <c r="V8" s="180"/>
      <c r="W8" s="184"/>
      <c r="X8" s="185"/>
      <c r="Y8" s="185"/>
    </row>
    <row r="9" spans="1:25" ht="60" customHeight="1" x14ac:dyDescent="0.25">
      <c r="A9" s="128" t="str">
        <f>'M-Cita'!G3</f>
        <v>horaLlegadaCliente</v>
      </c>
      <c r="B9" s="128" t="str">
        <f>'M-Cita'!G2</f>
        <v>Representa la hora real en la que el cliente llegó a la barbería para esta cita. Su valor por defecto es 00:00 y es permitido: significa que el cliente aún no ha llegado</v>
      </c>
      <c r="C9" s="128" t="s">
        <v>53</v>
      </c>
      <c r="D9" s="128" t="s">
        <v>429</v>
      </c>
      <c r="E9" s="128" t="s">
        <v>53</v>
      </c>
      <c r="F9" s="128" t="s">
        <v>52</v>
      </c>
      <c r="G9" s="128" t="s">
        <v>52</v>
      </c>
      <c r="H9" s="128" t="s">
        <v>52</v>
      </c>
      <c r="I9" s="128" t="s">
        <v>52</v>
      </c>
      <c r="J9" s="128" t="s">
        <v>52</v>
      </c>
      <c r="K9" s="128" t="s">
        <v>52</v>
      </c>
      <c r="L9" s="81" t="s">
        <v>52</v>
      </c>
      <c r="M9" s="128" t="s">
        <v>52</v>
      </c>
      <c r="N9" s="128" t="s">
        <v>53</v>
      </c>
      <c r="O9" s="128" t="s">
        <v>52</v>
      </c>
      <c r="P9" s="128" t="s">
        <v>52</v>
      </c>
      <c r="Q9" s="128" t="s">
        <v>52</v>
      </c>
      <c r="R9" s="128" t="s">
        <v>52</v>
      </c>
      <c r="S9" s="128" t="s">
        <v>53</v>
      </c>
      <c r="T9" s="128" t="s">
        <v>430</v>
      </c>
      <c r="U9" s="128" t="s">
        <v>53</v>
      </c>
      <c r="V9" s="180"/>
      <c r="W9" s="184"/>
      <c r="X9" s="185"/>
      <c r="Y9" s="185"/>
    </row>
    <row r="10" spans="1:25" ht="60" customHeight="1" x14ac:dyDescent="0.25">
      <c r="A10" s="128" t="str">
        <f>'M-Cita'!H3</f>
        <v>horaDelBarberoPreparado</v>
      </c>
      <c r="B10" s="128" t="str">
        <f>'M-Cita'!H2</f>
        <v>Representa la hora real en la que el barbero quedó listo y disponible para empezar a atender esta cita. Su valor por defecto es 00:00 y es permitido: significa que el barbero aún no se ha preparado</v>
      </c>
      <c r="C10" s="128" t="s">
        <v>53</v>
      </c>
      <c r="D10" s="128" t="s">
        <v>429</v>
      </c>
      <c r="E10" s="128" t="s">
        <v>53</v>
      </c>
      <c r="F10" s="128" t="s">
        <v>52</v>
      </c>
      <c r="G10" s="128" t="s">
        <v>52</v>
      </c>
      <c r="H10" s="128" t="s">
        <v>52</v>
      </c>
      <c r="I10" s="128" t="s">
        <v>52</v>
      </c>
      <c r="J10" s="128" t="s">
        <v>52</v>
      </c>
      <c r="K10" s="128" t="s">
        <v>52</v>
      </c>
      <c r="L10" s="81" t="s">
        <v>52</v>
      </c>
      <c r="M10" s="128" t="s">
        <v>52</v>
      </c>
      <c r="N10" s="128" t="s">
        <v>53</v>
      </c>
      <c r="O10" s="128" t="s">
        <v>52</v>
      </c>
      <c r="P10" s="128" t="s">
        <v>52</v>
      </c>
      <c r="Q10" s="128" t="s">
        <v>52</v>
      </c>
      <c r="R10" s="128" t="s">
        <v>52</v>
      </c>
      <c r="S10" s="128" t="s">
        <v>53</v>
      </c>
      <c r="T10" s="128" t="s">
        <v>430</v>
      </c>
      <c r="U10" s="128" t="s">
        <v>53</v>
      </c>
      <c r="V10" s="180"/>
      <c r="W10" s="184"/>
      <c r="X10" s="185"/>
      <c r="Y10" s="185"/>
    </row>
    <row r="11" spans="1:25" ht="60" customHeight="1" x14ac:dyDescent="0.25">
      <c r="A11" s="81" t="str">
        <f>'M-Cita'!I3</f>
        <v>horaInicioAtencion</v>
      </c>
      <c r="B11" s="108" t="str">
        <f>'M-Cita'!I2</f>
        <v>Representa la hora real en la que el barbero empezó a atender al cliente. Su valor por defecto es 00:00 y es permitido: significa que la atención aún no ha comenzado</v>
      </c>
      <c r="C11" s="81" t="s">
        <v>53</v>
      </c>
      <c r="D11" s="81" t="s">
        <v>429</v>
      </c>
      <c r="E11" s="81" t="s">
        <v>53</v>
      </c>
      <c r="F11" s="81" t="s">
        <v>52</v>
      </c>
      <c r="G11" s="81" t="s">
        <v>52</v>
      </c>
      <c r="H11" s="81" t="s">
        <v>52</v>
      </c>
      <c r="I11" s="81" t="s">
        <v>52</v>
      </c>
      <c r="J11" s="81" t="s">
        <v>52</v>
      </c>
      <c r="K11" s="81" t="s">
        <v>52</v>
      </c>
      <c r="L11" s="81" t="s">
        <v>52</v>
      </c>
      <c r="M11" s="81" t="s">
        <v>52</v>
      </c>
      <c r="N11" s="81" t="s">
        <v>53</v>
      </c>
      <c r="O11" s="81" t="s">
        <v>52</v>
      </c>
      <c r="P11" s="81" t="s">
        <v>52</v>
      </c>
      <c r="Q11" s="81" t="s">
        <v>52</v>
      </c>
      <c r="R11" s="81" t="s">
        <v>52</v>
      </c>
      <c r="S11" s="81" t="s">
        <v>53</v>
      </c>
      <c r="T11" s="81" t="s">
        <v>430</v>
      </c>
      <c r="U11" s="81" t="s">
        <v>53</v>
      </c>
      <c r="V11" s="180"/>
      <c r="W11" s="184"/>
      <c r="X11" s="185"/>
      <c r="Y11" s="185"/>
    </row>
    <row r="12" spans="1:25" ht="60" customHeight="1" x14ac:dyDescent="0.25">
      <c r="A12" s="81" t="str">
        <f>'M-Cita'!J3</f>
        <v>horaFinAtencion</v>
      </c>
      <c r="B12" s="108" t="str">
        <f>'M-Cita'!J2</f>
        <v>Representa la hora real en la que el barbero terminó de atender al cliente. Su valor por defecto es 00:00 y es permitido: significa que la atención aún no ha terminado</v>
      </c>
      <c r="C12" s="81" t="s">
        <v>53</v>
      </c>
      <c r="D12" s="124" t="s">
        <v>429</v>
      </c>
      <c r="E12" s="81" t="s">
        <v>53</v>
      </c>
      <c r="F12" s="81" t="s">
        <v>52</v>
      </c>
      <c r="G12" s="81" t="s">
        <v>52</v>
      </c>
      <c r="H12" s="81" t="s">
        <v>52</v>
      </c>
      <c r="I12" s="81" t="s">
        <v>52</v>
      </c>
      <c r="J12" s="81" t="s">
        <v>52</v>
      </c>
      <c r="K12" s="81" t="s">
        <v>52</v>
      </c>
      <c r="L12" s="81" t="s">
        <v>52</v>
      </c>
      <c r="M12" s="137" t="s">
        <v>52</v>
      </c>
      <c r="N12" s="81" t="s">
        <v>53</v>
      </c>
      <c r="O12" s="81" t="s">
        <v>52</v>
      </c>
      <c r="P12" s="81" t="s">
        <v>52</v>
      </c>
      <c r="Q12" s="81" t="s">
        <v>52</v>
      </c>
      <c r="R12" s="81" t="s">
        <v>52</v>
      </c>
      <c r="S12" s="81" t="s">
        <v>53</v>
      </c>
      <c r="T12" s="81" t="s">
        <v>430</v>
      </c>
      <c r="U12" s="81" t="s">
        <v>53</v>
      </c>
      <c r="V12" s="180"/>
      <c r="W12" s="184"/>
      <c r="X12" s="185"/>
      <c r="Y12" s="185"/>
    </row>
    <row r="13" spans="1:25" ht="60" customHeight="1" x14ac:dyDescent="0.25">
      <c r="A13" s="81" t="str">
        <f>'M-Cita'!K3</f>
        <v>duracionHoras</v>
      </c>
      <c r="B13" s="108" t="str">
        <f>'M-Cita'!K2</f>
        <v>Representa la cantidad total de horas que va a durar la cita, sumando la duración de cada servicio pedido más el tiempo extra de cada uno. Es un dato calculado</v>
      </c>
      <c r="C13" s="81" t="s">
        <v>53</v>
      </c>
      <c r="D13" s="124" t="s">
        <v>165</v>
      </c>
      <c r="E13" s="81" t="s">
        <v>53</v>
      </c>
      <c r="F13" s="81" t="s">
        <v>52</v>
      </c>
      <c r="G13" s="81" t="s">
        <v>52</v>
      </c>
      <c r="H13" s="81" t="s">
        <v>52</v>
      </c>
      <c r="I13" s="81" t="s">
        <v>52</v>
      </c>
      <c r="J13" s="81">
        <v>0</v>
      </c>
      <c r="K13" s="81">
        <v>3</v>
      </c>
      <c r="L13" s="81" t="s">
        <v>52</v>
      </c>
      <c r="M13" s="137" t="s">
        <v>683</v>
      </c>
      <c r="N13" s="81" t="s">
        <v>50</v>
      </c>
      <c r="O13" s="81" t="s">
        <v>52</v>
      </c>
      <c r="P13" s="81" t="s">
        <v>52</v>
      </c>
      <c r="Q13" s="81" t="s">
        <v>52</v>
      </c>
      <c r="R13" s="81" t="s">
        <v>52</v>
      </c>
      <c r="S13" s="81" t="s">
        <v>53</v>
      </c>
      <c r="T13" s="81">
        <v>0</v>
      </c>
      <c r="U13" s="81" t="s">
        <v>53</v>
      </c>
      <c r="V13" s="180"/>
      <c r="W13" s="184"/>
      <c r="X13" s="185"/>
      <c r="Y13" s="185"/>
    </row>
    <row r="14" spans="1:25" ht="60" customHeight="1" x14ac:dyDescent="0.25">
      <c r="A14" s="81" t="str">
        <f>'M-Cita'!L3</f>
        <v>duracionMinutos</v>
      </c>
      <c r="B14" s="108" t="str">
        <f>'M-Cita'!L2</f>
        <v>Representa la cantidad total de minutos que va a durar la cita, sumando la duración de cada servicio pedido más el tiempo extra de cada uno. Es un dato calculado</v>
      </c>
      <c r="C14" s="81" t="s">
        <v>53</v>
      </c>
      <c r="D14" s="124" t="s">
        <v>165</v>
      </c>
      <c r="E14" s="81" t="s">
        <v>53</v>
      </c>
      <c r="F14" s="81" t="s">
        <v>52</v>
      </c>
      <c r="G14" s="81" t="s">
        <v>52</v>
      </c>
      <c r="H14" s="81" t="s">
        <v>52</v>
      </c>
      <c r="I14" s="81" t="s">
        <v>52</v>
      </c>
      <c r="J14" s="81">
        <v>0</v>
      </c>
      <c r="K14" s="81">
        <v>59</v>
      </c>
      <c r="L14" s="81" t="s">
        <v>52</v>
      </c>
      <c r="M14" s="137" t="s">
        <v>684</v>
      </c>
      <c r="N14" s="81" t="s">
        <v>50</v>
      </c>
      <c r="O14" s="81" t="s">
        <v>52</v>
      </c>
      <c r="P14" s="81" t="s">
        <v>52</v>
      </c>
      <c r="Q14" s="81" t="s">
        <v>52</v>
      </c>
      <c r="R14" s="81" t="s">
        <v>52</v>
      </c>
      <c r="S14" s="81" t="s">
        <v>53</v>
      </c>
      <c r="T14" s="81" t="s">
        <v>278</v>
      </c>
      <c r="U14" s="81" t="s">
        <v>53</v>
      </c>
      <c r="V14" s="180"/>
      <c r="W14" s="184"/>
      <c r="X14" s="185"/>
      <c r="Y14" s="185"/>
    </row>
    <row r="15" spans="1:25" ht="60" customHeight="1" x14ac:dyDescent="0.25">
      <c r="A15" s="128" t="str">
        <f>'M-Cita'!M3</f>
        <v>minutosTardanzaCliente</v>
      </c>
      <c r="B15" s="128" t="str">
        <f>'M-Cita'!M2</f>
        <v>Representa cuántos minutos después de horaInicio llegó el cliente. Si llegó a tiempo o aún no ha llegado su valor es 0. Es un dato calculado</v>
      </c>
      <c r="C15" s="128" t="s">
        <v>53</v>
      </c>
      <c r="D15" s="128" t="s">
        <v>165</v>
      </c>
      <c r="E15" s="128" t="s">
        <v>53</v>
      </c>
      <c r="F15" s="128" t="s">
        <v>52</v>
      </c>
      <c r="G15" s="128" t="s">
        <v>52</v>
      </c>
      <c r="H15" s="128" t="s">
        <v>52</v>
      </c>
      <c r="I15" s="128" t="s">
        <v>52</v>
      </c>
      <c r="J15" s="128">
        <v>0</v>
      </c>
      <c r="K15" s="128">
        <v>300</v>
      </c>
      <c r="L15" s="81" t="s">
        <v>52</v>
      </c>
      <c r="M15" s="128" t="s">
        <v>685</v>
      </c>
      <c r="N15" s="128" t="s">
        <v>50</v>
      </c>
      <c r="O15" s="128" t="s">
        <v>52</v>
      </c>
      <c r="P15" s="128" t="s">
        <v>52</v>
      </c>
      <c r="Q15" s="128" t="s">
        <v>52</v>
      </c>
      <c r="R15" s="128" t="s">
        <v>52</v>
      </c>
      <c r="S15" s="128" t="s">
        <v>53</v>
      </c>
      <c r="T15" s="128" t="s">
        <v>278</v>
      </c>
      <c r="U15" s="128" t="s">
        <v>53</v>
      </c>
      <c r="V15" s="180"/>
      <c r="W15" s="184"/>
      <c r="X15" s="185"/>
      <c r="Y15" s="185"/>
    </row>
    <row r="16" spans="1:25" ht="60" customHeight="1" x14ac:dyDescent="0.25">
      <c r="A16" s="81" t="str">
        <f>'M-Cita'!N3</f>
        <v>minutosDemoraBarbero</v>
      </c>
      <c r="B16" s="108" t="str">
        <f>'M-Cita'!N2</f>
        <v>Representa cuántos minutos después de la llegada del cliente empezó el barbero a atenderlo. Si no hubo demora su valor es 0. Es un dato calculado</v>
      </c>
      <c r="C16" s="81" t="s">
        <v>53</v>
      </c>
      <c r="D16" s="81" t="s">
        <v>165</v>
      </c>
      <c r="E16" s="81" t="s">
        <v>53</v>
      </c>
      <c r="F16" s="81" t="s">
        <v>52</v>
      </c>
      <c r="G16" s="81" t="s">
        <v>52</v>
      </c>
      <c r="H16" s="81" t="s">
        <v>52</v>
      </c>
      <c r="I16" s="81" t="s">
        <v>52</v>
      </c>
      <c r="J16" s="81">
        <v>0</v>
      </c>
      <c r="K16" s="81">
        <v>300</v>
      </c>
      <c r="L16" s="81" t="s">
        <v>52</v>
      </c>
      <c r="M16" s="108" t="s">
        <v>686</v>
      </c>
      <c r="N16" s="81" t="s">
        <v>50</v>
      </c>
      <c r="O16" s="81" t="s">
        <v>52</v>
      </c>
      <c r="P16" s="81" t="s">
        <v>52</v>
      </c>
      <c r="Q16" s="81" t="s">
        <v>52</v>
      </c>
      <c r="R16" s="81" t="s">
        <v>52</v>
      </c>
      <c r="S16" s="81" t="s">
        <v>53</v>
      </c>
      <c r="T16" s="81" t="s">
        <v>278</v>
      </c>
      <c r="U16" s="81" t="s">
        <v>53</v>
      </c>
      <c r="V16" s="180"/>
      <c r="W16" s="184"/>
      <c r="X16" s="185"/>
      <c r="Y16" s="185"/>
    </row>
    <row r="17" spans="1:25" ht="60" customHeight="1" x14ac:dyDescent="0.25">
      <c r="A17" s="81" t="str">
        <f>'M-Cita'!O3</f>
        <v>porcentajeDescuento</v>
      </c>
      <c r="B17" s="108" t="str">
        <f>'M-Cita'!O2</f>
        <v>Representa el descuento que el barbero le concede al cliente por haberse demorado en atenderlo; solo se descuenta del precioTotal cuando la cita queda en el estado "El barbero se demoro"</v>
      </c>
      <c r="C17" s="81" t="s">
        <v>53</v>
      </c>
      <c r="D17" s="124" t="s">
        <v>165</v>
      </c>
      <c r="E17" s="81" t="s">
        <v>53</v>
      </c>
      <c r="F17" s="81" t="s">
        <v>52</v>
      </c>
      <c r="G17" s="81" t="s">
        <v>52</v>
      </c>
      <c r="H17" s="81" t="s">
        <v>52</v>
      </c>
      <c r="I17" s="81" t="s">
        <v>52</v>
      </c>
      <c r="J17" s="81">
        <v>0</v>
      </c>
      <c r="K17" s="81">
        <v>100</v>
      </c>
      <c r="L17" s="81" t="s">
        <v>52</v>
      </c>
      <c r="M17" s="137" t="s">
        <v>687</v>
      </c>
      <c r="N17" s="81" t="s">
        <v>53</v>
      </c>
      <c r="O17" s="81" t="s">
        <v>52</v>
      </c>
      <c r="P17" s="81" t="s">
        <v>52</v>
      </c>
      <c r="Q17" s="81" t="s">
        <v>52</v>
      </c>
      <c r="R17" s="81" t="s">
        <v>52</v>
      </c>
      <c r="S17" s="81" t="s">
        <v>53</v>
      </c>
      <c r="T17" s="81" t="s">
        <v>278</v>
      </c>
      <c r="U17" s="81" t="s">
        <v>53</v>
      </c>
      <c r="V17" s="180"/>
      <c r="W17" s="184"/>
      <c r="X17" s="185"/>
      <c r="Y17" s="185"/>
    </row>
    <row r="18" spans="1:25" ht="60" customHeight="1" x14ac:dyDescent="0.25">
      <c r="A18" s="81" t="str">
        <f>'M-Cita'!P3</f>
        <v>multa</v>
      </c>
      <c r="B18" s="108" t="str">
        <f>'M-Cita'!P2</f>
        <v>Representa el precio de sancion, en caso de que el cliente se demore</v>
      </c>
      <c r="C18" s="81" t="s">
        <v>53</v>
      </c>
      <c r="D18" s="124" t="s">
        <v>165</v>
      </c>
      <c r="E18" s="81" t="s">
        <v>53</v>
      </c>
      <c r="F18" s="81" t="s">
        <v>52</v>
      </c>
      <c r="G18" s="81" t="s">
        <v>52</v>
      </c>
      <c r="H18" s="81" t="s">
        <v>52</v>
      </c>
      <c r="I18" s="81" t="s">
        <v>52</v>
      </c>
      <c r="J18" s="81">
        <v>0</v>
      </c>
      <c r="K18" s="138">
        <v>100000</v>
      </c>
      <c r="L18" s="81" t="s">
        <v>52</v>
      </c>
      <c r="M18" s="137" t="s">
        <v>688</v>
      </c>
      <c r="N18" s="81" t="s">
        <v>53</v>
      </c>
      <c r="O18" s="81" t="s">
        <v>52</v>
      </c>
      <c r="P18" s="81" t="s">
        <v>52</v>
      </c>
      <c r="Q18" s="81" t="s">
        <v>52</v>
      </c>
      <c r="R18" s="81" t="s">
        <v>52</v>
      </c>
      <c r="S18" s="81" t="s">
        <v>53</v>
      </c>
      <c r="T18" s="81">
        <v>0</v>
      </c>
      <c r="U18" s="81" t="s">
        <v>53</v>
      </c>
      <c r="V18" s="180"/>
      <c r="W18" s="184"/>
      <c r="X18" s="185"/>
      <c r="Y18" s="185"/>
    </row>
    <row r="19" spans="1:25" ht="72" customHeight="1" x14ac:dyDescent="0.25">
      <c r="A19" s="81" t="str">
        <f>'M-Cita'!Q3</f>
        <v>tiempoEspera</v>
      </c>
      <c r="B19" s="108" t="str">
        <f>'M-Cita'!Q2</f>
        <v>Representa la cantidad de minutos en el que el barbero puede esperar a un cliente, después de este tiempo de espera se le hace una sanción por retraso. Si el barbero se pasa de este tiempo se le da el descuento al cliente</v>
      </c>
      <c r="C19" s="81" t="s">
        <v>53</v>
      </c>
      <c r="D19" s="124" t="s">
        <v>165</v>
      </c>
      <c r="E19" s="81" t="s">
        <v>53</v>
      </c>
      <c r="F19" s="81" t="s">
        <v>52</v>
      </c>
      <c r="G19" s="81" t="s">
        <v>52</v>
      </c>
      <c r="H19" s="81" t="s">
        <v>52</v>
      </c>
      <c r="I19" s="81" t="s">
        <v>52</v>
      </c>
      <c r="J19" s="81">
        <v>0</v>
      </c>
      <c r="K19" s="81">
        <v>60</v>
      </c>
      <c r="L19" s="81" t="s">
        <v>52</v>
      </c>
      <c r="M19" s="137" t="s">
        <v>689</v>
      </c>
      <c r="N19" s="81" t="s">
        <v>53</v>
      </c>
      <c r="O19" s="81" t="s">
        <v>52</v>
      </c>
      <c r="P19" s="81" t="s">
        <v>52</v>
      </c>
      <c r="Q19" s="81" t="s">
        <v>52</v>
      </c>
      <c r="R19" s="81" t="s">
        <v>52</v>
      </c>
      <c r="S19" s="81" t="s">
        <v>53</v>
      </c>
      <c r="T19" s="81">
        <v>0</v>
      </c>
      <c r="U19" s="81" t="s">
        <v>53</v>
      </c>
      <c r="V19" s="180"/>
      <c r="W19" s="184"/>
      <c r="X19" s="185"/>
      <c r="Y19" s="185"/>
    </row>
    <row r="20" spans="1:25" ht="72" customHeight="1" x14ac:dyDescent="0.25">
      <c r="A20" s="81" t="str">
        <f>'M-Cita'!R3</f>
        <v>precioTotal</v>
      </c>
      <c r="B20" s="108" t="str">
        <f>'M-Cita'!R2</f>
        <v>Representa cuánto debe pagar el cliente por los servicios de esta cita: la suma del precioServicio de todos sus CitaServicio, al que solo se le aplica el porcentajeDescuento cuando la cita quedó en el estado "El barbero se demoro"</v>
      </c>
      <c r="C20" s="81" t="s">
        <v>53</v>
      </c>
      <c r="D20" s="124" t="s">
        <v>165</v>
      </c>
      <c r="E20" s="81" t="s">
        <v>50</v>
      </c>
      <c r="F20" s="81" t="s">
        <v>52</v>
      </c>
      <c r="G20" s="81" t="s">
        <v>52</v>
      </c>
      <c r="H20" s="81" t="s">
        <v>52</v>
      </c>
      <c r="I20" s="81" t="s">
        <v>52</v>
      </c>
      <c r="J20" s="81">
        <v>0</v>
      </c>
      <c r="K20" s="139">
        <v>3000000</v>
      </c>
      <c r="L20" s="81" t="s">
        <v>52</v>
      </c>
      <c r="M20" s="137" t="s">
        <v>690</v>
      </c>
      <c r="N20" s="81" t="s">
        <v>50</v>
      </c>
      <c r="O20" s="81" t="s">
        <v>52</v>
      </c>
      <c r="P20" s="81" t="s">
        <v>52</v>
      </c>
      <c r="Q20" s="81" t="s">
        <v>52</v>
      </c>
      <c r="R20" s="81" t="s">
        <v>52</v>
      </c>
      <c r="S20" s="81" t="s">
        <v>53</v>
      </c>
      <c r="T20" s="81" t="s">
        <v>278</v>
      </c>
      <c r="U20" s="81" t="s">
        <v>53</v>
      </c>
      <c r="V20" s="180"/>
      <c r="W20" s="184"/>
      <c r="X20" s="185"/>
      <c r="Y20" s="185"/>
    </row>
    <row r="21" spans="1:25" ht="22.5" customHeight="1" x14ac:dyDescent="0.25"/>
    <row r="22" spans="1:25" ht="24.75" customHeight="1" x14ac:dyDescent="0.25">
      <c r="A22" s="140" t="s">
        <v>58</v>
      </c>
      <c r="B22" s="140" t="s">
        <v>59</v>
      </c>
      <c r="C22" s="20" t="s">
        <v>60</v>
      </c>
    </row>
    <row r="23" spans="1:25" ht="14.25" customHeight="1" x14ac:dyDescent="0.25">
      <c r="A23" s="265" t="str">
        <f>'M-Cita'!S3</f>
        <v>Combinación única</v>
      </c>
      <c r="B23" s="266" t="str">
        <f>'M-Cita'!S2</f>
        <v>Combinación única que indica que una misma agenda no puede tener dos citas que empiecen a la misma hora</v>
      </c>
      <c r="C23" s="21" t="str">
        <f>A5</f>
        <v>agenda</v>
      </c>
    </row>
    <row r="24" spans="1:25" ht="14.25" customHeight="1" x14ac:dyDescent="0.25">
      <c r="A24" s="265"/>
      <c r="B24" s="265"/>
      <c r="C24" s="21" t="str">
        <f>A7</f>
        <v>horaInicio</v>
      </c>
    </row>
    <row r="25" spans="1:25" ht="15" customHeight="1" x14ac:dyDescent="0.25"/>
    <row r="26" spans="1:25" x14ac:dyDescent="0.25">
      <c r="A26" s="203" t="s">
        <v>62</v>
      </c>
      <c r="B26" s="203"/>
      <c r="C26" s="197" t="s">
        <v>59</v>
      </c>
      <c r="D26" s="197"/>
      <c r="E26" s="197"/>
      <c r="F26" s="197"/>
      <c r="G26" s="197" t="s">
        <v>63</v>
      </c>
      <c r="H26" s="197"/>
      <c r="I26" s="197"/>
      <c r="J26" s="197" t="s">
        <v>64</v>
      </c>
      <c r="K26" s="197"/>
      <c r="L26" s="197"/>
      <c r="M26" s="197"/>
      <c r="N26" s="197"/>
      <c r="O26" s="197" t="s">
        <v>65</v>
      </c>
      <c r="P26" s="197"/>
      <c r="Q26" s="197" t="s">
        <v>66</v>
      </c>
      <c r="R26" s="197"/>
    </row>
    <row r="27" spans="1:25" x14ac:dyDescent="0.25">
      <c r="A27" s="203"/>
      <c r="B27" s="203"/>
      <c r="C27" s="197"/>
      <c r="D27" s="197"/>
      <c r="E27" s="197"/>
      <c r="F27" s="197"/>
      <c r="G27" s="24" t="s">
        <v>67</v>
      </c>
      <c r="H27" s="24" t="s">
        <v>32</v>
      </c>
      <c r="I27" s="24" t="s">
        <v>59</v>
      </c>
      <c r="J27" s="24" t="s">
        <v>68</v>
      </c>
      <c r="K27" s="200" t="s">
        <v>59</v>
      </c>
      <c r="L27" s="201"/>
      <c r="M27" s="201"/>
      <c r="N27" s="202"/>
      <c r="O27" s="24" t="s">
        <v>69</v>
      </c>
      <c r="P27" s="24" t="s">
        <v>59</v>
      </c>
      <c r="Q27" s="24" t="s">
        <v>70</v>
      </c>
      <c r="R27" s="27" t="s">
        <v>71</v>
      </c>
    </row>
    <row r="28" spans="1:25" ht="176.1" customHeight="1" x14ac:dyDescent="0.25">
      <c r="A28" s="215" t="s">
        <v>691</v>
      </c>
      <c r="B28" s="216"/>
      <c r="C28" s="219" t="s">
        <v>692</v>
      </c>
      <c r="D28" s="220"/>
      <c r="E28" s="220"/>
      <c r="F28" s="221"/>
      <c r="G28" s="225" t="s">
        <v>693</v>
      </c>
      <c r="H28" s="227" t="s">
        <v>25</v>
      </c>
      <c r="I28" s="229" t="s">
        <v>694</v>
      </c>
      <c r="J28" s="231" t="s">
        <v>25</v>
      </c>
      <c r="K28" s="219" t="s">
        <v>695</v>
      </c>
      <c r="L28" s="220"/>
      <c r="M28" s="220"/>
      <c r="N28" s="221"/>
      <c r="O28" s="28" t="str">
        <f>'P-Cita'!A6</f>
        <v>P-CIT-0001</v>
      </c>
      <c r="P28" s="3" t="str">
        <f>'P-Cita'!B6</f>
        <v>Asegurar que los datos requeridos (hora de inicio, servicios solicitados) sean válidos en tipo de dato, obligatoriedad, formato y rango</v>
      </c>
      <c r="Q28" s="3" t="s">
        <v>696</v>
      </c>
      <c r="R28" s="31" t="s">
        <v>134</v>
      </c>
    </row>
    <row r="29" spans="1:25" ht="135" x14ac:dyDescent="0.25">
      <c r="A29" s="289"/>
      <c r="B29" s="290"/>
      <c r="C29" s="291"/>
      <c r="D29" s="292"/>
      <c r="E29" s="292"/>
      <c r="F29" s="293"/>
      <c r="G29" s="294"/>
      <c r="H29" s="295"/>
      <c r="I29" s="296"/>
      <c r="J29" s="297"/>
      <c r="K29" s="291"/>
      <c r="L29" s="292"/>
      <c r="M29" s="292"/>
      <c r="N29" s="293"/>
      <c r="O29" s="28" t="str">
        <f>'P-Cita'!A7</f>
        <v>P-CIT-0002</v>
      </c>
      <c r="P29" s="3" t="str">
        <f>'P-Cita'!B7</f>
        <v>Asegurar que el cliente no esté vetado antes de permitirle agendar</v>
      </c>
      <c r="Q29" s="3" t="s">
        <v>697</v>
      </c>
      <c r="R29" s="31" t="s">
        <v>134</v>
      </c>
    </row>
    <row r="30" spans="1:25" ht="165" x14ac:dyDescent="0.25">
      <c r="A30" s="289"/>
      <c r="B30" s="290"/>
      <c r="C30" s="291"/>
      <c r="D30" s="292"/>
      <c r="E30" s="292"/>
      <c r="F30" s="293"/>
      <c r="G30" s="294"/>
      <c r="H30" s="295"/>
      <c r="I30" s="296"/>
      <c r="J30" s="297"/>
      <c r="K30" s="291"/>
      <c r="L30" s="292"/>
      <c r="M30" s="292"/>
      <c r="N30" s="293"/>
      <c r="O30" s="28" t="str">
        <f>'P-Cita'!A8</f>
        <v>P-CIT-0003</v>
      </c>
      <c r="P30" s="3" t="str">
        <f>'P-Cita'!B8</f>
        <v>Asegurar que la agenda tenga disponibilidad y que la hora solicitada quepa dentro del horario del barbero sin solaparse con otra cita o bloqueo</v>
      </c>
      <c r="Q30" s="3" t="s">
        <v>698</v>
      </c>
      <c r="R30" s="31" t="s">
        <v>134</v>
      </c>
    </row>
    <row r="31" spans="1:25" ht="135" x14ac:dyDescent="0.25">
      <c r="A31" s="289"/>
      <c r="B31" s="290"/>
      <c r="C31" s="291"/>
      <c r="D31" s="292"/>
      <c r="E31" s="292"/>
      <c r="F31" s="293"/>
      <c r="G31" s="294"/>
      <c r="H31" s="295"/>
      <c r="I31" s="296"/>
      <c r="J31" s="297"/>
      <c r="K31" s="291"/>
      <c r="L31" s="292"/>
      <c r="M31" s="292"/>
      <c r="N31" s="293"/>
      <c r="O31" s="28" t="str">
        <f>'P-Cita'!A19</f>
        <v>P-CIT-0014</v>
      </c>
      <c r="P31" s="3" t="str">
        <f>'P-Cita'!B19</f>
        <v>Asegurar que la hora solicitada no caiga dentro de ningún bloqueo del barbero, ni que la cita se extienda sobre uno</v>
      </c>
      <c r="Q31" s="3" t="s">
        <v>699</v>
      </c>
      <c r="R31" s="31" t="s">
        <v>134</v>
      </c>
    </row>
    <row r="32" spans="1:25" ht="165" x14ac:dyDescent="0.25">
      <c r="A32" s="289"/>
      <c r="B32" s="290"/>
      <c r="C32" s="291"/>
      <c r="D32" s="292"/>
      <c r="E32" s="292"/>
      <c r="F32" s="293"/>
      <c r="G32" s="294"/>
      <c r="H32" s="295"/>
      <c r="I32" s="296"/>
      <c r="J32" s="297"/>
      <c r="K32" s="291"/>
      <c r="L32" s="292"/>
      <c r="M32" s="292"/>
      <c r="N32" s="293"/>
      <c r="O32" s="28" t="str">
        <f>'P-Cita'!A9</f>
        <v>P-CIT-0004</v>
      </c>
      <c r="P32" s="3" t="str">
        <f>'P-Cita'!B9</f>
        <v>Asegurar que cada servicio solicitado esté habilitado para ese barbero</v>
      </c>
      <c r="Q32" s="3" t="s">
        <v>700</v>
      </c>
      <c r="R32" s="31" t="s">
        <v>134</v>
      </c>
    </row>
    <row r="33" spans="1:18" ht="180" x14ac:dyDescent="0.25">
      <c r="A33" s="289"/>
      <c r="B33" s="290"/>
      <c r="C33" s="291"/>
      <c r="D33" s="292"/>
      <c r="E33" s="292"/>
      <c r="F33" s="293"/>
      <c r="G33" s="294"/>
      <c r="H33" s="295"/>
      <c r="I33" s="296"/>
      <c r="J33" s="297"/>
      <c r="K33" s="291"/>
      <c r="L33" s="292"/>
      <c r="M33" s="292"/>
      <c r="N33" s="293"/>
      <c r="O33" s="28" t="str">
        <f>'P-Cita'!A18</f>
        <v>P-CIT-0013</v>
      </c>
      <c r="P33" s="3" t="str">
        <f>'P-Cita'!B18</f>
        <v>Asegurar que todos los servicios pedidos en la cita correspondan a un mismo barbero, porque una cita la atiende un único barbero de principio a fin</v>
      </c>
      <c r="Q33" s="3" t="s">
        <v>701</v>
      </c>
      <c r="R33" s="31" t="s">
        <v>134</v>
      </c>
    </row>
    <row r="34" spans="1:18" ht="150" x14ac:dyDescent="0.25">
      <c r="A34" s="289"/>
      <c r="B34" s="290"/>
      <c r="C34" s="291"/>
      <c r="D34" s="292"/>
      <c r="E34" s="292"/>
      <c r="F34" s="293"/>
      <c r="G34" s="294"/>
      <c r="H34" s="295"/>
      <c r="I34" s="296"/>
      <c r="J34" s="297"/>
      <c r="K34" s="291"/>
      <c r="L34" s="292"/>
      <c r="M34" s="292"/>
      <c r="N34" s="293"/>
      <c r="O34" s="28" t="str">
        <f>'P-Cita'!A10</f>
        <v>P-CIT-0005</v>
      </c>
      <c r="P34" s="3" t="str">
        <f>'P-Cita'!B10</f>
        <v>Asegurar que la cita se solicite con al menos la anticipación mínima definida por el barbero</v>
      </c>
      <c r="Q34" s="3" t="s">
        <v>702</v>
      </c>
      <c r="R34" s="31" t="s">
        <v>134</v>
      </c>
    </row>
    <row r="35" spans="1:18" ht="195" x14ac:dyDescent="0.25">
      <c r="A35" s="217"/>
      <c r="B35" s="218"/>
      <c r="C35" s="222"/>
      <c r="D35" s="223"/>
      <c r="E35" s="223"/>
      <c r="F35" s="224"/>
      <c r="G35" s="226"/>
      <c r="H35" s="228"/>
      <c r="I35" s="230"/>
      <c r="J35" s="232"/>
      <c r="K35" s="222"/>
      <c r="L35" s="223"/>
      <c r="M35" s="223"/>
      <c r="N35" s="224"/>
      <c r="O35" s="28" t="str">
        <f>'P-Cita'!A11</f>
        <v>P-CIT-0006</v>
      </c>
      <c r="P35" s="3" t="str">
        <f>'P-Cita'!B11</f>
        <v>Congelar en la cita el valor de multa, el tiempoEspera y el porcentajeDescuento en el momento de agendarla, para que un cambio posterior no altere citas ya registradas</v>
      </c>
      <c r="Q35" s="3" t="s">
        <v>703</v>
      </c>
      <c r="R35" s="31" t="s">
        <v>134</v>
      </c>
    </row>
    <row r="36" spans="1:18" ht="162.6" customHeight="1" x14ac:dyDescent="0.25">
      <c r="A36" s="234" t="s">
        <v>704</v>
      </c>
      <c r="B36" s="235"/>
      <c r="C36" s="238" t="s">
        <v>705</v>
      </c>
      <c r="D36" s="239"/>
      <c r="E36" s="239"/>
      <c r="F36" s="240"/>
      <c r="G36" s="168" t="s">
        <v>110</v>
      </c>
      <c r="H36" s="168" t="s">
        <v>131</v>
      </c>
      <c r="I36" s="169" t="s">
        <v>706</v>
      </c>
      <c r="J36" s="177" t="s">
        <v>25</v>
      </c>
      <c r="K36" s="233" t="s">
        <v>707</v>
      </c>
      <c r="L36" s="233"/>
      <c r="M36" s="233"/>
      <c r="N36" s="233"/>
      <c r="O36" s="168" t="str">
        <f>'P-Cita'!A8</f>
        <v>P-CIT-0003</v>
      </c>
      <c r="P36" s="170" t="str">
        <f>'P-Cita'!B8</f>
        <v>Asegurar que la agenda tenga disponibilidad y que la hora solicitada quepa dentro del horario del barbero sin solaparse con otra cita o bloqueo</v>
      </c>
      <c r="Q36" s="170" t="s">
        <v>698</v>
      </c>
      <c r="R36" s="171" t="s">
        <v>134</v>
      </c>
    </row>
    <row r="37" spans="1:18" ht="135" x14ac:dyDescent="0.25">
      <c r="A37" s="305"/>
      <c r="B37" s="306"/>
      <c r="C37" s="307"/>
      <c r="D37" s="308"/>
      <c r="E37" s="308"/>
      <c r="F37" s="309"/>
      <c r="G37" s="248" t="s">
        <v>708</v>
      </c>
      <c r="H37" s="248" t="s">
        <v>25</v>
      </c>
      <c r="I37" s="310" t="s">
        <v>709</v>
      </c>
      <c r="J37" s="245"/>
      <c r="K37" s="238"/>
      <c r="L37" s="239"/>
      <c r="M37" s="239"/>
      <c r="N37" s="240"/>
      <c r="O37" s="168" t="str">
        <f>'P-Cita'!A19</f>
        <v>P-CIT-0014</v>
      </c>
      <c r="P37" s="170" t="str">
        <f>'P-Cita'!B19</f>
        <v>Asegurar que la hora solicitada no caiga dentro de ningún bloqueo del barbero, ni que la cita se extienda sobre uno</v>
      </c>
      <c r="Q37" s="170" t="s">
        <v>699</v>
      </c>
      <c r="R37" s="171" t="s">
        <v>134</v>
      </c>
    </row>
    <row r="38" spans="1:18" ht="150" x14ac:dyDescent="0.25">
      <c r="A38" s="236"/>
      <c r="B38" s="237"/>
      <c r="C38" s="241"/>
      <c r="D38" s="242"/>
      <c r="E38" s="242"/>
      <c r="F38" s="243"/>
      <c r="G38" s="249"/>
      <c r="H38" s="249"/>
      <c r="I38" s="311"/>
      <c r="J38" s="246"/>
      <c r="K38" s="241"/>
      <c r="L38" s="242"/>
      <c r="M38" s="242"/>
      <c r="N38" s="243"/>
      <c r="O38" s="168" t="str">
        <f>'P-Cita'!A10</f>
        <v>P-CIT-0005</v>
      </c>
      <c r="P38" s="170" t="str">
        <f>'P-Cita'!B10</f>
        <v>Asegurar que la cita se solicite con al menos la anticipación mínima definida por el barbero</v>
      </c>
      <c r="Q38" s="170" t="s">
        <v>702</v>
      </c>
      <c r="R38" s="171" t="s">
        <v>134</v>
      </c>
    </row>
    <row r="39" spans="1:18" ht="189.6" customHeight="1" x14ac:dyDescent="0.25">
      <c r="A39" s="213" t="s">
        <v>710</v>
      </c>
      <c r="B39" s="213"/>
      <c r="C39" s="214" t="s">
        <v>711</v>
      </c>
      <c r="D39" s="214"/>
      <c r="E39" s="214"/>
      <c r="F39" s="214"/>
      <c r="G39" s="173" t="s">
        <v>110</v>
      </c>
      <c r="H39" s="173" t="s">
        <v>131</v>
      </c>
      <c r="I39" s="174" t="s">
        <v>712</v>
      </c>
      <c r="J39" s="175" t="s">
        <v>25</v>
      </c>
      <c r="K39" s="214" t="s">
        <v>713</v>
      </c>
      <c r="L39" s="214"/>
      <c r="M39" s="214"/>
      <c r="N39" s="214"/>
      <c r="O39" s="173" t="str">
        <f>'P-Cita'!A16</f>
        <v>P-CIT-0011</v>
      </c>
      <c r="P39" s="172" t="str">
        <f>'P-Cita'!B16</f>
        <v>Rechazar la cancelación cuando falten menos de 2 horas para la horaInicio de la cita: en ese caso el sistema no le permite al cliente cancelarla y la cita se mantiene</v>
      </c>
      <c r="Q39" s="172" t="s">
        <v>714</v>
      </c>
      <c r="R39" s="176" t="s">
        <v>134</v>
      </c>
    </row>
    <row r="40" spans="1:18" ht="135.75" customHeight="1" x14ac:dyDescent="0.25">
      <c r="A40" s="198" t="s">
        <v>715</v>
      </c>
      <c r="B40" s="198"/>
      <c r="C40" s="199" t="s">
        <v>716</v>
      </c>
      <c r="D40" s="199"/>
      <c r="E40" s="199"/>
      <c r="F40" s="199"/>
      <c r="G40" s="28" t="s">
        <v>110</v>
      </c>
      <c r="H40" s="28" t="s">
        <v>131</v>
      </c>
      <c r="I40" s="29" t="s">
        <v>717</v>
      </c>
      <c r="J40" s="30" t="s">
        <v>25</v>
      </c>
      <c r="K40" s="199" t="s">
        <v>718</v>
      </c>
      <c r="L40" s="199"/>
      <c r="M40" s="199"/>
      <c r="N40" s="199"/>
      <c r="O40" s="28" t="str">
        <f>'P-Cita'!A17</f>
        <v>P-CIT-0012</v>
      </c>
      <c r="P40" s="3" t="str">
        <f>'P-Cita'!B17</f>
        <v>Asegurar que el barbero cancele la cita con al menos 2 horas de anticipación frente a su horaInicio</v>
      </c>
      <c r="Q40" s="3" t="s">
        <v>719</v>
      </c>
      <c r="R40" s="31" t="s">
        <v>134</v>
      </c>
    </row>
    <row r="41" spans="1:18" ht="162.6" customHeight="1" x14ac:dyDescent="0.25">
      <c r="A41" s="234" t="s">
        <v>720</v>
      </c>
      <c r="B41" s="235"/>
      <c r="C41" s="238" t="s">
        <v>721</v>
      </c>
      <c r="D41" s="239"/>
      <c r="E41" s="239"/>
      <c r="F41" s="240"/>
      <c r="G41" s="168" t="s">
        <v>110</v>
      </c>
      <c r="H41" s="168" t="s">
        <v>131</v>
      </c>
      <c r="I41" s="169" t="s">
        <v>722</v>
      </c>
      <c r="J41" s="177" t="s">
        <v>25</v>
      </c>
      <c r="K41" s="233" t="s">
        <v>723</v>
      </c>
      <c r="L41" s="233"/>
      <c r="M41" s="233"/>
      <c r="N41" s="233"/>
      <c r="O41" s="168" t="str">
        <f>'P-Cita'!A15</f>
        <v>P-CIT-0010</v>
      </c>
      <c r="P41" s="170" t="str">
        <f>'P-Cita'!B15</f>
        <v>Si minutosTardanzaCliente supera el tiempoEspera de la cita, generar una Multa de tipo Tardanza por el valor de multa de esa misma cita</v>
      </c>
      <c r="Q41" s="170" t="s">
        <v>724</v>
      </c>
      <c r="R41" s="171" t="s">
        <v>450</v>
      </c>
    </row>
    <row r="42" spans="1:18" ht="76.5" x14ac:dyDescent="0.25">
      <c r="A42" s="236"/>
      <c r="B42" s="237"/>
      <c r="C42" s="241"/>
      <c r="D42" s="242"/>
      <c r="E42" s="242"/>
      <c r="F42" s="243"/>
      <c r="G42" s="168" t="s">
        <v>725</v>
      </c>
      <c r="H42" s="168" t="s">
        <v>429</v>
      </c>
      <c r="I42" s="169" t="s">
        <v>726</v>
      </c>
      <c r="J42" s="177"/>
      <c r="K42" s="233"/>
      <c r="L42" s="233"/>
      <c r="M42" s="233"/>
      <c r="N42" s="233"/>
      <c r="O42" s="168"/>
      <c r="P42" s="170"/>
      <c r="Q42" s="170"/>
      <c r="R42" s="171"/>
    </row>
    <row r="43" spans="1:18" ht="162.6" customHeight="1" x14ac:dyDescent="0.25">
      <c r="A43" s="254" t="s">
        <v>727</v>
      </c>
      <c r="B43" s="255"/>
      <c r="C43" s="258" t="s">
        <v>728</v>
      </c>
      <c r="D43" s="259"/>
      <c r="E43" s="259"/>
      <c r="F43" s="260"/>
      <c r="G43" s="173" t="s">
        <v>110</v>
      </c>
      <c r="H43" s="173" t="s">
        <v>131</v>
      </c>
      <c r="I43" s="174" t="s">
        <v>729</v>
      </c>
      <c r="J43" s="175" t="s">
        <v>25</v>
      </c>
      <c r="K43" s="214" t="s">
        <v>730</v>
      </c>
      <c r="L43" s="214"/>
      <c r="M43" s="214"/>
      <c r="N43" s="214"/>
      <c r="O43" s="173" t="str">
        <f>'P-Cita'!A14</f>
        <v>P-CIT-0009</v>
      </c>
      <c r="P43" s="172" t="str">
        <f>'P-Cita'!B14</f>
        <v>Si minutosDemoraBarbero supera el tiempoEspera de la cita, aplicar el porcentajeDescuento de esa misma cita sobre su precioTotal</v>
      </c>
      <c r="Q43" s="172" t="s">
        <v>731</v>
      </c>
      <c r="R43" s="176" t="s">
        <v>450</v>
      </c>
    </row>
    <row r="44" spans="1:18" ht="76.5" x14ac:dyDescent="0.25">
      <c r="A44" s="256"/>
      <c r="B44" s="257"/>
      <c r="C44" s="261"/>
      <c r="D44" s="262"/>
      <c r="E44" s="262"/>
      <c r="F44" s="263"/>
      <c r="G44" s="173" t="s">
        <v>732</v>
      </c>
      <c r="H44" s="173" t="s">
        <v>429</v>
      </c>
      <c r="I44" s="174" t="s">
        <v>733</v>
      </c>
      <c r="J44" s="175"/>
      <c r="K44" s="214"/>
      <c r="L44" s="214"/>
      <c r="M44" s="214"/>
      <c r="N44" s="214"/>
      <c r="O44" s="173"/>
      <c r="P44" s="172"/>
      <c r="Q44" s="172"/>
      <c r="R44" s="176"/>
    </row>
    <row r="45" spans="1:18" ht="176.1" customHeight="1" x14ac:dyDescent="0.25">
      <c r="A45" s="215" t="s">
        <v>734</v>
      </c>
      <c r="B45" s="216"/>
      <c r="C45" s="219" t="s">
        <v>735</v>
      </c>
      <c r="D45" s="220"/>
      <c r="E45" s="220"/>
      <c r="F45" s="221"/>
      <c r="G45" s="28" t="s">
        <v>110</v>
      </c>
      <c r="H45" s="28" t="s">
        <v>131</v>
      </c>
      <c r="I45" s="29" t="s">
        <v>736</v>
      </c>
      <c r="J45" s="30" t="s">
        <v>25</v>
      </c>
      <c r="K45" s="199" t="s">
        <v>737</v>
      </c>
      <c r="L45" s="199"/>
      <c r="M45" s="199"/>
      <c r="N45" s="199"/>
      <c r="O45" s="28" t="str">
        <f>'P-Cita'!A12</f>
        <v>P-CIT-0007</v>
      </c>
      <c r="P45" s="3" t="str">
        <f>'P-Cita'!B12</f>
        <v>Al finalizar la atención, calcular minutosTardanzaCliente, minutosDemoraBarbero, duración y precioTotal a partir de los tiempos realmente registrados</v>
      </c>
      <c r="Q45" s="3" t="s">
        <v>738</v>
      </c>
      <c r="R45" s="31" t="s">
        <v>134</v>
      </c>
    </row>
    <row r="46" spans="1:18" ht="76.5" x14ac:dyDescent="0.25">
      <c r="A46" s="217"/>
      <c r="B46" s="218"/>
      <c r="C46" s="222"/>
      <c r="D46" s="223"/>
      <c r="E46" s="223"/>
      <c r="F46" s="224"/>
      <c r="G46" s="28" t="s">
        <v>739</v>
      </c>
      <c r="H46" s="28" t="s">
        <v>429</v>
      </c>
      <c r="I46" s="29" t="s">
        <v>740</v>
      </c>
      <c r="J46" s="30"/>
      <c r="K46" s="199"/>
      <c r="L46" s="199"/>
      <c r="M46" s="199"/>
      <c r="N46" s="199"/>
      <c r="O46" s="28"/>
      <c r="P46" s="3"/>
      <c r="Q46" s="3"/>
      <c r="R46" s="31"/>
    </row>
    <row r="47" spans="1:18" ht="108.95" customHeight="1" x14ac:dyDescent="0.25">
      <c r="A47" s="304" t="s">
        <v>741</v>
      </c>
      <c r="B47" s="304"/>
      <c r="C47" s="233" t="s">
        <v>742</v>
      </c>
      <c r="D47" s="233"/>
      <c r="E47" s="233"/>
      <c r="F47" s="233"/>
      <c r="G47" s="168" t="s">
        <v>110</v>
      </c>
      <c r="H47" s="168" t="s">
        <v>131</v>
      </c>
      <c r="I47" s="169" t="s">
        <v>743</v>
      </c>
      <c r="J47" s="177" t="s">
        <v>25</v>
      </c>
      <c r="K47" s="233" t="s">
        <v>744</v>
      </c>
      <c r="L47" s="233"/>
      <c r="M47" s="233"/>
      <c r="N47" s="233"/>
      <c r="O47" s="168" t="str">
        <f>'P-Cita'!A13</f>
        <v>P-CIT-0008</v>
      </c>
      <c r="P47" s="170" t="str">
        <f>'P-Cita'!B13</f>
        <v>Generar una Multa por el valor total de los servicios pedidos</v>
      </c>
      <c r="Q47" s="170" t="s">
        <v>745</v>
      </c>
      <c r="R47" s="171" t="s">
        <v>450</v>
      </c>
    </row>
  </sheetData>
  <mergeCells count="45">
    <mergeCell ref="A23:A24"/>
    <mergeCell ref="B23:B24"/>
    <mergeCell ref="A26:B27"/>
    <mergeCell ref="C26:F27"/>
    <mergeCell ref="G26:I26"/>
    <mergeCell ref="J26:N26"/>
    <mergeCell ref="O26:P26"/>
    <mergeCell ref="Q26:R26"/>
    <mergeCell ref="K27:N27"/>
    <mergeCell ref="A28:B35"/>
    <mergeCell ref="C28:F35"/>
    <mergeCell ref="G28:G35"/>
    <mergeCell ref="H28:H35"/>
    <mergeCell ref="I28:I35"/>
    <mergeCell ref="J28:J35"/>
    <mergeCell ref="K28:N35"/>
    <mergeCell ref="K36:N36"/>
    <mergeCell ref="A36:B38"/>
    <mergeCell ref="C36:F38"/>
    <mergeCell ref="G37:G38"/>
    <mergeCell ref="H37:H38"/>
    <mergeCell ref="I37:I38"/>
    <mergeCell ref="J37:J38"/>
    <mergeCell ref="K37:N38"/>
    <mergeCell ref="A39:B39"/>
    <mergeCell ref="C39:F39"/>
    <mergeCell ref="K39:N39"/>
    <mergeCell ref="A40:B40"/>
    <mergeCell ref="C40:F40"/>
    <mergeCell ref="K40:N40"/>
    <mergeCell ref="K41:N41"/>
    <mergeCell ref="K42:N42"/>
    <mergeCell ref="A41:B42"/>
    <mergeCell ref="C41:F42"/>
    <mergeCell ref="K43:N43"/>
    <mergeCell ref="K44:N44"/>
    <mergeCell ref="A43:B44"/>
    <mergeCell ref="C43:F44"/>
    <mergeCell ref="A47:B47"/>
    <mergeCell ref="C47:F47"/>
    <mergeCell ref="K47:N47"/>
    <mergeCell ref="K45:N45"/>
    <mergeCell ref="K46:N46"/>
    <mergeCell ref="A45:B46"/>
    <mergeCell ref="C45:F46"/>
  </mergeCells>
  <hyperlinks>
    <hyperlink ref="A1" location="'Modelo de Dominio'!A1" display="&lt;&lt;&lt;&lt; Ir al modulo de dominio" xr:uid="{00000000-0004-0000-3200-000000000000}"/>
    <hyperlink ref="B1" location="'Objetos de Dominio'!A1" display="&lt;&lt;&lt;&lt; Ir a objetos de dominio" xr:uid="{00000000-0004-0000-3200-000001000000}"/>
    <hyperlink ref="A3" location="'M-Cita'!A3" display="#'M-Cita'.A3" xr:uid="{00000000-0004-0000-3200-000002000000}"/>
    <hyperlink ref="B3" location="'M-Cita'!A2" display="#'M-Cita'.A2" xr:uid="{00000000-0004-0000-3200-000003000000}"/>
    <hyperlink ref="A4" location="'M-Cita'!A3" display="#'M-Cita'.A3" xr:uid="{00000000-0004-0000-3200-000004000000}"/>
    <hyperlink ref="B4" location="'M-Cita'!A2" display="#'M-Cita'.A2" xr:uid="{00000000-0004-0000-3200-000005000000}"/>
    <hyperlink ref="D4" location="'C-Cliente'!A1" display="Cliente" xr:uid="{00000000-0004-0000-3200-000006000000}"/>
    <hyperlink ref="A5" location="'M-Cita'!A3" display="#'M-Cita'.A3" xr:uid="{00000000-0004-0000-3200-000007000000}"/>
    <hyperlink ref="B5" location="'M-Cita'!A2" display="#'M-Cita'.A2" xr:uid="{00000000-0004-0000-3200-000008000000}"/>
    <hyperlink ref="D5" location="'C-Agenda'!A1" display="Agenda" xr:uid="{00000000-0004-0000-3200-000009000000}"/>
    <hyperlink ref="A6" location="'M-Cita'!A3" display="#'M-Cita'.A3" xr:uid="{00000000-0004-0000-3200-00000A000000}"/>
    <hyperlink ref="B6" location="'M-Cita'!A2" display="#'M-Cita'.A2" xr:uid="{00000000-0004-0000-3200-00000B000000}"/>
    <hyperlink ref="D6" location="'C-Estado'!A1" display="Estado" xr:uid="{00000000-0004-0000-3200-00000C000000}"/>
    <hyperlink ref="A7" location="'M-Cita'!A3" display="#'M-Cita'.A3" xr:uid="{00000000-0004-0000-3200-00000D000000}"/>
    <hyperlink ref="B7" location="'M-Cita'!A2" display="#'M-Cita'.A2" xr:uid="{00000000-0004-0000-3200-00000E000000}"/>
    <hyperlink ref="A8" location="'M-Cita'!A3" display="#'M-Cita'.A3" xr:uid="{00000000-0004-0000-3200-00000F000000}"/>
    <hyperlink ref="B8" location="'M-Cita'!A2" display="#'M-Cita'.A2" xr:uid="{00000000-0004-0000-3200-000010000000}"/>
    <hyperlink ref="A9" location="'M-Cita'!A3" display="#'M-Cita'.A3" xr:uid="{00000000-0004-0000-3200-000011000000}"/>
    <hyperlink ref="B9" location="'M-Cita'!A2" display="#'M-Cita'.A2" xr:uid="{00000000-0004-0000-3200-000012000000}"/>
    <hyperlink ref="A10" location="'M-Cita'!A3" display="#'M-Cita'.A3" xr:uid="{00000000-0004-0000-3200-000013000000}"/>
    <hyperlink ref="B10" location="'M-Cita'!A2" display="#'M-Cita'.A2" xr:uid="{00000000-0004-0000-3200-000014000000}"/>
    <hyperlink ref="A11" location="'M-Cita'!A3" display="#'M-Cita'.A3" xr:uid="{00000000-0004-0000-3200-000015000000}"/>
    <hyperlink ref="B11" location="'M-Cita'!A2" display="#'M-Cita'.A2" xr:uid="{00000000-0004-0000-3200-000016000000}"/>
    <hyperlink ref="A13" location="'M-Cita'!A3" display="#'M-Cita'.A3" xr:uid="{00000000-0004-0000-3200-000017000000}"/>
    <hyperlink ref="B13" location="'M-Cita'!A2" display="#'M-Cita'.A2" xr:uid="{00000000-0004-0000-3200-000018000000}"/>
    <hyperlink ref="A14" location="'M-Cita'!A3" display="#'M-Cita'.A3" xr:uid="{00000000-0004-0000-3200-000019000000}"/>
    <hyperlink ref="B14" location="'M-Cita'!A2" display="#'M-Cita'.A2" xr:uid="{00000000-0004-0000-3200-00001A000000}"/>
    <hyperlink ref="A15" location="'M-Cita'!A3" display="#'M-Cita'.A3" xr:uid="{00000000-0004-0000-3200-00001B000000}"/>
    <hyperlink ref="B15" location="'M-Cita'!A2" display="#'M-Cita'.A2" xr:uid="{00000000-0004-0000-3200-00001C000000}"/>
    <hyperlink ref="A16" location="'M-Cita'!A3" display="#'M-Cita'.A3" xr:uid="{00000000-0004-0000-3200-00001D000000}"/>
    <hyperlink ref="B16" location="'M-Cita'!A2" display="#'M-Cita'.A2" xr:uid="{00000000-0004-0000-3200-00001E000000}"/>
    <hyperlink ref="A17" location="'M-Cita'!A3" display="#'M-Cita'.A3" xr:uid="{00000000-0004-0000-3200-00001F000000}"/>
    <hyperlink ref="B17" location="'M-Cita'!A2" display="#'M-Cita'.A2" xr:uid="{00000000-0004-0000-3200-000020000000}"/>
    <hyperlink ref="A20" location="'M-Cita'!A3" display="#'M-Cita'.A3" xr:uid="{00000000-0004-0000-3200-000021000000}"/>
    <hyperlink ref="B20" location="'M-Cita'!A2" display="#'M-Cita'.A2" xr:uid="{00000000-0004-0000-3200-000022000000}"/>
  </hyperlink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9"/>
  <sheetViews>
    <sheetView showGridLines="0" topLeftCell="A7" zoomScaleNormal="100" workbookViewId="0">
      <selection activeCell="B15" sqref="B15:C15"/>
    </sheetView>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Dominio'!A15</f>
        <v>Cita</v>
      </c>
      <c r="C2" s="209"/>
      <c r="D2" s="209"/>
      <c r="E2" s="209"/>
    </row>
    <row r="3" spans="1:5" ht="30" customHeight="1" x14ac:dyDescent="0.25">
      <c r="A3" s="35" t="s">
        <v>82</v>
      </c>
      <c r="B3" s="210" t="str">
        <f>'Objetos de Dominio'!B15</f>
        <v>Representa la reserva de un cliente con un barbero para un fecha y hora puntual, con los servicios pedidos, su estado, y lo que realmente ocurrió (llegada, atención, tardanzas).</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28.5" customHeight="1" x14ac:dyDescent="0.25">
      <c r="A6" s="10" t="s">
        <v>746</v>
      </c>
      <c r="B6" s="247" t="s">
        <v>747</v>
      </c>
      <c r="C6" s="247"/>
      <c r="D6" s="36" t="s">
        <v>25</v>
      </c>
      <c r="E6" s="36"/>
    </row>
    <row r="7" spans="1:5" ht="30" customHeight="1" x14ac:dyDescent="0.25">
      <c r="A7" s="10" t="s">
        <v>748</v>
      </c>
      <c r="B7" s="247" t="s">
        <v>749</v>
      </c>
      <c r="C7" s="247"/>
      <c r="D7" s="36" t="s">
        <v>19</v>
      </c>
      <c r="E7" s="36"/>
    </row>
    <row r="8" spans="1:5" ht="30" customHeight="1" x14ac:dyDescent="0.25">
      <c r="A8" s="10" t="s">
        <v>750</v>
      </c>
      <c r="B8" s="247" t="s">
        <v>751</v>
      </c>
      <c r="C8" s="247"/>
      <c r="D8" s="36" t="s">
        <v>24</v>
      </c>
      <c r="E8" s="36"/>
    </row>
    <row r="9" spans="1:5" ht="30" customHeight="1" x14ac:dyDescent="0.25">
      <c r="A9" s="10" t="s">
        <v>752</v>
      </c>
      <c r="B9" s="247" t="s">
        <v>753</v>
      </c>
      <c r="C9" s="247"/>
      <c r="D9" s="36" t="s">
        <v>22</v>
      </c>
      <c r="E9" s="36"/>
    </row>
    <row r="10" spans="1:5" ht="30" customHeight="1" x14ac:dyDescent="0.25">
      <c r="A10" s="10" t="s">
        <v>754</v>
      </c>
      <c r="B10" s="247" t="s">
        <v>755</v>
      </c>
      <c r="C10" s="247"/>
      <c r="D10" s="36" t="s">
        <v>18</v>
      </c>
      <c r="E10" s="36"/>
    </row>
    <row r="11" spans="1:5" ht="39.75" customHeight="1" x14ac:dyDescent="0.25">
      <c r="A11" s="10" t="s">
        <v>756</v>
      </c>
      <c r="B11" s="247" t="s">
        <v>757</v>
      </c>
      <c r="C11" s="247"/>
      <c r="D11" s="36" t="s">
        <v>25</v>
      </c>
      <c r="E11" s="36"/>
    </row>
    <row r="12" spans="1:5" ht="42.75" customHeight="1" x14ac:dyDescent="0.25">
      <c r="A12" s="10" t="s">
        <v>758</v>
      </c>
      <c r="B12" s="247" t="s">
        <v>759</v>
      </c>
      <c r="C12" s="247"/>
      <c r="D12" s="36" t="s">
        <v>26</v>
      </c>
      <c r="E12" s="36"/>
    </row>
    <row r="13" spans="1:5" ht="30" customHeight="1" x14ac:dyDescent="0.25">
      <c r="A13" s="10" t="s">
        <v>760</v>
      </c>
      <c r="B13" s="247" t="s">
        <v>761</v>
      </c>
      <c r="C13" s="247"/>
      <c r="D13" s="36" t="s">
        <v>27</v>
      </c>
      <c r="E13" s="36"/>
    </row>
    <row r="14" spans="1:5" ht="30" customHeight="1" x14ac:dyDescent="0.25">
      <c r="A14" s="10" t="s">
        <v>762</v>
      </c>
      <c r="B14" s="247" t="s">
        <v>763</v>
      </c>
      <c r="C14" s="247"/>
      <c r="D14" s="36" t="s">
        <v>25</v>
      </c>
      <c r="E14" s="36"/>
    </row>
    <row r="15" spans="1:5" ht="30" customHeight="1" x14ac:dyDescent="0.25">
      <c r="A15" s="10" t="s">
        <v>764</v>
      </c>
      <c r="B15" s="247" t="s">
        <v>765</v>
      </c>
      <c r="C15" s="247"/>
      <c r="D15" s="36" t="s">
        <v>27</v>
      </c>
      <c r="E15" s="36"/>
    </row>
    <row r="16" spans="1:5" ht="30" customHeight="1" x14ac:dyDescent="0.25">
      <c r="A16" s="10" t="s">
        <v>766</v>
      </c>
      <c r="B16" s="247" t="s">
        <v>767</v>
      </c>
      <c r="C16" s="247"/>
      <c r="D16" s="36" t="s">
        <v>25</v>
      </c>
      <c r="E16" s="36"/>
    </row>
    <row r="17" spans="1:5" ht="30" customHeight="1" x14ac:dyDescent="0.25">
      <c r="A17" s="10" t="s">
        <v>768</v>
      </c>
      <c r="B17" s="247" t="s">
        <v>769</v>
      </c>
      <c r="C17" s="247"/>
      <c r="D17" s="36" t="s">
        <v>25</v>
      </c>
      <c r="E17" s="36"/>
    </row>
    <row r="18" spans="1:5" ht="30" customHeight="1" x14ac:dyDescent="0.25">
      <c r="A18" s="10" t="s">
        <v>770</v>
      </c>
      <c r="B18" s="247" t="s">
        <v>771</v>
      </c>
      <c r="C18" s="247"/>
      <c r="D18" s="36" t="s">
        <v>22</v>
      </c>
      <c r="E18" s="36"/>
    </row>
    <row r="19" spans="1:5" ht="30" customHeight="1" x14ac:dyDescent="0.25">
      <c r="A19" s="10" t="s">
        <v>772</v>
      </c>
      <c r="B19" s="247" t="s">
        <v>773</v>
      </c>
      <c r="C19" s="247"/>
      <c r="D19" s="36" t="s">
        <v>21</v>
      </c>
      <c r="E19" s="36"/>
    </row>
  </sheetData>
  <mergeCells count="20">
    <mergeCell ref="B2:E2"/>
    <mergeCell ref="B3:E3"/>
    <mergeCell ref="A4:A5"/>
    <mergeCell ref="B4:C5"/>
    <mergeCell ref="D4:D5"/>
    <mergeCell ref="E4:E5"/>
    <mergeCell ref="B6:C6"/>
    <mergeCell ref="B7:C7"/>
    <mergeCell ref="B8:C8"/>
    <mergeCell ref="B9:C9"/>
    <mergeCell ref="B10:C10"/>
    <mergeCell ref="B16:C16"/>
    <mergeCell ref="B17:C17"/>
    <mergeCell ref="B18:C18"/>
    <mergeCell ref="B19:C19"/>
    <mergeCell ref="B11:C11"/>
    <mergeCell ref="B12:C12"/>
    <mergeCell ref="B13:C13"/>
    <mergeCell ref="B14:C14"/>
    <mergeCell ref="B15:C15"/>
  </mergeCells>
  <hyperlinks>
    <hyperlink ref="A1" location="'Modelo de Dominio'!A1" display="&lt;&lt; Ir al modelo de dominio" xr:uid="{00000000-0004-0000-3300-000000000000}"/>
    <hyperlink ref="B1" location="'Objetos de Dominio'!A1" display="&lt;&lt; Ir al listado de objetos de dominio" xr:uid="{00000000-0004-0000-3300-000001000000}"/>
    <hyperlink ref="C1" location="'C-Cita'!A1" display="&lt;&lt; Ir a la caracterización del objeto de dominio" xr:uid="{00000000-0004-0000-3300-000002000000}"/>
    <hyperlink ref="D1" location="'M-Cita'!A1" display="Ir al muestreo de datos del objeto de dominio &gt;&gt;" xr:uid="{00000000-0004-0000-3300-000003000000}"/>
    <hyperlink ref="E1" location="'E-Cita'!A1" display="Ir al event storming del objeto de dominio &gt;&gt;" xr:uid="{00000000-0004-0000-3300-000004000000}"/>
  </hyperlinks>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K27"/>
  <sheetViews>
    <sheetView showGridLines="0"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4.28515625" customWidth="1"/>
    <col min="5" max="5" width="22" customWidth="1"/>
    <col min="6" max="6" width="40" customWidth="1"/>
    <col min="7" max="7" width="10" customWidth="1"/>
    <col min="8" max="8" width="41.1406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112" t="s">
        <v>81</v>
      </c>
      <c r="B2" s="303" t="str">
        <f>'Objetos de Dominio'!A15</f>
        <v>Cita</v>
      </c>
      <c r="C2" s="303"/>
      <c r="D2" s="303"/>
      <c r="E2" s="303"/>
      <c r="F2" s="303"/>
      <c r="G2" s="303"/>
      <c r="H2" s="303"/>
      <c r="I2" s="303"/>
      <c r="J2" s="303"/>
      <c r="K2" s="303"/>
    </row>
    <row r="3" spans="1:11" ht="30" customHeight="1" x14ac:dyDescent="0.25">
      <c r="A3" s="113" t="s">
        <v>82</v>
      </c>
      <c r="B3" s="299" t="str">
        <f>'Objetos de Dominio'!B15</f>
        <v>Representa la reserva de un cliente con un barbero para un fecha y hora puntual, con los servicios pedidos, su estado, y lo que realmente ocurrió (llegada, atención, tardanzas).</v>
      </c>
      <c r="C3" s="299"/>
      <c r="D3" s="299"/>
      <c r="E3" s="299"/>
      <c r="F3" s="299"/>
      <c r="G3" s="299"/>
      <c r="H3" s="299"/>
      <c r="I3" s="299"/>
      <c r="J3" s="299"/>
      <c r="K3" s="299"/>
    </row>
    <row r="4" spans="1:11" ht="34.5" customHeight="1" x14ac:dyDescent="0.25">
      <c r="A4" s="39" t="s">
        <v>88</v>
      </c>
      <c r="B4" s="300" t="s">
        <v>89</v>
      </c>
      <c r="C4" s="300"/>
      <c r="D4" s="40" t="s">
        <v>90</v>
      </c>
      <c r="E4" s="188" t="s">
        <v>91</v>
      </c>
      <c r="F4" s="188"/>
      <c r="G4" s="189" t="s">
        <v>92</v>
      </c>
      <c r="H4" s="189"/>
      <c r="I4" s="114" t="s">
        <v>93</v>
      </c>
      <c r="J4" s="43" t="s">
        <v>94</v>
      </c>
      <c r="K4" s="115" t="s">
        <v>95</v>
      </c>
    </row>
    <row r="5" spans="1:11" ht="15" customHeight="1" x14ac:dyDescent="0.25">
      <c r="A5" s="190" t="s">
        <v>88</v>
      </c>
      <c r="B5" s="300" t="s">
        <v>96</v>
      </c>
      <c r="C5" s="300" t="s">
        <v>59</v>
      </c>
      <c r="D5" s="191" t="s">
        <v>97</v>
      </c>
      <c r="E5" s="188" t="s">
        <v>98</v>
      </c>
      <c r="F5" s="188"/>
      <c r="G5" s="189" t="s">
        <v>99</v>
      </c>
      <c r="H5" s="189"/>
      <c r="I5" s="301" t="s">
        <v>100</v>
      </c>
      <c r="J5" s="193" t="s">
        <v>101</v>
      </c>
      <c r="K5" s="302" t="s">
        <v>102</v>
      </c>
    </row>
    <row r="6" spans="1:11" ht="15" customHeight="1" x14ac:dyDescent="0.25">
      <c r="A6" s="190"/>
      <c r="B6" s="190"/>
      <c r="C6" s="190"/>
      <c r="D6" s="190"/>
      <c r="E6" s="41" t="s">
        <v>103</v>
      </c>
      <c r="F6" s="41" t="s">
        <v>59</v>
      </c>
      <c r="G6" s="45" t="s">
        <v>104</v>
      </c>
      <c r="H6" s="45" t="s">
        <v>59</v>
      </c>
      <c r="I6" s="301"/>
      <c r="J6" s="301"/>
      <c r="K6" s="301"/>
    </row>
    <row r="7" spans="1:11" ht="42.75" customHeight="1" x14ac:dyDescent="0.25">
      <c r="A7" s="204" t="s">
        <v>19</v>
      </c>
      <c r="B7" s="244" t="s">
        <v>691</v>
      </c>
      <c r="C7" s="244" t="s">
        <v>692</v>
      </c>
      <c r="D7" s="204" t="str">
        <f>$B$2</f>
        <v>Cita</v>
      </c>
      <c r="E7" s="46" t="s">
        <v>19</v>
      </c>
      <c r="F7" s="46" t="s">
        <v>774</v>
      </c>
      <c r="G7" s="141" t="str">
        <f>'P-Cita'!A6</f>
        <v>P-CIT-0001</v>
      </c>
      <c r="H7" s="142" t="str">
        <f>'P-Cita'!B6</f>
        <v>Asegurar que los datos requeridos (hora de inicio, servicios solicitados) sean válidos en tipo de dato, obligatoriedad, formato y rango</v>
      </c>
      <c r="I7" s="204"/>
      <c r="J7" s="244" t="s">
        <v>775</v>
      </c>
      <c r="K7" s="244" t="s">
        <v>776</v>
      </c>
    </row>
    <row r="8" spans="1:11" ht="30" customHeight="1" x14ac:dyDescent="0.25">
      <c r="A8" s="204"/>
      <c r="B8" s="204"/>
      <c r="C8" s="204"/>
      <c r="D8" s="204"/>
      <c r="E8" s="143" t="s">
        <v>24</v>
      </c>
      <c r="F8" s="144" t="s">
        <v>777</v>
      </c>
      <c r="G8" s="141" t="str">
        <f>'P-Cita'!A7</f>
        <v>P-CIT-0002</v>
      </c>
      <c r="H8" s="142" t="str">
        <f>'P-Cita'!B7</f>
        <v>Asegurar que el cliente no esté vetado antes de permitirle agendar</v>
      </c>
      <c r="I8" s="204"/>
      <c r="J8" s="204"/>
      <c r="K8" s="204"/>
    </row>
    <row r="9" spans="1:11" ht="48" customHeight="1" x14ac:dyDescent="0.25">
      <c r="A9" s="204"/>
      <c r="B9" s="204"/>
      <c r="C9" s="204"/>
      <c r="D9" s="204"/>
      <c r="E9" s="143" t="s">
        <v>21</v>
      </c>
      <c r="F9" s="144" t="s">
        <v>778</v>
      </c>
      <c r="G9" s="141" t="str">
        <f>'P-Cita'!A8</f>
        <v>P-CIT-0003</v>
      </c>
      <c r="H9" s="142" t="str">
        <f>'P-Cita'!B8</f>
        <v>Asegurar que la agenda tenga disponibilidad y que la hora solicitada quepa dentro del horario del barbero sin solaparse con otra cita o bloqueo</v>
      </c>
      <c r="I9" s="204"/>
      <c r="J9" s="204"/>
      <c r="K9" s="204"/>
    </row>
    <row r="10" spans="1:11" ht="42.75" customHeight="1" x14ac:dyDescent="0.25">
      <c r="A10" s="204"/>
      <c r="B10" s="204"/>
      <c r="C10" s="204"/>
      <c r="D10" s="204"/>
      <c r="E10" s="143" t="s">
        <v>23</v>
      </c>
      <c r="F10" s="144" t="s">
        <v>779</v>
      </c>
      <c r="G10" s="141" t="str">
        <f>'P-Cita'!A19</f>
        <v>P-CIT-0014</v>
      </c>
      <c r="H10" s="142" t="str">
        <f>'P-Cita'!B19</f>
        <v>Asegurar que la hora solicitada no caiga dentro de ningún bloqueo del barbero, ni que la cita se extienda sobre uno</v>
      </c>
      <c r="I10" s="204"/>
      <c r="J10" s="204"/>
      <c r="K10" s="204"/>
    </row>
    <row r="11" spans="1:11" ht="30" customHeight="1" x14ac:dyDescent="0.25">
      <c r="A11" s="204"/>
      <c r="B11" s="204"/>
      <c r="C11" s="204"/>
      <c r="D11" s="204"/>
      <c r="E11" s="46" t="s">
        <v>22</v>
      </c>
      <c r="F11" s="46" t="s">
        <v>780</v>
      </c>
      <c r="G11" s="141" t="str">
        <f>'P-Cita'!A9</f>
        <v>P-CIT-0004</v>
      </c>
      <c r="H11" s="142" t="str">
        <f>'P-Cita'!B9</f>
        <v>Asegurar que cada servicio solicitado esté habilitado para ese barbero</v>
      </c>
      <c r="I11" s="204"/>
      <c r="J11" s="204"/>
      <c r="K11" s="204"/>
    </row>
    <row r="12" spans="1:11" ht="57" customHeight="1" x14ac:dyDescent="0.25">
      <c r="A12" s="204"/>
      <c r="B12" s="204"/>
      <c r="C12" s="204"/>
      <c r="D12" s="204"/>
      <c r="E12" s="145" t="s">
        <v>18</v>
      </c>
      <c r="F12" s="146" t="s">
        <v>781</v>
      </c>
      <c r="G12" s="141" t="str">
        <f>'P-Cita'!A18</f>
        <v>P-CIT-0013</v>
      </c>
      <c r="H12" s="142" t="str">
        <f>'P-Cita'!B18</f>
        <v>Asegurar que todos los servicios pedidos en la cita correspondan a un mismo barbero, porque una cita la atiende un único barbero de principio a fin</v>
      </c>
      <c r="I12" s="204"/>
      <c r="J12" s="204"/>
      <c r="K12" s="204"/>
    </row>
    <row r="13" spans="1:11" ht="28.5" customHeight="1" x14ac:dyDescent="0.25">
      <c r="A13" s="204"/>
      <c r="B13" s="204"/>
      <c r="C13" s="204"/>
      <c r="D13" s="204"/>
      <c r="E13" s="145" t="s">
        <v>14</v>
      </c>
      <c r="F13" s="145" t="s">
        <v>782</v>
      </c>
      <c r="G13" s="141" t="str">
        <f>'P-Cita'!A10</f>
        <v>P-CIT-0005</v>
      </c>
      <c r="H13" s="142" t="str">
        <f>'P-Cita'!B10</f>
        <v>Asegurar que la cita se solicite con al menos la anticipación mínima definida por el barbero</v>
      </c>
      <c r="I13" s="204"/>
      <c r="J13" s="204"/>
      <c r="K13" s="204"/>
    </row>
    <row r="14" spans="1:11" ht="57" customHeight="1" x14ac:dyDescent="0.25">
      <c r="A14" s="204"/>
      <c r="B14" s="204"/>
      <c r="C14" s="204"/>
      <c r="D14" s="204"/>
      <c r="E14" s="145"/>
      <c r="F14" s="145"/>
      <c r="G14" s="141" t="str">
        <f>'P-Cita'!A11</f>
        <v>P-CIT-0006</v>
      </c>
      <c r="H14" s="142" t="str">
        <f>'P-Cita'!B11</f>
        <v>Congelar en la cita el valor de multa, el tiempoEspera y el porcentajeDescuento en el momento de agendarla, para que un cambio posterior no altere citas ya registradas</v>
      </c>
      <c r="I14" s="204"/>
      <c r="J14" s="204"/>
      <c r="K14" s="204"/>
    </row>
    <row r="15" spans="1:11" ht="54.75" customHeight="1" x14ac:dyDescent="0.25">
      <c r="A15" s="204" t="s">
        <v>19</v>
      </c>
      <c r="B15" s="244" t="s">
        <v>704</v>
      </c>
      <c r="C15" s="244" t="s">
        <v>705</v>
      </c>
      <c r="D15" s="204" t="str">
        <f>$B$2</f>
        <v>Cita</v>
      </c>
      <c r="E15" s="46" t="s">
        <v>24</v>
      </c>
      <c r="F15" s="46" t="s">
        <v>783</v>
      </c>
      <c r="G15" s="141" t="str">
        <f>'P-Cita'!A8</f>
        <v>P-CIT-0003</v>
      </c>
      <c r="H15" s="142" t="str">
        <f>'P-Cita'!B8</f>
        <v>Asegurar que la agenda tenga disponibilidad y que la hora solicitada quepa dentro del horario del barbero sin solaparse con otra cita o bloqueo</v>
      </c>
      <c r="I15" s="204"/>
      <c r="J15" s="244" t="s">
        <v>784</v>
      </c>
      <c r="K15" s="244"/>
    </row>
    <row r="16" spans="1:11" ht="30" customHeight="1" x14ac:dyDescent="0.25">
      <c r="A16" s="204"/>
      <c r="B16" s="204"/>
      <c r="C16" s="204"/>
      <c r="D16" s="204"/>
      <c r="E16" s="147" t="s">
        <v>21</v>
      </c>
      <c r="F16" s="142" t="s">
        <v>785</v>
      </c>
      <c r="G16" s="141" t="str">
        <f>'P-Cita'!A19</f>
        <v>P-CIT-0014</v>
      </c>
      <c r="H16" s="142" t="str">
        <f>'P-Cita'!B19</f>
        <v>Asegurar que la hora solicitada no caiga dentro de ningún bloqueo del barbero, ni que la cita se extienda sobre uno</v>
      </c>
      <c r="I16" s="204"/>
      <c r="J16" s="204"/>
      <c r="K16" s="204"/>
    </row>
    <row r="17" spans="1:11" ht="30" customHeight="1" x14ac:dyDescent="0.25">
      <c r="A17" s="204"/>
      <c r="B17" s="204"/>
      <c r="C17" s="204"/>
      <c r="D17" s="204"/>
      <c r="E17" s="147" t="s">
        <v>18</v>
      </c>
      <c r="F17" s="142" t="s">
        <v>786</v>
      </c>
      <c r="G17" s="141" t="str">
        <f>'P-Cita'!A10</f>
        <v>P-CIT-0005</v>
      </c>
      <c r="H17" s="142" t="str">
        <f>'P-Cita'!B10</f>
        <v>Asegurar que la cita se solicite con al menos la anticipación mínima definida por el barbero</v>
      </c>
      <c r="I17" s="204"/>
      <c r="J17" s="204"/>
      <c r="K17" s="204"/>
    </row>
    <row r="18" spans="1:11" ht="41.25" customHeight="1" x14ac:dyDescent="0.25">
      <c r="A18" s="2" t="s">
        <v>19</v>
      </c>
      <c r="B18" s="46" t="s">
        <v>710</v>
      </c>
      <c r="C18" s="46" t="s">
        <v>711</v>
      </c>
      <c r="D18" s="2" t="str">
        <f t="shared" ref="D18:D24" si="0">$B$2</f>
        <v>Cita</v>
      </c>
      <c r="E18" s="46" t="s">
        <v>14</v>
      </c>
      <c r="F18" s="46" t="s">
        <v>787</v>
      </c>
      <c r="G18" s="148" t="str">
        <f>'P-Cita'!A16</f>
        <v>P-CIT-0011</v>
      </c>
      <c r="H18" s="79" t="str">
        <f>'P-Cita'!B16</f>
        <v>Rechazar la cancelación cuando falten menos de 2 horas para la horaInicio de la cita: en ese caso el sistema no le permite al cliente cancelarla y la cita se mantiene</v>
      </c>
      <c r="I18" s="2"/>
      <c r="J18" s="46" t="s">
        <v>788</v>
      </c>
      <c r="K18" s="46"/>
    </row>
    <row r="19" spans="1:11" ht="57" customHeight="1" x14ac:dyDescent="0.25">
      <c r="A19" s="2" t="s">
        <v>18</v>
      </c>
      <c r="B19" s="46" t="s">
        <v>715</v>
      </c>
      <c r="C19" s="46" t="s">
        <v>716</v>
      </c>
      <c r="D19" s="2" t="str">
        <f t="shared" si="0"/>
        <v>Cita</v>
      </c>
      <c r="E19" s="46" t="s">
        <v>14</v>
      </c>
      <c r="F19" s="46" t="s">
        <v>789</v>
      </c>
      <c r="G19" s="148" t="str">
        <f>'P-Cita'!A17</f>
        <v>P-CIT-0012</v>
      </c>
      <c r="H19" s="79" t="str">
        <f>'P-Cita'!B17</f>
        <v>Asegurar que el barbero cancele la cita con al menos 2 horas de anticipación frente a su horaInicio</v>
      </c>
      <c r="I19" s="2"/>
      <c r="J19" s="46" t="s">
        <v>790</v>
      </c>
      <c r="K19" s="46"/>
    </row>
    <row r="20" spans="1:11" ht="28.5" customHeight="1" x14ac:dyDescent="0.25">
      <c r="A20" s="2" t="s">
        <v>18</v>
      </c>
      <c r="B20" s="46" t="s">
        <v>720</v>
      </c>
      <c r="C20" s="46" t="s">
        <v>721</v>
      </c>
      <c r="D20" s="2" t="str">
        <f t="shared" si="0"/>
        <v>Cita</v>
      </c>
      <c r="E20" s="46" t="s">
        <v>14</v>
      </c>
      <c r="F20" s="46" t="s">
        <v>791</v>
      </c>
      <c r="G20" s="148" t="str">
        <f>'P-Cita'!A15</f>
        <v>P-CIT-0010</v>
      </c>
      <c r="H20" s="79" t="str">
        <f>'P-Cita'!B15</f>
        <v>Si minutosTardanzaCliente supera el tiempoEspera de la cita, generar una Multa de tipo Tardanza por el valor de multa de esa misma cita</v>
      </c>
      <c r="I20" s="2"/>
      <c r="J20" s="46" t="s">
        <v>792</v>
      </c>
      <c r="K20" s="46"/>
    </row>
    <row r="21" spans="1:11" ht="28.5" customHeight="1" x14ac:dyDescent="0.25">
      <c r="A21" s="2" t="s">
        <v>18</v>
      </c>
      <c r="B21" s="46" t="s">
        <v>727</v>
      </c>
      <c r="C21" s="46" t="s">
        <v>728</v>
      </c>
      <c r="D21" s="2" t="str">
        <f t="shared" si="0"/>
        <v>Cita</v>
      </c>
      <c r="E21" s="46" t="s">
        <v>14</v>
      </c>
      <c r="F21" s="46" t="s">
        <v>793</v>
      </c>
      <c r="G21" s="148" t="str">
        <f>'P-Cita'!A14</f>
        <v>P-CIT-0009</v>
      </c>
      <c r="H21" s="79" t="str">
        <f>'P-Cita'!B14</f>
        <v>Si minutosDemoraBarbero supera el tiempoEspera de la cita, aplicar el porcentajeDescuento de esa misma cita sobre su precioTotal</v>
      </c>
      <c r="I21" s="2"/>
      <c r="J21" s="46" t="s">
        <v>794</v>
      </c>
      <c r="K21" s="46"/>
    </row>
    <row r="22" spans="1:11" ht="57" customHeight="1" x14ac:dyDescent="0.25">
      <c r="A22" s="2" t="s">
        <v>18</v>
      </c>
      <c r="B22" s="46" t="s">
        <v>734</v>
      </c>
      <c r="C22" s="46" t="s">
        <v>735</v>
      </c>
      <c r="D22" s="2" t="str">
        <f t="shared" si="0"/>
        <v>Cita</v>
      </c>
      <c r="E22" s="46" t="s">
        <v>26</v>
      </c>
      <c r="F22" s="46" t="s">
        <v>795</v>
      </c>
      <c r="G22" s="141" t="str">
        <f>'P-Cita'!A12</f>
        <v>P-CIT-0007</v>
      </c>
      <c r="H22" s="142" t="str">
        <f>'P-Cita'!B12</f>
        <v>Al finalizar la atención, calcular minutosTardanzaCliente, minutosDemoraBarbero, duración y precioTotal a partir de los tiempos realmente registrados</v>
      </c>
      <c r="I22" s="2"/>
      <c r="J22" s="46" t="s">
        <v>796</v>
      </c>
      <c r="K22" s="46"/>
    </row>
    <row r="23" spans="1:11" ht="28.5" customHeight="1" x14ac:dyDescent="0.25">
      <c r="A23" s="2" t="s">
        <v>18</v>
      </c>
      <c r="B23" s="46" t="s">
        <v>741</v>
      </c>
      <c r="C23" s="46" t="s">
        <v>742</v>
      </c>
      <c r="D23" s="2" t="str">
        <f t="shared" si="0"/>
        <v>Cita</v>
      </c>
      <c r="E23" s="46" t="s">
        <v>27</v>
      </c>
      <c r="F23" s="46" t="s">
        <v>797</v>
      </c>
      <c r="G23" s="141" t="str">
        <f>'P-Cita'!A13</f>
        <v>P-CIT-0008</v>
      </c>
      <c r="H23" s="142" t="str">
        <f>'P-Cita'!B13</f>
        <v>Generar una Multa por el valor total de los servicios pedidos</v>
      </c>
      <c r="I23" s="2"/>
      <c r="J23" s="46" t="s">
        <v>798</v>
      </c>
      <c r="K23" s="46"/>
    </row>
    <row r="24" spans="1:11" ht="28.5" customHeight="1" x14ac:dyDescent="0.25">
      <c r="A24" s="2" t="s">
        <v>533</v>
      </c>
      <c r="B24" s="46" t="s">
        <v>741</v>
      </c>
      <c r="C24" s="46" t="s">
        <v>799</v>
      </c>
      <c r="D24" s="2" t="str">
        <f t="shared" si="0"/>
        <v>Cita</v>
      </c>
      <c r="E24" s="46" t="s">
        <v>27</v>
      </c>
      <c r="F24" s="46" t="s">
        <v>797</v>
      </c>
      <c r="G24" s="141" t="str">
        <f>'P-Cita'!A13</f>
        <v>P-CIT-0008</v>
      </c>
      <c r="H24" s="142" t="str">
        <f>'P-Cita'!B13</f>
        <v>Generar una Multa por el valor total de los servicios pedidos</v>
      </c>
      <c r="I24" s="2"/>
      <c r="J24" s="46" t="s">
        <v>798</v>
      </c>
      <c r="K24" s="46"/>
    </row>
    <row r="27" spans="1:11" x14ac:dyDescent="0.25">
      <c r="E27" s="149"/>
      <c r="F27" s="149"/>
    </row>
  </sheetData>
  <mergeCells count="32">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J7:J14"/>
    <mergeCell ref="K7:K14"/>
    <mergeCell ref="A15:A17"/>
    <mergeCell ref="B15:B17"/>
    <mergeCell ref="C15:C17"/>
    <mergeCell ref="D15:D17"/>
    <mergeCell ref="I15:I17"/>
    <mergeCell ref="J15:J17"/>
    <mergeCell ref="K15:K17"/>
    <mergeCell ref="A7:A14"/>
    <mergeCell ref="B7:B14"/>
    <mergeCell ref="C7:C14"/>
    <mergeCell ref="D7:D14"/>
    <mergeCell ref="I7:I14"/>
  </mergeCells>
  <hyperlinks>
    <hyperlink ref="A1" location="'Modelo de Dominio'!A1" display="&lt;&lt; Ir al modelo de dominio" xr:uid="{00000000-0004-0000-3400-000000000000}"/>
    <hyperlink ref="C1" location="'Objetos de Dominio'!A1" display="&lt;&lt; Ir al listado de objetos de dominio" xr:uid="{00000000-0004-0000-3400-000001000000}"/>
    <hyperlink ref="F1" location="'C-Cita'!A1" display="&lt;&lt; Ir a la caracterización del objeto de dominio" xr:uid="{00000000-0004-0000-3400-000002000000}"/>
    <hyperlink ref="J1" location="'M-Cita'!A1" display="Ir al muestreo de datos del objeto de dominio &gt;&gt;" xr:uid="{00000000-0004-0000-3400-000003000000}"/>
    <hyperlink ref="G7" location="'P-Cita'!A6" display="#'P-Cita'.A6" xr:uid="{00000000-0004-0000-3400-000004000000}"/>
    <hyperlink ref="G8" location="'P-Cita'!A7" display="#'P-Cita'.A7" xr:uid="{00000000-0004-0000-3400-000005000000}"/>
    <hyperlink ref="G9" location="'P-Cita'!A8" display="#'P-Cita'.A8" xr:uid="{00000000-0004-0000-3400-000006000000}"/>
    <hyperlink ref="G10" location="'P-Cita'!A9" display="#'P-Cita'.A9" xr:uid="{00000000-0004-0000-3400-000007000000}"/>
    <hyperlink ref="G11" location="'P-Cita'!A10" display="#'P-Cita'.A10" xr:uid="{00000000-0004-0000-3400-000008000000}"/>
    <hyperlink ref="G12" location="'P-Cita'!A11" display="#'P-Cita'.A11" xr:uid="{00000000-0004-0000-3400-000009000000}"/>
    <hyperlink ref="G13" location="'P-Cita'!A8" display="#'P-Cita'.A8" xr:uid="{00000000-0004-0000-3400-00000A000000}"/>
    <hyperlink ref="G14" location="'P-Cita'!A10" display="#'P-Cita'.A10" xr:uid="{00000000-0004-0000-3400-00000B000000}"/>
    <hyperlink ref="G15" location="'P-Cita'!A17" display="#'P-Cita'.A17" xr:uid="{00000000-0004-0000-3400-00000C000000}"/>
    <hyperlink ref="G16" location="'P-Cita'!A18" display="#'P-Cita'.A18" xr:uid="{00000000-0004-0000-3400-00000D000000}"/>
    <hyperlink ref="G17" location="'P-Cita'!A15" display="#'P-Cita'.A15" xr:uid="{00000000-0004-0000-3400-00000E000000}"/>
    <hyperlink ref="G18" location="'P-Cita'!A14" display="#'P-Cita'.A14" xr:uid="{00000000-0004-0000-3400-00000F000000}"/>
    <hyperlink ref="G19" location="'P-Cita'!A12" display="#'P-Cita'.A12" xr:uid="{00000000-0004-0000-3400-000010000000}"/>
    <hyperlink ref="G20" location="'P-Cita'!A13" display="#'P-Cita'.A13" xr:uid="{00000000-0004-0000-3400-000011000000}"/>
    <hyperlink ref="G21" location="'P-Cita'!A13" display="#'P-Cita'.A13" xr:uid="{00000000-0004-0000-3400-000012000000}"/>
  </hyperlinks>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S25"/>
  <sheetViews>
    <sheetView zoomScaleNormal="100" workbookViewId="0">
      <selection activeCell="O8" sqref="O8"/>
    </sheetView>
  </sheetViews>
  <sheetFormatPr baseColWidth="10" defaultColWidth="8.7109375" defaultRowHeight="15" x14ac:dyDescent="0.25"/>
  <cols>
    <col min="1" max="1" width="25" customWidth="1"/>
    <col min="2" max="2" width="27.5703125" customWidth="1"/>
    <col min="3" max="3" width="26.140625" customWidth="1"/>
    <col min="4" max="4" width="16.7109375" customWidth="1"/>
    <col min="5" max="5" width="19.85546875" customWidth="1"/>
    <col min="6" max="6" width="17.5703125" customWidth="1"/>
    <col min="7" max="7" width="18.140625" customWidth="1"/>
    <col min="8" max="8" width="23.42578125" customWidth="1"/>
    <col min="9" max="9" width="20.42578125" customWidth="1"/>
    <col min="10" max="10" width="19.85546875" customWidth="1"/>
    <col min="11" max="12" width="18.28515625" customWidth="1"/>
    <col min="13" max="13" width="23" customWidth="1"/>
    <col min="14" max="14" width="21.42578125" customWidth="1"/>
    <col min="15" max="17" width="36" customWidth="1"/>
    <col min="18" max="18" width="26.7109375" customWidth="1"/>
    <col min="19" max="19" width="36" customWidth="1"/>
  </cols>
  <sheetData>
    <row r="1" spans="1:19" ht="14.25" customHeight="1" x14ac:dyDescent="0.25">
      <c r="A1" s="6" t="s">
        <v>1</v>
      </c>
      <c r="B1" s="6" t="s">
        <v>28</v>
      </c>
    </row>
    <row r="2" spans="1:19" ht="64.5" customHeight="1" x14ac:dyDescent="0.25">
      <c r="A2" s="48" t="s">
        <v>107</v>
      </c>
      <c r="B2" s="48" t="s">
        <v>800</v>
      </c>
      <c r="C2" s="48" t="s">
        <v>801</v>
      </c>
      <c r="D2" s="48" t="s">
        <v>802</v>
      </c>
      <c r="E2" s="48" t="s">
        <v>803</v>
      </c>
      <c r="F2" s="48" t="s">
        <v>804</v>
      </c>
      <c r="G2" s="48" t="s">
        <v>805</v>
      </c>
      <c r="H2" s="48" t="s">
        <v>806</v>
      </c>
      <c r="I2" s="48" t="s">
        <v>807</v>
      </c>
      <c r="J2" s="48" t="s">
        <v>808</v>
      </c>
      <c r="K2" s="48" t="s">
        <v>809</v>
      </c>
      <c r="L2" s="48" t="s">
        <v>810</v>
      </c>
      <c r="M2" s="48" t="s">
        <v>811</v>
      </c>
      <c r="N2" s="48" t="s">
        <v>812</v>
      </c>
      <c r="O2" s="48" t="s">
        <v>813</v>
      </c>
      <c r="P2" s="48" t="s">
        <v>814</v>
      </c>
      <c r="Q2" s="48" t="s">
        <v>815</v>
      </c>
      <c r="R2" s="48" t="s">
        <v>816</v>
      </c>
      <c r="S2" s="48" t="s">
        <v>817</v>
      </c>
    </row>
    <row r="3" spans="1:19" ht="14.25" customHeight="1" x14ac:dyDescent="0.25">
      <c r="A3" s="50" t="s">
        <v>110</v>
      </c>
      <c r="B3" s="84" t="s">
        <v>818</v>
      </c>
      <c r="C3" s="84" t="s">
        <v>819</v>
      </c>
      <c r="D3" s="84" t="s">
        <v>820</v>
      </c>
      <c r="E3" s="51" t="s">
        <v>641</v>
      </c>
      <c r="F3" s="85" t="s">
        <v>821</v>
      </c>
      <c r="G3" s="51" t="s">
        <v>725</v>
      </c>
      <c r="H3" s="51" t="s">
        <v>822</v>
      </c>
      <c r="I3" s="51" t="s">
        <v>732</v>
      </c>
      <c r="J3" s="51" t="s">
        <v>739</v>
      </c>
      <c r="K3" s="85" t="s">
        <v>823</v>
      </c>
      <c r="L3" s="150" t="s">
        <v>824</v>
      </c>
      <c r="M3" s="85" t="s">
        <v>825</v>
      </c>
      <c r="N3" s="85" t="s">
        <v>826</v>
      </c>
      <c r="O3" s="51" t="s">
        <v>827</v>
      </c>
      <c r="P3" s="51" t="s">
        <v>828</v>
      </c>
      <c r="Q3" s="51" t="s">
        <v>829</v>
      </c>
      <c r="R3" s="85" t="s">
        <v>830</v>
      </c>
      <c r="S3" s="52" t="s">
        <v>268</v>
      </c>
    </row>
    <row r="4" spans="1:19" ht="45" customHeight="1" x14ac:dyDescent="0.25">
      <c r="A4" s="53">
        <v>1</v>
      </c>
      <c r="B4" s="86" t="str">
        <f>'M-Cliente'!J4</f>
        <v>+57-3234528921</v>
      </c>
      <c r="C4" s="151" t="str">
        <f>'M-Agenda'!D4</f>
        <v>+57-3245627890-Lunes-09:00-19:00-12/11/2023-1/01/1000-10:00-16:00-31/08/2026</v>
      </c>
      <c r="D4" s="151" t="str">
        <f>'M-Estado'!D4</f>
        <v>Agendada</v>
      </c>
      <c r="E4" s="152">
        <v>0.41666666666666702</v>
      </c>
      <c r="F4" s="152">
        <f t="shared" ref="F4:F13" si="0">E4+TIME(K4,L4,0)</f>
        <v>0.4583333333333337</v>
      </c>
      <c r="G4" s="152">
        <v>0</v>
      </c>
      <c r="H4" s="152">
        <v>0</v>
      </c>
      <c r="I4" s="152">
        <v>0</v>
      </c>
      <c r="J4" s="152">
        <v>0</v>
      </c>
      <c r="K4" s="153">
        <f>INT((SUMIF('M-CitaServicio'!$B$4:$B$14,S4,'M-CitaServicio'!$F$4:$F$14)+SUMIF('M-CitaServicio'!$B$4:$B$14,S4,'M-CitaServicio'!$G$4:$G$14))/60)</f>
        <v>1</v>
      </c>
      <c r="L4" s="86">
        <f>MOD((SUMIF('M-CitaServicio'!$B$4:$B$14,S4,'M-CitaServicio'!$F$4:$F$14)+SUMIF('M-CitaServicio'!$B$4:$B$14,S4,'M-CitaServicio'!$G$4:$G$14)),60)</f>
        <v>0</v>
      </c>
      <c r="M4" s="154">
        <f t="shared" ref="M4:M13" si="1">IF(G4=TIME(0,0,0),0,ROUND(MAX(0,(G4-E4)*1440),0))</f>
        <v>0</v>
      </c>
      <c r="N4" s="155">
        <f t="shared" ref="N4:N13" si="2">IF(I4=TIME(0,0,0),0,ROUND(MAX(0,(I4-MAX(G4,E4))*1440),0))</f>
        <v>0</v>
      </c>
      <c r="O4" s="155">
        <v>10</v>
      </c>
      <c r="P4" s="155">
        <v>10000</v>
      </c>
      <c r="Q4" s="155">
        <v>10</v>
      </c>
      <c r="R4" s="156">
        <f>SUMIF('M-CitaServicio'!$B$4:$B$14,S4,'M-CitaServicio'!$D$4:$D$14)*(1-IF(D4='M-Estado'!$D$9,O4,0)/100)</f>
        <v>22000</v>
      </c>
      <c r="S4" s="65" t="str">
        <f t="shared" ref="S4:S13" si="3">_xlfn.CONCAT(C4,"-",TEXT(E4,"hh:mm"))</f>
        <v>+57-3245627890-Lunes-09:00-19:00-12/11/2023-1/01/1000-10:00-16:00-31/08/2026-10:00</v>
      </c>
    </row>
    <row r="5" spans="1:19" ht="41.25" customHeight="1" x14ac:dyDescent="0.25">
      <c r="A5" s="53">
        <v>2</v>
      </c>
      <c r="B5" s="86" t="str">
        <f>'M-Cliente'!J5</f>
        <v>+57-3161657782</v>
      </c>
      <c r="C5" s="151" t="str">
        <f>'M-Agenda'!D5</f>
        <v>+57-3124518923-Martes-09:00-19:00-12/11/2023-1/01/1000-09:00-15:00-10/03/2026</v>
      </c>
      <c r="D5" s="151" t="str">
        <f>'M-Estado'!D5</f>
        <v>Finalizada</v>
      </c>
      <c r="E5" s="152">
        <v>0.39583333333333298</v>
      </c>
      <c r="F5" s="152">
        <f t="shared" si="0"/>
        <v>0.40624999999999967</v>
      </c>
      <c r="G5" s="152">
        <v>0.39444444444444399</v>
      </c>
      <c r="H5" s="152">
        <v>0.39236111111111099</v>
      </c>
      <c r="I5" s="152">
        <v>0.39583333333333298</v>
      </c>
      <c r="J5" s="152">
        <v>0.40625</v>
      </c>
      <c r="K5" s="153">
        <f>INT((SUMIF('M-CitaServicio'!$B$4:$B$14,S5,'M-CitaServicio'!$F$4:$F$14)+SUMIF('M-CitaServicio'!$B$4:$B$14,S5,'M-CitaServicio'!$G$4:$G$14))/60)</f>
        <v>0</v>
      </c>
      <c r="L5" s="86">
        <f>MOD((SUMIF('M-CitaServicio'!$B$4:$B$14,S5,'M-CitaServicio'!$F$4:$F$14)+SUMIF('M-CitaServicio'!$B$4:$B$14,S5,'M-CitaServicio'!$G$4:$G$14)),60)</f>
        <v>15</v>
      </c>
      <c r="M5" s="154">
        <f t="shared" si="1"/>
        <v>0</v>
      </c>
      <c r="N5" s="155">
        <f t="shared" si="2"/>
        <v>0</v>
      </c>
      <c r="O5" s="155">
        <v>10</v>
      </c>
      <c r="P5" s="155">
        <v>10000</v>
      </c>
      <c r="Q5" s="155">
        <v>10</v>
      </c>
      <c r="R5" s="156">
        <f>SUMIF('M-CitaServicio'!$B$4:$B$14,S5,'M-CitaServicio'!$D$4:$D$14)*(1-IF(D5='M-Estado'!$D$9,O5,0)/100)</f>
        <v>12000</v>
      </c>
      <c r="S5" s="65" t="str">
        <f t="shared" si="3"/>
        <v>+57-3124518923-Martes-09:00-19:00-12/11/2023-1/01/1000-09:00-15:00-10/03/2026-09:30</v>
      </c>
    </row>
    <row r="6" spans="1:19" ht="41.25" customHeight="1" x14ac:dyDescent="0.25">
      <c r="A6" s="53">
        <v>3</v>
      </c>
      <c r="B6" s="86" t="str">
        <f>'M-Cliente'!J6</f>
        <v>+57-3119884321</v>
      </c>
      <c r="C6" s="151" t="str">
        <f>'M-Agenda'!D6</f>
        <v>+57-3214533321-Jueves-09:00-19:00-12/11/2023-1/01/1000-13:00-19:00-14/05/2026</v>
      </c>
      <c r="D6" s="151" t="str">
        <f>'M-Estado'!D8</f>
        <v>El cliente se demoro</v>
      </c>
      <c r="E6" s="152">
        <v>0.54166666666666696</v>
      </c>
      <c r="F6" s="152">
        <f t="shared" si="0"/>
        <v>0.5555555555555558</v>
      </c>
      <c r="G6" s="152">
        <v>0.55208333333333304</v>
      </c>
      <c r="H6" s="152">
        <v>0.54305555555555596</v>
      </c>
      <c r="I6" s="152">
        <v>0.55208333333333304</v>
      </c>
      <c r="J6" s="152">
        <v>0.56597222222222199</v>
      </c>
      <c r="K6" s="153">
        <f>INT((SUMIF('M-CitaServicio'!$B$4:$B$14,S6,'M-CitaServicio'!$F$4:$F$14)+SUMIF('M-CitaServicio'!$B$4:$B$14,S6,'M-CitaServicio'!$G$4:$G$14))/60)</f>
        <v>0</v>
      </c>
      <c r="L6" s="86">
        <f>MOD((SUMIF('M-CitaServicio'!$B$4:$B$14,S6,'M-CitaServicio'!$F$4:$F$14)+SUMIF('M-CitaServicio'!$B$4:$B$14,S6,'M-CitaServicio'!$G$4:$G$14)),60)</f>
        <v>20</v>
      </c>
      <c r="M6" s="154">
        <f t="shared" si="1"/>
        <v>15</v>
      </c>
      <c r="N6" s="155">
        <f t="shared" si="2"/>
        <v>0</v>
      </c>
      <c r="O6" s="155">
        <v>10</v>
      </c>
      <c r="P6" s="155">
        <v>10000</v>
      </c>
      <c r="Q6" s="155">
        <v>10</v>
      </c>
      <c r="R6" s="156">
        <f>SUMIF('M-CitaServicio'!$B$4:$B$14,S6,'M-CitaServicio'!$D$4:$D$14)*(1-IF(D6='M-Estado'!$D$9,O6,0)/100)</f>
        <v>15000</v>
      </c>
      <c r="S6" s="65" t="str">
        <f t="shared" si="3"/>
        <v>+57-3214533321-Jueves-09:00-19:00-12/11/2023-1/01/1000-13:00-19:00-14/05/2026-13:00</v>
      </c>
    </row>
    <row r="7" spans="1:19" ht="41.25" customHeight="1" x14ac:dyDescent="0.25">
      <c r="A7" s="53">
        <v>4</v>
      </c>
      <c r="B7" s="86" t="str">
        <f>'M-Cliente'!J7</f>
        <v>+58-4127359182</v>
      </c>
      <c r="C7" s="151" t="str">
        <f>'M-Agenda'!D8</f>
        <v>+91-9876543210-Sábado-08:00-21:00-12/12/2024-1/01/1000-08:00-14:00-22/11/2025</v>
      </c>
      <c r="D7" s="151" t="str">
        <f>'M-Estado'!D10</f>
        <v>Inasistencia del cliente</v>
      </c>
      <c r="E7" s="152">
        <v>0.54166666666666696</v>
      </c>
      <c r="F7" s="152">
        <f t="shared" si="0"/>
        <v>0.57638888888888917</v>
      </c>
      <c r="G7" s="152">
        <v>0</v>
      </c>
      <c r="H7" s="152">
        <v>0.52777777777777801</v>
      </c>
      <c r="I7" s="152">
        <v>0</v>
      </c>
      <c r="J7" s="152">
        <v>0</v>
      </c>
      <c r="K7" s="153">
        <f>INT((SUMIF('M-CitaServicio'!$B$4:$B$14,S7,'M-CitaServicio'!$F$4:$F$14)+SUMIF('M-CitaServicio'!$B$4:$B$14,S7,'M-CitaServicio'!$G$4:$G$14))/60)</f>
        <v>0</v>
      </c>
      <c r="L7" s="86">
        <f>MOD((SUMIF('M-CitaServicio'!$B$4:$B$14,S7,'M-CitaServicio'!$F$4:$F$14)+SUMIF('M-CitaServicio'!$B$4:$B$14,S7,'M-CitaServicio'!$G$4:$G$14)),60)</f>
        <v>50</v>
      </c>
      <c r="M7" s="154">
        <f t="shared" si="1"/>
        <v>0</v>
      </c>
      <c r="N7" s="155">
        <f t="shared" si="2"/>
        <v>0</v>
      </c>
      <c r="O7" s="155">
        <v>10</v>
      </c>
      <c r="P7" s="155">
        <v>12000</v>
      </c>
      <c r="Q7" s="155">
        <v>15</v>
      </c>
      <c r="R7" s="156">
        <f>SUMIF('M-CitaServicio'!$B$4:$B$14,S7,'M-CitaServicio'!$D$4:$D$14)*(1-IF(D7='M-Estado'!$D$9,O7,0)/100)</f>
        <v>35000</v>
      </c>
      <c r="S7" s="65" t="str">
        <f t="shared" si="3"/>
        <v>+91-9876543210-Sábado-08:00-21:00-12/12/2024-1/01/1000-08:00-14:00-22/11/2025-13:00</v>
      </c>
    </row>
    <row r="8" spans="1:19" ht="41.25" customHeight="1" x14ac:dyDescent="0.25">
      <c r="A8" s="53">
        <v>5</v>
      </c>
      <c r="B8" s="86" t="str">
        <f>'M-Cliente'!J7</f>
        <v>+58-4127359182</v>
      </c>
      <c r="C8" s="151" t="str">
        <f>'M-Agenda'!D9</f>
        <v>+57-3214533321-Jueves-09:00-19:00-12/11/2023-1/01/1000-13:00-19:00-06/08/2026</v>
      </c>
      <c r="D8" s="151" t="str">
        <f>'M-Estado'!D9</f>
        <v>El barbero se demoro</v>
      </c>
      <c r="E8" s="152">
        <v>0.75</v>
      </c>
      <c r="F8" s="152">
        <f t="shared" si="0"/>
        <v>0.76388888888888884</v>
      </c>
      <c r="G8" s="152">
        <v>0.74861111111111101</v>
      </c>
      <c r="H8" s="152">
        <v>0.76388888888888895</v>
      </c>
      <c r="I8" s="152">
        <v>0.76388888888888895</v>
      </c>
      <c r="J8" s="152">
        <v>0.77777777777777801</v>
      </c>
      <c r="K8" s="153">
        <f>INT((SUMIF('M-CitaServicio'!$B$4:$B$14,S8,'M-CitaServicio'!$F$4:$F$14)+SUMIF('M-CitaServicio'!$B$4:$B$14,S8,'M-CitaServicio'!$G$4:$G$14))/60)</f>
        <v>0</v>
      </c>
      <c r="L8" s="86">
        <f>MOD((SUMIF('M-CitaServicio'!$B$4:$B$14,S8,'M-CitaServicio'!$F$4:$F$14)+SUMIF('M-CitaServicio'!$B$4:$B$14,S8,'M-CitaServicio'!$G$4:$G$14)),60)</f>
        <v>20</v>
      </c>
      <c r="M8" s="154">
        <f t="shared" si="1"/>
        <v>0</v>
      </c>
      <c r="N8" s="155">
        <f t="shared" si="2"/>
        <v>20</v>
      </c>
      <c r="O8" s="155">
        <v>10</v>
      </c>
      <c r="P8" s="155">
        <v>10000</v>
      </c>
      <c r="Q8" s="155">
        <v>10</v>
      </c>
      <c r="R8" s="156">
        <f>SUMIF('M-CitaServicio'!$B$4:$B$14,S8,'M-CitaServicio'!$D$4:$D$14)*(1-IF(D8='M-Estado'!$D$9,O8,0)/100)</f>
        <v>10800</v>
      </c>
      <c r="S8" s="65" t="str">
        <f t="shared" si="3"/>
        <v>+57-3214533321-Jueves-09:00-19:00-12/11/2023-1/01/1000-13:00-19:00-06/08/2026-18:00</v>
      </c>
    </row>
    <row r="9" spans="1:19" ht="41.25" customHeight="1" x14ac:dyDescent="0.25">
      <c r="A9" s="53">
        <v>6</v>
      </c>
      <c r="B9" s="86" t="str">
        <f>'M-Cliente'!J4</f>
        <v>+57-3234528921</v>
      </c>
      <c r="C9" s="151" t="str">
        <f>'M-Agenda'!D7</f>
        <v>+91-9876543210-Festivo-10:00-15:00-12/12/2024-1/01/1000-12:00-15:00-20/02/2026</v>
      </c>
      <c r="D9" s="151" t="str">
        <f>'M-Estado'!D5</f>
        <v>Finalizada</v>
      </c>
      <c r="E9" s="152">
        <v>0.58333333333333304</v>
      </c>
      <c r="F9" s="152">
        <f t="shared" si="0"/>
        <v>0.61805555555555525</v>
      </c>
      <c r="G9" s="152">
        <v>0.58194444444444504</v>
      </c>
      <c r="H9" s="152">
        <v>0.58333333333333304</v>
      </c>
      <c r="I9" s="152">
        <v>0.58333333333333304</v>
      </c>
      <c r="J9" s="152">
        <v>0.61805555555555602</v>
      </c>
      <c r="K9" s="153">
        <f>INT((SUMIF('M-CitaServicio'!$B$4:$B$14,S9,'M-CitaServicio'!$F$4:$F$14)+SUMIF('M-CitaServicio'!$B$4:$B$14,S9,'M-CitaServicio'!$G$4:$G$14))/60)</f>
        <v>0</v>
      </c>
      <c r="L9" s="86">
        <f>MOD((SUMIF('M-CitaServicio'!$B$4:$B$14,S9,'M-CitaServicio'!$F$4:$F$14)+SUMIF('M-CitaServicio'!$B$4:$B$14,S9,'M-CitaServicio'!$G$4:$G$14)),60)</f>
        <v>50</v>
      </c>
      <c r="M9" s="154">
        <f t="shared" si="1"/>
        <v>0</v>
      </c>
      <c r="N9" s="155">
        <f t="shared" si="2"/>
        <v>0</v>
      </c>
      <c r="O9" s="155">
        <v>10</v>
      </c>
      <c r="P9" s="155">
        <v>10000</v>
      </c>
      <c r="Q9" s="155">
        <v>10</v>
      </c>
      <c r="R9" s="156">
        <f>SUMIF('M-CitaServicio'!$B$4:$B$14,S9,'M-CitaServicio'!$D$4:$D$14)*(1-IF(D9='M-Estado'!$D$9,O9,0)/100)</f>
        <v>35000</v>
      </c>
      <c r="S9" s="65" t="str">
        <f t="shared" si="3"/>
        <v>+91-9876543210-Festivo-10:00-15:00-12/12/2024-1/01/1000-12:00-15:00-20/02/2026-14:00</v>
      </c>
    </row>
    <row r="10" spans="1:19" ht="41.25" customHeight="1" x14ac:dyDescent="0.25">
      <c r="A10" s="53">
        <v>7</v>
      </c>
      <c r="B10" s="86" t="str">
        <f>'M-Cliente'!J8</f>
        <v>+57-3005544332</v>
      </c>
      <c r="C10" s="151" t="str">
        <f>'M-Agenda'!D10</f>
        <v>+57-3245627890-Lunes-09:00-19:00-12/11/2023-1/01/1000-10:00-16:00-01/06/2026</v>
      </c>
      <c r="D10" s="151" t="str">
        <f>'M-Estado'!D10</f>
        <v>Inasistencia del cliente</v>
      </c>
      <c r="E10" s="152">
        <v>0.41666666666666702</v>
      </c>
      <c r="F10" s="152">
        <f t="shared" si="0"/>
        <v>0.4583333333333337</v>
      </c>
      <c r="G10" s="152">
        <v>0</v>
      </c>
      <c r="H10" s="152">
        <v>0</v>
      </c>
      <c r="I10" s="152">
        <v>0</v>
      </c>
      <c r="J10" s="152">
        <v>0</v>
      </c>
      <c r="K10" s="153">
        <f>INT((SUMIF('M-CitaServicio'!$B$4:$B$14,S10,'M-CitaServicio'!$F$4:$F$14)+SUMIF('M-CitaServicio'!$B$4:$B$14,S10,'M-CitaServicio'!$G$4:$G$14))/60)</f>
        <v>1</v>
      </c>
      <c r="L10" s="86">
        <f>MOD((SUMIF('M-CitaServicio'!$B$4:$B$14,S10,'M-CitaServicio'!$F$4:$F$14)+SUMIF('M-CitaServicio'!$B$4:$B$14,S10,'M-CitaServicio'!$G$4:$G$14)),60)</f>
        <v>0</v>
      </c>
      <c r="M10" s="154">
        <f t="shared" si="1"/>
        <v>0</v>
      </c>
      <c r="N10" s="155">
        <f t="shared" si="2"/>
        <v>0</v>
      </c>
      <c r="O10" s="155">
        <v>10</v>
      </c>
      <c r="P10" s="155">
        <v>12000</v>
      </c>
      <c r="Q10" s="155">
        <v>15</v>
      </c>
      <c r="R10" s="156">
        <f>SUMIF('M-CitaServicio'!$B$4:$B$14,S10,'M-CitaServicio'!$D$4:$D$14)*(1-IF(D10='M-Estado'!$D$9,O10,0)/100)</f>
        <v>22000</v>
      </c>
      <c r="S10" s="65" t="str">
        <f t="shared" si="3"/>
        <v>+57-3245627890-Lunes-09:00-19:00-12/11/2023-1/01/1000-10:00-16:00-01/06/2026-10:00</v>
      </c>
    </row>
    <row r="11" spans="1:19" ht="41.25" customHeight="1" x14ac:dyDescent="0.25">
      <c r="A11" s="53">
        <v>8</v>
      </c>
      <c r="B11" s="86" t="str">
        <f>'M-Cliente'!J8</f>
        <v>+57-3005544332</v>
      </c>
      <c r="C11" s="151" t="str">
        <f>'M-Agenda'!D11</f>
        <v>+57-3124518923-Martes-09:00-19:00-12/11/2023-1/01/1000-09:00-15:00-16/06/2026</v>
      </c>
      <c r="D11" s="151" t="str">
        <f>'M-Estado'!D10</f>
        <v>Inasistencia del cliente</v>
      </c>
      <c r="E11" s="152">
        <v>0.375</v>
      </c>
      <c r="F11" s="152">
        <f t="shared" si="0"/>
        <v>0.38541666666666669</v>
      </c>
      <c r="G11" s="152">
        <v>0</v>
      </c>
      <c r="H11" s="152">
        <v>0</v>
      </c>
      <c r="I11" s="152">
        <v>0</v>
      </c>
      <c r="J11" s="152">
        <v>0</v>
      </c>
      <c r="K11" s="153">
        <f>INT((SUMIF('M-CitaServicio'!$B$4:$B$14,S11,'M-CitaServicio'!$F$4:$F$14)+SUMIF('M-CitaServicio'!$B$4:$B$14,S11,'M-CitaServicio'!$G$4:$G$14))/60)</f>
        <v>0</v>
      </c>
      <c r="L11" s="86">
        <f>MOD((SUMIF('M-CitaServicio'!$B$4:$B$14,S11,'M-CitaServicio'!$F$4:$F$14)+SUMIF('M-CitaServicio'!$B$4:$B$14,S11,'M-CitaServicio'!$G$4:$G$14)),60)</f>
        <v>15</v>
      </c>
      <c r="M11" s="154">
        <f t="shared" si="1"/>
        <v>0</v>
      </c>
      <c r="N11" s="155">
        <f t="shared" si="2"/>
        <v>0</v>
      </c>
      <c r="O11" s="155">
        <v>5</v>
      </c>
      <c r="P11" s="155">
        <v>10000</v>
      </c>
      <c r="Q11" s="155">
        <v>10</v>
      </c>
      <c r="R11" s="156">
        <f>SUMIF('M-CitaServicio'!$B$4:$B$14,S11,'M-CitaServicio'!$D$4:$D$14)*(1-IF(D11='M-Estado'!$D$9,O11,0)/100)</f>
        <v>12000</v>
      </c>
      <c r="S11" s="65" t="str">
        <f t="shared" si="3"/>
        <v>+57-3124518923-Martes-09:00-19:00-12/11/2023-1/01/1000-09:00-15:00-16/06/2026-09:00</v>
      </c>
    </row>
    <row r="12" spans="1:19" ht="41.25" customHeight="1" x14ac:dyDescent="0.25">
      <c r="A12" s="53">
        <v>9</v>
      </c>
      <c r="B12" s="86" t="str">
        <f>'M-Cliente'!J8</f>
        <v>+57-3005544332</v>
      </c>
      <c r="C12" s="151" t="str">
        <f>'M-Agenda'!D12</f>
        <v>+57-3214533321-Jueves-09:00-19:00-12/11/2023-1/01/1000-13:00-19:00-02/07/2026</v>
      </c>
      <c r="D12" s="151" t="str">
        <f>'M-Estado'!D10</f>
        <v>Inasistencia del cliente</v>
      </c>
      <c r="E12" s="152">
        <v>0.625</v>
      </c>
      <c r="F12" s="152">
        <f t="shared" si="0"/>
        <v>0.63888888888888884</v>
      </c>
      <c r="G12" s="152">
        <v>0</v>
      </c>
      <c r="H12" s="152">
        <v>0</v>
      </c>
      <c r="I12" s="152">
        <v>0</v>
      </c>
      <c r="J12" s="152">
        <v>0</v>
      </c>
      <c r="K12" s="153">
        <f>INT((SUMIF('M-CitaServicio'!$B$4:$B$14,S12,'M-CitaServicio'!$F$4:$F$14)+SUMIF('M-CitaServicio'!$B$4:$B$14,S12,'M-CitaServicio'!$G$4:$G$14))/60)</f>
        <v>0</v>
      </c>
      <c r="L12" s="86">
        <f>MOD((SUMIF('M-CitaServicio'!$B$4:$B$14,S12,'M-CitaServicio'!$F$4:$F$14)+SUMIF('M-CitaServicio'!$B$4:$B$14,S12,'M-CitaServicio'!$G$4:$G$14)),60)</f>
        <v>20</v>
      </c>
      <c r="M12" s="154">
        <f t="shared" si="1"/>
        <v>0</v>
      </c>
      <c r="N12" s="155">
        <f t="shared" si="2"/>
        <v>0</v>
      </c>
      <c r="O12" s="155">
        <v>15</v>
      </c>
      <c r="P12" s="155">
        <v>10000</v>
      </c>
      <c r="Q12" s="155">
        <v>10</v>
      </c>
      <c r="R12" s="156">
        <f>SUMIF('M-CitaServicio'!$B$4:$B$14,S12,'M-CitaServicio'!$D$4:$D$14)*(1-IF(D12='M-Estado'!$D$9,O12,0)/100)</f>
        <v>15000</v>
      </c>
      <c r="S12" s="65" t="str">
        <f t="shared" si="3"/>
        <v>+57-3214533321-Jueves-09:00-19:00-12/11/2023-1/01/1000-13:00-19:00-02/07/2026-15:00</v>
      </c>
    </row>
    <row r="13" spans="1:19" ht="45" customHeight="1" x14ac:dyDescent="0.25">
      <c r="A13" s="53">
        <v>10</v>
      </c>
      <c r="B13" s="86" t="str">
        <f>'M-Cliente'!J5</f>
        <v>+57-3161657782</v>
      </c>
      <c r="C13" s="151" t="str">
        <f>'M-Agenda'!D6</f>
        <v>+57-3214533321-Jueves-09:00-19:00-12/11/2023-1/01/1000-13:00-19:00-14/05/2026</v>
      </c>
      <c r="D13" s="86" t="str">
        <f>'M-Estado'!D5</f>
        <v>Finalizada</v>
      </c>
      <c r="E13" s="152">
        <v>0.5625</v>
      </c>
      <c r="F13" s="152">
        <f t="shared" si="0"/>
        <v>0.59027777777777779</v>
      </c>
      <c r="G13" s="152">
        <v>0.56111111111111101</v>
      </c>
      <c r="H13" s="152">
        <v>0.55902777777777801</v>
      </c>
      <c r="I13" s="152">
        <v>0.5625</v>
      </c>
      <c r="J13" s="152">
        <v>0.59027777777777801</v>
      </c>
      <c r="K13" s="153">
        <f>INT((SUMIF('M-CitaServicio'!$B$4:$B$14,S13,'M-CitaServicio'!$F$4:$F$14)+SUMIF('M-CitaServicio'!$B$4:$B$14,S13,'M-CitaServicio'!$G$4:$G$14))/60)</f>
        <v>0</v>
      </c>
      <c r="L13" s="86">
        <f>MOD((SUMIF('M-CitaServicio'!$B$4:$B$14,S13,'M-CitaServicio'!$F$4:$F$14)+SUMIF('M-CitaServicio'!$B$4:$B$14,S13,'M-CitaServicio'!$G$4:$G$14)),60)</f>
        <v>40</v>
      </c>
      <c r="M13" s="154">
        <f t="shared" si="1"/>
        <v>0</v>
      </c>
      <c r="N13" s="155">
        <f t="shared" si="2"/>
        <v>0</v>
      </c>
      <c r="O13" s="155">
        <v>0</v>
      </c>
      <c r="P13" s="155">
        <v>10000</v>
      </c>
      <c r="Q13" s="155">
        <v>15</v>
      </c>
      <c r="R13" s="156">
        <f>SUMIF('M-CitaServicio'!$B$4:$B$14,S13,'M-CitaServicio'!$D$4:$D$14)*(1-IF(D13='M-Estado'!$D$9,O13,0)/100)</f>
        <v>27000</v>
      </c>
      <c r="S13" s="65" t="str">
        <f t="shared" si="3"/>
        <v>+57-3214533321-Jueves-09:00-19:00-12/11/2023-1/01/1000-13:00-19:00-14/05/2026-13:30</v>
      </c>
    </row>
    <row r="14" spans="1:19" ht="14.25" customHeight="1" x14ac:dyDescent="0.25">
      <c r="B14" s="57"/>
    </row>
    <row r="19" spans="1:2" ht="28.5" customHeight="1" x14ac:dyDescent="0.25">
      <c r="A19" s="56"/>
      <c r="B19" s="57" t="s">
        <v>120</v>
      </c>
    </row>
    <row r="20" spans="1:2" ht="28.5" customHeight="1" x14ac:dyDescent="0.25">
      <c r="A20" s="58"/>
      <c r="B20" s="57" t="s">
        <v>121</v>
      </c>
    </row>
    <row r="21" spans="1:2" ht="28.5" customHeight="1" x14ac:dyDescent="0.25">
      <c r="A21" s="87"/>
      <c r="B21" s="57" t="s">
        <v>366</v>
      </c>
    </row>
    <row r="22" spans="1:2" ht="28.5" customHeight="1" x14ac:dyDescent="0.25">
      <c r="A22" s="88"/>
      <c r="B22" s="57" t="s">
        <v>367</v>
      </c>
    </row>
    <row r="23" spans="1:2" ht="28.5" customHeight="1" x14ac:dyDescent="0.25">
      <c r="A23" s="59"/>
      <c r="B23" s="57" t="s">
        <v>122</v>
      </c>
    </row>
    <row r="24" spans="1:2" ht="28.5" customHeight="1" x14ac:dyDescent="0.25">
      <c r="A24" s="106"/>
      <c r="B24" s="57" t="s">
        <v>123</v>
      </c>
    </row>
    <row r="25" spans="1:2" x14ac:dyDescent="0.25">
      <c r="B25" s="57"/>
    </row>
  </sheetData>
  <hyperlinks>
    <hyperlink ref="A1" location="'Modelo de Dominio'!A1" display="&lt;&lt;&lt;&lt; Ir al modulo de dominio" xr:uid="{00000000-0004-0000-3500-000000000000}"/>
    <hyperlink ref="B1" location="'Objetos de Dominio'!A1" display="&lt;&lt;&lt;&lt; Ir a objetos de dominio" xr:uid="{00000000-0004-0000-3500-000001000000}"/>
    <hyperlink ref="B3" location="'M-Cliente'!A1" display="cliente" xr:uid="{00000000-0004-0000-3500-000002000000}"/>
    <hyperlink ref="C3" location="'M-Agenda'!A1" display="agenda" xr:uid="{00000000-0004-0000-3500-000003000000}"/>
    <hyperlink ref="D3" location="'M-Estado'!A1" display="estado" xr:uid="{00000000-0004-0000-3500-000004000000}"/>
    <hyperlink ref="B4" location="'M-Cliente'!A4" display="#'M-Cliente'.A4" xr:uid="{00000000-0004-0000-3500-000005000000}"/>
    <hyperlink ref="C4" location="'M-Agenda'!A4" display="#'M-Agenda'.A4" xr:uid="{00000000-0004-0000-3500-000006000000}"/>
    <hyperlink ref="D4" location="'M-Estado'!A4" display="#'M-Estado'.A4" xr:uid="{00000000-0004-0000-3500-000007000000}"/>
    <hyperlink ref="K4" location="'M-CitaServicio'!A4" display="#'M-CitaServicio'.A4" xr:uid="{00000000-0004-0000-3500-000008000000}"/>
    <hyperlink ref="L4" location="'M-CitaServicio'!A4" display="#'M-CitaServicio'.A4" xr:uid="{00000000-0004-0000-3500-000009000000}"/>
    <hyperlink ref="R4" location="'M-CitaServicio'!A4" display="#'M-CitaServicio'.A4" xr:uid="{00000000-0004-0000-3500-00000A000000}"/>
    <hyperlink ref="B5" location="'M-Cliente'!A5" display="#'M-Cliente'.A5" xr:uid="{00000000-0004-0000-3500-00000B000000}"/>
    <hyperlink ref="C5" location="'M-Agenda'!A5" display="#'M-Agenda'.A5" xr:uid="{00000000-0004-0000-3500-00000C000000}"/>
    <hyperlink ref="D5" location="'M-Estado'!A5" display="#'M-Estado'.A5" xr:uid="{00000000-0004-0000-3500-00000D000000}"/>
    <hyperlink ref="K5" location="'M-CitaServicio'!A4" display="#'M-CitaServicio'.A4" xr:uid="{00000000-0004-0000-3500-00000E000000}"/>
    <hyperlink ref="L5" location="'M-CitaServicio'!A4" display="#'M-CitaServicio'.A4" xr:uid="{00000000-0004-0000-3500-00000F000000}"/>
    <hyperlink ref="R5" location="'M-CitaServicio'!A4" display="#'M-CitaServicio'.A4" xr:uid="{00000000-0004-0000-3500-000010000000}"/>
    <hyperlink ref="B6" location="'M-Cliente'!A6" display="#'M-Cliente'.A6" xr:uid="{00000000-0004-0000-3500-000011000000}"/>
    <hyperlink ref="C6" location="'M-Agenda'!A6" display="#'M-Agenda'.A6" xr:uid="{00000000-0004-0000-3500-000012000000}"/>
    <hyperlink ref="D6" location="'M-Estado'!A8" display="#'M-Estado'.A8" xr:uid="{00000000-0004-0000-3500-000013000000}"/>
    <hyperlink ref="K6" location="'M-CitaServicio'!A4" display="#'M-CitaServicio'.A4" xr:uid="{00000000-0004-0000-3500-000014000000}"/>
    <hyperlink ref="L6" location="'M-CitaServicio'!A4" display="#'M-CitaServicio'.A4" xr:uid="{00000000-0004-0000-3500-000015000000}"/>
    <hyperlink ref="R6" location="'M-CitaServicio'!A4" display="#'M-CitaServicio'.A4" xr:uid="{00000000-0004-0000-3500-000016000000}"/>
    <hyperlink ref="B7" location="'M-Cliente'!A7" display="#'M-Cliente'.A7" xr:uid="{00000000-0004-0000-3500-000017000000}"/>
    <hyperlink ref="C7" location="'M-Agenda'!A8" display="#'M-Agenda'.A8" xr:uid="{00000000-0004-0000-3500-000018000000}"/>
    <hyperlink ref="D7" location="'M-Estado'!A10" display="#'M-Estado'.A10" xr:uid="{00000000-0004-0000-3500-000019000000}"/>
    <hyperlink ref="K7" location="'M-CitaServicio'!A4" display="#'M-CitaServicio'.A4" xr:uid="{00000000-0004-0000-3500-00001A000000}"/>
    <hyperlink ref="L7" location="'M-CitaServicio'!A4" display="#'M-CitaServicio'.A4" xr:uid="{00000000-0004-0000-3500-00001B000000}"/>
    <hyperlink ref="R7" location="'M-CitaServicio'!A4" display="#'M-CitaServicio'.A4" xr:uid="{00000000-0004-0000-3500-00001C000000}"/>
    <hyperlink ref="B8" location="'M-Cliente'!A7" display="#'M-Cliente'.A7" xr:uid="{00000000-0004-0000-3500-00001D000000}"/>
    <hyperlink ref="C8" location="'M-Agenda'!A9" display="#'M-Agenda'.A9" xr:uid="{00000000-0004-0000-3500-00001E000000}"/>
    <hyperlink ref="D8" location="'M-Estado'!A9" display="#'M-Estado'.A9" xr:uid="{00000000-0004-0000-3500-00001F000000}"/>
    <hyperlink ref="K8" location="'M-CitaServicio'!A4" display="#'M-CitaServicio'.A4" xr:uid="{00000000-0004-0000-3500-000020000000}"/>
    <hyperlink ref="L8" location="'M-CitaServicio'!A4" display="#'M-CitaServicio'.A4" xr:uid="{00000000-0004-0000-3500-000021000000}"/>
    <hyperlink ref="R8" location="'M-CitaServicio'!A4" display="#'M-CitaServicio'.A4" xr:uid="{00000000-0004-0000-3500-000022000000}"/>
    <hyperlink ref="B9" location="'M-Cliente'!A4" display="#'M-Cliente'.A4" xr:uid="{00000000-0004-0000-3500-000023000000}"/>
    <hyperlink ref="C9" location="'M-Agenda'!A7" display="#'M-Agenda'.A7" xr:uid="{00000000-0004-0000-3500-000024000000}"/>
    <hyperlink ref="D9" location="'M-Estado'!A5" display="#'M-Estado'.A5" xr:uid="{00000000-0004-0000-3500-000025000000}"/>
    <hyperlink ref="K9" location="'M-CitaServicio'!A4" display="#'M-CitaServicio'.A4" xr:uid="{00000000-0004-0000-3500-000026000000}"/>
    <hyperlink ref="L9" location="'M-CitaServicio'!A4" display="#'M-CitaServicio'.A4" xr:uid="{00000000-0004-0000-3500-000027000000}"/>
    <hyperlink ref="R9" location="'M-CitaServicio'!A4" display="#'M-CitaServicio'.A4" xr:uid="{00000000-0004-0000-3500-000028000000}"/>
    <hyperlink ref="B10" location="'M-Cliente'!A8" display="#'M-Cliente'.A8" xr:uid="{00000000-0004-0000-3500-000029000000}"/>
    <hyperlink ref="C10" location="'M-Agenda'!A10" display="#'M-Agenda'.A10" xr:uid="{00000000-0004-0000-3500-00002A000000}"/>
    <hyperlink ref="D10" location="'M-Estado'!A10" display="#'M-Estado'.A10" xr:uid="{00000000-0004-0000-3500-00002B000000}"/>
    <hyperlink ref="K10" location="'M-CitaServicio'!A4" display="#'M-CitaServicio'.A4" xr:uid="{00000000-0004-0000-3500-00002C000000}"/>
    <hyperlink ref="L10" location="'M-CitaServicio'!A4" display="#'M-CitaServicio'.A4" xr:uid="{00000000-0004-0000-3500-00002D000000}"/>
    <hyperlink ref="R10" location="'M-CitaServicio'!A4" display="#'M-CitaServicio'.A4" xr:uid="{00000000-0004-0000-3500-00002E000000}"/>
    <hyperlink ref="B11" location="'M-Cliente'!A8" display="#'M-Cliente'.A8" xr:uid="{00000000-0004-0000-3500-00002F000000}"/>
    <hyperlink ref="C11" location="'M-Agenda'!A11" display="#'M-Agenda'.A11" xr:uid="{00000000-0004-0000-3500-000030000000}"/>
    <hyperlink ref="D11" location="'M-Estado'!A10" display="#'M-Estado'.A10" xr:uid="{00000000-0004-0000-3500-000031000000}"/>
    <hyperlink ref="K11" location="'M-CitaServicio'!A4" display="#'M-CitaServicio'.A4" xr:uid="{00000000-0004-0000-3500-000032000000}"/>
    <hyperlink ref="L11" location="'M-CitaServicio'!A4" display="#'M-CitaServicio'.A4" xr:uid="{00000000-0004-0000-3500-000033000000}"/>
    <hyperlink ref="R11" location="'M-CitaServicio'!A4" display="#'M-CitaServicio'.A4" xr:uid="{00000000-0004-0000-3500-000034000000}"/>
    <hyperlink ref="B12" location="'M-Cliente'!A8" display="#'M-Cliente'.A8" xr:uid="{00000000-0004-0000-3500-000035000000}"/>
    <hyperlink ref="C12" location="'M-Agenda'!A12" display="#'M-Agenda'.A12" xr:uid="{00000000-0004-0000-3500-000036000000}"/>
    <hyperlink ref="D12" location="'M-Estado'!A10" display="#'M-Estado'.A10" xr:uid="{00000000-0004-0000-3500-000037000000}"/>
    <hyperlink ref="K12" location="'M-CitaServicio'!A4" display="#'M-CitaServicio'.A4" xr:uid="{00000000-0004-0000-3500-000038000000}"/>
    <hyperlink ref="L12" location="'M-CitaServicio'!A4" display="#'M-CitaServicio'.A4" xr:uid="{00000000-0004-0000-3500-000039000000}"/>
    <hyperlink ref="R12" location="'M-CitaServicio'!A4" display="#'M-CitaServicio'.A4" xr:uid="{00000000-0004-0000-3500-00003A000000}"/>
    <hyperlink ref="B13" location="'M-Cliente'!A5" display="#'M-Cliente'.A5" xr:uid="{00000000-0004-0000-3500-00003B000000}"/>
    <hyperlink ref="C13" location="'M-Agenda'!A6" display="#'M-Agenda'.A6" xr:uid="{00000000-0004-0000-3500-00003C000000}"/>
    <hyperlink ref="D13" location="'M-Estado'!A5" display="#'M-Estado'.A5" xr:uid="{00000000-0004-0000-3500-00003D000000}"/>
    <hyperlink ref="K13" location="'M-CitaServicio'!A4" display="#'M-CitaServicio'.A4" xr:uid="{00000000-0004-0000-3500-00003E000000}"/>
    <hyperlink ref="L13" location="'M-CitaServicio'!A4" display="#'M-CitaServicio'.A4" xr:uid="{00000000-0004-0000-3500-00003F000000}"/>
    <hyperlink ref="R13" location="'M-CitaServicio'!A4" display="#'M-CitaServicio'.A4" xr:uid="{00000000-0004-0000-3500-000040000000}"/>
  </hyperlinks>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18"/>
  <sheetViews>
    <sheetView topLeftCell="A9" zoomScaleNormal="100" workbookViewId="0">
      <selection activeCell="A17" sqref="A17:B17"/>
    </sheetView>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5" width="18" customWidth="1"/>
    <col min="7" max="11" width="13" customWidth="1"/>
    <col min="13" max="13" width="40" customWidth="1"/>
    <col min="14" max="14" width="18" customWidth="1"/>
    <col min="15" max="17" width="13" customWidth="1"/>
    <col min="18" max="18" width="13.7109375" bestFit="1" customWidth="1"/>
  </cols>
  <sheetData>
    <row r="1" spans="1:21" ht="15" customHeight="1" x14ac:dyDescent="0.25">
      <c r="A1" s="6" t="s">
        <v>1</v>
      </c>
      <c r="B1" s="6" t="s">
        <v>28</v>
      </c>
    </row>
    <row r="2" spans="1:21" ht="45" customHeight="1" x14ac:dyDescent="0.25">
      <c r="A2" s="107" t="s">
        <v>29</v>
      </c>
      <c r="B2" s="107" t="s">
        <v>30</v>
      </c>
      <c r="C2" s="107" t="s">
        <v>31</v>
      </c>
      <c r="D2" s="107" t="s">
        <v>32</v>
      </c>
      <c r="E2" s="107" t="s">
        <v>33</v>
      </c>
      <c r="F2" s="107" t="s">
        <v>34</v>
      </c>
      <c r="G2" s="107" t="s">
        <v>35</v>
      </c>
      <c r="H2" s="107" t="s">
        <v>36</v>
      </c>
      <c r="I2" s="107" t="s">
        <v>37</v>
      </c>
      <c r="J2" s="107" t="s">
        <v>38</v>
      </c>
      <c r="K2" s="107" t="s">
        <v>39</v>
      </c>
      <c r="L2" s="107" t="s">
        <v>40</v>
      </c>
      <c r="M2" s="107" t="s">
        <v>41</v>
      </c>
      <c r="N2" s="107" t="s">
        <v>42</v>
      </c>
      <c r="O2" s="107" t="s">
        <v>43</v>
      </c>
      <c r="P2" s="107" t="s">
        <v>44</v>
      </c>
      <c r="Q2" s="107" t="s">
        <v>45</v>
      </c>
      <c r="R2" s="107" t="s">
        <v>46</v>
      </c>
      <c r="S2" s="107" t="s">
        <v>47</v>
      </c>
      <c r="T2" s="107" t="s">
        <v>48</v>
      </c>
      <c r="U2" s="107" t="s">
        <v>49</v>
      </c>
    </row>
    <row r="3" spans="1:21" ht="45" customHeight="1" x14ac:dyDescent="0.25">
      <c r="A3" s="81" t="str">
        <f>'M-CitaServicio'!A3</f>
        <v>id</v>
      </c>
      <c r="B3" s="108" t="str">
        <f>'M-CitaServicio'!A2</f>
        <v>Representa un identificador que hará unico cada objeto de dominio de este tipo, no se puede repetir</v>
      </c>
      <c r="C3" s="81" t="s">
        <v>50</v>
      </c>
      <c r="D3" s="81" t="s">
        <v>51</v>
      </c>
      <c r="E3" s="81" t="s">
        <v>50</v>
      </c>
      <c r="F3" s="81" t="s">
        <v>52</v>
      </c>
      <c r="G3" s="81" t="s">
        <v>52</v>
      </c>
      <c r="H3" s="81" t="s">
        <v>52</v>
      </c>
      <c r="I3" s="81" t="s">
        <v>52</v>
      </c>
      <c r="J3" s="81" t="s">
        <v>52</v>
      </c>
      <c r="K3" s="81" t="s">
        <v>52</v>
      </c>
      <c r="L3" s="81" t="s">
        <v>52</v>
      </c>
      <c r="M3" s="81" t="s">
        <v>52</v>
      </c>
      <c r="N3" s="81" t="s">
        <v>53</v>
      </c>
      <c r="O3" s="81" t="s">
        <v>53</v>
      </c>
      <c r="P3" s="81" t="s">
        <v>52</v>
      </c>
      <c r="Q3" s="81" t="s">
        <v>53</v>
      </c>
      <c r="R3" s="81" t="s">
        <v>53</v>
      </c>
      <c r="S3" s="81" t="s">
        <v>53</v>
      </c>
      <c r="T3" s="81" t="s">
        <v>54</v>
      </c>
      <c r="U3" s="81" t="s">
        <v>50</v>
      </c>
    </row>
    <row r="4" spans="1:21" ht="30" customHeight="1" x14ac:dyDescent="0.25">
      <c r="A4" s="128" t="str">
        <f>'M-CitaServicio'!B3</f>
        <v>cita</v>
      </c>
      <c r="B4" s="128" t="str">
        <f>'M-CitaServicio'!B2</f>
        <v>Hace referencia a la cita a la que pertenece este servicio pedido</v>
      </c>
      <c r="C4" s="128" t="s">
        <v>53</v>
      </c>
      <c r="D4" s="157" t="s">
        <v>25</v>
      </c>
      <c r="E4" s="128" t="s">
        <v>50</v>
      </c>
      <c r="F4" s="128" t="s">
        <v>52</v>
      </c>
      <c r="G4" s="128" t="s">
        <v>52</v>
      </c>
      <c r="H4" s="128" t="s">
        <v>52</v>
      </c>
      <c r="I4" s="128" t="s">
        <v>52</v>
      </c>
      <c r="J4" s="128" t="s">
        <v>52</v>
      </c>
      <c r="K4" s="128" t="s">
        <v>52</v>
      </c>
      <c r="L4" s="128" t="s">
        <v>52</v>
      </c>
      <c r="M4" s="137" t="s">
        <v>276</v>
      </c>
      <c r="N4" s="128" t="s">
        <v>53</v>
      </c>
      <c r="O4" s="128" t="s">
        <v>52</v>
      </c>
      <c r="P4" s="128" t="s">
        <v>52</v>
      </c>
      <c r="Q4" s="128" t="s">
        <v>52</v>
      </c>
      <c r="R4" s="128" t="s">
        <v>52</v>
      </c>
      <c r="S4" s="128" t="s">
        <v>53</v>
      </c>
      <c r="T4" s="128" t="s">
        <v>54</v>
      </c>
      <c r="U4" s="128" t="s">
        <v>53</v>
      </c>
    </row>
    <row r="5" spans="1:21" ht="60" customHeight="1" x14ac:dyDescent="0.25">
      <c r="A5" s="81" t="str">
        <f>'M-CitaServicio'!C3</f>
        <v>barberoServicio</v>
      </c>
      <c r="B5" s="108" t="str">
        <f>'M-CitaServicio'!C2</f>
        <v>Hace referencia a qué servicio, de qué barbero específico, se pidió en esta cita. No se referencia el Servicio directamente porque un barbero podría no ofrecerlo</v>
      </c>
      <c r="C5" s="81" t="s">
        <v>53</v>
      </c>
      <c r="D5" s="109" t="s">
        <v>22</v>
      </c>
      <c r="E5" s="81" t="s">
        <v>50</v>
      </c>
      <c r="F5" s="81" t="s">
        <v>52</v>
      </c>
      <c r="G5" s="81" t="s">
        <v>52</v>
      </c>
      <c r="H5" s="81" t="s">
        <v>52</v>
      </c>
      <c r="I5" s="81" t="s">
        <v>52</v>
      </c>
      <c r="J5" s="81" t="s">
        <v>52</v>
      </c>
      <c r="K5" s="81" t="s">
        <v>52</v>
      </c>
      <c r="L5" s="81" t="s">
        <v>52</v>
      </c>
      <c r="M5" s="137" t="s">
        <v>276</v>
      </c>
      <c r="N5" s="81" t="s">
        <v>53</v>
      </c>
      <c r="O5" s="81" t="s">
        <v>52</v>
      </c>
      <c r="P5" s="81" t="s">
        <v>52</v>
      </c>
      <c r="Q5" s="81" t="s">
        <v>52</v>
      </c>
      <c r="R5" s="81" t="s">
        <v>52</v>
      </c>
      <c r="S5" s="81" t="s">
        <v>53</v>
      </c>
      <c r="T5" s="81" t="s">
        <v>54</v>
      </c>
      <c r="U5" s="81" t="s">
        <v>53</v>
      </c>
    </row>
    <row r="6" spans="1:21" ht="75" customHeight="1" x14ac:dyDescent="0.25">
      <c r="A6" s="128" t="str">
        <f>'M-CitaServicio'!D3</f>
        <v>precioServicio</v>
      </c>
      <c r="B6" s="128" t="str">
        <f>'M-CitaServicio'!D2</f>
        <v>Representa el precio que tenía el servicio en el momento en que se agendó esta cita. Es un dato auto generado: copia de Servicio.precio, para que cambios futuros en el precio del catálogo no alteren una cita ya registrada</v>
      </c>
      <c r="C6" s="128" t="s">
        <v>53</v>
      </c>
      <c r="D6" s="128" t="s">
        <v>165</v>
      </c>
      <c r="E6" s="128" t="s">
        <v>50</v>
      </c>
      <c r="F6" s="128" t="s">
        <v>52</v>
      </c>
      <c r="G6" s="128" t="s">
        <v>52</v>
      </c>
      <c r="H6" s="128" t="s">
        <v>52</v>
      </c>
      <c r="I6" s="128" t="s">
        <v>52</v>
      </c>
      <c r="J6" s="128">
        <v>0</v>
      </c>
      <c r="K6" s="128">
        <v>2000000</v>
      </c>
      <c r="L6" s="81" t="s">
        <v>52</v>
      </c>
      <c r="M6" s="128" t="s">
        <v>831</v>
      </c>
      <c r="N6" s="128" t="s">
        <v>53</v>
      </c>
      <c r="O6" s="128" t="s">
        <v>52</v>
      </c>
      <c r="P6" s="128" t="s">
        <v>52</v>
      </c>
      <c r="Q6" s="128" t="s">
        <v>52</v>
      </c>
      <c r="R6" s="128" t="s">
        <v>52</v>
      </c>
      <c r="S6" s="128" t="s">
        <v>53</v>
      </c>
      <c r="T6" s="128" t="s">
        <v>278</v>
      </c>
      <c r="U6" s="128" t="s">
        <v>50</v>
      </c>
    </row>
    <row r="7" spans="1:21" ht="75" customHeight="1" x14ac:dyDescent="0.25">
      <c r="A7" s="128" t="str">
        <f>'M-CitaServicio'!E3</f>
        <v>duracionEnHorasElServicio</v>
      </c>
      <c r="B7" s="128" t="str">
        <f>'M-CitaServicio'!E2</f>
        <v>Representa la duración en horas que tenía el servicio para ese barbero en el momento en que se agendó esta cita. Es un dato auto generado: copia de BarberoServicio.duracionServicio</v>
      </c>
      <c r="C7" s="128" t="s">
        <v>53</v>
      </c>
      <c r="D7" s="128" t="s">
        <v>165</v>
      </c>
      <c r="E7" s="128" t="s">
        <v>50</v>
      </c>
      <c r="F7" s="128" t="s">
        <v>52</v>
      </c>
      <c r="G7" s="128" t="s">
        <v>52</v>
      </c>
      <c r="H7" s="128" t="s">
        <v>52</v>
      </c>
      <c r="I7" s="128" t="s">
        <v>52</v>
      </c>
      <c r="J7" s="128">
        <v>0</v>
      </c>
      <c r="K7" s="128">
        <v>3</v>
      </c>
      <c r="L7" s="81" t="s">
        <v>52</v>
      </c>
      <c r="M7" s="128" t="s">
        <v>832</v>
      </c>
      <c r="N7" s="128" t="s">
        <v>53</v>
      </c>
      <c r="O7" s="128" t="s">
        <v>52</v>
      </c>
      <c r="P7" s="128" t="s">
        <v>52</v>
      </c>
      <c r="Q7" s="128" t="s">
        <v>52</v>
      </c>
      <c r="R7" s="128" t="s">
        <v>52</v>
      </c>
      <c r="S7" s="128" t="s">
        <v>53</v>
      </c>
      <c r="T7" s="158">
        <v>0</v>
      </c>
      <c r="U7" s="128" t="s">
        <v>50</v>
      </c>
    </row>
    <row r="8" spans="1:21" ht="60" customHeight="1" x14ac:dyDescent="0.25">
      <c r="A8" s="81" t="str">
        <f>'M-CitaServicio'!F3</f>
        <v>duracionEnMinutosElServicio</v>
      </c>
      <c r="B8" s="108" t="str">
        <f>'M-CitaServicio'!F2</f>
        <v>Representa la duración en minutos que tenía el servicio para ese barbero en el momento en que se agendó esta cita. Es un dato auto generado: copia de BarberoServicio.duracionServicio</v>
      </c>
      <c r="C8" s="81" t="s">
        <v>53</v>
      </c>
      <c r="D8" s="81" t="s">
        <v>165</v>
      </c>
      <c r="E8" s="81" t="s">
        <v>50</v>
      </c>
      <c r="F8" s="81" t="s">
        <v>52</v>
      </c>
      <c r="G8" s="81" t="s">
        <v>52</v>
      </c>
      <c r="H8" s="81" t="s">
        <v>52</v>
      </c>
      <c r="I8" s="81" t="s">
        <v>52</v>
      </c>
      <c r="J8" s="81">
        <v>0</v>
      </c>
      <c r="K8" s="81">
        <v>59</v>
      </c>
      <c r="L8" s="81" t="s">
        <v>52</v>
      </c>
      <c r="M8" s="108" t="s">
        <v>833</v>
      </c>
      <c r="N8" s="81" t="s">
        <v>53</v>
      </c>
      <c r="O8" s="81" t="s">
        <v>52</v>
      </c>
      <c r="P8" s="81" t="s">
        <v>52</v>
      </c>
      <c r="Q8" s="81" t="s">
        <v>52</v>
      </c>
      <c r="R8" s="81" t="s">
        <v>52</v>
      </c>
      <c r="S8" s="81" t="s">
        <v>53</v>
      </c>
      <c r="T8" s="81" t="s">
        <v>278</v>
      </c>
      <c r="U8" s="81" t="s">
        <v>50</v>
      </c>
    </row>
    <row r="9" spans="1:21" ht="105" customHeight="1" x14ac:dyDescent="0.25">
      <c r="A9" s="128" t="str">
        <f>'M-CitaServicio'!G3</f>
        <v>tiempoExtra</v>
      </c>
      <c r="B9" s="128" t="str">
        <f>'M-CitaServicio'!G2</f>
        <v>Representa el tiempo extra en minutos que ese barbero tenía configurado para este servicio en el momento en que se agendó la cita. Es un dato auto generado: copia de BarberoServicio.tiempoExtra, para que cambios futuros en el tiempo extra no alteren una cita ya registrada</v>
      </c>
      <c r="C9" s="128" t="s">
        <v>53</v>
      </c>
      <c r="D9" s="128" t="s">
        <v>165</v>
      </c>
      <c r="E9" s="128" t="s">
        <v>50</v>
      </c>
      <c r="F9" s="128" t="s">
        <v>52</v>
      </c>
      <c r="G9" s="128" t="s">
        <v>52</v>
      </c>
      <c r="H9" s="128" t="s">
        <v>52</v>
      </c>
      <c r="I9" s="128" t="s">
        <v>52</v>
      </c>
      <c r="J9" s="128">
        <v>0</v>
      </c>
      <c r="K9" s="128">
        <v>59</v>
      </c>
      <c r="L9" s="81" t="s">
        <v>52</v>
      </c>
      <c r="M9" s="128" t="s">
        <v>834</v>
      </c>
      <c r="N9" s="128" t="s">
        <v>53</v>
      </c>
      <c r="O9" s="128" t="s">
        <v>52</v>
      </c>
      <c r="P9" s="128" t="s">
        <v>52</v>
      </c>
      <c r="Q9" s="128" t="s">
        <v>52</v>
      </c>
      <c r="R9" s="128" t="s">
        <v>52</v>
      </c>
      <c r="S9" s="128" t="s">
        <v>53</v>
      </c>
      <c r="T9" s="128" t="s">
        <v>278</v>
      </c>
      <c r="U9" s="128" t="s">
        <v>50</v>
      </c>
    </row>
    <row r="11" spans="1:21" ht="15" customHeight="1" x14ac:dyDescent="0.25">
      <c r="A11" s="20" t="s">
        <v>58</v>
      </c>
      <c r="B11" s="20" t="s">
        <v>59</v>
      </c>
      <c r="C11" s="20" t="s">
        <v>60</v>
      </c>
    </row>
    <row r="12" spans="1:21" ht="57" customHeight="1" x14ac:dyDescent="0.25">
      <c r="A12" s="265" t="str">
        <f>'M-CitaServicio'!H3</f>
        <v xml:space="preserve">Combinación única </v>
      </c>
      <c r="B12" s="266" t="str">
        <f>'M-CitaServicio'!H2</f>
        <v>Combinación única que indica que un mismo servicio no se puede pedir dos veces en la misma cita, es decir que CitaServicio no puede tener la misma cita y el barberoServicio</v>
      </c>
      <c r="C12" s="21" t="str">
        <f>A4</f>
        <v>cita</v>
      </c>
    </row>
    <row r="13" spans="1:21" ht="15" customHeight="1" x14ac:dyDescent="0.25">
      <c r="A13" s="265"/>
      <c r="B13" s="265"/>
      <c r="C13" s="21" t="str">
        <f>A5</f>
        <v>barberoServicio</v>
      </c>
    </row>
    <row r="15" spans="1:21" x14ac:dyDescent="0.25">
      <c r="A15" s="203" t="s">
        <v>62</v>
      </c>
      <c r="B15" s="203"/>
      <c r="C15" s="197" t="s">
        <v>59</v>
      </c>
      <c r="D15" s="197"/>
      <c r="E15" s="197"/>
      <c r="F15" s="197"/>
      <c r="G15" s="197" t="s">
        <v>63</v>
      </c>
      <c r="H15" s="197"/>
      <c r="I15" s="197"/>
      <c r="J15" s="197" t="s">
        <v>64</v>
      </c>
      <c r="K15" s="197"/>
      <c r="L15" s="197"/>
      <c r="M15" s="197"/>
      <c r="N15" s="197"/>
      <c r="O15" s="197" t="s">
        <v>65</v>
      </c>
      <c r="P15" s="197"/>
      <c r="Q15" s="197" t="s">
        <v>66</v>
      </c>
      <c r="R15" s="197"/>
    </row>
    <row r="16" spans="1:21" x14ac:dyDescent="0.25">
      <c r="A16" s="203"/>
      <c r="B16" s="203"/>
      <c r="C16" s="197"/>
      <c r="D16" s="197"/>
      <c r="E16" s="197"/>
      <c r="F16" s="197"/>
      <c r="G16" s="24" t="s">
        <v>67</v>
      </c>
      <c r="H16" s="24" t="s">
        <v>32</v>
      </c>
      <c r="I16" s="24" t="s">
        <v>59</v>
      </c>
      <c r="J16" s="24" t="s">
        <v>68</v>
      </c>
      <c r="K16" s="200" t="s">
        <v>59</v>
      </c>
      <c r="L16" s="201"/>
      <c r="M16" s="201"/>
      <c r="N16" s="202"/>
      <c r="O16" s="24" t="s">
        <v>69</v>
      </c>
      <c r="P16" s="24" t="s">
        <v>59</v>
      </c>
      <c r="Q16" s="24" t="s">
        <v>70</v>
      </c>
      <c r="R16" s="27" t="s">
        <v>71</v>
      </c>
    </row>
    <row r="17" spans="1:18" ht="63.75" x14ac:dyDescent="0.25">
      <c r="A17" s="198" t="s">
        <v>835</v>
      </c>
      <c r="B17" s="198"/>
      <c r="C17" s="199" t="s">
        <v>836</v>
      </c>
      <c r="D17" s="199"/>
      <c r="E17" s="199"/>
      <c r="F17" s="199"/>
      <c r="G17" s="28" t="s">
        <v>837</v>
      </c>
      <c r="H17" s="28" t="s">
        <v>26</v>
      </c>
      <c r="I17" s="29" t="s">
        <v>838</v>
      </c>
      <c r="J17" s="30" t="s">
        <v>839</v>
      </c>
      <c r="K17" s="199" t="s">
        <v>840</v>
      </c>
      <c r="L17" s="199"/>
      <c r="M17" s="199"/>
      <c r="N17" s="199"/>
      <c r="O17" s="28"/>
      <c r="P17" s="3"/>
      <c r="Q17" s="3"/>
      <c r="R17" s="31"/>
    </row>
    <row r="18" spans="1:18" ht="76.5" x14ac:dyDescent="0.25">
      <c r="A18" s="264" t="s">
        <v>841</v>
      </c>
      <c r="B18" s="264"/>
      <c r="C18" s="233" t="s">
        <v>842</v>
      </c>
      <c r="D18" s="233"/>
      <c r="E18" s="233"/>
      <c r="F18" s="233"/>
      <c r="G18" s="168" t="s">
        <v>837</v>
      </c>
      <c r="H18" s="168" t="s">
        <v>26</v>
      </c>
      <c r="I18" s="169" t="s">
        <v>843</v>
      </c>
      <c r="J18" s="177" t="s">
        <v>839</v>
      </c>
      <c r="K18" s="233" t="s">
        <v>844</v>
      </c>
      <c r="L18" s="233"/>
      <c r="M18" s="233"/>
      <c r="N18" s="233"/>
      <c r="O18" s="168"/>
      <c r="P18" s="170"/>
      <c r="Q18" s="170"/>
      <c r="R18" s="171"/>
    </row>
  </sheetData>
  <mergeCells count="15">
    <mergeCell ref="Q15:R15"/>
    <mergeCell ref="A17:B17"/>
    <mergeCell ref="C17:F17"/>
    <mergeCell ref="K17:N17"/>
    <mergeCell ref="A12:A13"/>
    <mergeCell ref="B12:B13"/>
    <mergeCell ref="A15:B16"/>
    <mergeCell ref="C15:F16"/>
    <mergeCell ref="G15:I15"/>
    <mergeCell ref="K16:N16"/>
    <mergeCell ref="A18:B18"/>
    <mergeCell ref="C18:F18"/>
    <mergeCell ref="K18:N18"/>
    <mergeCell ref="J15:N15"/>
    <mergeCell ref="O15:P15"/>
  </mergeCells>
  <hyperlinks>
    <hyperlink ref="A1" location="'Modelo de Dominio'!A1" display="&lt;&lt;&lt;&lt; Ir al modulo de dominio" xr:uid="{00000000-0004-0000-3600-000000000000}"/>
    <hyperlink ref="B1" location="'Objetos de Dominio'!A1" display="&lt;&lt;&lt;&lt; Ir a objetos de dominio" xr:uid="{00000000-0004-0000-3600-000001000000}"/>
    <hyperlink ref="A3" location="'M-CitaServicio'!A3" display="#'M-CitaServicio'.A3" xr:uid="{00000000-0004-0000-3600-000002000000}"/>
    <hyperlink ref="B3" location="'M-CitaServicio'!A2" display="#'M-CitaServicio'.A2" xr:uid="{00000000-0004-0000-3600-000003000000}"/>
    <hyperlink ref="A4" location="'M-CitaServicio'!A3" display="#'M-CitaServicio'.A3" xr:uid="{00000000-0004-0000-3600-000004000000}"/>
    <hyperlink ref="B4" location="'M-CitaServicio'!A2" display="#'M-CitaServicio'.A2" xr:uid="{00000000-0004-0000-3600-000005000000}"/>
    <hyperlink ref="D4" location="'C-Cita'!A1" display="Cita" xr:uid="{00000000-0004-0000-3600-000006000000}"/>
    <hyperlink ref="A5" location="'M-CitaServicio'!A3" display="#'M-CitaServicio'.A3" xr:uid="{00000000-0004-0000-3600-000007000000}"/>
    <hyperlink ref="B5" location="'M-CitaServicio'!A2" display="#'M-CitaServicio'.A2" xr:uid="{00000000-0004-0000-3600-000008000000}"/>
    <hyperlink ref="D5" location="'C-BarberoServicio'!A1" display="BarberoServicio" xr:uid="{00000000-0004-0000-3600-000009000000}"/>
    <hyperlink ref="A6" location="'M-CitaServicio'!A3" display="#'M-CitaServicio'.A3" xr:uid="{00000000-0004-0000-3600-00000A000000}"/>
    <hyperlink ref="B6" location="'M-CitaServicio'!A2" display="#'M-CitaServicio'.A2" xr:uid="{00000000-0004-0000-3600-00000B000000}"/>
    <hyperlink ref="A8" location="'M-CitaServicio'!A3" display="#'M-CitaServicio'.A3" xr:uid="{00000000-0004-0000-3600-00000C000000}"/>
    <hyperlink ref="B8" location="'M-CitaServicio'!A2" display="#'M-CitaServicio'.A2" xr:uid="{00000000-0004-0000-3600-00000D000000}"/>
    <hyperlink ref="A9" location="'M-CitaServicio'!A3" display="#'M-CitaServicio'.A3" xr:uid="{00000000-0004-0000-3600-00000E000000}"/>
    <hyperlink ref="B9" location="'M-CitaServicio'!A2" display="#'M-CitaServicio'.A2" xr:uid="{00000000-0004-0000-3600-00000F000000}"/>
    <hyperlink ref="A12" location="'M-CitaServicio'!A3" display="#'M-CitaServicio'.A3" xr:uid="{00000000-0004-0000-3600-000010000000}"/>
    <hyperlink ref="B12" location="'M-CitaServicio'!A2" display="#'M-CitaServicio'.A2" xr:uid="{00000000-0004-0000-3600-000011000000}"/>
  </hyperlink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6"/>
  <sheetViews>
    <sheetView showGridLines="0" zoomScaleNormal="100" workbookViewId="0">
      <selection activeCell="A2" sqref="A2"/>
    </sheetView>
  </sheetViews>
  <sheetFormatPr baseColWidth="10" defaultColWidth="8.7109375" defaultRowHeight="15" x14ac:dyDescent="0.25"/>
  <cols>
    <col min="1" max="1" width="16" customWidth="1"/>
    <col min="2" max="2" width="29.140625" bestFit="1" customWidth="1"/>
    <col min="3" max="3" width="36.28515625" bestFit="1" customWidth="1"/>
    <col min="4" max="4" width="37.7109375" bestFit="1" customWidth="1"/>
    <col min="5" max="5" width="36.28515625" bestFit="1"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Dominio'!A16</f>
        <v>CitaServicio</v>
      </c>
      <c r="C2" s="209"/>
      <c r="D2" s="209"/>
      <c r="E2" s="209"/>
    </row>
    <row r="3" spans="1:5" ht="30" customHeight="1" x14ac:dyDescent="0.25">
      <c r="A3" s="35" t="s">
        <v>82</v>
      </c>
      <c r="B3" s="210" t="str">
        <f>'Objetos de Dominio'!B16</f>
        <v>Representa cada servicio incluido dentro de una cita puntual, guardando el precio y la duración que tenía ese servicio para ese barbero en el momento exacto en que se agendó, para que cambios futuros en el catálogo no alteren citas ya registradas.</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30" customHeight="1" x14ac:dyDescent="0.25">
      <c r="A6" s="10"/>
      <c r="B6" s="247" t="s">
        <v>87</v>
      </c>
      <c r="C6" s="247"/>
      <c r="D6" s="36"/>
      <c r="E6" s="36"/>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3700-000000000000}"/>
    <hyperlink ref="B1" location="'Objetos de Dominio'!A1" display="&lt;&lt; Ir al listado de objetos de dominio" xr:uid="{00000000-0004-0000-3700-000001000000}"/>
    <hyperlink ref="C1" location="'C-CitaServicio'!A1" display="&lt;&lt; Ir a la caracterización del objeto de dominio" xr:uid="{00000000-0004-0000-3700-000002000000}"/>
    <hyperlink ref="D1" location="'M-CitaServicio'!A1" display="Ir al muestreo de datos del objeto de dominio &gt;&gt;" xr:uid="{00000000-0004-0000-3700-000003000000}"/>
    <hyperlink ref="E1" location="'E-CitaServicio'!A1" display="Ir al event storming del objeto de dominio &gt;&gt;" xr:uid="{00000000-0004-0000-3700-000004000000}"/>
  </hyperlink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10"/>
  <sheetViews>
    <sheetView showGridLines="0" topLeftCell="D1" zoomScaleNormal="100" workbookViewId="0">
      <selection activeCell="F1" sqref="F1:I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4" t="s">
        <v>81</v>
      </c>
      <c r="B2" s="196" t="str">
        <f>'Objetos de Dominio'!A16</f>
        <v>CitaServicio</v>
      </c>
      <c r="C2" s="196"/>
      <c r="D2" s="196"/>
      <c r="E2" s="196"/>
      <c r="F2" s="196"/>
      <c r="G2" s="196"/>
      <c r="H2" s="196"/>
      <c r="I2" s="196"/>
      <c r="J2" s="196"/>
      <c r="K2" s="196"/>
    </row>
    <row r="3" spans="1:11" ht="30" customHeight="1" x14ac:dyDescent="0.25">
      <c r="A3" s="35" t="s">
        <v>82</v>
      </c>
      <c r="B3" s="186" t="str">
        <f>'Objetos de Dominio'!B16</f>
        <v>Representa cada servicio incluido dentro de una cita puntual, guardando el precio y la duración que tenía ese servicio para ese barbero en el momento exacto en que se agendó, para que cambios futuros en el catálogo no alteren citas ya registradas.</v>
      </c>
      <c r="C3" s="186"/>
      <c r="D3" s="186"/>
      <c r="E3" s="186"/>
      <c r="F3" s="186"/>
      <c r="G3" s="186"/>
      <c r="H3" s="186"/>
      <c r="I3" s="186"/>
      <c r="J3" s="186"/>
      <c r="K3" s="186"/>
    </row>
    <row r="4" spans="1:11" ht="34.5" customHeight="1" x14ac:dyDescent="0.25">
      <c r="A4" s="39" t="s">
        <v>88</v>
      </c>
      <c r="B4" s="187" t="s">
        <v>89</v>
      </c>
      <c r="C4" s="187"/>
      <c r="D4" s="40" t="s">
        <v>90</v>
      </c>
      <c r="E4" s="188" t="s">
        <v>91</v>
      </c>
      <c r="F4" s="188"/>
      <c r="G4" s="189" t="s">
        <v>92</v>
      </c>
      <c r="H4" s="189"/>
      <c r="I4" s="42" t="s">
        <v>93</v>
      </c>
      <c r="J4" s="43" t="s">
        <v>94</v>
      </c>
      <c r="K4" s="44" t="s">
        <v>95</v>
      </c>
    </row>
    <row r="5" spans="1:11" ht="15" customHeight="1" x14ac:dyDescent="0.25">
      <c r="A5" s="190" t="s">
        <v>88</v>
      </c>
      <c r="B5" s="187" t="s">
        <v>96</v>
      </c>
      <c r="C5" s="187" t="s">
        <v>59</v>
      </c>
      <c r="D5" s="191" t="s">
        <v>97</v>
      </c>
      <c r="E5" s="188" t="s">
        <v>98</v>
      </c>
      <c r="F5" s="188"/>
      <c r="G5" s="189" t="s">
        <v>99</v>
      </c>
      <c r="H5" s="189"/>
      <c r="I5" s="192" t="s">
        <v>100</v>
      </c>
      <c r="J5" s="193" t="s">
        <v>101</v>
      </c>
      <c r="K5" s="194" t="s">
        <v>102</v>
      </c>
    </row>
    <row r="6" spans="1:11" ht="15" customHeight="1" x14ac:dyDescent="0.25">
      <c r="A6" s="190"/>
      <c r="B6" s="190"/>
      <c r="C6" s="190"/>
      <c r="D6" s="190"/>
      <c r="E6" s="41" t="s">
        <v>103</v>
      </c>
      <c r="F6" s="41" t="s">
        <v>59</v>
      </c>
      <c r="G6" s="45" t="s">
        <v>104</v>
      </c>
      <c r="H6" s="45" t="s">
        <v>59</v>
      </c>
      <c r="I6" s="192"/>
      <c r="J6" s="192"/>
      <c r="K6" s="192"/>
    </row>
    <row r="7" spans="1:11" ht="30" customHeight="1" x14ac:dyDescent="0.25">
      <c r="A7" s="2" t="s">
        <v>18</v>
      </c>
      <c r="B7" s="46" t="s">
        <v>835</v>
      </c>
      <c r="C7" s="46" t="s">
        <v>836</v>
      </c>
      <c r="D7" s="2" t="str">
        <f>$B$2</f>
        <v>CitaServicio</v>
      </c>
      <c r="E7" s="46"/>
      <c r="F7" s="46"/>
      <c r="G7" s="2"/>
      <c r="H7" s="47"/>
      <c r="I7" s="2"/>
      <c r="J7" s="46" t="s">
        <v>845</v>
      </c>
      <c r="K7" s="46"/>
    </row>
    <row r="8" spans="1:11" ht="30" customHeight="1" x14ac:dyDescent="0.25">
      <c r="A8" s="2" t="s">
        <v>19</v>
      </c>
      <c r="B8" s="46" t="s">
        <v>835</v>
      </c>
      <c r="C8" s="46" t="s">
        <v>836</v>
      </c>
      <c r="D8" s="2" t="str">
        <f>$B$2</f>
        <v>CitaServicio</v>
      </c>
      <c r="E8" s="46"/>
      <c r="F8" s="46"/>
      <c r="G8" s="2"/>
      <c r="H8" s="47"/>
      <c r="I8" s="2"/>
      <c r="J8" s="46" t="s">
        <v>845</v>
      </c>
      <c r="K8" s="46"/>
    </row>
    <row r="9" spans="1:11" ht="42" customHeight="1" x14ac:dyDescent="0.25">
      <c r="A9" s="2" t="s">
        <v>18</v>
      </c>
      <c r="B9" s="46" t="s">
        <v>841</v>
      </c>
      <c r="C9" s="46" t="s">
        <v>842</v>
      </c>
      <c r="D9" s="2" t="str">
        <f>$B$2</f>
        <v>CitaServicio</v>
      </c>
      <c r="E9" s="46"/>
      <c r="F9" s="46"/>
      <c r="G9" s="2"/>
      <c r="H9" s="47"/>
      <c r="I9" s="2"/>
      <c r="J9" s="46" t="s">
        <v>846</v>
      </c>
      <c r="K9" s="46"/>
    </row>
    <row r="10" spans="1:11" ht="41.25" customHeight="1" x14ac:dyDescent="0.25">
      <c r="A10" s="2" t="s">
        <v>19</v>
      </c>
      <c r="B10" s="46" t="s">
        <v>841</v>
      </c>
      <c r="C10" s="46" t="s">
        <v>842</v>
      </c>
      <c r="D10" s="2" t="str">
        <f>$B$2</f>
        <v>CitaServicio</v>
      </c>
      <c r="E10" s="46"/>
      <c r="F10" s="46"/>
      <c r="G10" s="2"/>
      <c r="H10" s="47"/>
      <c r="I10" s="2"/>
      <c r="J10" s="46" t="s">
        <v>846</v>
      </c>
      <c r="K10" s="46"/>
    </row>
  </sheetData>
  <mergeCells count="18">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s>
  <hyperlinks>
    <hyperlink ref="A1" location="'Modelo de Dominio'!A1" display="&lt;&lt; Ir al modelo de dominio" xr:uid="{00000000-0004-0000-3800-000000000000}"/>
    <hyperlink ref="C1" location="'Objetos de Dominio'!A1" display="&lt;&lt; Ir al listado de objetos de dominio" xr:uid="{00000000-0004-0000-3800-000001000000}"/>
    <hyperlink ref="F1" location="'C-CitaServicio'!A1" display="&lt;&lt; Ir a la caracterización del objeto de dominio" xr:uid="{00000000-0004-0000-3800-000002000000}"/>
    <hyperlink ref="J1" location="'M-CitaServicio'!A1" display="Ir al muestreo de datos del objeto de dominio &gt;&gt;" xr:uid="{00000000-0004-0000-3800-000003000000}"/>
  </hyperlinks>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24"/>
  <sheetViews>
    <sheetView topLeftCell="A7" zoomScaleNormal="100" workbookViewId="0">
      <selection activeCell="B1" sqref="B1"/>
    </sheetView>
  </sheetViews>
  <sheetFormatPr baseColWidth="10" defaultColWidth="8.7109375" defaultRowHeight="15" x14ac:dyDescent="0.25"/>
  <cols>
    <col min="1" max="1" width="27" customWidth="1"/>
    <col min="2" max="2" width="33.7109375" customWidth="1"/>
    <col min="3" max="3" width="26.140625" customWidth="1"/>
    <col min="4" max="4" width="36.140625" customWidth="1"/>
    <col min="5" max="5" width="25.5703125" customWidth="1"/>
    <col min="6" max="6" width="27.28515625" customWidth="1"/>
    <col min="7" max="7" width="45.42578125" customWidth="1"/>
    <col min="8" max="8" width="29.28515625" customWidth="1"/>
  </cols>
  <sheetData>
    <row r="1" spans="1:8" ht="14.25" customHeight="1" x14ac:dyDescent="0.25">
      <c r="A1" s="6" t="s">
        <v>1</v>
      </c>
      <c r="B1" s="6" t="s">
        <v>28</v>
      </c>
      <c r="C1" s="63"/>
      <c r="D1" s="63"/>
      <c r="E1" s="63"/>
      <c r="F1" s="63"/>
    </row>
    <row r="2" spans="1:8" ht="49.5" customHeight="1" x14ac:dyDescent="0.25">
      <c r="A2" s="48" t="s">
        <v>107</v>
      </c>
      <c r="B2" s="48" t="s">
        <v>847</v>
      </c>
      <c r="C2" s="48" t="s">
        <v>848</v>
      </c>
      <c r="D2" s="48" t="s">
        <v>849</v>
      </c>
      <c r="E2" s="48" t="s">
        <v>850</v>
      </c>
      <c r="F2" s="48" t="s">
        <v>851</v>
      </c>
      <c r="G2" s="73" t="s">
        <v>852</v>
      </c>
      <c r="H2" s="49" t="s">
        <v>853</v>
      </c>
    </row>
    <row r="3" spans="1:8" ht="14.25" customHeight="1" x14ac:dyDescent="0.25">
      <c r="A3" s="50" t="s">
        <v>110</v>
      </c>
      <c r="B3" s="84" t="s">
        <v>854</v>
      </c>
      <c r="C3" s="84" t="s">
        <v>855</v>
      </c>
      <c r="D3" s="134" t="s">
        <v>856</v>
      </c>
      <c r="E3" s="134" t="s">
        <v>857</v>
      </c>
      <c r="F3" s="134" t="s">
        <v>858</v>
      </c>
      <c r="G3" s="134" t="s">
        <v>588</v>
      </c>
      <c r="H3" s="52" t="s">
        <v>111</v>
      </c>
    </row>
    <row r="4" spans="1:8" ht="45" customHeight="1" x14ac:dyDescent="0.25">
      <c r="A4" s="53">
        <v>1</v>
      </c>
      <c r="B4" s="159" t="str">
        <f>'M-Cita'!S4</f>
        <v>+57-3245627890-Lunes-09:00-19:00-12/11/2023-1/01/1000-10:00-16:00-31/08/2026-10:00</v>
      </c>
      <c r="C4" s="159" t="str">
        <f>'M-BarberoServicio'!H4</f>
        <v>Juan García-Motilada</v>
      </c>
      <c r="D4" s="156">
        <f>'M-Servicio'!D4</f>
        <v>22000</v>
      </c>
      <c r="E4" s="156">
        <f>'M-BarberoServicio'!D4</f>
        <v>0</v>
      </c>
      <c r="F4" s="160">
        <f>'M-BarberoServicio'!E4</f>
        <v>45</v>
      </c>
      <c r="G4" s="160">
        <f>'M-BarberoServicio'!F4</f>
        <v>15</v>
      </c>
      <c r="H4" s="64" t="str">
        <f t="shared" ref="H4:H14" si="0">_xlfn.CONCAT(B4,"-",C4)</f>
        <v>+57-3245627890-Lunes-09:00-19:00-12/11/2023-1/01/1000-10:00-16:00-31/08/2026-10:00-Juan García-Motilada</v>
      </c>
    </row>
    <row r="5" spans="1:8" ht="45" customHeight="1" x14ac:dyDescent="0.25">
      <c r="A5" s="53">
        <v>2</v>
      </c>
      <c r="B5" s="151" t="str">
        <f>'M-Cita'!S5</f>
        <v>+57-3124518923-Martes-09:00-19:00-12/11/2023-1/01/1000-09:00-15:00-10/03/2026-09:30</v>
      </c>
      <c r="C5" s="151" t="str">
        <f>'M-BarberoServicio'!H5</f>
        <v>Juan Ortiz-Corte de barba</v>
      </c>
      <c r="D5" s="156">
        <f>'M-Servicio'!D5</f>
        <v>12000</v>
      </c>
      <c r="E5" s="156">
        <f>'M-BarberoServicio'!D5</f>
        <v>0</v>
      </c>
      <c r="F5" s="160">
        <f>'M-BarberoServicio'!E5</f>
        <v>10</v>
      </c>
      <c r="G5" s="160">
        <f>'M-BarberoServicio'!F5</f>
        <v>5</v>
      </c>
      <c r="H5" s="64" t="str">
        <f t="shared" si="0"/>
        <v>+57-3124518923-Martes-09:00-19:00-12/11/2023-1/01/1000-09:00-15:00-10/03/2026-09:30-Juan Ortiz-Corte de barba</v>
      </c>
    </row>
    <row r="6" spans="1:8" ht="60" customHeight="1" x14ac:dyDescent="0.25">
      <c r="A6" s="53">
        <v>3</v>
      </c>
      <c r="B6" s="151" t="str">
        <f>'M-Cita'!S6</f>
        <v>+57-3214533321-Jueves-09:00-19:00-12/11/2023-1/01/1000-13:00-19:00-14/05/2026-13:00</v>
      </c>
      <c r="C6" s="151" t="str">
        <f>'M-BarberoServicio'!H6</f>
        <v>Carlos Arbeladez-Perfilada de barba</v>
      </c>
      <c r="D6" s="156">
        <f>'M-Servicio'!D6</f>
        <v>15000</v>
      </c>
      <c r="E6" s="156">
        <f>'M-BarberoServicio'!D6</f>
        <v>0</v>
      </c>
      <c r="F6" s="160">
        <f>'M-BarberoServicio'!E6</f>
        <v>15</v>
      </c>
      <c r="G6" s="160">
        <f>'M-BarberoServicio'!F6</f>
        <v>5</v>
      </c>
      <c r="H6" s="64" t="str">
        <f t="shared" si="0"/>
        <v>+57-3214533321-Jueves-09:00-19:00-12/11/2023-1/01/1000-13:00-19:00-14/05/2026-13:00-Carlos Arbeladez-Perfilada de barba</v>
      </c>
    </row>
    <row r="7" spans="1:8" ht="75" customHeight="1" x14ac:dyDescent="0.25">
      <c r="A7" s="53">
        <v>4</v>
      </c>
      <c r="B7" s="151" t="str">
        <f>'M-Cita'!S7</f>
        <v>+91-9876543210-Sábado-08:00-21:00-12/12/2024-1/01/1000-08:00-14:00-22/11/2025-13:00</v>
      </c>
      <c r="C7" s="151" t="str">
        <f>'M-BarberoServicio'!H7</f>
        <v>Andres Ramirez-Arreglo completo de barba con toalla caliente</v>
      </c>
      <c r="D7" s="156">
        <f>'M-Servicio'!D7</f>
        <v>35000</v>
      </c>
      <c r="E7" s="156">
        <f>'M-BarberoServicio'!D7</f>
        <v>0</v>
      </c>
      <c r="F7" s="160">
        <f>'M-BarberoServicio'!E7</f>
        <v>40</v>
      </c>
      <c r="G7" s="160">
        <f>'M-BarberoServicio'!F7</f>
        <v>10</v>
      </c>
      <c r="H7" s="64" t="str">
        <f t="shared" si="0"/>
        <v>+91-9876543210-Sábado-08:00-21:00-12/12/2024-1/01/1000-08:00-14:00-22/11/2025-13:00-Andres Ramirez-Arreglo completo de barba con toalla caliente</v>
      </c>
    </row>
    <row r="8" spans="1:8" ht="60" customHeight="1" x14ac:dyDescent="0.25">
      <c r="A8" s="53">
        <v>5</v>
      </c>
      <c r="B8" s="151" t="str">
        <f>'M-Cita'!S8</f>
        <v>+57-3214533321-Jueves-09:00-19:00-12/11/2023-1/01/1000-13:00-19:00-06/08/2026-18:00</v>
      </c>
      <c r="C8" s="151" t="str">
        <f>'M-BarberoServicio'!H9</f>
        <v>Carlos Arbeladez-Corte de barba</v>
      </c>
      <c r="D8" s="156">
        <f>'M-Servicio'!D5</f>
        <v>12000</v>
      </c>
      <c r="E8" s="156">
        <f>'M-BarberoServicio'!D9</f>
        <v>0</v>
      </c>
      <c r="F8" s="160">
        <f>'M-BarberoServicio'!E9</f>
        <v>15</v>
      </c>
      <c r="G8" s="160">
        <f>'M-BarberoServicio'!F9</f>
        <v>5</v>
      </c>
      <c r="H8" s="64" t="str">
        <f t="shared" si="0"/>
        <v>+57-3214533321-Jueves-09:00-19:00-12/11/2023-1/01/1000-13:00-19:00-06/08/2026-18:00-Carlos Arbeladez-Corte de barba</v>
      </c>
    </row>
    <row r="9" spans="1:8" ht="75" customHeight="1" x14ac:dyDescent="0.25">
      <c r="A9" s="53">
        <v>6</v>
      </c>
      <c r="B9" s="151" t="str">
        <f>'M-Cita'!S9</f>
        <v>+91-9876543210-Festivo-10:00-15:00-12/12/2024-1/01/1000-12:00-15:00-20/02/2026-14:00</v>
      </c>
      <c r="C9" s="151" t="str">
        <f>'M-BarberoServicio'!H7</f>
        <v>Andres Ramirez-Arreglo completo de barba con toalla caliente</v>
      </c>
      <c r="D9" s="156">
        <f>'M-Servicio'!D7</f>
        <v>35000</v>
      </c>
      <c r="E9" s="156">
        <f>'M-BarberoServicio'!D7</f>
        <v>0</v>
      </c>
      <c r="F9" s="160">
        <f>'M-BarberoServicio'!E7</f>
        <v>40</v>
      </c>
      <c r="G9" s="160">
        <f>'M-BarberoServicio'!F7</f>
        <v>10</v>
      </c>
      <c r="H9" s="64" t="str">
        <f t="shared" si="0"/>
        <v>+91-9876543210-Festivo-10:00-15:00-12/12/2024-1/01/1000-12:00-15:00-20/02/2026-14:00-Andres Ramirez-Arreglo completo de barba con toalla caliente</v>
      </c>
    </row>
    <row r="10" spans="1:8" ht="45" customHeight="1" x14ac:dyDescent="0.25">
      <c r="A10" s="53">
        <v>7</v>
      </c>
      <c r="B10" s="151" t="str">
        <f>'M-Cita'!S10</f>
        <v>+57-3245627890-Lunes-09:00-19:00-12/11/2023-1/01/1000-10:00-16:00-01/06/2026-10:00</v>
      </c>
      <c r="C10" s="151" t="str">
        <f>'M-BarberoServicio'!H4</f>
        <v>Juan García-Motilada</v>
      </c>
      <c r="D10" s="156">
        <f>'M-Servicio'!D4</f>
        <v>22000</v>
      </c>
      <c r="E10" s="156">
        <f>'M-BarberoServicio'!D4</f>
        <v>0</v>
      </c>
      <c r="F10" s="160">
        <f>'M-BarberoServicio'!E4</f>
        <v>45</v>
      </c>
      <c r="G10" s="160">
        <f>'M-BarberoServicio'!F4</f>
        <v>15</v>
      </c>
      <c r="H10" s="65" t="str">
        <f t="shared" si="0"/>
        <v>+57-3245627890-Lunes-09:00-19:00-12/11/2023-1/01/1000-10:00-16:00-01/06/2026-10:00-Juan García-Motilada</v>
      </c>
    </row>
    <row r="11" spans="1:8" ht="45" customHeight="1" x14ac:dyDescent="0.25">
      <c r="A11" s="53">
        <v>8</v>
      </c>
      <c r="B11" s="151" t="str">
        <f>'M-Cita'!S11</f>
        <v>+57-3124518923-Martes-09:00-19:00-12/11/2023-1/01/1000-09:00-15:00-16/06/2026-09:00</v>
      </c>
      <c r="C11" s="151" t="str">
        <f>'M-BarberoServicio'!H5</f>
        <v>Juan Ortiz-Corte de barba</v>
      </c>
      <c r="D11" s="156">
        <f>'M-Servicio'!D5</f>
        <v>12000</v>
      </c>
      <c r="E11" s="156">
        <f>'M-BarberoServicio'!D5</f>
        <v>0</v>
      </c>
      <c r="F11" s="160">
        <f>'M-BarberoServicio'!E5</f>
        <v>10</v>
      </c>
      <c r="G11" s="160">
        <f>'M-BarberoServicio'!F5</f>
        <v>5</v>
      </c>
      <c r="H11" s="65" t="str">
        <f t="shared" si="0"/>
        <v>+57-3124518923-Martes-09:00-19:00-12/11/2023-1/01/1000-09:00-15:00-16/06/2026-09:00-Juan Ortiz-Corte de barba</v>
      </c>
    </row>
    <row r="12" spans="1:8" ht="60" customHeight="1" x14ac:dyDescent="0.25">
      <c r="A12" s="53">
        <v>9</v>
      </c>
      <c r="B12" s="151" t="str">
        <f>'M-Cita'!S12</f>
        <v>+57-3214533321-Jueves-09:00-19:00-12/11/2023-1/01/1000-13:00-19:00-02/07/2026-15:00</v>
      </c>
      <c r="C12" s="151" t="str">
        <f>'M-BarberoServicio'!H6</f>
        <v>Carlos Arbeladez-Perfilada de barba</v>
      </c>
      <c r="D12" s="156">
        <f>'M-Servicio'!D6</f>
        <v>15000</v>
      </c>
      <c r="E12" s="156">
        <f>'M-BarberoServicio'!D6</f>
        <v>0</v>
      </c>
      <c r="F12" s="160">
        <f>'M-BarberoServicio'!E6</f>
        <v>15</v>
      </c>
      <c r="G12" s="160">
        <f>'M-BarberoServicio'!F6</f>
        <v>5</v>
      </c>
      <c r="H12" s="65" t="str">
        <f t="shared" si="0"/>
        <v>+57-3214533321-Jueves-09:00-19:00-12/11/2023-1/01/1000-13:00-19:00-02/07/2026-15:00-Carlos Arbeladez-Perfilada de barba</v>
      </c>
    </row>
    <row r="13" spans="1:8" ht="60" customHeight="1" x14ac:dyDescent="0.25">
      <c r="A13" s="53">
        <v>10</v>
      </c>
      <c r="B13" s="151" t="str">
        <f>'M-Cita'!S13</f>
        <v>+57-3214533321-Jueves-09:00-19:00-12/11/2023-1/01/1000-13:00-19:00-14/05/2026-13:30</v>
      </c>
      <c r="C13" s="151" t="str">
        <f>'M-BarberoServicio'!H6</f>
        <v>Carlos Arbeladez-Perfilada de barba</v>
      </c>
      <c r="D13" s="156">
        <f>'M-Servicio'!D6</f>
        <v>15000</v>
      </c>
      <c r="E13" s="156">
        <f>'M-BarberoServicio'!D6</f>
        <v>0</v>
      </c>
      <c r="F13" s="160">
        <f>'M-BarberoServicio'!E6</f>
        <v>15</v>
      </c>
      <c r="G13" s="160">
        <f>'M-BarberoServicio'!F6</f>
        <v>5</v>
      </c>
      <c r="H13" s="65" t="str">
        <f t="shared" si="0"/>
        <v>+57-3214533321-Jueves-09:00-19:00-12/11/2023-1/01/1000-13:00-19:00-14/05/2026-13:30-Carlos Arbeladez-Perfilada de barba</v>
      </c>
    </row>
    <row r="14" spans="1:8" ht="60" customHeight="1" x14ac:dyDescent="0.25">
      <c r="A14" s="53">
        <v>11</v>
      </c>
      <c r="B14" s="151" t="str">
        <f>'M-Cita'!S13</f>
        <v>+57-3214533321-Jueves-09:00-19:00-12/11/2023-1/01/1000-13:00-19:00-14/05/2026-13:30</v>
      </c>
      <c r="C14" s="151" t="str">
        <f>'M-BarberoServicio'!H9</f>
        <v>Carlos Arbeladez-Corte de barba</v>
      </c>
      <c r="D14" s="156">
        <f>'M-Servicio'!D5</f>
        <v>12000</v>
      </c>
      <c r="E14" s="156">
        <f>'M-BarberoServicio'!D9</f>
        <v>0</v>
      </c>
      <c r="F14" s="160">
        <f>'M-BarberoServicio'!E9</f>
        <v>15</v>
      </c>
      <c r="G14" s="160">
        <f>'M-BarberoServicio'!F9</f>
        <v>5</v>
      </c>
      <c r="H14" s="65" t="str">
        <f t="shared" si="0"/>
        <v>+57-3214533321-Jueves-09:00-19:00-12/11/2023-1/01/1000-13:00-19:00-14/05/2026-13:30-Carlos Arbeladez-Corte de barba</v>
      </c>
    </row>
    <row r="15" spans="1:8" ht="28.5" customHeight="1" x14ac:dyDescent="0.25">
      <c r="B15" s="57"/>
    </row>
    <row r="16" spans="1:8" ht="28.5" customHeight="1" x14ac:dyDescent="0.25">
      <c r="B16" s="57"/>
    </row>
    <row r="17" spans="1:2" ht="28.5" customHeight="1" x14ac:dyDescent="0.25">
      <c r="B17" s="57"/>
    </row>
    <row r="18" spans="1:2" ht="28.5" customHeight="1" x14ac:dyDescent="0.25">
      <c r="B18" s="57"/>
    </row>
    <row r="19" spans="1:2" ht="28.5" customHeight="1" x14ac:dyDescent="0.25">
      <c r="B19" s="57"/>
    </row>
    <row r="20" spans="1:2" ht="28.5" customHeight="1" x14ac:dyDescent="0.25">
      <c r="A20" s="56"/>
      <c r="B20" s="57" t="s">
        <v>120</v>
      </c>
    </row>
    <row r="21" spans="1:2" ht="28.5" customHeight="1" x14ac:dyDescent="0.25">
      <c r="A21" s="58"/>
      <c r="B21" s="57" t="s">
        <v>121</v>
      </c>
    </row>
    <row r="22" spans="1:2" ht="28.5" customHeight="1" x14ac:dyDescent="0.25">
      <c r="A22" s="87"/>
      <c r="B22" s="57" t="s">
        <v>366</v>
      </c>
    </row>
    <row r="23" spans="1:2" ht="14.25" customHeight="1" x14ac:dyDescent="0.25">
      <c r="A23" s="136"/>
      <c r="B23" t="s">
        <v>679</v>
      </c>
    </row>
    <row r="24" spans="1:2" ht="14.25" customHeight="1" x14ac:dyDescent="0.25">
      <c r="A24" s="60"/>
      <c r="B24" t="s">
        <v>123</v>
      </c>
    </row>
  </sheetData>
  <hyperlinks>
    <hyperlink ref="A1" location="'Modelo de Dominio'!A1" display="&lt;&lt;&lt;&lt; Ir al modulo de dominio" xr:uid="{00000000-0004-0000-3900-000000000000}"/>
    <hyperlink ref="B1" location="'Objetos de Dominio'!A1" display="&lt;&lt;&lt;&lt; Ir a objetos de dominio" xr:uid="{00000000-0004-0000-3900-000001000000}"/>
    <hyperlink ref="B3" location="'M-Cita'!A1" display="cita" xr:uid="{00000000-0004-0000-3900-000002000000}"/>
    <hyperlink ref="C3" location="'M-BarberoServicio'!A1" display="barberoServicio" xr:uid="{00000000-0004-0000-3900-000003000000}"/>
    <hyperlink ref="B4" location="'M-Cita'!A4" display="#'M-Cita'.A4" xr:uid="{00000000-0004-0000-3900-000004000000}"/>
    <hyperlink ref="C4" location="'M-BarberoServicio'!A4" display="#'M-BarberoServicio'.A4" xr:uid="{00000000-0004-0000-3900-000005000000}"/>
    <hyperlink ref="D4" location="'M-Servicio'!A4" display="#'M-Servicio'.A4" xr:uid="{00000000-0004-0000-3900-000006000000}"/>
    <hyperlink ref="F4" location="'M-BarberoServicio'!A4" display="#'M-BarberoServicio'.A4" xr:uid="{00000000-0004-0000-3900-000007000000}"/>
    <hyperlink ref="G4" location="'M-BarberoServicio'!A4" display="#'M-BarberoServicio'.A4" xr:uid="{00000000-0004-0000-3900-000008000000}"/>
    <hyperlink ref="B5" location="'M-Cita'!A5" display="#'M-Cita'.A5" xr:uid="{00000000-0004-0000-3900-000009000000}"/>
    <hyperlink ref="C5" location="'M-BarberoServicio'!A5" display="#'M-BarberoServicio'.A5" xr:uid="{00000000-0004-0000-3900-00000A000000}"/>
    <hyperlink ref="D5" location="'M-Servicio'!A5" display="#'M-Servicio'.A5" xr:uid="{00000000-0004-0000-3900-00000B000000}"/>
    <hyperlink ref="F5" location="'M-BarberoServicio'!A5" display="#'M-BarberoServicio'.A5" xr:uid="{00000000-0004-0000-3900-00000C000000}"/>
    <hyperlink ref="G5" location="'M-BarberoServicio'!A5" display="#'M-BarberoServicio'.A5" xr:uid="{00000000-0004-0000-3900-00000D000000}"/>
    <hyperlink ref="B6" location="'M-Cita'!A6" display="#'M-Cita'.A6" xr:uid="{00000000-0004-0000-3900-00000E000000}"/>
    <hyperlink ref="C6" location="'M-BarberoServicio'!A6" display="#'M-BarberoServicio'.A6" xr:uid="{00000000-0004-0000-3900-00000F000000}"/>
    <hyperlink ref="D6" location="'M-Servicio'!A6" display="#'M-Servicio'.A6" xr:uid="{00000000-0004-0000-3900-000010000000}"/>
    <hyperlink ref="F6" location="'M-BarberoServicio'!A6" display="#'M-BarberoServicio'.A6" xr:uid="{00000000-0004-0000-3900-000011000000}"/>
    <hyperlink ref="G6" location="'M-BarberoServicio'!A6" display="#'M-BarberoServicio'.A6" xr:uid="{00000000-0004-0000-3900-000012000000}"/>
    <hyperlink ref="B7" location="'M-Cita'!A7" display="#'M-Cita'.A7" xr:uid="{00000000-0004-0000-3900-000013000000}"/>
    <hyperlink ref="C7" location="'M-BarberoServicio'!A7" display="#'M-BarberoServicio'.A7" xr:uid="{00000000-0004-0000-3900-000014000000}"/>
    <hyperlink ref="D7" location="'M-Servicio'!A7" display="#'M-Servicio'.A7" xr:uid="{00000000-0004-0000-3900-000015000000}"/>
    <hyperlink ref="F7" location="'M-BarberoServicio'!A7" display="#'M-BarberoServicio'.A7" xr:uid="{00000000-0004-0000-3900-000016000000}"/>
    <hyperlink ref="G7" location="'M-BarberoServicio'!A7" display="#'M-BarberoServicio'.A7" xr:uid="{00000000-0004-0000-3900-000017000000}"/>
    <hyperlink ref="B8" location="'M-Cita'!A8" display="#'M-Cita'.A8" xr:uid="{00000000-0004-0000-3900-000018000000}"/>
    <hyperlink ref="C8" location="'M-BarberoServicio'!A9" display="#'M-BarberoServicio'.A9" xr:uid="{00000000-0004-0000-3900-000019000000}"/>
    <hyperlink ref="D8" location="'M-Servicio'!A5" display="#'M-Servicio'.A5" xr:uid="{00000000-0004-0000-3900-00001A000000}"/>
    <hyperlink ref="F8" location="'M-BarberoServicio'!A9" display="#'M-BarberoServicio'.A9" xr:uid="{00000000-0004-0000-3900-00001B000000}"/>
    <hyperlink ref="G8" location="'M-BarberoServicio'!A9" display="#'M-BarberoServicio'.A9" xr:uid="{00000000-0004-0000-3900-00001C000000}"/>
    <hyperlink ref="B9" location="'M-Cita'!A9" display="#'M-Cita'.A9" xr:uid="{00000000-0004-0000-3900-00001D000000}"/>
    <hyperlink ref="C9" location="'M-BarberoServicio'!A7" display="#'M-BarberoServicio'.A7" xr:uid="{00000000-0004-0000-3900-00001E000000}"/>
    <hyperlink ref="D9" location="'M-Servicio'!A7" display="#'M-Servicio'.A7" xr:uid="{00000000-0004-0000-3900-00001F000000}"/>
    <hyperlink ref="F9" location="'M-BarberoServicio'!A7" display="#'M-BarberoServicio'.A7" xr:uid="{00000000-0004-0000-3900-000020000000}"/>
    <hyperlink ref="G9" location="'M-BarberoServicio'!A7" display="#'M-BarberoServicio'.A7" xr:uid="{00000000-0004-0000-3900-000021000000}"/>
    <hyperlink ref="B10" location="'M-Cita'!A10" display="#'M-Cita'.A10" xr:uid="{00000000-0004-0000-3900-000022000000}"/>
    <hyperlink ref="C10" location="'M-BarberoServicio'!A4" display="#'M-BarberoServicio'.A4" xr:uid="{00000000-0004-0000-3900-000023000000}"/>
    <hyperlink ref="D10" location="'M-Servicio'!A4" display="#'M-Servicio'.A4" xr:uid="{00000000-0004-0000-3900-000024000000}"/>
    <hyperlink ref="F10" location="'M-BarberoServicio'!A4" display="#'M-BarberoServicio'.A4" xr:uid="{00000000-0004-0000-3900-000025000000}"/>
    <hyperlink ref="G10" location="'M-BarberoServicio'!A4" display="#'M-BarberoServicio'.A4" xr:uid="{00000000-0004-0000-3900-000026000000}"/>
    <hyperlink ref="B11" location="'M-Cita'!A11" display="#'M-Cita'.A11" xr:uid="{00000000-0004-0000-3900-000027000000}"/>
    <hyperlink ref="C11" location="'M-BarberoServicio'!A5" display="#'M-BarberoServicio'.A5" xr:uid="{00000000-0004-0000-3900-000028000000}"/>
    <hyperlink ref="D11" location="'M-Servicio'!A5" display="#'M-Servicio'.A5" xr:uid="{00000000-0004-0000-3900-000029000000}"/>
    <hyperlink ref="F11" location="'M-BarberoServicio'!A5" display="#'M-BarberoServicio'.A5" xr:uid="{00000000-0004-0000-3900-00002A000000}"/>
    <hyperlink ref="G11" location="'M-BarberoServicio'!A5" display="#'M-BarberoServicio'.A5" xr:uid="{00000000-0004-0000-3900-00002B000000}"/>
    <hyperlink ref="B12" location="'M-Cita'!A12" display="#'M-Cita'.A12" xr:uid="{00000000-0004-0000-3900-00002C000000}"/>
    <hyperlink ref="C12" location="'M-BarberoServicio'!A6" display="#'M-BarberoServicio'.A6" xr:uid="{00000000-0004-0000-3900-00002D000000}"/>
    <hyperlink ref="D12" location="'M-Servicio'!A6" display="#'M-Servicio'.A6" xr:uid="{00000000-0004-0000-3900-00002E000000}"/>
    <hyperlink ref="F12" location="'M-BarberoServicio'!A6" display="#'M-BarberoServicio'.A6" xr:uid="{00000000-0004-0000-3900-00002F000000}"/>
    <hyperlink ref="G12" location="'M-BarberoServicio'!A6" display="#'M-BarberoServicio'.A6" xr:uid="{00000000-0004-0000-3900-000030000000}"/>
    <hyperlink ref="B13" location="'M-Cita'!A13" display="#'M-Cita'.A13" xr:uid="{00000000-0004-0000-3900-000031000000}"/>
    <hyperlink ref="C13" location="'M-BarberoServicio'!A6" display="#'M-BarberoServicio'.A6" xr:uid="{00000000-0004-0000-3900-000032000000}"/>
    <hyperlink ref="D13" location="'M-Servicio'!A6" display="#'M-Servicio'.A6" xr:uid="{00000000-0004-0000-3900-000033000000}"/>
    <hyperlink ref="F13" location="'M-BarberoServicio'!A6" display="#'M-BarberoServicio'.A6" xr:uid="{00000000-0004-0000-3900-000034000000}"/>
    <hyperlink ref="G13" location="'M-BarberoServicio'!A6" display="#'M-BarberoServicio'.A6" xr:uid="{00000000-0004-0000-3900-000035000000}"/>
    <hyperlink ref="B14" location="'M-Cita'!A13" display="#'M-Cita'.A13" xr:uid="{00000000-0004-0000-3900-000036000000}"/>
    <hyperlink ref="C14" location="'M-BarberoServicio'!A9" display="#'M-BarberoServicio'.A9" xr:uid="{00000000-0004-0000-3900-000037000000}"/>
    <hyperlink ref="D14" location="'M-Servicio'!A5" display="#'M-Servicio'.A5" xr:uid="{00000000-0004-0000-3900-000038000000}"/>
    <hyperlink ref="F14" location="'M-BarberoServicio'!A9" display="#'M-BarberoServicio'.A9" xr:uid="{00000000-0004-0000-3900-000039000000}"/>
    <hyperlink ref="G14" location="'M-BarberoServicio'!A9" display="#'M-BarberoServicio'.A9" xr:uid="{00000000-0004-0000-3900-00003A000000}"/>
  </hyperlinks>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0"/>
  <sheetViews>
    <sheetView topLeftCell="A17" zoomScaleNormal="100" workbookViewId="0">
      <selection activeCell="A18" sqref="A18:B18"/>
    </sheetView>
  </sheetViews>
  <sheetFormatPr baseColWidth="10" defaultColWidth="8.7109375" defaultRowHeight="15" x14ac:dyDescent="0.25"/>
  <cols>
    <col min="1" max="1" width="26.7109375" customWidth="1"/>
    <col min="2" max="2" width="45" customWidth="1"/>
    <col min="3" max="3" width="21.5703125" customWidth="1"/>
    <col min="4" max="4" width="24.28515625" customWidth="1"/>
    <col min="5" max="5" width="18" customWidth="1"/>
    <col min="7" max="7" width="16.28515625" customWidth="1"/>
    <col min="8" max="11" width="13" customWidth="1"/>
    <col min="13" max="13" width="40" customWidth="1"/>
    <col min="14" max="14" width="18" customWidth="1"/>
    <col min="15" max="17" width="13" customWidth="1"/>
    <col min="18" max="18" width="17.7109375" bestFit="1" customWidth="1"/>
  </cols>
  <sheetData>
    <row r="1" spans="1:21" ht="15" customHeight="1" x14ac:dyDescent="0.25">
      <c r="A1" s="6" t="s">
        <v>1</v>
      </c>
      <c r="B1" s="6" t="s">
        <v>28</v>
      </c>
    </row>
    <row r="2" spans="1:21" ht="45" customHeight="1" x14ac:dyDescent="0.25">
      <c r="A2" s="107" t="s">
        <v>29</v>
      </c>
      <c r="B2" s="107" t="s">
        <v>30</v>
      </c>
      <c r="C2" s="107" t="s">
        <v>31</v>
      </c>
      <c r="D2" s="107" t="s">
        <v>32</v>
      </c>
      <c r="E2" s="107" t="s">
        <v>33</v>
      </c>
      <c r="F2" s="107" t="s">
        <v>34</v>
      </c>
      <c r="G2" s="107" t="s">
        <v>35</v>
      </c>
      <c r="H2" s="107" t="s">
        <v>36</v>
      </c>
      <c r="I2" s="107" t="s">
        <v>37</v>
      </c>
      <c r="J2" s="107" t="s">
        <v>38</v>
      </c>
      <c r="K2" s="107" t="s">
        <v>39</v>
      </c>
      <c r="L2" s="107" t="s">
        <v>40</v>
      </c>
      <c r="M2" s="107" t="s">
        <v>41</v>
      </c>
      <c r="N2" s="107" t="s">
        <v>42</v>
      </c>
      <c r="O2" s="107" t="s">
        <v>43</v>
      </c>
      <c r="P2" s="107" t="s">
        <v>44</v>
      </c>
      <c r="Q2" s="107" t="s">
        <v>45</v>
      </c>
      <c r="R2" s="107" t="s">
        <v>46</v>
      </c>
      <c r="S2" s="107" t="s">
        <v>47</v>
      </c>
      <c r="T2" s="107" t="s">
        <v>48</v>
      </c>
      <c r="U2" s="107" t="s">
        <v>49</v>
      </c>
    </row>
    <row r="3" spans="1:21" ht="45" customHeight="1" x14ac:dyDescent="0.25">
      <c r="A3" s="81" t="str">
        <f>'M-Multa'!A3</f>
        <v>id</v>
      </c>
      <c r="B3" s="108" t="str">
        <f>'M-Multa'!A2</f>
        <v>Representa un identificador que hará unico cada objeto de dominio de este tipo, no se puede repetir</v>
      </c>
      <c r="C3" s="81" t="s">
        <v>50</v>
      </c>
      <c r="D3" s="81" t="s">
        <v>51</v>
      </c>
      <c r="E3" s="81" t="s">
        <v>50</v>
      </c>
      <c r="F3" s="81" t="s">
        <v>52</v>
      </c>
      <c r="G3" s="81" t="s">
        <v>52</v>
      </c>
      <c r="H3" s="81" t="s">
        <v>52</v>
      </c>
      <c r="I3" s="81" t="s">
        <v>52</v>
      </c>
      <c r="J3" s="81" t="s">
        <v>52</v>
      </c>
      <c r="K3" s="81" t="s">
        <v>52</v>
      </c>
      <c r="L3" s="81" t="s">
        <v>52</v>
      </c>
      <c r="M3" s="108" t="s">
        <v>52</v>
      </c>
      <c r="N3" s="81" t="s">
        <v>53</v>
      </c>
      <c r="O3" s="128" t="s">
        <v>52</v>
      </c>
      <c r="P3" s="81" t="s">
        <v>52</v>
      </c>
      <c r="Q3" s="128" t="s">
        <v>52</v>
      </c>
      <c r="R3" s="128" t="s">
        <v>52</v>
      </c>
      <c r="S3" s="128" t="s">
        <v>53</v>
      </c>
      <c r="T3" s="81" t="s">
        <v>54</v>
      </c>
      <c r="U3" s="81" t="s">
        <v>50</v>
      </c>
    </row>
    <row r="4" spans="1:21" ht="75" customHeight="1" x14ac:dyDescent="0.25">
      <c r="A4" s="128" t="str">
        <f>'M-Multa'!B3</f>
        <v>cita</v>
      </c>
      <c r="B4" s="128" t="str">
        <f>'M-Multa'!B2</f>
        <v>Hace referencia a la cita puntual que el cliente incumplió (llegando tarde fuera de la tolerancia o no presentándose), de esa cita es de donde sale el valor de monto si fue el caso de no presentase</v>
      </c>
      <c r="C4" s="128" t="s">
        <v>53</v>
      </c>
      <c r="D4" s="157" t="s">
        <v>25</v>
      </c>
      <c r="E4" s="128" t="s">
        <v>50</v>
      </c>
      <c r="F4" s="128" t="s">
        <v>52</v>
      </c>
      <c r="G4" s="128" t="s">
        <v>52</v>
      </c>
      <c r="H4" s="128" t="s">
        <v>52</v>
      </c>
      <c r="I4" s="128" t="s">
        <v>52</v>
      </c>
      <c r="J4" s="128" t="s">
        <v>52</v>
      </c>
      <c r="K4" s="128" t="s">
        <v>52</v>
      </c>
      <c r="L4" s="128" t="s">
        <v>52</v>
      </c>
      <c r="M4" s="128" t="s">
        <v>276</v>
      </c>
      <c r="N4" s="128" t="s">
        <v>53</v>
      </c>
      <c r="O4" s="128" t="s">
        <v>52</v>
      </c>
      <c r="P4" s="128" t="s">
        <v>52</v>
      </c>
      <c r="Q4" s="128" t="s">
        <v>52</v>
      </c>
      <c r="R4" s="128" t="s">
        <v>52</v>
      </c>
      <c r="S4" s="128" t="s">
        <v>53</v>
      </c>
      <c r="T4" s="128" t="s">
        <v>54</v>
      </c>
      <c r="U4" s="128" t="s">
        <v>53</v>
      </c>
    </row>
    <row r="5" spans="1:21" ht="45" customHeight="1" x14ac:dyDescent="0.25">
      <c r="A5" s="81" t="str">
        <f>'M-Multa'!C3</f>
        <v>tipo</v>
      </c>
      <c r="B5" s="108" t="str">
        <f>'M-Multa'!C2</f>
        <v>Hace referencia al tipo de multa -tardanza o inasistencia- según lo que haya ocurrido con la cita</v>
      </c>
      <c r="C5" s="81" t="s">
        <v>53</v>
      </c>
      <c r="D5" s="109" t="s">
        <v>17</v>
      </c>
      <c r="E5" s="81" t="s">
        <v>50</v>
      </c>
      <c r="F5" s="81" t="s">
        <v>52</v>
      </c>
      <c r="G5" s="81" t="s">
        <v>52</v>
      </c>
      <c r="H5" s="81" t="s">
        <v>52</v>
      </c>
      <c r="I5" s="81" t="s">
        <v>52</v>
      </c>
      <c r="J5" s="81" t="s">
        <v>52</v>
      </c>
      <c r="K5" s="81" t="s">
        <v>52</v>
      </c>
      <c r="L5" s="81" t="s">
        <v>52</v>
      </c>
      <c r="M5" s="108" t="s">
        <v>276</v>
      </c>
      <c r="N5" s="81" t="s">
        <v>53</v>
      </c>
      <c r="O5" s="81" t="s">
        <v>52</v>
      </c>
      <c r="P5" s="81" t="s">
        <v>52</v>
      </c>
      <c r="Q5" s="81" t="s">
        <v>52</v>
      </c>
      <c r="R5" s="81" t="s">
        <v>52</v>
      </c>
      <c r="S5" s="81" t="s">
        <v>53</v>
      </c>
      <c r="T5" s="81" t="s">
        <v>54</v>
      </c>
      <c r="U5" s="81" t="s">
        <v>53</v>
      </c>
    </row>
    <row r="6" spans="1:21" ht="105" customHeight="1" x14ac:dyDescent="0.25">
      <c r="A6" s="128" t="str">
        <f>'M-Multa'!D3</f>
        <v>monto</v>
      </c>
      <c r="B6" s="128" t="str">
        <f>'M-Multa'!D2</f>
        <v>Representa cuánto dinero en pesos colombianos debe pagar el cliente por esta multa. Es un dato auto generado: si el tipo es Tardanza copia el valor de multa de la Cita incumplida; si el tipo es Inasistencia copia el precioTotal de la Cita incumplida</v>
      </c>
      <c r="C6" s="128" t="s">
        <v>53</v>
      </c>
      <c r="D6" s="128" t="s">
        <v>165</v>
      </c>
      <c r="E6" s="128" t="s">
        <v>50</v>
      </c>
      <c r="F6" s="128" t="s">
        <v>52</v>
      </c>
      <c r="G6" s="128" t="s">
        <v>52</v>
      </c>
      <c r="H6" s="128" t="s">
        <v>52</v>
      </c>
      <c r="I6" s="128" t="s">
        <v>52</v>
      </c>
      <c r="J6" s="128">
        <v>0</v>
      </c>
      <c r="K6" s="161">
        <v>1000000</v>
      </c>
      <c r="L6" s="81" t="s">
        <v>52</v>
      </c>
      <c r="M6" s="128" t="s">
        <v>859</v>
      </c>
      <c r="N6" s="128" t="s">
        <v>53</v>
      </c>
      <c r="O6" s="128" t="s">
        <v>52</v>
      </c>
      <c r="P6" s="128" t="s">
        <v>52</v>
      </c>
      <c r="Q6" s="128" t="s">
        <v>52</v>
      </c>
      <c r="R6" s="128" t="s">
        <v>52</v>
      </c>
      <c r="S6" s="128" t="s">
        <v>53</v>
      </c>
      <c r="T6" s="128" t="s">
        <v>278</v>
      </c>
      <c r="U6" s="128" t="s">
        <v>50</v>
      </c>
    </row>
    <row r="7" spans="1:21" ht="105" customHeight="1" x14ac:dyDescent="0.25">
      <c r="A7" s="81" t="str">
        <f>'M-Multa'!E3</f>
        <v>horaGeneracion</v>
      </c>
      <c r="B7" s="108" t="str">
        <f>'M-Multa'!E2</f>
        <v>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v>
      </c>
      <c r="C7" s="81" t="s">
        <v>53</v>
      </c>
      <c r="D7" s="81" t="s">
        <v>429</v>
      </c>
      <c r="E7" s="81" t="s">
        <v>50</v>
      </c>
      <c r="F7" s="81" t="s">
        <v>52</v>
      </c>
      <c r="G7" s="81" t="s">
        <v>52</v>
      </c>
      <c r="H7" s="81" t="s">
        <v>52</v>
      </c>
      <c r="I7" s="81" t="s">
        <v>52</v>
      </c>
      <c r="J7" s="81" t="s">
        <v>52</v>
      </c>
      <c r="K7" s="81" t="s">
        <v>52</v>
      </c>
      <c r="L7" s="81" t="s">
        <v>52</v>
      </c>
      <c r="M7" s="108" t="s">
        <v>860</v>
      </c>
      <c r="N7" s="81" t="s">
        <v>53</v>
      </c>
      <c r="O7" s="81" t="s">
        <v>52</v>
      </c>
      <c r="P7" s="81" t="s">
        <v>52</v>
      </c>
      <c r="Q7" s="81" t="s">
        <v>52</v>
      </c>
      <c r="R7" s="81" t="s">
        <v>52</v>
      </c>
      <c r="S7" s="81" t="s">
        <v>53</v>
      </c>
      <c r="T7" s="81" t="s">
        <v>430</v>
      </c>
      <c r="U7" s="81" t="s">
        <v>50</v>
      </c>
    </row>
    <row r="8" spans="1:21" ht="60" customHeight="1" x14ac:dyDescent="0.25">
      <c r="A8" s="128" t="str">
        <f>'M-Multa'!F3</f>
        <v>fechaHoraPago</v>
      </c>
      <c r="B8" s="128" t="str">
        <f>'M-Multa'!F2</f>
        <v>Representa la fecha y hora en la que el cliente pagó esta multa. Su valor por defecto es 01/01/1000 00:00 y es permitido: significa que la multa sigue sin pagar</v>
      </c>
      <c r="C8" s="128" t="s">
        <v>53</v>
      </c>
      <c r="D8" s="128" t="s">
        <v>861</v>
      </c>
      <c r="E8" s="128" t="s">
        <v>53</v>
      </c>
      <c r="F8" s="128" t="s">
        <v>52</v>
      </c>
      <c r="G8" s="128" t="s">
        <v>52</v>
      </c>
      <c r="H8" s="128" t="s">
        <v>52</v>
      </c>
      <c r="I8" s="128" t="s">
        <v>52</v>
      </c>
      <c r="J8" s="128" t="s">
        <v>52</v>
      </c>
      <c r="K8" s="128" t="s">
        <v>52</v>
      </c>
      <c r="L8" s="81" t="s">
        <v>52</v>
      </c>
      <c r="M8" s="128" t="s">
        <v>52</v>
      </c>
      <c r="N8" s="128" t="s">
        <v>53</v>
      </c>
      <c r="O8" s="128" t="s">
        <v>52</v>
      </c>
      <c r="P8" s="128" t="s">
        <v>52</v>
      </c>
      <c r="Q8" s="128" t="s">
        <v>52</v>
      </c>
      <c r="R8" s="128" t="s">
        <v>52</v>
      </c>
      <c r="S8" s="128" t="s">
        <v>53</v>
      </c>
      <c r="T8" s="128" t="s">
        <v>485</v>
      </c>
      <c r="U8" s="128" t="s">
        <v>53</v>
      </c>
    </row>
    <row r="9" spans="1:21" ht="60" customHeight="1" x14ac:dyDescent="0.25">
      <c r="A9" s="81" t="str">
        <f>'M-Multa'!G3</f>
        <v>pagada</v>
      </c>
      <c r="B9" s="108" t="str">
        <f>'M-Multa'!G2</f>
        <v>Representa si el cliente ya pagó o no esta multa, es el dato que se revisa para decidir si un cliente queda vetado: mientras tenga una multa sin pagar no puede agendar</v>
      </c>
      <c r="C9" s="81" t="s">
        <v>53</v>
      </c>
      <c r="D9" s="81" t="s">
        <v>166</v>
      </c>
      <c r="E9" s="81" t="s">
        <v>53</v>
      </c>
      <c r="F9" s="81" t="s">
        <v>52</v>
      </c>
      <c r="G9" s="81" t="s">
        <v>52</v>
      </c>
      <c r="H9" s="81" t="s">
        <v>52</v>
      </c>
      <c r="I9" s="81" t="s">
        <v>52</v>
      </c>
      <c r="J9" s="81" t="s">
        <v>52</v>
      </c>
      <c r="K9" s="81" t="s">
        <v>52</v>
      </c>
      <c r="L9" s="81" t="s">
        <v>52</v>
      </c>
      <c r="M9" s="108" t="s">
        <v>52</v>
      </c>
      <c r="N9" s="81" t="s">
        <v>53</v>
      </c>
      <c r="O9" s="81" t="s">
        <v>52</v>
      </c>
      <c r="P9" s="81" t="s">
        <v>52</v>
      </c>
      <c r="Q9" s="81" t="s">
        <v>52</v>
      </c>
      <c r="R9" s="81" t="s">
        <v>52</v>
      </c>
      <c r="S9" s="81" t="s">
        <v>53</v>
      </c>
      <c r="T9" s="81" t="s">
        <v>53</v>
      </c>
      <c r="U9" s="81" t="s">
        <v>53</v>
      </c>
    </row>
    <row r="11" spans="1:21" ht="15" customHeight="1" x14ac:dyDescent="0.25">
      <c r="A11" s="20" t="s">
        <v>58</v>
      </c>
      <c r="B11" s="20" t="s">
        <v>59</v>
      </c>
      <c r="C11" s="20" t="s">
        <v>60</v>
      </c>
    </row>
    <row r="12" spans="1:21" ht="30" customHeight="1" x14ac:dyDescent="0.25">
      <c r="A12" s="5" t="str">
        <f>'M-Multa'!H3</f>
        <v>Combinación única</v>
      </c>
      <c r="B12" s="4" t="str">
        <f>'M-Multa'!H2</f>
        <v>Combinación única que indica que una misma cita no puede generar más de una multa</v>
      </c>
      <c r="C12" s="21" t="str">
        <f>A4</f>
        <v>cita</v>
      </c>
    </row>
    <row r="14" spans="1:21" x14ac:dyDescent="0.25">
      <c r="A14" s="203" t="s">
        <v>62</v>
      </c>
      <c r="B14" s="203"/>
      <c r="C14" s="197" t="s">
        <v>59</v>
      </c>
      <c r="D14" s="197"/>
      <c r="E14" s="197"/>
      <c r="F14" s="197"/>
      <c r="G14" s="197" t="s">
        <v>63</v>
      </c>
      <c r="H14" s="197"/>
      <c r="I14" s="197"/>
      <c r="J14" s="197" t="s">
        <v>64</v>
      </c>
      <c r="K14" s="197"/>
      <c r="L14" s="197"/>
      <c r="M14" s="197"/>
      <c r="N14" s="197"/>
      <c r="O14" s="197" t="s">
        <v>65</v>
      </c>
      <c r="P14" s="197"/>
      <c r="Q14" s="197" t="s">
        <v>66</v>
      </c>
      <c r="R14" s="197"/>
    </row>
    <row r="15" spans="1:21" x14ac:dyDescent="0.25">
      <c r="A15" s="203"/>
      <c r="B15" s="203"/>
      <c r="C15" s="197"/>
      <c r="D15" s="197"/>
      <c r="E15" s="197"/>
      <c r="F15" s="197"/>
      <c r="G15" s="24" t="s">
        <v>67</v>
      </c>
      <c r="H15" s="24" t="s">
        <v>32</v>
      </c>
      <c r="I15" s="24" t="s">
        <v>59</v>
      </c>
      <c r="J15" s="24" t="s">
        <v>68</v>
      </c>
      <c r="K15" s="24" t="s">
        <v>59</v>
      </c>
      <c r="L15" s="25"/>
      <c r="M15" s="25"/>
      <c r="N15" s="26"/>
      <c r="O15" s="24" t="s">
        <v>69</v>
      </c>
      <c r="P15" s="24" t="s">
        <v>59</v>
      </c>
      <c r="Q15" s="24" t="s">
        <v>70</v>
      </c>
      <c r="R15" s="27" t="s">
        <v>71</v>
      </c>
    </row>
    <row r="16" spans="1:21" ht="229.9" customHeight="1" x14ac:dyDescent="0.25">
      <c r="A16" s="215" t="s">
        <v>862</v>
      </c>
      <c r="B16" s="216"/>
      <c r="C16" s="219" t="s">
        <v>863</v>
      </c>
      <c r="D16" s="220"/>
      <c r="E16" s="220"/>
      <c r="F16" s="221"/>
      <c r="G16" s="227" t="s">
        <v>864</v>
      </c>
      <c r="H16" s="227" t="s">
        <v>27</v>
      </c>
      <c r="I16" s="229" t="s">
        <v>865</v>
      </c>
      <c r="J16" s="231" t="s">
        <v>27</v>
      </c>
      <c r="K16" s="219" t="s">
        <v>866</v>
      </c>
      <c r="L16" s="220"/>
      <c r="M16" s="220"/>
      <c r="N16" s="221"/>
      <c r="O16" s="28" t="str">
        <f>'P-Multa'!A6</f>
        <v>P-MUL-0001</v>
      </c>
      <c r="P16" s="3" t="str">
        <f>'P-Multa'!B6</f>
        <v>Congelar el motivo (tipo de multa) y el monto en el momento de generarse: si es por tardanza se copia Cita.multa y si es por inasistencia se copia Cita.precioTotal, sin recalcular después</v>
      </c>
      <c r="Q16" s="3" t="s">
        <v>867</v>
      </c>
      <c r="R16" s="31" t="s">
        <v>134</v>
      </c>
    </row>
    <row r="17" spans="1:18" ht="150" x14ac:dyDescent="0.25">
      <c r="A17" s="217"/>
      <c r="B17" s="218"/>
      <c r="C17" s="222"/>
      <c r="D17" s="223"/>
      <c r="E17" s="223"/>
      <c r="F17" s="224"/>
      <c r="G17" s="228"/>
      <c r="H17" s="228"/>
      <c r="I17" s="230"/>
      <c r="J17" s="232"/>
      <c r="K17" s="222"/>
      <c r="L17" s="223"/>
      <c r="M17" s="223"/>
      <c r="N17" s="224"/>
      <c r="O17" s="28" t="str">
        <f>'P-Multa'!A8</f>
        <v>P-MUL-0003</v>
      </c>
      <c r="P17" s="3" t="str">
        <f>'P-Multa'!B8</f>
        <v>Al generarse una multa dejar vetado al cliente, y quitarle el veto en el momento en que registre el pago de esa multa</v>
      </c>
      <c r="Q17" s="3" t="s">
        <v>868</v>
      </c>
      <c r="R17" s="31" t="s">
        <v>450</v>
      </c>
    </row>
    <row r="18" spans="1:18" ht="63.75" x14ac:dyDescent="0.25">
      <c r="A18" s="264" t="s">
        <v>869</v>
      </c>
      <c r="B18" s="264"/>
      <c r="C18" s="233" t="s">
        <v>870</v>
      </c>
      <c r="D18" s="233"/>
      <c r="E18" s="233"/>
      <c r="F18" s="233"/>
      <c r="G18" s="168" t="s">
        <v>871</v>
      </c>
      <c r="H18" s="168" t="s">
        <v>27</v>
      </c>
      <c r="I18" s="169" t="s">
        <v>872</v>
      </c>
      <c r="J18" s="177" t="s">
        <v>873</v>
      </c>
      <c r="K18" s="233" t="s">
        <v>874</v>
      </c>
      <c r="L18" s="233"/>
      <c r="M18" s="233"/>
      <c r="N18" s="233"/>
      <c r="O18" s="168"/>
      <c r="P18" s="170"/>
      <c r="Q18" s="170"/>
      <c r="R18" s="171"/>
    </row>
    <row r="19" spans="1:18" ht="82.15" customHeight="1" x14ac:dyDescent="0.25">
      <c r="A19" s="312" t="s">
        <v>875</v>
      </c>
      <c r="B19" s="313"/>
      <c r="C19" s="316" t="s">
        <v>876</v>
      </c>
      <c r="D19" s="317"/>
      <c r="E19" s="317"/>
      <c r="F19" s="318"/>
      <c r="G19" s="173" t="s">
        <v>110</v>
      </c>
      <c r="H19" s="173" t="s">
        <v>131</v>
      </c>
      <c r="I19" s="174" t="s">
        <v>877</v>
      </c>
      <c r="J19" s="175" t="s">
        <v>27</v>
      </c>
      <c r="K19" s="214" t="s">
        <v>878</v>
      </c>
      <c r="L19" s="214"/>
      <c r="M19" s="214"/>
      <c r="N19" s="214"/>
      <c r="O19" s="173" t="str">
        <f>'P-Multa'!A7</f>
        <v>P-MUL-0002</v>
      </c>
      <c r="P19" s="172" t="str">
        <f>'P-Multa'!B7</f>
        <v>Asegurar que la multa no esté ya pagada antes de registrar un nuevo pago</v>
      </c>
      <c r="Q19" s="172" t="s">
        <v>879</v>
      </c>
      <c r="R19" s="176" t="s">
        <v>134</v>
      </c>
    </row>
    <row r="20" spans="1:18" ht="63.75" x14ac:dyDescent="0.25">
      <c r="A20" s="314"/>
      <c r="B20" s="315"/>
      <c r="C20" s="319"/>
      <c r="D20" s="320"/>
      <c r="E20" s="320"/>
      <c r="F20" s="321"/>
      <c r="G20" s="173" t="s">
        <v>880</v>
      </c>
      <c r="H20" s="173" t="s">
        <v>861</v>
      </c>
      <c r="I20" s="174" t="s">
        <v>881</v>
      </c>
      <c r="J20" s="175"/>
      <c r="K20" s="214"/>
      <c r="L20" s="214"/>
      <c r="M20" s="214"/>
      <c r="N20" s="214"/>
      <c r="O20" s="173"/>
      <c r="P20" s="172"/>
      <c r="Q20" s="172"/>
      <c r="R20" s="176"/>
    </row>
  </sheetData>
  <mergeCells count="20">
    <mergeCell ref="I16:I17"/>
    <mergeCell ref="J16:J17"/>
    <mergeCell ref="K16:N17"/>
    <mergeCell ref="A19:B20"/>
    <mergeCell ref="C19:F20"/>
    <mergeCell ref="A16:B17"/>
    <mergeCell ref="C16:F17"/>
    <mergeCell ref="G16:G17"/>
    <mergeCell ref="H16:H17"/>
    <mergeCell ref="K20:N20"/>
    <mergeCell ref="A18:B18"/>
    <mergeCell ref="C18:F18"/>
    <mergeCell ref="K18:N18"/>
    <mergeCell ref="K19:N19"/>
    <mergeCell ref="Q14:R14"/>
    <mergeCell ref="A14:B15"/>
    <mergeCell ref="C14:F15"/>
    <mergeCell ref="G14:I14"/>
    <mergeCell ref="J14:N14"/>
    <mergeCell ref="O14:P14"/>
  </mergeCells>
  <hyperlinks>
    <hyperlink ref="A1" location="'Modelo de Dominio'!A1" display="&lt;&lt;&lt;&lt; Ir al modulo de dominio" xr:uid="{00000000-0004-0000-3A00-000000000000}"/>
    <hyperlink ref="B1" location="'Objetos de Dominio'!A1" display="&lt;&lt;&lt;&lt; Ir a objetos de dominio" xr:uid="{00000000-0004-0000-3A00-000001000000}"/>
    <hyperlink ref="A3" location="'M-Multa'!A3" display="#'M-Multa'.A3" xr:uid="{00000000-0004-0000-3A00-000002000000}"/>
    <hyperlink ref="B3" location="'M-Multa'!A2" display="#'M-Multa'.A2" xr:uid="{00000000-0004-0000-3A00-000003000000}"/>
    <hyperlink ref="A4" location="'M-Multa'!A3" display="#'M-Multa'.A3" xr:uid="{00000000-0004-0000-3A00-000004000000}"/>
    <hyperlink ref="B4" location="'M-Multa'!A2" display="#'M-Multa'.A2" xr:uid="{00000000-0004-0000-3A00-000005000000}"/>
    <hyperlink ref="D4" location="'C-Cita'!A1" display="Cita" xr:uid="{00000000-0004-0000-3A00-000006000000}"/>
    <hyperlink ref="A5" location="'M-Multa'!A3" display="#'M-Multa'.A3" xr:uid="{00000000-0004-0000-3A00-000007000000}"/>
    <hyperlink ref="B5" location="'M-Multa'!A2" display="#'M-Multa'.A2" xr:uid="{00000000-0004-0000-3A00-000008000000}"/>
    <hyperlink ref="D5" location="'C-TipoMulta'!A1" display="TipoMulta" xr:uid="{00000000-0004-0000-3A00-000009000000}"/>
    <hyperlink ref="A6" location="'M-Multa'!A3" display="#'M-Multa'.A3" xr:uid="{00000000-0004-0000-3A00-00000A000000}"/>
    <hyperlink ref="B6" location="'M-Multa'!A2" display="#'M-Multa'.A2" xr:uid="{00000000-0004-0000-3A00-00000B000000}"/>
    <hyperlink ref="A7" location="'M-Multa'!A3" display="#'M-Multa'.A3" xr:uid="{00000000-0004-0000-3A00-00000C000000}"/>
    <hyperlink ref="B7" location="'M-Multa'!A2" display="#'M-Multa'.A2" xr:uid="{00000000-0004-0000-3A00-00000D000000}"/>
    <hyperlink ref="A8" location="'M-Multa'!A3" display="#'M-Multa'.A3" xr:uid="{00000000-0004-0000-3A00-00000E000000}"/>
    <hyperlink ref="B8" location="'M-Multa'!A2" display="#'M-Multa'.A2" xr:uid="{00000000-0004-0000-3A00-00000F000000}"/>
    <hyperlink ref="A9" location="'M-Multa'!A3" display="#'M-Multa'.A3" xr:uid="{00000000-0004-0000-3A00-000010000000}"/>
    <hyperlink ref="B9" location="'M-Multa'!A2" display="#'M-Multa'.A2" xr:uid="{00000000-0004-0000-3A00-000011000000}"/>
    <hyperlink ref="A12" location="'M-Multa'!A3" display="#'M-Multa'.A3" xr:uid="{00000000-0004-0000-3A00-000012000000}"/>
    <hyperlink ref="B12" location="'M-Multa'!A2" display="#'M-Multa'.A2" xr:uid="{00000000-0004-0000-3A00-000013000000}"/>
  </hyperlinks>
  <pageMargins left="0.75" right="0.75" top="1" bottom="1"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8"/>
  <sheetViews>
    <sheetView showGridLines="0" zoomScaleNormal="100" workbookViewId="0"/>
  </sheetViews>
  <sheetFormatPr baseColWidth="10" defaultColWidth="8.7109375" defaultRowHeight="15" x14ac:dyDescent="0.25"/>
  <cols>
    <col min="1" max="1" width="21.28515625" customWidth="1"/>
    <col min="2" max="2" width="29.140625" customWidth="1"/>
    <col min="3" max="3" width="36.28515625" customWidth="1"/>
    <col min="4" max="4" width="37.7109375" customWidth="1"/>
    <col min="5" max="5" width="36.28515625" customWidth="1"/>
  </cols>
  <sheetData>
    <row r="1" spans="1:5" ht="15" customHeight="1" x14ac:dyDescent="0.25">
      <c r="A1" s="32" t="s">
        <v>76</v>
      </c>
      <c r="B1" s="32" t="s">
        <v>77</v>
      </c>
      <c r="C1" s="32" t="s">
        <v>78</v>
      </c>
      <c r="D1" s="32" t="s">
        <v>79</v>
      </c>
      <c r="E1" s="61" t="s">
        <v>80</v>
      </c>
    </row>
    <row r="2" spans="1:5" ht="15" customHeight="1" x14ac:dyDescent="0.25">
      <c r="A2" s="34" t="s">
        <v>81</v>
      </c>
      <c r="B2" s="209" t="str">
        <f>'Objetos de Dominio'!A17</f>
        <v>Multa</v>
      </c>
      <c r="C2" s="209"/>
      <c r="D2" s="209"/>
      <c r="E2" s="209"/>
    </row>
    <row r="3" spans="1:5" ht="30" customHeight="1" x14ac:dyDescent="0.25">
      <c r="A3" s="35" t="s">
        <v>82</v>
      </c>
      <c r="B3" s="210" t="str">
        <f>'Objetos de Dominio'!B17</f>
        <v>Representa la sanción económica que se le impone a un cliente por incumplir una cita, ya sea por llegar tarde fuera de tolerancia o por no presentarse, calculada a partir de la cita específica que la originó.</v>
      </c>
      <c r="C3" s="210"/>
      <c r="D3" s="210"/>
      <c r="E3" s="210"/>
    </row>
    <row r="4" spans="1:5" ht="15" customHeight="1" x14ac:dyDescent="0.25">
      <c r="A4" s="211" t="s">
        <v>83</v>
      </c>
      <c r="B4" s="212" t="s">
        <v>84</v>
      </c>
      <c r="C4" s="212"/>
      <c r="D4" s="212" t="s">
        <v>85</v>
      </c>
      <c r="E4" s="211" t="s">
        <v>86</v>
      </c>
    </row>
    <row r="5" spans="1:5" ht="15" customHeight="1" x14ac:dyDescent="0.25">
      <c r="A5" s="211"/>
      <c r="B5" s="212"/>
      <c r="C5" s="212"/>
      <c r="D5" s="212"/>
      <c r="E5" s="211"/>
    </row>
    <row r="6" spans="1:5" ht="30" customHeight="1" x14ac:dyDescent="0.25">
      <c r="A6" s="10" t="s">
        <v>882</v>
      </c>
      <c r="B6" s="247" t="s">
        <v>883</v>
      </c>
      <c r="C6" s="247"/>
      <c r="D6" s="36" t="s">
        <v>25</v>
      </c>
      <c r="E6" s="36"/>
    </row>
    <row r="7" spans="1:5" ht="30" customHeight="1" x14ac:dyDescent="0.25">
      <c r="A7" s="10" t="s">
        <v>884</v>
      </c>
      <c r="B7" s="247" t="s">
        <v>885</v>
      </c>
      <c r="C7" s="247"/>
      <c r="D7" s="36" t="s">
        <v>27</v>
      </c>
      <c r="E7" s="36"/>
    </row>
    <row r="8" spans="1:5" ht="30" customHeight="1" x14ac:dyDescent="0.25">
      <c r="A8" s="10" t="s">
        <v>886</v>
      </c>
      <c r="B8" s="247" t="s">
        <v>887</v>
      </c>
      <c r="C8" s="247"/>
      <c r="D8" s="36" t="s">
        <v>19</v>
      </c>
      <c r="E8" s="36"/>
    </row>
  </sheetData>
  <mergeCells count="9">
    <mergeCell ref="B7:C7"/>
    <mergeCell ref="B8:C8"/>
    <mergeCell ref="B2:E2"/>
    <mergeCell ref="B3:E3"/>
    <mergeCell ref="A4:A5"/>
    <mergeCell ref="B4:C5"/>
    <mergeCell ref="D4:D5"/>
    <mergeCell ref="E4:E5"/>
    <mergeCell ref="B6:C6"/>
  </mergeCells>
  <hyperlinks>
    <hyperlink ref="A1" location="'Modelo de Dominio'!A1" display="&lt;&lt; Ir al modelo de dominio" xr:uid="{00000000-0004-0000-3B00-000000000000}"/>
    <hyperlink ref="B1" location="'Objetos de Dominio'!A1" display="&lt;&lt; Ir al listado de objetos de dominio" xr:uid="{00000000-0004-0000-3B00-000001000000}"/>
    <hyperlink ref="C1" location="'C-Multa'!A1" display="&lt;&lt; Ir a la caracterización del objeto de dominio" xr:uid="{00000000-0004-0000-3B00-000002000000}"/>
    <hyperlink ref="D1" location="'M-Multa'!A1" display="Ir al muestreo de datos del objeto de dominio &gt;&gt;" xr:uid="{00000000-0004-0000-3B00-000003000000}"/>
    <hyperlink ref="E1" location="'E-Multa'!A1" display="Ir al event storming del objeto de dominio &gt;&gt;" xr:uid="{00000000-0004-0000-3B00-000004000000}"/>
  </hyperlinks>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K10"/>
  <sheetViews>
    <sheetView showGridLines="0" zoomScaleNormal="100" workbookViewId="0">
      <selection activeCell="H7" sqref="H7"/>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38.42578125" customWidth="1"/>
    <col min="9" max="9" width="16" customWidth="1"/>
    <col min="10" max="11" width="34" customWidth="1"/>
  </cols>
  <sheetData>
    <row r="1" spans="1:11" ht="12" customHeight="1" x14ac:dyDescent="0.25">
      <c r="A1" s="195" t="s">
        <v>76</v>
      </c>
      <c r="B1" s="195"/>
      <c r="C1" s="195" t="s">
        <v>77</v>
      </c>
      <c r="D1" s="195"/>
      <c r="E1" s="195"/>
      <c r="F1" s="195" t="s">
        <v>78</v>
      </c>
      <c r="G1" s="195"/>
      <c r="H1" s="195"/>
      <c r="I1" s="195"/>
      <c r="J1" s="195" t="s">
        <v>79</v>
      </c>
      <c r="K1" s="195"/>
    </row>
    <row r="2" spans="1:11" ht="15" customHeight="1" x14ac:dyDescent="0.25">
      <c r="A2" s="34" t="s">
        <v>81</v>
      </c>
      <c r="B2" s="196" t="str">
        <f>'Objetos de Dominio'!A17</f>
        <v>Multa</v>
      </c>
      <c r="C2" s="196"/>
      <c r="D2" s="196"/>
      <c r="E2" s="196"/>
      <c r="F2" s="196"/>
      <c r="G2" s="196"/>
      <c r="H2" s="196"/>
      <c r="I2" s="196"/>
      <c r="J2" s="196"/>
      <c r="K2" s="196"/>
    </row>
    <row r="3" spans="1:11" ht="30" customHeight="1" x14ac:dyDescent="0.25">
      <c r="A3" s="35" t="s">
        <v>82</v>
      </c>
      <c r="B3" s="186" t="str">
        <f>'Objetos de Dominio'!B17</f>
        <v>Representa la sanción económica que se le impone a un cliente por incumplir una cita, ya sea por llegar tarde fuera de tolerancia o por no presentarse, calculada a partir de la cita específica que la originó.</v>
      </c>
      <c r="C3" s="186"/>
      <c r="D3" s="186"/>
      <c r="E3" s="186"/>
      <c r="F3" s="186"/>
      <c r="G3" s="186"/>
      <c r="H3" s="186"/>
      <c r="I3" s="186"/>
      <c r="J3" s="186"/>
      <c r="K3" s="186"/>
    </row>
    <row r="4" spans="1:11" ht="34.5" customHeight="1" x14ac:dyDescent="0.25">
      <c r="A4" s="39" t="s">
        <v>88</v>
      </c>
      <c r="B4" s="187" t="s">
        <v>89</v>
      </c>
      <c r="C4" s="187"/>
      <c r="D4" s="40" t="s">
        <v>90</v>
      </c>
      <c r="E4" s="188" t="s">
        <v>91</v>
      </c>
      <c r="F4" s="188"/>
      <c r="G4" s="189" t="s">
        <v>92</v>
      </c>
      <c r="H4" s="189"/>
      <c r="I4" s="42" t="s">
        <v>93</v>
      </c>
      <c r="J4" s="43" t="s">
        <v>94</v>
      </c>
      <c r="K4" s="44" t="s">
        <v>95</v>
      </c>
    </row>
    <row r="5" spans="1:11" ht="15" customHeight="1" x14ac:dyDescent="0.25">
      <c r="A5" s="190" t="s">
        <v>88</v>
      </c>
      <c r="B5" s="187" t="s">
        <v>96</v>
      </c>
      <c r="C5" s="187" t="s">
        <v>59</v>
      </c>
      <c r="D5" s="191" t="s">
        <v>97</v>
      </c>
      <c r="E5" s="188" t="s">
        <v>98</v>
      </c>
      <c r="F5" s="188"/>
      <c r="G5" s="189" t="s">
        <v>99</v>
      </c>
      <c r="H5" s="189"/>
      <c r="I5" s="192" t="s">
        <v>100</v>
      </c>
      <c r="J5" s="193" t="s">
        <v>101</v>
      </c>
      <c r="K5" s="194" t="s">
        <v>102</v>
      </c>
    </row>
    <row r="6" spans="1:11" ht="15" customHeight="1" x14ac:dyDescent="0.25">
      <c r="A6" s="190"/>
      <c r="B6" s="190"/>
      <c r="C6" s="190"/>
      <c r="D6" s="190"/>
      <c r="E6" s="41" t="s">
        <v>103</v>
      </c>
      <c r="F6" s="41" t="s">
        <v>59</v>
      </c>
      <c r="G6" s="45" t="s">
        <v>104</v>
      </c>
      <c r="H6" s="45" t="s">
        <v>59</v>
      </c>
      <c r="I6" s="192"/>
      <c r="J6" s="192"/>
      <c r="K6" s="192"/>
    </row>
    <row r="7" spans="1:11" ht="72" customHeight="1" x14ac:dyDescent="0.25">
      <c r="A7" s="204" t="s">
        <v>533</v>
      </c>
      <c r="B7" s="244" t="s">
        <v>862</v>
      </c>
      <c r="C7" s="244" t="s">
        <v>863</v>
      </c>
      <c r="D7" s="204" t="str">
        <f>$B$2</f>
        <v>Multa</v>
      </c>
      <c r="E7" s="46" t="s">
        <v>25</v>
      </c>
      <c r="F7" s="46" t="s">
        <v>888</v>
      </c>
      <c r="G7" s="62" t="str">
        <f>'P-Multa'!A6</f>
        <v>P-MUL-0001</v>
      </c>
      <c r="H7" s="97" t="str">
        <f>'P-Multa'!B6</f>
        <v>Congelar el motivo (tipo de multa) y el monto en el momento de generarse: si es por tardanza se copia Cita.multa y si es por inasistencia se copia Cita.precioTotal, sin recalcular después</v>
      </c>
      <c r="I7" s="204"/>
      <c r="J7" s="244" t="s">
        <v>889</v>
      </c>
      <c r="K7" s="244"/>
    </row>
    <row r="8" spans="1:11" ht="42.75" customHeight="1" x14ac:dyDescent="0.25">
      <c r="A8" s="204"/>
      <c r="B8" s="204"/>
      <c r="C8" s="204"/>
      <c r="D8" s="204"/>
      <c r="E8" s="46" t="s">
        <v>19</v>
      </c>
      <c r="F8" s="46" t="s">
        <v>890</v>
      </c>
      <c r="G8" s="62" t="str">
        <f>'P-Multa'!A8</f>
        <v>P-MUL-0003</v>
      </c>
      <c r="H8" s="162" t="str">
        <f>'P-Multa'!B8</f>
        <v>Al generarse una multa dejar vetado al cliente, y quitarle el veto en el momento en que registre el pago de esa multa</v>
      </c>
      <c r="I8" s="204"/>
      <c r="J8" s="204"/>
      <c r="K8" s="204"/>
    </row>
    <row r="9" spans="1:11" ht="30" customHeight="1" x14ac:dyDescent="0.25">
      <c r="A9" s="2" t="s">
        <v>19</v>
      </c>
      <c r="B9" s="46" t="s">
        <v>869</v>
      </c>
      <c r="C9" s="46" t="s">
        <v>870</v>
      </c>
      <c r="D9" s="2" t="str">
        <f>$B$2</f>
        <v>Multa</v>
      </c>
      <c r="E9" s="46" t="s">
        <v>17</v>
      </c>
      <c r="F9" s="46" t="s">
        <v>891</v>
      </c>
      <c r="G9" s="2"/>
      <c r="H9" s="79"/>
      <c r="I9" s="2"/>
      <c r="J9" s="46" t="s">
        <v>892</v>
      </c>
      <c r="K9" s="46"/>
    </row>
    <row r="10" spans="1:11" ht="28.5" customHeight="1" x14ac:dyDescent="0.25">
      <c r="A10" s="2" t="s">
        <v>18</v>
      </c>
      <c r="B10" s="46" t="s">
        <v>875</v>
      </c>
      <c r="C10" s="46" t="s">
        <v>876</v>
      </c>
      <c r="D10" s="2" t="str">
        <f>$B$2</f>
        <v>Multa</v>
      </c>
      <c r="E10" s="46" t="s">
        <v>19</v>
      </c>
      <c r="F10" s="46" t="s">
        <v>893</v>
      </c>
      <c r="G10" s="62" t="str">
        <f>'P-Multa'!A7</f>
        <v>P-MUL-0002</v>
      </c>
      <c r="H10" s="162" t="str">
        <f>'P-Multa'!B7</f>
        <v>Asegurar que la multa no esté ya pagada antes de registrar un nuevo pago</v>
      </c>
      <c r="I10" s="2"/>
      <c r="J10" s="46" t="s">
        <v>894</v>
      </c>
      <c r="K10" s="46"/>
    </row>
  </sheetData>
  <mergeCells count="25">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J7:J8"/>
    <mergeCell ref="K7:K8"/>
    <mergeCell ref="A7:A8"/>
    <mergeCell ref="B7:B8"/>
    <mergeCell ref="C7:C8"/>
    <mergeCell ref="D7:D8"/>
    <mergeCell ref="I7:I8"/>
  </mergeCells>
  <hyperlinks>
    <hyperlink ref="A1" location="'Modelo de Dominio'!A1" display="&lt;&lt; Ir al modelo de dominio" xr:uid="{00000000-0004-0000-3C00-000000000000}"/>
    <hyperlink ref="C1" location="'Objetos de Dominio'!A1" display="&lt;&lt; Ir al listado de objetos de dominio" xr:uid="{00000000-0004-0000-3C00-000001000000}"/>
    <hyperlink ref="F1" location="'C-Multa'!A1" display="&lt;&lt; Ir a la caracterización del objeto de dominio" xr:uid="{00000000-0004-0000-3C00-000002000000}"/>
    <hyperlink ref="J1" location="'M-Multa'!A1" display="Ir al muestreo de datos del objeto de dominio &gt;&gt;" xr:uid="{00000000-0004-0000-3C00-000003000000}"/>
    <hyperlink ref="G7" location="'P-Multa'!A6" display="#'P-Multa'.A6" xr:uid="{00000000-0004-0000-3C00-000004000000}"/>
  </hyperlinks>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21"/>
  <sheetViews>
    <sheetView zoomScaleNormal="100" workbookViewId="0">
      <selection activeCell="C4" sqref="C4"/>
    </sheetView>
  </sheetViews>
  <sheetFormatPr baseColWidth="10" defaultColWidth="8.7109375" defaultRowHeight="15" x14ac:dyDescent="0.25"/>
  <cols>
    <col min="1" max="1" width="25" customWidth="1"/>
    <col min="2" max="2" width="33.7109375" customWidth="1"/>
    <col min="3" max="3" width="24.7109375" customWidth="1"/>
    <col min="4" max="4" width="35.5703125" customWidth="1"/>
    <col min="5" max="5" width="40.85546875" customWidth="1"/>
    <col min="6" max="6" width="35.5703125" customWidth="1"/>
    <col min="7" max="7" width="27.140625" customWidth="1"/>
    <col min="8" max="8" width="30.42578125" customWidth="1"/>
  </cols>
  <sheetData>
    <row r="1" spans="1:8" ht="14.25" customHeight="1" x14ac:dyDescent="0.25">
      <c r="A1" s="6" t="s">
        <v>1</v>
      </c>
      <c r="B1" s="6" t="s">
        <v>28</v>
      </c>
    </row>
    <row r="2" spans="1:8" ht="54" customHeight="1" x14ac:dyDescent="0.25">
      <c r="A2" s="48" t="s">
        <v>107</v>
      </c>
      <c r="B2" s="48" t="s">
        <v>895</v>
      </c>
      <c r="C2" s="48" t="s">
        <v>896</v>
      </c>
      <c r="D2" s="48" t="s">
        <v>897</v>
      </c>
      <c r="E2" s="48" t="s">
        <v>898</v>
      </c>
      <c r="F2" s="48" t="s">
        <v>899</v>
      </c>
      <c r="G2" s="48" t="s">
        <v>900</v>
      </c>
      <c r="H2" s="48" t="s">
        <v>901</v>
      </c>
    </row>
    <row r="3" spans="1:8" ht="14.25" customHeight="1" x14ac:dyDescent="0.25">
      <c r="A3" s="50" t="s">
        <v>110</v>
      </c>
      <c r="B3" s="84" t="s">
        <v>854</v>
      </c>
      <c r="C3" s="94" t="s">
        <v>902</v>
      </c>
      <c r="D3" s="134" t="s">
        <v>903</v>
      </c>
      <c r="E3" s="134" t="s">
        <v>904</v>
      </c>
      <c r="F3" s="51" t="s">
        <v>880</v>
      </c>
      <c r="G3" s="51" t="s">
        <v>905</v>
      </c>
      <c r="H3" s="52" t="s">
        <v>268</v>
      </c>
    </row>
    <row r="4" spans="1:8" ht="42.75" customHeight="1" x14ac:dyDescent="0.25">
      <c r="A4" s="53">
        <v>1</v>
      </c>
      <c r="B4" s="151" t="str">
        <f>'M-Cita'!S6</f>
        <v>+57-3214533321-Jueves-09:00-19:00-12/11/2023-1/01/1000-13:00-19:00-14/05/2026-13:00</v>
      </c>
      <c r="C4" s="86" t="str">
        <f>'M-TipoMulta'!D4</f>
        <v>Tardanza</v>
      </c>
      <c r="D4" s="156">
        <f>'M-Cita'!P6</f>
        <v>10000</v>
      </c>
      <c r="E4" s="163">
        <f>'M-Cita'!G6</f>
        <v>0.55208333333333304</v>
      </c>
      <c r="F4" s="164">
        <v>46233.416666666701</v>
      </c>
      <c r="G4" s="53" t="s">
        <v>210</v>
      </c>
      <c r="H4" s="65" t="str">
        <f>B4</f>
        <v>+57-3214533321-Jueves-09:00-19:00-12/11/2023-1/01/1000-13:00-19:00-14/05/2026-13:00</v>
      </c>
    </row>
    <row r="5" spans="1:8" ht="42.75" customHeight="1" x14ac:dyDescent="0.25">
      <c r="A5" s="53">
        <v>2</v>
      </c>
      <c r="B5" s="151" t="str">
        <f>'M-Cita'!S7</f>
        <v>+91-9876543210-Sábado-08:00-21:00-12/12/2024-1/01/1000-08:00-14:00-22/11/2025-13:00</v>
      </c>
      <c r="C5" s="86" t="str">
        <f>'M-TipoMulta'!D5</f>
        <v>Inasistencia</v>
      </c>
      <c r="D5" s="156">
        <f>'M-Cita'!R7</f>
        <v>35000</v>
      </c>
      <c r="E5" s="163">
        <f>'M-Cita'!F7</f>
        <v>0.57638888888888917</v>
      </c>
      <c r="F5" s="53" t="s">
        <v>906</v>
      </c>
      <c r="G5" s="53" t="s">
        <v>363</v>
      </c>
      <c r="H5" s="65" t="str">
        <f>B5</f>
        <v>+91-9876543210-Sábado-08:00-21:00-12/12/2024-1/01/1000-08:00-14:00-22/11/2025-13:00</v>
      </c>
    </row>
    <row r="6" spans="1:8" ht="57" customHeight="1" x14ac:dyDescent="0.25">
      <c r="A6" s="53">
        <v>3</v>
      </c>
      <c r="B6" s="151" t="str">
        <f>'M-Cita'!S10</f>
        <v>+57-3245627890-Lunes-09:00-19:00-12/11/2023-1/01/1000-10:00-16:00-01/06/2026-10:00</v>
      </c>
      <c r="C6" s="86" t="str">
        <f>'M-TipoMulta'!D5</f>
        <v>Inasistencia</v>
      </c>
      <c r="D6" s="156">
        <f>'M-Cita'!R10</f>
        <v>22000</v>
      </c>
      <c r="E6" s="163">
        <f>'M-Cita'!F10</f>
        <v>0.4583333333333337</v>
      </c>
      <c r="F6" s="53" t="s">
        <v>906</v>
      </c>
      <c r="G6" s="53" t="s">
        <v>363</v>
      </c>
      <c r="H6" s="65" t="str">
        <f>B6</f>
        <v>+57-3245627890-Lunes-09:00-19:00-12/11/2023-1/01/1000-10:00-16:00-01/06/2026-10:00</v>
      </c>
    </row>
    <row r="7" spans="1:8" ht="57" customHeight="1" x14ac:dyDescent="0.25">
      <c r="A7" s="53">
        <v>4</v>
      </c>
      <c r="B7" s="151" t="str">
        <f>'M-Cita'!S11</f>
        <v>+57-3124518923-Martes-09:00-19:00-12/11/2023-1/01/1000-09:00-15:00-16/06/2026-09:00</v>
      </c>
      <c r="C7" s="86" t="str">
        <f>'M-TipoMulta'!D5</f>
        <v>Inasistencia</v>
      </c>
      <c r="D7" s="156">
        <f>'M-Cita'!R11</f>
        <v>12000</v>
      </c>
      <c r="E7" s="163">
        <f>'M-Cita'!F11</f>
        <v>0.38541666666666669</v>
      </c>
      <c r="F7" s="53" t="s">
        <v>906</v>
      </c>
      <c r="G7" s="53" t="s">
        <v>363</v>
      </c>
      <c r="H7" s="65" t="str">
        <f>B7</f>
        <v>+57-3124518923-Martes-09:00-19:00-12/11/2023-1/01/1000-09:00-15:00-16/06/2026-09:00</v>
      </c>
    </row>
    <row r="8" spans="1:8" ht="57" customHeight="1" x14ac:dyDescent="0.25">
      <c r="A8" s="53">
        <v>5</v>
      </c>
      <c r="B8" s="151" t="str">
        <f>'M-Cita'!S12</f>
        <v>+57-3214533321-Jueves-09:00-19:00-12/11/2023-1/01/1000-13:00-19:00-02/07/2026-15:00</v>
      </c>
      <c r="C8" s="86" t="str">
        <f>'M-TipoMulta'!D5</f>
        <v>Inasistencia</v>
      </c>
      <c r="D8" s="156">
        <f>'M-Cita'!R12</f>
        <v>15000</v>
      </c>
      <c r="E8" s="163">
        <f>'M-Cita'!F12</f>
        <v>0.63888888888888884</v>
      </c>
      <c r="F8" s="53" t="s">
        <v>906</v>
      </c>
      <c r="G8" s="53" t="s">
        <v>363</v>
      </c>
      <c r="H8" s="65" t="str">
        <f>B8</f>
        <v>+57-3214533321-Jueves-09:00-19:00-12/11/2023-1/01/1000-13:00-19:00-02/07/2026-15:00</v>
      </c>
    </row>
    <row r="14" spans="1:8" ht="28.5" customHeight="1" x14ac:dyDescent="0.25">
      <c r="A14" s="48"/>
      <c r="B14" s="57" t="s">
        <v>120</v>
      </c>
    </row>
    <row r="15" spans="1:8" ht="28.5" customHeight="1" x14ac:dyDescent="0.25">
      <c r="A15" s="50"/>
      <c r="B15" s="57" t="s">
        <v>121</v>
      </c>
    </row>
    <row r="16" spans="1:8" ht="28.5" customHeight="1" x14ac:dyDescent="0.25">
      <c r="A16" s="165"/>
      <c r="B16" s="57" t="s">
        <v>366</v>
      </c>
    </row>
    <row r="17" spans="1:2" ht="14.25" customHeight="1" x14ac:dyDescent="0.25">
      <c r="A17" s="166"/>
      <c r="B17" s="57" t="s">
        <v>679</v>
      </c>
    </row>
    <row r="18" spans="1:2" ht="14.25" customHeight="1" x14ac:dyDescent="0.25">
      <c r="A18" s="51"/>
      <c r="B18" s="57" t="s">
        <v>122</v>
      </c>
    </row>
    <row r="19" spans="1:2" ht="28.5" customHeight="1" x14ac:dyDescent="0.25">
      <c r="A19" s="52"/>
      <c r="B19" s="57" t="s">
        <v>123</v>
      </c>
    </row>
    <row r="20" spans="1:2" ht="14.25" customHeight="1" x14ac:dyDescent="0.25">
      <c r="A20" s="167"/>
    </row>
    <row r="21" spans="1:2" ht="14.25" customHeight="1" x14ac:dyDescent="0.25">
      <c r="A21" s="167"/>
    </row>
  </sheetData>
  <hyperlinks>
    <hyperlink ref="A1" location="'Modelo de Dominio'!A1" display="&lt;&lt;&lt;&lt; Ir al modulo de dominio" xr:uid="{00000000-0004-0000-3D00-000000000000}"/>
    <hyperlink ref="B1" location="'Objetos de Dominio'!A1" display="&lt;&lt;&lt;&lt; Ir a objetos de dominio" xr:uid="{00000000-0004-0000-3D00-000001000000}"/>
    <hyperlink ref="B3" location="'M-Cita'!A1" display="cita" xr:uid="{00000000-0004-0000-3D00-000002000000}"/>
    <hyperlink ref="C3" location="'M-TipoMulta'!A1" display="tipo" xr:uid="{00000000-0004-0000-3D00-000003000000}"/>
    <hyperlink ref="B4" location="'M-Cita'!S6" display="#'M-Cita'.S6" xr:uid="{00000000-0004-0000-3D00-000004000000}"/>
    <hyperlink ref="C4" location="'M-TipoMulta'!A4" display="#'M-TipoMulta'.A4" xr:uid="{00000000-0004-0000-3D00-000005000000}"/>
    <hyperlink ref="D4" location="'M-Cita'!P6" display="#'M-Cita'.P6" xr:uid="{00000000-0004-0000-3D00-000006000000}"/>
    <hyperlink ref="E4" location="'M-Cita'!A6" display="#'M-Cita'.A6" xr:uid="{00000000-0004-0000-3D00-000007000000}"/>
    <hyperlink ref="B5" location="'M-Cita'!S7" display="#'M-Cita'.S7" xr:uid="{00000000-0004-0000-3D00-000008000000}"/>
    <hyperlink ref="C5" location="'M-TipoMulta'!A5" display="#'M-TipoMulta'.A5" xr:uid="{00000000-0004-0000-3D00-000009000000}"/>
    <hyperlink ref="D5" location="'M-Cita'!R7" display="#'M-Cita'!R7" xr:uid="{00000000-0004-0000-3D00-00000A000000}"/>
    <hyperlink ref="E5" location="'M-Cita'!A7" display="#'M-Cita'.A7" xr:uid="{00000000-0004-0000-3D00-00000B000000}"/>
    <hyperlink ref="B6" location="'M-Cita'!S10" display="#'M-Cita'.S10" xr:uid="{00000000-0004-0000-3D00-00000C000000}"/>
    <hyperlink ref="C6" location="'M-TipoMulta'!A5" display="#'M-TipoMulta'.A5" xr:uid="{00000000-0004-0000-3D00-00000D000000}"/>
    <hyperlink ref="D6" location="'M-Cita'!R10" display="#'M-Cita'!R10" xr:uid="{00000000-0004-0000-3D00-00000E000000}"/>
    <hyperlink ref="E6" location="'M-Cita'!A10" display="#'M-Cita'.A10" xr:uid="{00000000-0004-0000-3D00-00000F000000}"/>
    <hyperlink ref="B7" location="'M-Cita'!S11" display="#'M-Cita'.S11" xr:uid="{00000000-0004-0000-3D00-000010000000}"/>
    <hyperlink ref="C7" location="'M-TipoMulta'!A5" display="#'M-TipoMulta'.A5" xr:uid="{00000000-0004-0000-3D00-000011000000}"/>
    <hyperlink ref="D7" location="'M-Cita'!R11" display="#'M-Cita'!R11" xr:uid="{00000000-0004-0000-3D00-000012000000}"/>
    <hyperlink ref="E7" location="'M-Cita'!A11" display="#'M-Cita'.A11" xr:uid="{00000000-0004-0000-3D00-000013000000}"/>
    <hyperlink ref="B8" location="'M-Cita'!S12" display="#'M-Cita'.S12" xr:uid="{00000000-0004-0000-3D00-000014000000}"/>
    <hyperlink ref="C8" location="'M-TipoMulta'!A5" display="#'M-TipoMulta'.A5" xr:uid="{00000000-0004-0000-3D00-000015000000}"/>
    <hyperlink ref="D8" location="'M-Cita'!R12" display="#'M-Cita'!R12" xr:uid="{00000000-0004-0000-3D00-000016000000}"/>
    <hyperlink ref="E8" location="'M-Cita'!A12" display="#'M-Cita'.A12" xr:uid="{00000000-0004-0000-3D00-000017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62</vt:i4>
      </vt:variant>
    </vt:vector>
  </HeadingPairs>
  <TitlesOfParts>
    <vt:vector size="62" baseType="lpstr">
      <vt:lpstr>Modelo de Dominio</vt:lpstr>
      <vt:lpstr>Objetos de Dominio</vt:lpstr>
      <vt:lpstr>C-DiaSemana</vt:lpstr>
      <vt:lpstr>P-DiaSemana</vt:lpstr>
      <vt:lpstr>E-DiaSemana</vt:lpstr>
      <vt:lpstr>M-DiaSemana</vt:lpstr>
      <vt:lpstr>C-Estado</vt:lpstr>
      <vt:lpstr>P-Estado</vt:lpstr>
      <vt:lpstr>E-Estado</vt:lpstr>
      <vt:lpstr>M-Estado</vt:lpstr>
      <vt:lpstr>C-Servicio</vt:lpstr>
      <vt:lpstr>P-Servicio</vt:lpstr>
      <vt:lpstr>E-Servicio</vt:lpstr>
      <vt:lpstr>M-Servicio</vt:lpstr>
      <vt:lpstr>C-PrefijoCelular</vt:lpstr>
      <vt:lpstr>P-PrefijoCelular</vt:lpstr>
      <vt:lpstr>E-PrefijoCelular</vt:lpstr>
      <vt:lpstr>M-PrefijoCelular</vt:lpstr>
      <vt:lpstr>C-TipoMulta</vt:lpstr>
      <vt:lpstr>P-TipoMulta</vt:lpstr>
      <vt:lpstr>E-TipoMulta</vt:lpstr>
      <vt:lpstr>M-TipoMulta</vt:lpstr>
      <vt:lpstr>C-Barbero</vt:lpstr>
      <vt:lpstr>P-Barbero</vt:lpstr>
      <vt:lpstr>E-Barbero</vt:lpstr>
      <vt:lpstr>M-Barbero</vt:lpstr>
      <vt:lpstr>C-Cliente</vt:lpstr>
      <vt:lpstr>P-Cliente</vt:lpstr>
      <vt:lpstr>E-Cliente</vt:lpstr>
      <vt:lpstr>M-Cliente</vt:lpstr>
      <vt:lpstr>C-HorarioBarberia</vt:lpstr>
      <vt:lpstr>P-HorarioBarberia</vt:lpstr>
      <vt:lpstr>E-HorarioBarberia</vt:lpstr>
      <vt:lpstr>M-HorarioBarberia</vt:lpstr>
      <vt:lpstr>C-Bloqueo</vt:lpstr>
      <vt:lpstr>P-Bloqueo</vt:lpstr>
      <vt:lpstr>E-Bloqueo</vt:lpstr>
      <vt:lpstr>M-Bloqueo</vt:lpstr>
      <vt:lpstr>C-BarberoServicio</vt:lpstr>
      <vt:lpstr>P-BarberoServicio</vt:lpstr>
      <vt:lpstr>E-BarberoServicio</vt:lpstr>
      <vt:lpstr>M-BarberoServicio</vt:lpstr>
      <vt:lpstr>C-HorarioBarbero</vt:lpstr>
      <vt:lpstr>P-HorarioBarbero</vt:lpstr>
      <vt:lpstr>E-HorarioBarbero</vt:lpstr>
      <vt:lpstr>M-HorarioBarbero</vt:lpstr>
      <vt:lpstr>C-Agenda</vt:lpstr>
      <vt:lpstr>P-Agenda</vt:lpstr>
      <vt:lpstr>E-Agenda</vt:lpstr>
      <vt:lpstr>M-Agenda</vt:lpstr>
      <vt:lpstr>C-Cita</vt:lpstr>
      <vt:lpstr>P-Cita</vt:lpstr>
      <vt:lpstr>E-Cita</vt:lpstr>
      <vt:lpstr>M-Cita</vt:lpstr>
      <vt:lpstr>C-CitaServicio</vt:lpstr>
      <vt:lpstr>P-CitaServicio</vt:lpstr>
      <vt:lpstr>E-CitaServicio</vt:lpstr>
      <vt:lpstr>M-CitaServicio</vt:lpstr>
      <vt:lpstr>C-Multa</vt:lpstr>
      <vt:lpstr>P-Multa</vt:lpstr>
      <vt:lpstr>E-Multa</vt:lpstr>
      <vt:lpstr>M-Multa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Gomez</dc:creator>
  <dc:description/>
  <cp:lastModifiedBy>Edilio Gomez</cp:lastModifiedBy>
  <cp:revision>0</cp:revision>
  <dcterms:created xsi:type="dcterms:W3CDTF">2015-06-05T18:19:34Z</dcterms:created>
  <dcterms:modified xsi:type="dcterms:W3CDTF">2026-09-19T05:28:10Z</dcterms:modified>
  <dc:language>en-US</dc:language>
</cp:coreProperties>
</file>