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and\Desktop\DOO\DOO\Barberia\"/>
    </mc:Choice>
  </mc:AlternateContent>
  <xr:revisionPtr revIDLastSave="0" documentId="13_ncr:1_{0620D41A-B3CE-4D55-BBE2-DF92230490AA}" xr6:coauthVersionLast="47" xr6:coauthVersionMax="47" xr10:uidLastSave="{00000000-0000-0000-0000-000000000000}"/>
  <bookViews>
    <workbookView xWindow="0" yWindow="360" windowWidth="23256" windowHeight="12456" tabRatio="500" firstSheet="10" activeTab="13" xr2:uid="{00000000-000D-0000-FFFF-FFFF00000000}"/>
  </bookViews>
  <sheets>
    <sheet name="Modelo de Dominio" sheetId="1" r:id="rId1"/>
    <sheet name="Objetos de Dominio" sheetId="2" r:id="rId2"/>
    <sheet name="M-DiaSemana" sheetId="3" r:id="rId3"/>
    <sheet name="M-Estado" sheetId="4" r:id="rId4"/>
    <sheet name="M-Servicio" sheetId="5" r:id="rId5"/>
    <sheet name="M-Regla" sheetId="6" r:id="rId6"/>
    <sheet name="M-PrefijoCelular" sheetId="7" r:id="rId7"/>
    <sheet name="M-TipoMulta" sheetId="8" r:id="rId8"/>
    <sheet name="M-Barbero" sheetId="9" r:id="rId9"/>
    <sheet name="M-Cliente" sheetId="10" r:id="rId10"/>
    <sheet name="M-HorarioBarberia" sheetId="11" r:id="rId11"/>
    <sheet name="M-BarberoServicio" sheetId="12" r:id="rId12"/>
    <sheet name="M-HorarioBarbero" sheetId="13" r:id="rId13"/>
    <sheet name="M-Agenda" sheetId="14" r:id="rId14"/>
    <sheet name="M-Cita" sheetId="15" r:id="rId15"/>
    <sheet name="M-CitaServicio" sheetId="16" r:id="rId16"/>
    <sheet name="M-Multa"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8" i="10" l="1"/>
  <c r="M7" i="10"/>
  <c r="M6" i="10"/>
  <c r="M5" i="10"/>
  <c r="M4" i="10"/>
  <c r="F14" i="16"/>
  <c r="E14" i="16"/>
  <c r="D14" i="16"/>
  <c r="F13" i="16"/>
  <c r="E13" i="16"/>
  <c r="D13" i="16"/>
  <c r="F12" i="16"/>
  <c r="E12" i="16"/>
  <c r="D12" i="16"/>
  <c r="F11" i="16"/>
  <c r="E11" i="16"/>
  <c r="D11" i="16"/>
  <c r="F10" i="16"/>
  <c r="E10" i="16"/>
  <c r="D10" i="16"/>
  <c r="F9" i="16"/>
  <c r="E9" i="16"/>
  <c r="D9" i="16"/>
  <c r="F8" i="16"/>
  <c r="E8" i="16"/>
  <c r="D8" i="16"/>
  <c r="F7" i="16"/>
  <c r="E7" i="16"/>
  <c r="D7" i="16"/>
  <c r="F6" i="16"/>
  <c r="E6" i="16"/>
  <c r="D6" i="16"/>
  <c r="F5" i="16"/>
  <c r="E5" i="16"/>
  <c r="D5" i="16"/>
  <c r="F4" i="16"/>
  <c r="E4" i="16"/>
  <c r="D4" i="16"/>
  <c r="M13" i="15"/>
  <c r="L13" i="15"/>
  <c r="D13" i="15"/>
  <c r="B13" i="15"/>
  <c r="M12" i="15"/>
  <c r="L12" i="15"/>
  <c r="D12" i="15"/>
  <c r="B12" i="15"/>
  <c r="M11" i="15"/>
  <c r="L11" i="15"/>
  <c r="D11" i="15"/>
  <c r="B11" i="15"/>
  <c r="M10" i="15"/>
  <c r="L10" i="15"/>
  <c r="D10" i="15"/>
  <c r="B10" i="15"/>
  <c r="M9" i="15"/>
  <c r="L9" i="15"/>
  <c r="D9" i="15"/>
  <c r="B9" i="15"/>
  <c r="M8" i="15"/>
  <c r="L8" i="15"/>
  <c r="D8" i="15"/>
  <c r="B8" i="15"/>
  <c r="M7" i="15"/>
  <c r="L7" i="15"/>
  <c r="D7" i="15"/>
  <c r="B7" i="15"/>
  <c r="M6" i="15"/>
  <c r="L6" i="15"/>
  <c r="E6" i="15"/>
  <c r="D6" i="15"/>
  <c r="B6" i="15"/>
  <c r="M5" i="15"/>
  <c r="L5" i="15"/>
  <c r="D5" i="15"/>
  <c r="B5" i="15"/>
  <c r="M4" i="15"/>
  <c r="L4" i="15"/>
  <c r="D4" i="15"/>
  <c r="B4" i="15"/>
  <c r="C6" i="13"/>
  <c r="C12" i="12"/>
  <c r="B12" i="12"/>
  <c r="G12" i="12" s="1"/>
  <c r="C11" i="12"/>
  <c r="G11" i="12" s="1"/>
  <c r="B11" i="12"/>
  <c r="C10" i="12"/>
  <c r="B10" i="12"/>
  <c r="G10" i="12" s="1"/>
  <c r="G9" i="12"/>
  <c r="C14" i="16" s="1"/>
  <c r="C9" i="12"/>
  <c r="B9" i="12"/>
  <c r="C8" i="12"/>
  <c r="B8" i="12"/>
  <c r="G8" i="12" s="1"/>
  <c r="C7" i="12"/>
  <c r="G7" i="12" s="1"/>
  <c r="B7" i="12"/>
  <c r="C6" i="12"/>
  <c r="B6" i="12"/>
  <c r="G6" i="12" s="1"/>
  <c r="G5" i="12"/>
  <c r="C11" i="16" s="1"/>
  <c r="C5" i="12"/>
  <c r="B5" i="12"/>
  <c r="C4" i="12"/>
  <c r="B4" i="12"/>
  <c r="G4" i="12" s="1"/>
  <c r="E7" i="11"/>
  <c r="B7" i="11"/>
  <c r="B5" i="11"/>
  <c r="E5" i="11" s="1"/>
  <c r="C5" i="13" s="1"/>
  <c r="E4" i="11"/>
  <c r="C4" i="13" s="1"/>
  <c r="B4" i="11"/>
  <c r="L8" i="9"/>
  <c r="L7" i="9"/>
  <c r="L6" i="9"/>
  <c r="L5" i="9"/>
  <c r="L4" i="9"/>
  <c r="D5" i="8"/>
  <c r="C5" i="17" s="1"/>
  <c r="D4" i="8"/>
  <c r="C7" i="7"/>
  <c r="F7" i="10" s="1"/>
  <c r="L7" i="10" s="1"/>
  <c r="C6" i="7"/>
  <c r="F8" i="9" s="1"/>
  <c r="K8" i="9" s="1"/>
  <c r="C5" i="7"/>
  <c r="F7" i="9" s="1"/>
  <c r="K7" i="9" s="1"/>
  <c r="C4" i="7"/>
  <c r="F4" i="10" s="1"/>
  <c r="L4" i="10" s="1"/>
  <c r="F7" i="5"/>
  <c r="F6" i="5"/>
  <c r="F5" i="5"/>
  <c r="F4" i="5"/>
  <c r="D10" i="4"/>
  <c r="E7" i="15" s="1"/>
  <c r="D9" i="4"/>
  <c r="E8" i="15" s="1"/>
  <c r="D8" i="4"/>
  <c r="D7" i="4"/>
  <c r="D6" i="4"/>
  <c r="D5" i="4"/>
  <c r="E13" i="15" s="1"/>
  <c r="D4" i="4"/>
  <c r="E4" i="15" s="1"/>
  <c r="C11" i="3"/>
  <c r="B10" i="11" s="1"/>
  <c r="E10" i="11" s="1"/>
  <c r="C8" i="13" s="1"/>
  <c r="C10" i="3"/>
  <c r="C9" i="3"/>
  <c r="B9" i="11" s="1"/>
  <c r="E9" i="11" s="1"/>
  <c r="C7" i="13" s="1"/>
  <c r="C8" i="3"/>
  <c r="B8" i="11" s="1"/>
  <c r="E8" i="11" s="1"/>
  <c r="C7" i="3"/>
  <c r="C6" i="3"/>
  <c r="B6" i="11" s="1"/>
  <c r="E6" i="11" s="1"/>
  <c r="C5" i="3"/>
  <c r="C4" i="3"/>
  <c r="C8" i="17"/>
  <c r="C6" i="17"/>
  <c r="E4" i="17"/>
  <c r="D4" i="17"/>
  <c r="C4" i="17"/>
  <c r="C10" i="16" l="1"/>
  <c r="C4" i="16"/>
  <c r="B8" i="13"/>
  <c r="I8" i="13" s="1"/>
  <c r="B7" i="14" s="1"/>
  <c r="D7" i="14" s="1"/>
  <c r="C9" i="15" s="1"/>
  <c r="P9" i="15" s="1"/>
  <c r="B7" i="13"/>
  <c r="I7" i="13" s="1"/>
  <c r="B8" i="14" s="1"/>
  <c r="D8" i="14" s="1"/>
  <c r="C7" i="15" s="1"/>
  <c r="P7" i="15" s="1"/>
  <c r="C12" i="16"/>
  <c r="C6" i="16"/>
  <c r="C13" i="16"/>
  <c r="C9" i="16"/>
  <c r="C7" i="16"/>
  <c r="E12" i="15"/>
  <c r="C5" i="16"/>
  <c r="E11" i="15"/>
  <c r="E5" i="15"/>
  <c r="F6" i="9"/>
  <c r="K6" i="9" s="1"/>
  <c r="B6" i="13" s="1"/>
  <c r="I6" i="13" s="1"/>
  <c r="E10" i="15"/>
  <c r="F4" i="9"/>
  <c r="K4" i="9" s="1"/>
  <c r="B4" i="13" s="1"/>
  <c r="I4" i="13" s="1"/>
  <c r="C8" i="16"/>
  <c r="E9" i="15"/>
  <c r="C7" i="17"/>
  <c r="F5" i="9"/>
  <c r="K5" i="9" s="1"/>
  <c r="B5" i="13" s="1"/>
  <c r="I5" i="13" s="1"/>
  <c r="F8" i="10"/>
  <c r="L8" i="10" s="1"/>
  <c r="F5" i="10"/>
  <c r="L5" i="10" s="1"/>
  <c r="F6" i="10"/>
  <c r="L6" i="10" s="1"/>
  <c r="B11" i="14" l="1"/>
  <c r="D11" i="14" s="1"/>
  <c r="C11" i="15" s="1"/>
  <c r="P11" i="15" s="1"/>
  <c r="B5" i="14"/>
  <c r="D5" i="14" s="1"/>
  <c r="C5" i="15" s="1"/>
  <c r="P5" i="15" s="1"/>
  <c r="B5" i="17"/>
  <c r="H5" i="17" s="1"/>
  <c r="B7" i="16"/>
  <c r="G7" i="16" s="1"/>
  <c r="B9" i="16"/>
  <c r="G9" i="16" s="1"/>
  <c r="B6" i="14"/>
  <c r="D6" i="14" s="1"/>
  <c r="B12" i="14"/>
  <c r="D12" i="14" s="1"/>
  <c r="C12" i="15" s="1"/>
  <c r="P12" i="15" s="1"/>
  <c r="B9" i="14"/>
  <c r="D9" i="14" s="1"/>
  <c r="C8" i="15" s="1"/>
  <c r="P8" i="15" s="1"/>
  <c r="B10" i="14"/>
  <c r="D10" i="14" s="1"/>
  <c r="C10" i="15" s="1"/>
  <c r="P10" i="15" s="1"/>
  <c r="B4" i="14"/>
  <c r="D4" i="14" s="1"/>
  <c r="C4" i="15" s="1"/>
  <c r="P4" i="15" s="1"/>
  <c r="B8" i="16" l="1"/>
  <c r="G8" i="16" s="1"/>
  <c r="B10" i="16"/>
  <c r="G10" i="16" s="1"/>
  <c r="B6" i="17"/>
  <c r="H6" i="17" s="1"/>
  <c r="C6" i="15"/>
  <c r="P6" i="15" s="1"/>
  <c r="C13" i="15"/>
  <c r="P13" i="15" s="1"/>
  <c r="B8" i="17"/>
  <c r="H8" i="17" s="1"/>
  <c r="B12" i="16"/>
  <c r="G12" i="16" s="1"/>
  <c r="B4" i="16"/>
  <c r="B5" i="16"/>
  <c r="G5" i="16" s="1"/>
  <c r="B7" i="17"/>
  <c r="H7" i="17" s="1"/>
  <c r="B11" i="16"/>
  <c r="G11" i="16" s="1"/>
  <c r="B6" i="16" l="1"/>
  <c r="B4" i="17"/>
  <c r="H4" i="17" s="1"/>
  <c r="K10" i="15"/>
  <c r="G10" i="15" s="1"/>
  <c r="E6" i="17" s="1"/>
  <c r="B14" i="16"/>
  <c r="G14" i="16" s="1"/>
  <c r="K13" i="15"/>
  <c r="G13" i="15" s="1"/>
  <c r="B13" i="16"/>
  <c r="G13" i="16" s="1"/>
  <c r="G4" i="16"/>
  <c r="K7" i="15"/>
  <c r="G7" i="15" s="1"/>
  <c r="E5" i="17" s="1"/>
  <c r="O4" i="15"/>
  <c r="O8" i="15"/>
  <c r="K11" i="15"/>
  <c r="G11" i="15" s="1"/>
  <c r="E7" i="17" s="1"/>
  <c r="K4" i="15"/>
  <c r="G4" i="15" s="1"/>
  <c r="K8" i="15"/>
  <c r="G8" i="15" s="1"/>
  <c r="K12" i="15" l="1"/>
  <c r="G12" i="15" s="1"/>
  <c r="E8" i="17" s="1"/>
  <c r="O13" i="15"/>
  <c r="O5" i="15"/>
  <c r="K5" i="15"/>
  <c r="G5" i="15" s="1"/>
  <c r="O11" i="15"/>
  <c r="D7" i="17" s="1"/>
  <c r="K9" i="15"/>
  <c r="G9" i="15" s="1"/>
  <c r="O9" i="15"/>
  <c r="K6" i="15"/>
  <c r="G6" i="15" s="1"/>
  <c r="O6" i="15"/>
  <c r="O7" i="15"/>
  <c r="D5" i="17" s="1"/>
  <c r="G6" i="16"/>
  <c r="O12" i="15"/>
  <c r="D8" i="17" s="1"/>
  <c r="O10" i="15"/>
  <c r="D6" i="17" s="1"/>
</calcChain>
</file>

<file path=xl/sharedStrings.xml><?xml version="1.0" encoding="utf-8"?>
<sst xmlns="http://schemas.openxmlformats.org/spreadsheetml/2006/main" count="508" uniqueCount="295">
  <si>
    <t>Ir a objetos de dominio &gt;&gt;&gt;&gt;</t>
  </si>
  <si>
    <t>&lt;&lt;&lt;&lt; Ir al modulo de dominio</t>
  </si>
  <si>
    <t>Nombre</t>
  </si>
  <si>
    <t>Descripcion</t>
  </si>
  <si>
    <t>Linea de vida</t>
  </si>
  <si>
    <t>Datos</t>
  </si>
  <si>
    <t>DiaSemana</t>
  </si>
  <si>
    <t>Representa cada uno de los días de la semana, incluyendo festivo, que se usa como catálogo para definir los horarios de la barbería y de cada barbero</t>
  </si>
  <si>
    <t>Aquí</t>
  </si>
  <si>
    <t>Estado</t>
  </si>
  <si>
    <t>Representa en qué situación puntual se encuentra una cita: agendada, finalizada, cancelada por alguna de las partes, con tardanza del cliente o del barbero, o con inasistencia del cliente</t>
  </si>
  <si>
    <t>Servicio</t>
  </si>
  <si>
    <t>Representa cada tipo de corte o arreglo que ofrece la barbería, definido por el dueño, para que luego cada barbero decida cuáles sabe hacer</t>
  </si>
  <si>
    <t>Regla</t>
  </si>
  <si>
    <t>Representa las políticas de la barbería frente al incumplimiento de clientes y barberos: tolerancias de tardanza, monto de la multa fija, número máximo de multas sin pagar antes del veto, y el descuento que se da cuando el barbero se demora</t>
  </si>
  <si>
    <t>PrefijoCelular</t>
  </si>
  <si>
    <t>Representa el catálogo de prefijos telefónicos de país disponibles para el número de celular de barberos y clientes</t>
  </si>
  <si>
    <t>TipoMulta</t>
  </si>
  <si>
    <t>Representa los tipos de multa que puede recibir un cliente: por tardanza o por inasistencia</t>
  </si>
  <si>
    <t>Barbero</t>
  </si>
  <si>
    <t>Representa a un trabajador de la barbería que atiende clientes según los servicios que sabe realizar, organiza su propio horario y tiene su agenda personal</t>
  </si>
  <si>
    <t>Cliente</t>
  </si>
  <si>
    <t>Representa a la persona que solicita citas en la barbería con un barbero, ya sea por WhatsApp o desde la aplicación. Guarda su historial de multas sin pagar para saber si está o no vetado</t>
  </si>
  <si>
    <t>HorarioBarberia</t>
  </si>
  <si>
    <t>Representa, día por día, a qué hora abre y cierra el negocio; es el límite dentro del cual debe caber el horario de cualquier barbero</t>
  </si>
  <si>
    <t>BarberoServicio</t>
  </si>
  <si>
    <t>Representa qué servicios sabe hacer cada barbero, cuánto se demora en realizarlos y cuánto tiempo extra usa de colchón, ya que no todos los barberos ofrecen los mismos servicios</t>
  </si>
  <si>
    <t>HorarioBarbero</t>
  </si>
  <si>
    <t>Representa el día de la semana en que trabaja un barbero, junto con la hora en la que empieza y termina su jornada</t>
  </si>
  <si>
    <t>Agenda</t>
  </si>
  <si>
    <t>Representa un día puntual del calendario en el que un barbero, según su horario de trabajo, va a recibir citas. Es donde se agrupan todas las citas de ese barbero para ese día</t>
  </si>
  <si>
    <t>Cita</t>
  </si>
  <si>
    <t>Representa la reserva de un cliente con un barbero para un día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</si>
  <si>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</si>
  <si>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</si>
  <si>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</si>
  <si>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</si>
  <si>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&lt;&lt;&lt;&lt; Ir a objetos de dominio</t>
  </si>
  <si>
    <t>Representa un identificador que hará unico cada objeto de dominio de este tipo, no se puede repetir</t>
  </si>
  <si>
    <t>Representa como se llama el dia de la semana, para los horarios</t>
  </si>
  <si>
    <t>Combinacion única que indica que no puede existir más un dia de la semana con el mismo nombre</t>
  </si>
  <si>
    <t>id</t>
  </si>
  <si>
    <t>nombre</t>
  </si>
  <si>
    <t xml:space="preserve">Combinación única </t>
  </si>
  <si>
    <t>Lunes</t>
  </si>
  <si>
    <t>Martes</t>
  </si>
  <si>
    <t>Miércoles</t>
  </si>
  <si>
    <t>Jueves</t>
  </si>
  <si>
    <t>Viernes</t>
  </si>
  <si>
    <t>Sábado</t>
  </si>
  <si>
    <t>Domingo</t>
  </si>
  <si>
    <t>Festivo</t>
  </si>
  <si>
    <t>Corresponde a la descripcion de los atributos</t>
  </si>
  <si>
    <t>Corresponde al identificador unico del objeto de dominio</t>
  </si>
  <si>
    <t>Corresponde a los datos de tipo alfanumerico</t>
  </si>
  <si>
    <t>Corresponde a la combinacion única</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</si>
  <si>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</si>
  <si>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</si>
  <si>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</si>
  <si>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</si>
  <si>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</si>
  <si>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</si>
  <si>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</si>
  <si>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</si>
  <si>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</si>
  <si>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</si>
  <si>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</si>
  <si>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</si>
  <si>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la toleranciaTardanzaCliente definida en Regla, lo que genera una multa.</t>
  </si>
  <si>
    <t>El barbero se demoro</t>
  </si>
  <si>
    <t>El barbero se demoró más de lo previsto en una cita anterior y no pudo atender al cliente a la hora acordada, dándole un descuento en compensación según Regla.</t>
  </si>
  <si>
    <t>Inasistencia</t>
  </si>
  <si>
    <t>El cliente nunca llegó a la cita: se alcanzó la hora estimada de finalización sin registrar su llegada, lo que genera una multa por el valor total de los servicios pedidos.</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</si>
  <si>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</si>
  <si>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</si>
  <si>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</si>
  <si>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</si>
  <si>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t>
  </si>
  <si>
    <t>precio</t>
  </si>
  <si>
    <t>disponible</t>
  </si>
  <si>
    <t xml:space="preserve">Combinacion única </t>
  </si>
  <si>
    <t>Motilada</t>
  </si>
  <si>
    <t>Corte de cabello completo con máquina y tijera, incluye lavado y secado</t>
  </si>
  <si>
    <t>si</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</si>
  <si>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</si>
  <si>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</si>
  <si>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</si>
  <si>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</si>
  <si>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</si>
  <si>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</si>
  <si>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Corresponde a los datos de referencia de otros objetos de dominio</t>
  </si>
  <si>
    <t>Corresponde a los datos de tipo entero</t>
  </si>
  <si>
    <t>Corresponde a los datos de tipo logico</t>
  </si>
  <si>
    <t>Representa la cantidad de minutos maxima que un cliente puede llegar tarde</t>
  </si>
  <si>
    <t>Representa la cantidad de dinero que el cliente debe de pagar en pesos colombianos, por superar la toleranciaTardanza</t>
  </si>
  <si>
    <t>Representa la maxima de multas que pueda tener un cliente sin pagar, a partir de esta cantidad se le hace un veto al cliente</t>
  </si>
  <si>
    <t>Representa la cantidad de minutos que un barbero puede demorarse en atender a un cliente, en caso de que el barbero se demore mas de lo previsto en su cita anterior</t>
  </si>
  <si>
    <t>Representa la cantidad cuanto descuento va a tener un cliente en la cita con el barbero, como recompesa por esperar al barbero mas de la tolerancia permitida</t>
  </si>
  <si>
    <t>toleranciaTardanzaCliente</t>
  </si>
  <si>
    <t>montoMultaTardanzaCliente</t>
  </si>
  <si>
    <t>numeroMultasMaxima</t>
  </si>
  <si>
    <t>toleranciaTardanzaBarbero</t>
  </si>
  <si>
    <t>porcentajeDescuentoCita</t>
  </si>
  <si>
    <t>Representa el primer nombre del barbero que trabaja en barbería</t>
  </si>
  <si>
    <t>Combinacion única que indica que no puede existir más un mismo prefijo</t>
  </si>
  <si>
    <t>prefijo</t>
  </si>
  <si>
    <t>+57</t>
  </si>
  <si>
    <t>+91</t>
  </si>
  <si>
    <t>+593</t>
  </si>
  <si>
    <t>+58</t>
  </si>
  <si>
    <t>Representa el nombre del tipo de multa</t>
  </si>
  <si>
    <t>Representa que hace cada tipo de multa</t>
  </si>
  <si>
    <t xml:space="preserve">Combinación única indica que no puede existir más de un tipo de multa con el mismo nombre </t>
  </si>
  <si>
    <t>Combinación única</t>
  </si>
  <si>
    <t>Tardanza</t>
  </si>
  <si>
    <t>El cliente llegó a la cita después de la hora acordada, superando los minutos de toleranciaTardanzaCliente definidos en Regla.</t>
  </si>
  <si>
    <t>El cliente no se presentó a la cita agendada: se llegó a la hora estimada de finalización sin que hubiera registrado su llegada.</t>
  </si>
  <si>
    <t>Corresponde a los datos de tipo texto</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</si>
  <si>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</si>
  <si>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</si>
  <si>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</si>
  <si>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</si>
  <si>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</si>
  <si>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el correo electronico del barbero, con el que se va a registrar o iniciar seción</t>
  </si>
  <si>
    <t>Representa la contraseña encriptada del barbero</t>
  </si>
  <si>
    <t>Representa si el barbero sigue o no trabajando. Es un dato calculado, si el barbero tiene en su agenda un horario de trabajo si es vigente y si no tiene horario de trabajo dice no es vigente</t>
  </si>
  <si>
    <t>Combinacion única que indica que no puede existir más de un barbero con el mismo prefijo de celular y número de celular</t>
  </si>
  <si>
    <t>Combinacion única que indica que no puede existir más de un barbero con el correro electronico</t>
  </si>
  <si>
    <t>primerNombre</t>
  </si>
  <si>
    <t>segundoNombre</t>
  </si>
  <si>
    <t>primerApellido</t>
  </si>
  <si>
    <t>segundoApellido</t>
  </si>
  <si>
    <t>celular</t>
  </si>
  <si>
    <t>correo</t>
  </si>
  <si>
    <t>contraseña</t>
  </si>
  <si>
    <t>vigente</t>
  </si>
  <si>
    <t>Combinación única  1</t>
  </si>
  <si>
    <t>Combinación única  2</t>
  </si>
  <si>
    <t>Juan</t>
  </si>
  <si>
    <t>Fernando</t>
  </si>
  <si>
    <t>García</t>
  </si>
  <si>
    <t>Lopez</t>
  </si>
  <si>
    <t>juanfer234535@gmail.com</t>
  </si>
  <si>
    <t>$2b$12$Ce2ZsSJaOpx4iq5W.LNrCuvonh1fxNgpYYqBddeR50IjtYsh9n97C</t>
  </si>
  <si>
    <t>David</t>
  </si>
  <si>
    <t>Ortiz</t>
  </si>
  <si>
    <t>Sanchez</t>
  </si>
  <si>
    <t>juandaviddd2525@gmail.com</t>
  </si>
  <si>
    <t>$2b$12$4dn1n10vtv3SpDX5ryR2FOluaaros/pqDXz8liKcEp/7JG7TBvqAK</t>
  </si>
  <si>
    <t>Carlos</t>
  </si>
  <si>
    <t>Arbeladez</t>
  </si>
  <si>
    <t>carlosbeladez@gmail.com</t>
  </si>
  <si>
    <t>$2b$12$htWWNCh.2QPjVycBmNb5ROHBO21L9p7hlWyFtctUtP4SbV3yBNqei</t>
  </si>
  <si>
    <t>Andres</t>
  </si>
  <si>
    <t>Ramirez</t>
  </si>
  <si>
    <t>Patiño</t>
  </si>
  <si>
    <t>andresramirezpatino123@gmail.com</t>
  </si>
  <si>
    <t>$2b$12$IzNJVnlQl1UX5Py84yi5jOE1yuEdUrA.0Okt.BidVKs8biBdotH7W</t>
  </si>
  <si>
    <t>no</t>
  </si>
  <si>
    <t>Zambrano</t>
  </si>
  <si>
    <t>Perez</t>
  </si>
  <si>
    <t>juancarloszambrano4394@gmail.com</t>
  </si>
  <si>
    <t>$2b$12$mlxS0WUooP1stXSQdVR8EeBoYrgBrP5czZRqSvIgvelxUIGcwFgh.</t>
  </si>
  <si>
    <t>Corresponde a referencias de objetos de dominio</t>
  </si>
  <si>
    <t>Corresponde a los datos calculados por el sistema</t>
  </si>
  <si>
    <t>Corresponde a la combinacion única 1</t>
  </si>
  <si>
    <t>Corresponde a la combinacion única 2</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</si>
  <si>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</si>
  <si>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</si>
  <si>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</si>
  <si>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</si>
  <si>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</si>
  <si>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</si>
  <si>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el correo electronico del cliente, con el que se va a registrar o iniciar sesión en la aplicación para pedir sus citas</t>
  </si>
  <si>
    <t>Representa la contraseña encriptada del cliente</t>
  </si>
  <si>
    <t>Representa la cantidad de multas que tiene sin pagar en las citas que ha tenido, ya sea multa por tardanza o por no llegar</t>
  </si>
  <si>
    <t>Representa si el cliente esta en estado de veto o no, cuando el cliente esta vetado el sistema no va a permitir agendar citas con este cliente con ningun barbero</t>
  </si>
  <si>
    <t>Combinacion única que indica que no puede existir más de un cliente con el mismo prefijo de celular y número de celular</t>
  </si>
  <si>
    <t>Combinacion única que indica que no puede existir más de un cliente con el mismo correo electronico</t>
  </si>
  <si>
    <t>prefijoCelular</t>
  </si>
  <si>
    <t>multasSinPagar</t>
  </si>
  <si>
    <t>estaVetado</t>
  </si>
  <si>
    <t>Gómez</t>
  </si>
  <si>
    <t>juangomez.cliente99@gmail.com</t>
  </si>
  <si>
    <t>$2b$12$Qp1m8x9dGZ4L7Nk2VwErSuTfHjY6bXcA0oPdRlMnQsWzTuVxYz12a</t>
  </si>
  <si>
    <t>Jose</t>
  </si>
  <si>
    <t>Miguel</t>
  </si>
  <si>
    <t>josemiguelramirez22@gmail.com</t>
  </si>
  <si>
    <t>$2b$12$Kd7f2h9sJmQwXpL4RtYcNe0BvOaGjHkLmZsUvWxYqTdRpNoMkLj34b</t>
  </si>
  <si>
    <t>Simon</t>
  </si>
  <si>
    <t>Ochoa</t>
  </si>
  <si>
    <t>simonochoa14@hotmail.com</t>
  </si>
  <si>
    <t>$2b$12$Nx8v3g1sTmWzYpQ7RkLcAe6BjHfDoGqUvXsMwRtYzNpLdKoJmIh56c</t>
  </si>
  <si>
    <t>Alexis</t>
  </si>
  <si>
    <t>Gallego</t>
  </si>
  <si>
    <t>alexisgallego88@gmail.com</t>
  </si>
  <si>
    <t>$2b$12$Fj4h8m2wPzXvQlKt5RyNeCa9BdGoHrUiSxMwLpTzNqRdKoJvIh78d</t>
  </si>
  <si>
    <t>Kevin</t>
  </si>
  <si>
    <t>Andrés</t>
  </si>
  <si>
    <t>Muñoz</t>
  </si>
  <si>
    <t>Salazar</t>
  </si>
  <si>
    <t>kevinmunozsalazar05@gmail.com</t>
  </si>
  <si>
    <t>$2b$12$Rm9v6h3wSzXbQoKt2RyMeFa1BdCoHnUjLxPwEpTzYqNrKsJvGh90e</t>
  </si>
  <si>
    <t>Representa el día de la semana en el que la barberia abre</t>
  </si>
  <si>
    <t>Representa la hora a la que abre la barbería</t>
  </si>
  <si>
    <t>Representa la hora a la que cierra la barbería</t>
  </si>
  <si>
    <t>Combinacion única que indica que no puede existir más de un horario con la misma barberia, dia de la semana, hora de apertura y cierre</t>
  </si>
  <si>
    <t>diaDeLaSemana</t>
  </si>
  <si>
    <t>horaApertura</t>
  </si>
  <si>
    <t>horaCierre</t>
  </si>
  <si>
    <t>Corresponde a los datos de tipo hora</t>
  </si>
  <si>
    <t>Representa el nombre y apellidos del barbero</t>
  </si>
  <si>
    <t xml:space="preserve">Representa el nombre del servicio de la barberia </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</si>
  <si>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</si>
  <si>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</si>
  <si>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</si>
  <si>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barbero</t>
  </si>
  <si>
    <t>servicio</t>
  </si>
  <si>
    <t>duracionServicio</t>
  </si>
  <si>
    <t>tiempoExtra</t>
  </si>
  <si>
    <t>Representa la fecha en el que el barbero creo esta agenda. Es un dato calculado que toma la fecha de hoy cuando el barbero crea la agenda</t>
  </si>
  <si>
    <t>Representa la fecha en el que el barbero decidio que ya no va a trabaja más en este horario. Es un dato calculo que toma la fecha de hoy cuando el barbero dice que ya no es vigente</t>
  </si>
  <si>
    <t>Representa si este horario lo sigue o no usando el barbero. Una vez que el barbero cambie este estado a no vigente, no se puede volver a cambiar</t>
  </si>
  <si>
    <t>horarioDeLaBarberia</t>
  </si>
  <si>
    <t>horaInicio</t>
  </si>
  <si>
    <t>horaFinal</t>
  </si>
  <si>
    <t>fechaCreacion</t>
  </si>
  <si>
    <t>fechaDesactivacion</t>
  </si>
  <si>
    <t>1/01/1000</t>
  </si>
  <si>
    <t>Corresponde a los datos calculados</t>
  </si>
  <si>
    <t>Corresponde a los datos tipo logico</t>
  </si>
  <si>
    <t>Hace referencia al horario de trabajo del barbero (día de la semana, hora de inicio y hora final) al que pertenece esta agenda</t>
  </si>
  <si>
    <t>Representa el día específico del calendario en el que esta agenda va a guardar las citas de ese barbero. Su valor por defecto es 01/01/1000 y no está permitido</t>
  </si>
  <si>
    <t>Combinación única que indica que un mismo horario de barbero no puede tener más de una agenda para el mismo día</t>
  </si>
  <si>
    <t>horarioDelBarbero</t>
  </si>
  <si>
    <t>fecha</t>
  </si>
  <si>
    <t>Corresponde a los datos de tipo fecha</t>
  </si>
  <si>
    <t>Representa a cuál cliente le pertenece esta cita</t>
  </si>
  <si>
    <t>Referencia en cual agenda va a estar esta cita</t>
  </si>
  <si>
    <t>Hace referencia a la Regla vigente de la barbería en el momento de agendar; de ahí salen las tolerancias, el monto de multa fija y el porcentaje de descuento que aplican a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</si>
  <si>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</si>
  <si>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</si>
  <si>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</si>
  <si>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la hora real en la que el cliente llegó a la barbería para esta cita. Su valor por defecto es 00:00 y es permitido: significa que el cliente aún no ha llegado</t>
  </si>
  <si>
    <t>Representa la hora real en la que el barbero empezó a atender al cliente. Su valor por defecto es 00:00 y es permitido: significa que la atención aún no ha comenzado</t>
  </si>
  <si>
    <t>Representa la hora real en la que el barbero terminó de atender al cliente. Su valor por defecto es 00:00 y es permitido: significa que la atención aún no ha terminado</t>
  </si>
  <si>
    <t>Representa la cantidad total de minutos que va a durar la cita, sumando la duración de cada servicio pedido más el tiempo extra de cada uno. Es un dato calculado</t>
  </si>
  <si>
    <t>Representa cuántos minutos después de horaInicio llegó el cliente. Si llegó a tiempo o aún no ha llegado su valor es 0. Es un dato calculado</t>
  </si>
  <si>
    <t>Representa cuántos minutos después de la llegada del cliente empezó el barbero a atenderlo. Si no hubo demora su valor es 0. Es un dato calculado</t>
  </si>
  <si>
    <t>Representa el porcentaje de descuento aplicado al cliente en esta cita, cuando minutosDemoraBarbero supera la toleranciaTardanzaBarbero de Regla. Su valor por defecto es 0 y es permitido. Es un dato auto generado: copia de Regla.porcentajeDescuentoCita</t>
  </si>
  <si>
    <t>Representa cuánto debe pagar el cliente por los servicios de esta cita: la suma de los precios de sus CitaServicio, menos el descuento si aplicó. Es un dato calculado</t>
  </si>
  <si>
    <t>Combinación única que indica que una misma agenda no puede tener dos citas que empiecen a la misma hora</t>
  </si>
  <si>
    <t>cliente</t>
  </si>
  <si>
    <t>agenda</t>
  </si>
  <si>
    <t>regla</t>
  </si>
  <si>
    <t>estado</t>
  </si>
  <si>
    <t>horaFinEstimada</t>
  </si>
  <si>
    <t>horaLlegadaCliente</t>
  </si>
  <si>
    <t>horaInicioAtencion</t>
  </si>
  <si>
    <t>horaFinAtencion</t>
  </si>
  <si>
    <t>duracion</t>
  </si>
  <si>
    <t>minutosTardanzaCliente</t>
  </si>
  <si>
    <t>minutosDemoraBarbero</t>
  </si>
  <si>
    <t>porcentajeDescuentoAplicado</t>
  </si>
  <si>
    <t>precioFinal</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</si>
  <si>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</si>
  <si>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</si>
  <si>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</si>
  <si>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</si>
  <si>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</si>
  <si>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</si>
  <si>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</si>
  <si>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</si>
  <si>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</si>
  <si>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</si>
  <si>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</si>
  <si>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monto fijo de Regla.montoMultaTardanzaCliente; si el tipo es Inasistencia copia el precioFinal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</si>
  <si>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</si>
  <si>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</si>
  <si>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llega al número de multas sin pagar que activa el veto</t>
  </si>
  <si>
    <t>Combinación única que indica que una misma cita no puede generar más de una multa</t>
  </si>
  <si>
    <t>tipo</t>
  </si>
  <si>
    <t>monto</t>
  </si>
  <si>
    <t>horaGeneracion</t>
  </si>
  <si>
    <t>fechaHoraPago</t>
  </si>
  <si>
    <t>pagada</t>
  </si>
  <si>
    <t>1/01/1000 00:00</t>
  </si>
  <si>
    <t>Corresponde a los datos tipo entero</t>
  </si>
  <si>
    <t>Representa la cantidad de minutos que un barbero tarda en realizar un servicio, esta duración el barbero debe de ser consiente de cuanto se demora en realizarlo</t>
  </si>
  <si>
    <t>Referencia a que barbero va a ser dueño de este horario, que es su horario de trabajo</t>
  </si>
  <si>
    <t>Representa el horario en que debe de estar dentro este horario de barbero, este indica cuando y aque horas estara abierta la barberia</t>
  </si>
  <si>
    <t>Representa la hora en la que el barbero empieza a estar disponible ese dia</t>
  </si>
  <si>
    <t xml:space="preserve">Representa la hora en la que el barbero deja de estar disponible ese día, junto con horaInicio, es lo que la aplicación usa para saber si hay campo para agendar una cita nueva. </t>
  </si>
  <si>
    <t>Combinación única que indica que un mismo barbero no puede tener dos horarios exactamente con el mismo día, hora de inicio y hora final. Un barbero sí puede tener varios horarios a lo largo del tiempo (por ejemplo cuando cambia de horario y el anterior queda no vigente)</t>
  </si>
  <si>
    <t>Corresponde a los datos de tipos fecha 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</si>
</sst>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h:mm\ AM/PM"/>
    <numFmt numFmtId="165" formatCode="&quot;$ &quot;#,##0"/>
    <numFmt numFmtId="166" formatCode="m/d/yyyy"/>
    <numFmt numFmtId="167" formatCode="dd/mm/yyyy"/>
    <numFmt numFmtId="168" formatCode="hh:mm"/>
    <numFmt numFmtId="169" formatCode="dd/mm/yyyy\ hh:mm"/>
  </numFmts>
  <fonts count="15" x14ac:knownFonts="1">
    <font>
      <sz val="11"/>
      <color theme="1"/>
      <name val="Calibri"/>
      <family val="2"/>
      <charset val="1"/>
    </font>
    <font>
      <u/>
      <sz val="11"/>
      <color rgb="FF0563C1"/>
      <name val="Calibri"/>
      <family val="2"/>
    </font>
    <font>
      <b/>
      <sz val="11"/>
      <color theme="1"/>
      <name val="Calibri"/>
      <family val="2"/>
      <charset val="1"/>
    </font>
    <font>
      <u/>
      <sz val="11"/>
      <color rgb="FF0563C1"/>
      <name val="Calibri"/>
      <family val="2"/>
      <charset val="1"/>
    </font>
    <font>
      <u/>
      <sz val="11"/>
      <color theme="10"/>
      <name val="Calibri"/>
      <family val="2"/>
      <charset val="1"/>
    </font>
    <font>
      <sz val="7"/>
      <name val="Calibri"/>
      <family val="2"/>
      <charset val="1"/>
    </font>
    <font>
      <sz val="7"/>
      <color rgb="FF000000"/>
      <name val="Calibri"/>
      <family val="2"/>
      <charset val="1"/>
    </font>
    <font>
      <b/>
      <sz val="11"/>
      <color rgb="FF000000"/>
      <name val="Calibri"/>
      <family val="2"/>
      <charset val="1"/>
    </font>
    <font>
      <sz val="7"/>
      <color theme="1"/>
      <name val="Calibri"/>
      <family val="2"/>
      <charset val="1"/>
    </font>
    <font>
      <b/>
      <sz val="11"/>
      <name val="Calibri"/>
      <family val="2"/>
      <charset val="1"/>
    </font>
    <font>
      <sz val="11"/>
      <name val="Calibri"/>
      <family val="2"/>
      <charset val="1"/>
    </font>
    <font>
      <b/>
      <u/>
      <sz val="11"/>
      <color theme="10"/>
      <name val="Calibri"/>
      <family val="2"/>
      <charset val="1"/>
    </font>
    <font>
      <b/>
      <u/>
      <sz val="11"/>
      <color rgb="FF467886"/>
      <name val="Calibri"/>
      <family val="2"/>
      <charset val="1"/>
    </font>
    <font>
      <b/>
      <u/>
      <sz val="11"/>
      <color theme="10"/>
      <name val="Calibri"/>
      <family val="2"/>
    </font>
    <font>
      <sz val="11"/>
      <name val="Calibri"/>
      <family val="2"/>
    </font>
  </fonts>
  <fills count="25">
    <fill>
      <patternFill patternType="none"/>
    </fill>
    <fill>
      <patternFill patternType="gray125"/>
    </fill>
    <fill>
      <patternFill patternType="solid">
        <fgColor theme="0"/>
        <bgColor rgb="FFCCFFFF"/>
      </patternFill>
    </fill>
    <fill>
      <patternFill patternType="solid">
        <fgColor rgb="FFD9D9D9"/>
        <bgColor rgb="FFD0D0D0"/>
      </patternFill>
    </fill>
    <fill>
      <patternFill patternType="solid">
        <fgColor rgb="FF70AD47"/>
        <bgColor rgb="FF4EA72E"/>
      </patternFill>
    </fill>
    <fill>
      <patternFill patternType="solid">
        <fgColor rgb="FF2F75B5"/>
        <bgColor rgb="FF2E75B6"/>
      </patternFill>
    </fill>
    <fill>
      <patternFill patternType="solid">
        <fgColor rgb="FFFFD966"/>
        <bgColor rgb="FFFFE699"/>
      </patternFill>
    </fill>
    <fill>
      <patternFill patternType="solid">
        <fgColor rgb="FFD0CECE"/>
        <bgColor rgb="FFD0D0D0"/>
      </patternFill>
    </fill>
    <fill>
      <patternFill patternType="solid">
        <fgColor theme="4" tint="-0.249977111117893"/>
        <bgColor rgb="FF2F75B5"/>
      </patternFill>
    </fill>
    <fill>
      <patternFill patternType="solid">
        <fgColor rgb="FF7030A0"/>
        <bgColor rgb="FF993366"/>
      </patternFill>
    </fill>
    <fill>
      <patternFill patternType="solid">
        <fgColor rgb="FF00B0F0"/>
        <bgColor rgb="FF33CCCC"/>
      </patternFill>
    </fill>
    <fill>
      <patternFill patternType="solid">
        <fgColor theme="7" tint="0.59959715567491678"/>
        <bgColor rgb="FFFFD966"/>
      </patternFill>
    </fill>
    <fill>
      <patternFill patternType="solid">
        <fgColor theme="5" tint="0.59959715567491678"/>
        <bgColor rgb="FFF7C7AC"/>
      </patternFill>
    </fill>
    <fill>
      <patternFill patternType="solid">
        <fgColor theme="4" tint="0.39988402966399123"/>
        <bgColor rgb="FFADB9CA"/>
      </patternFill>
    </fill>
    <fill>
      <patternFill patternType="solid">
        <fgColor rgb="FFF1ABE9"/>
        <bgColor rgb="FFCC99FF"/>
      </patternFill>
    </fill>
    <fill>
      <patternFill patternType="solid">
        <fgColor theme="0" tint="-0.499984740745262"/>
        <bgColor rgb="FF467886"/>
      </patternFill>
    </fill>
    <fill>
      <patternFill patternType="solid">
        <fgColor rgb="FFFFFF00"/>
        <bgColor rgb="FFFFFF00"/>
      </patternFill>
    </fill>
    <fill>
      <patternFill patternType="solid">
        <fgColor rgb="FFD0D0D0"/>
        <bgColor rgb="FFD0CECE"/>
      </patternFill>
    </fill>
    <fill>
      <patternFill patternType="solid">
        <fgColor rgb="FF4EA72E"/>
        <bgColor rgb="FF70AD47"/>
      </patternFill>
    </fill>
    <fill>
      <patternFill patternType="solid">
        <fgColor theme="5" tint="-0.249977111117893"/>
        <bgColor rgb="FF993300"/>
      </patternFill>
    </fill>
    <fill>
      <patternFill patternType="solid">
        <fgColor rgb="FFF7C7AC"/>
        <bgColor rgb="FFF8CBAD"/>
      </patternFill>
    </fill>
    <fill>
      <patternFill patternType="solid">
        <fgColor theme="0" tint="-0.499984740745262"/>
        <bgColor rgb="FFFFE699"/>
      </patternFill>
    </fill>
    <fill>
      <patternFill patternType="solid">
        <fgColor theme="6" tint="0.59999389629810485"/>
        <bgColor indexed="64"/>
      </patternFill>
    </fill>
    <fill>
      <patternFill patternType="solid">
        <fgColor rgb="FFFFFF00"/>
        <bgColor rgb="FF993366"/>
      </patternFill>
    </fill>
    <fill>
      <patternFill patternType="solid">
        <fgColor theme="5" tint="-0.249977111117893"/>
        <bgColor rgb="FF993366"/>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19">
    <xf numFmtId="0" fontId="0" fillId="0" borderId="0" xfId="0"/>
    <xf numFmtId="0" fontId="1" fillId="0" borderId="0" xfId="0" applyFont="1"/>
    <xf numFmtId="0" fontId="0" fillId="2" borderId="0" xfId="0" applyFill="1"/>
    <xf numFmtId="0" fontId="2" fillId="0" borderId="1" xfId="0" applyFont="1" applyBorder="1" applyAlignment="1">
      <alignment vertical="center"/>
    </xf>
    <xf numFmtId="0" fontId="0" fillId="0" borderId="1" xfId="0" applyBorder="1" applyAlignment="1">
      <alignment vertical="center"/>
    </xf>
    <xf numFmtId="0" fontId="3" fillId="0" borderId="1" xfId="0" applyFont="1" applyBorder="1" applyAlignment="1">
      <alignment vertical="center"/>
    </xf>
    <xf numFmtId="0" fontId="0" fillId="0" borderId="1" xfId="0" applyBorder="1"/>
    <xf numFmtId="0" fontId="3" fillId="0" borderId="1" xfId="0" applyFont="1" applyBorder="1"/>
    <xf numFmtId="0" fontId="4" fillId="0" borderId="1" xfId="0" applyFont="1" applyBorder="1"/>
    <xf numFmtId="0" fontId="5" fillId="3" borderId="1" xfId="0" applyFont="1" applyFill="1" applyBorder="1" applyAlignment="1">
      <alignment horizontal="center" wrapText="1"/>
    </xf>
    <xf numFmtId="0" fontId="6" fillId="3" borderId="1" xfId="0" applyFont="1" applyFill="1" applyBorder="1" applyAlignment="1">
      <alignment horizontal="center" wrapText="1"/>
    </xf>
    <xf numFmtId="0" fontId="7" fillId="4" borderId="1" xfId="0" applyFont="1" applyFill="1" applyBorder="1" applyAlignment="1">
      <alignment horizontal="center"/>
    </xf>
    <xf numFmtId="0" fontId="7" fillId="5" borderId="1" xfId="0" applyFont="1" applyFill="1" applyBorder="1" applyAlignment="1">
      <alignment horizontal="center"/>
    </xf>
    <xf numFmtId="0" fontId="7" fillId="6"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7" borderId="0" xfId="0" applyFill="1"/>
    <xf numFmtId="0" fontId="0" fillId="0" borderId="0" xfId="0" applyAlignment="1">
      <alignment wrapText="1"/>
    </xf>
    <xf numFmtId="0" fontId="0" fillId="4" borderId="0" xfId="0" applyFill="1"/>
    <xf numFmtId="0" fontId="0" fillId="5" borderId="0" xfId="0" applyFill="1"/>
    <xf numFmtId="0" fontId="0" fillId="6" borderId="0" xfId="0" applyFill="1"/>
    <xf numFmtId="0" fontId="3"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4" fillId="0" borderId="0" xfId="0" applyFont="1" applyAlignment="1">
      <alignment horizontal="center" vertical="top"/>
    </xf>
    <xf numFmtId="0" fontId="0" fillId="0" borderId="0" xfId="0" applyAlignment="1">
      <alignment horizontal="center" vertical="top"/>
    </xf>
    <xf numFmtId="0" fontId="5" fillId="7" borderId="1" xfId="0" applyFont="1" applyFill="1" applyBorder="1" applyAlignment="1">
      <alignment horizontal="center" wrapText="1"/>
    </xf>
    <xf numFmtId="0" fontId="8" fillId="7" borderId="1" xfId="0" applyFont="1" applyFill="1" applyBorder="1" applyAlignment="1">
      <alignment horizontal="center" wrapText="1"/>
    </xf>
    <xf numFmtId="0" fontId="9" fillId="4" borderId="1" xfId="0" applyFont="1" applyFill="1" applyBorder="1" applyAlignment="1">
      <alignment horizontal="center" vertical="top"/>
    </xf>
    <xf numFmtId="0" fontId="9" fillId="8" borderId="1" xfId="0" applyFont="1" applyFill="1" applyBorder="1" applyAlignment="1">
      <alignment horizontal="center" vertical="top"/>
    </xf>
    <xf numFmtId="0" fontId="9" fillId="9" borderId="1" xfId="0" applyFont="1" applyFill="1" applyBorder="1" applyAlignment="1">
      <alignment horizontal="center" vertical="top"/>
    </xf>
    <xf numFmtId="0" fontId="9" fillId="10" borderId="1" xfId="0" applyFont="1" applyFill="1" applyBorder="1" applyAlignment="1">
      <alignment horizontal="center" vertical="top"/>
    </xf>
    <xf numFmtId="0" fontId="2" fillId="11"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top" wrapText="1"/>
    </xf>
    <xf numFmtId="165" fontId="0" fillId="0" borderId="1" xfId="0" applyNumberFormat="1" applyBorder="1" applyAlignment="1">
      <alignment horizontal="center" vertical="top"/>
    </xf>
    <xf numFmtId="0" fontId="0" fillId="12" borderId="0" xfId="0" applyFill="1"/>
    <xf numFmtId="0" fontId="0" fillId="8" borderId="0" xfId="0" applyFill="1"/>
    <xf numFmtId="0" fontId="0" fillId="9" borderId="0" xfId="0" applyFill="1"/>
    <xf numFmtId="0" fontId="0" fillId="10" borderId="0" xfId="0" applyFill="1"/>
    <xf numFmtId="0" fontId="0" fillId="11" borderId="0" xfId="0" applyFill="1"/>
    <xf numFmtId="0" fontId="2" fillId="4" borderId="1" xfId="0" applyFont="1" applyFill="1" applyBorder="1" applyAlignment="1">
      <alignment horizontal="center"/>
    </xf>
    <xf numFmtId="0" fontId="2" fillId="9" borderId="1" xfId="0" applyFont="1" applyFill="1" applyBorder="1" applyAlignment="1">
      <alignment horizontal="center"/>
    </xf>
    <xf numFmtId="0" fontId="2" fillId="0" borderId="0" xfId="0" applyFont="1" applyAlignment="1">
      <alignment horizontal="center"/>
    </xf>
    <xf numFmtId="165" fontId="0" fillId="0" borderId="1" xfId="0" applyNumberFormat="1" applyBorder="1" applyAlignment="1">
      <alignment horizontal="center"/>
    </xf>
    <xf numFmtId="0" fontId="10" fillId="9" borderId="0" xfId="0" applyFont="1" applyFill="1"/>
    <xf numFmtId="0" fontId="4" fillId="0" borderId="0" xfId="0" applyFont="1"/>
    <xf numFmtId="0" fontId="7" fillId="13" borderId="1" xfId="0" applyFont="1" applyFill="1" applyBorder="1" applyAlignment="1">
      <alignment horizontal="center"/>
    </xf>
    <xf numFmtId="0" fontId="7" fillId="8" borderId="1" xfId="0" applyFont="1" applyFill="1" applyBorder="1" applyAlignment="1">
      <alignment horizontal="center"/>
    </xf>
    <xf numFmtId="0" fontId="0" fillId="13" borderId="0" xfId="0" applyFill="1"/>
    <xf numFmtId="0" fontId="7" fillId="12" borderId="1" xfId="0" applyFont="1" applyFill="1" applyBorder="1" applyAlignment="1">
      <alignment horizontal="center"/>
    </xf>
    <xf numFmtId="0" fontId="7" fillId="14" borderId="1" xfId="0" applyFont="1" applyFill="1" applyBorder="1" applyAlignment="1">
      <alignment horizontal="center"/>
    </xf>
    <xf numFmtId="0" fontId="7" fillId="15" borderId="1" xfId="0" applyFont="1" applyFill="1" applyBorder="1" applyAlignment="1">
      <alignment horizontal="center"/>
    </xf>
    <xf numFmtId="0" fontId="1" fillId="0" borderId="1" xfId="0" applyFont="1" applyBorder="1" applyAlignment="1">
      <alignment horizontal="center"/>
    </xf>
    <xf numFmtId="0" fontId="3" fillId="0" borderId="1" xfId="0" applyFont="1" applyBorder="1" applyAlignment="1">
      <alignment horizontal="center"/>
    </xf>
    <xf numFmtId="0" fontId="10" fillId="0" borderId="1" xfId="0" applyFont="1" applyBorder="1" applyAlignment="1">
      <alignment horizontal="center"/>
    </xf>
    <xf numFmtId="0" fontId="0" fillId="14" borderId="0" xfId="0" applyFill="1"/>
    <xf numFmtId="0" fontId="0" fillId="15" borderId="0" xfId="0" applyFill="1"/>
    <xf numFmtId="0" fontId="6" fillId="7" borderId="1" xfId="0" applyFont="1" applyFill="1" applyBorder="1" applyAlignment="1">
      <alignment horizontal="center" wrapText="1"/>
    </xf>
    <xf numFmtId="0" fontId="6" fillId="7" borderId="1" xfId="0" applyFont="1" applyFill="1" applyBorder="1" applyAlignment="1">
      <alignment wrapText="1"/>
    </xf>
    <xf numFmtId="0" fontId="11" fillId="12" borderId="0" xfId="0" applyFont="1" applyFill="1" applyAlignment="1">
      <alignment horizontal="center"/>
    </xf>
    <xf numFmtId="0" fontId="7" fillId="16" borderId="1" xfId="0" applyFont="1" applyFill="1" applyBorder="1" applyAlignment="1">
      <alignment horizontal="center" wrapText="1"/>
    </xf>
    <xf numFmtId="0" fontId="7" fillId="16" borderId="1" xfId="0" applyFont="1" applyFill="1" applyBorder="1" applyAlignment="1">
      <alignment horizontal="center"/>
    </xf>
    <xf numFmtId="0" fontId="9" fillId="6" borderId="1" xfId="0" applyFont="1" applyFill="1" applyBorder="1" applyAlignment="1">
      <alignment horizontal="center"/>
    </xf>
    <xf numFmtId="164" fontId="1" fillId="0" borderId="1" xfId="0" applyNumberFormat="1" applyFont="1" applyBorder="1" applyAlignment="1">
      <alignment horizontal="center"/>
    </xf>
    <xf numFmtId="20" fontId="0" fillId="0" borderId="1" xfId="0" applyNumberFormat="1" applyBorder="1" applyAlignment="1">
      <alignment horizontal="center"/>
    </xf>
    <xf numFmtId="20" fontId="0" fillId="0" borderId="1" xfId="0" applyNumberFormat="1" applyBorder="1" applyAlignment="1">
      <alignment horizontal="center" vertical="top"/>
    </xf>
    <xf numFmtId="0" fontId="0" fillId="16" borderId="0" xfId="0" applyFill="1"/>
    <xf numFmtId="0" fontId="5" fillId="7" borderId="1" xfId="0" applyFont="1" applyFill="1" applyBorder="1" applyAlignment="1">
      <alignment horizontal="center"/>
    </xf>
    <xf numFmtId="0" fontId="11" fillId="12" borderId="1" xfId="0" applyFont="1" applyFill="1" applyBorder="1" applyAlignment="1">
      <alignment horizontal="center"/>
    </xf>
    <xf numFmtId="0" fontId="9" fillId="9" borderId="1" xfId="0" applyFont="1" applyFill="1" applyBorder="1" applyAlignment="1">
      <alignment horizontal="center"/>
    </xf>
    <xf numFmtId="0" fontId="9" fillId="10" borderId="1" xfId="0" applyFont="1" applyFill="1" applyBorder="1" applyAlignment="1">
      <alignment horizontal="center"/>
    </xf>
    <xf numFmtId="0" fontId="9" fillId="11" borderId="1" xfId="0" applyFont="1" applyFill="1" applyBorder="1" applyAlignment="1">
      <alignment horizontal="center"/>
    </xf>
    <xf numFmtId="0" fontId="9" fillId="16" borderId="1" xfId="0" applyFont="1" applyFill="1" applyBorder="1" applyAlignment="1">
      <alignment horizontal="center"/>
    </xf>
    <xf numFmtId="0" fontId="9" fillId="14" borderId="1" xfId="0" applyFont="1" applyFill="1" applyBorder="1" applyAlignment="1">
      <alignment horizontal="center"/>
    </xf>
    <xf numFmtId="0" fontId="1" fillId="0" borderId="1" xfId="0" applyFont="1" applyBorder="1" applyAlignment="1">
      <alignment wrapText="1"/>
    </xf>
    <xf numFmtId="166" fontId="0" fillId="0" borderId="1" xfId="0" applyNumberFormat="1" applyBorder="1" applyAlignment="1">
      <alignment horizontal="center"/>
    </xf>
    <xf numFmtId="166" fontId="0" fillId="0" borderId="2" xfId="0" applyNumberFormat="1" applyBorder="1" applyAlignment="1">
      <alignment horizontal="center"/>
    </xf>
    <xf numFmtId="166" fontId="0" fillId="0" borderId="3" xfId="0" applyNumberFormat="1" applyBorder="1" applyAlignment="1">
      <alignment horizontal="center"/>
    </xf>
    <xf numFmtId="20" fontId="0" fillId="0" borderId="4" xfId="0" applyNumberFormat="1" applyBorder="1" applyAlignment="1">
      <alignment horizontal="center"/>
    </xf>
    <xf numFmtId="166" fontId="0" fillId="0" borderId="0" xfId="0" applyNumberFormat="1" applyAlignment="1">
      <alignment horizontal="center"/>
    </xf>
    <xf numFmtId="0" fontId="9" fillId="14" borderId="0" xfId="0" applyFont="1" applyFill="1" applyAlignment="1">
      <alignment horizontal="center"/>
    </xf>
    <xf numFmtId="0" fontId="5" fillId="17" borderId="1" xfId="0" applyFont="1" applyFill="1" applyBorder="1" applyAlignment="1">
      <alignment horizontal="center" wrapText="1"/>
    </xf>
    <xf numFmtId="0" fontId="7" fillId="18" borderId="1" xfId="0" applyFont="1" applyFill="1" applyBorder="1" applyAlignment="1">
      <alignment horizontal="center"/>
    </xf>
    <xf numFmtId="0" fontId="7" fillId="9" borderId="1" xfId="0" applyFont="1" applyFill="1" applyBorder="1" applyAlignment="1">
      <alignment horizontal="center"/>
    </xf>
    <xf numFmtId="0" fontId="7" fillId="11" borderId="1" xfId="0" applyFont="1" applyFill="1" applyBorder="1" applyAlignment="1">
      <alignment horizontal="center"/>
    </xf>
    <xf numFmtId="0" fontId="1" fillId="0" borderId="1" xfId="0" applyFont="1" applyBorder="1" applyAlignment="1">
      <alignment horizontal="center" wrapText="1"/>
    </xf>
    <xf numFmtId="168" fontId="0" fillId="0" borderId="1" xfId="0" applyNumberFormat="1" applyBorder="1" applyAlignment="1">
      <alignment horizontal="center"/>
    </xf>
    <xf numFmtId="1" fontId="1" fillId="0" borderId="1" xfId="0" applyNumberFormat="1" applyFont="1" applyBorder="1" applyAlignment="1">
      <alignment horizontal="center"/>
    </xf>
    <xf numFmtId="1" fontId="0" fillId="0" borderId="1" xfId="0" applyNumberFormat="1" applyBorder="1" applyAlignment="1">
      <alignment horizontal="center"/>
    </xf>
    <xf numFmtId="3" fontId="1" fillId="0" borderId="1" xfId="0" applyNumberFormat="1" applyFont="1" applyBorder="1" applyAlignment="1">
      <alignment horizontal="center"/>
    </xf>
    <xf numFmtId="0" fontId="7" fillId="19" borderId="1" xfId="0" applyFont="1" applyFill="1" applyBorder="1" applyAlignment="1">
      <alignment horizontal="center"/>
    </xf>
    <xf numFmtId="0" fontId="7" fillId="10" borderId="1" xfId="0" applyFont="1" applyFill="1" applyBorder="1" applyAlignment="1">
      <alignment horizontal="center"/>
    </xf>
    <xf numFmtId="168" fontId="1" fillId="0" borderId="1" xfId="0" applyNumberFormat="1" applyFont="1" applyBorder="1" applyAlignment="1">
      <alignment horizontal="center"/>
    </xf>
    <xf numFmtId="0" fontId="5" fillId="17" borderId="0" xfId="0" applyFont="1" applyFill="1" applyAlignment="1">
      <alignment horizontal="center" wrapText="1"/>
    </xf>
    <xf numFmtId="0" fontId="7" fillId="18" borderId="0" xfId="0" applyFont="1" applyFill="1" applyAlignment="1">
      <alignment horizontal="center"/>
    </xf>
    <xf numFmtId="0" fontId="12" fillId="20" borderId="0" xfId="0" applyFont="1" applyFill="1" applyAlignment="1">
      <alignment horizontal="center"/>
    </xf>
    <xf numFmtId="0" fontId="7" fillId="9" borderId="0" xfId="0" applyFont="1" applyFill="1" applyAlignment="1">
      <alignment horizontal="center"/>
    </xf>
    <xf numFmtId="0" fontId="7" fillId="10" borderId="0" xfId="0" applyFont="1" applyFill="1" applyAlignment="1">
      <alignment horizontal="center"/>
    </xf>
    <xf numFmtId="0" fontId="7" fillId="6" borderId="0" xfId="0" applyFont="1" applyFill="1" applyAlignment="1">
      <alignment horizontal="center"/>
    </xf>
    <xf numFmtId="0" fontId="0" fillId="0" borderId="1" xfId="0" applyBorder="1" applyAlignment="1">
      <alignment vertical="center" wrapText="1"/>
    </xf>
    <xf numFmtId="0" fontId="0" fillId="0" borderId="1" xfId="0" applyBorder="1" applyAlignment="1">
      <alignment wrapText="1"/>
    </xf>
    <xf numFmtId="0" fontId="2" fillId="0" borderId="0" xfId="0" applyFont="1" applyAlignment="1">
      <alignment vertical="center"/>
    </xf>
    <xf numFmtId="0" fontId="4" fillId="0" borderId="1" xfId="1" applyBorder="1"/>
    <xf numFmtId="0" fontId="8" fillId="3" borderId="1" xfId="0" applyFont="1" applyFill="1" applyBorder="1" applyAlignment="1">
      <alignment horizontal="center" wrapText="1"/>
    </xf>
    <xf numFmtId="0" fontId="8" fillId="7" borderId="1" xfId="0" applyFont="1" applyFill="1" applyBorder="1" applyAlignment="1">
      <alignment wrapText="1"/>
    </xf>
    <xf numFmtId="0" fontId="7" fillId="21" borderId="1" xfId="0" applyFont="1" applyFill="1" applyBorder="1" applyAlignment="1">
      <alignment horizontal="center"/>
    </xf>
    <xf numFmtId="0" fontId="1"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167" fontId="10" fillId="0" borderId="1" xfId="0" applyNumberFormat="1" applyFont="1" applyBorder="1" applyAlignment="1">
      <alignment horizontal="center"/>
    </xf>
    <xf numFmtId="164" fontId="1" fillId="0" borderId="1" xfId="0" applyNumberFormat="1" applyFont="1" applyBorder="1" applyAlignment="1">
      <alignment horizontal="center" wrapText="1"/>
    </xf>
    <xf numFmtId="0" fontId="13" fillId="12" borderId="1" xfId="1" applyFont="1" applyFill="1" applyBorder="1" applyAlignment="1">
      <alignment horizontal="center"/>
    </xf>
    <xf numFmtId="0" fontId="8" fillId="22" borderId="1" xfId="0" applyFont="1" applyFill="1" applyBorder="1" applyAlignment="1">
      <alignment horizontal="center" wrapText="1"/>
    </xf>
    <xf numFmtId="0" fontId="7" fillId="23" borderId="0" xfId="0" applyFont="1" applyFill="1" applyAlignment="1">
      <alignment horizontal="center"/>
    </xf>
    <xf numFmtId="0" fontId="7" fillId="24" borderId="0" xfId="0" applyFont="1" applyFill="1" applyAlignment="1">
      <alignment horizontal="center"/>
    </xf>
    <xf numFmtId="169" fontId="14" fillId="0" borderId="0" xfId="0" applyNumberFormat="1" applyFont="1" applyAlignment="1">
      <alignment horizontal="center"/>
    </xf>
    <xf numFmtId="22" fontId="0" fillId="0" borderId="0" xfId="0" applyNumberFormat="1" applyAlignment="1">
      <alignment horizontal="center"/>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75B5"/>
      <rgbColor rgb="FFADB9CA"/>
      <rgbColor rgb="FF808080"/>
      <rgbColor rgb="FF9999FF"/>
      <rgbColor rgb="FF7030A0"/>
      <rgbColor rgb="FFF7C7AC"/>
      <rgbColor rgb="FFD0CECE"/>
      <rgbColor rgb="FF660066"/>
      <rgbColor rgb="FFFF8080"/>
      <rgbColor rgb="FF0563C1"/>
      <rgbColor rgb="FFD0D0D0"/>
      <rgbColor rgb="FF000080"/>
      <rgbColor rgb="FFFF00FF"/>
      <rgbColor rgb="FFFFFF00"/>
      <rgbColor rgb="FF00FFFF"/>
      <rgbColor rgb="FF800080"/>
      <rgbColor rgb="FF800000"/>
      <rgbColor rgb="FF008080"/>
      <rgbColor rgb="FF0000FF"/>
      <rgbColor rgb="FF00B0F0"/>
      <rgbColor rgb="FFCCFFFF"/>
      <rgbColor rgb="FFD9D9D9"/>
      <rgbColor rgb="FFFFE699"/>
      <rgbColor rgb="FF9DC3E6"/>
      <rgbColor rgb="FFF1ABE9"/>
      <rgbColor rgb="FFCC99FF"/>
      <rgbColor rgb="FFF8CBAD"/>
      <rgbColor rgb="FF2E75B6"/>
      <rgbColor rgb="FF33CCCC"/>
      <rgbColor rgb="FF99CC00"/>
      <rgbColor rgb="FFFFD966"/>
      <rgbColor rgb="FFFF9900"/>
      <rgbColor rgb="FFC55A11"/>
      <rgbColor rgb="FF467886"/>
      <rgbColor rgb="FF70AD47"/>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364680</xdr:colOff>
      <xdr:row>26</xdr:row>
      <xdr:rowOff>38520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81080"/>
          <a:ext cx="7982640" cy="45626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hyperlink" Target="mailto:carlosbeladez@gmail.com" TargetMode="External"/><Relationship Id="rId2" Type="http://schemas.openxmlformats.org/officeDocument/2006/relationships/hyperlink" Target="mailto:juandaviddd2525@gmail.com" TargetMode="External"/><Relationship Id="rId1" Type="http://schemas.openxmlformats.org/officeDocument/2006/relationships/hyperlink" Target="mailto:juanfer234535@gmail.com" TargetMode="External"/><Relationship Id="rId5" Type="http://schemas.openxmlformats.org/officeDocument/2006/relationships/hyperlink" Target="mailto:juancarloszambrano4394@gmail.com" TargetMode="External"/><Relationship Id="rId4" Type="http://schemas.openxmlformats.org/officeDocument/2006/relationships/hyperlink" Target="mailto:andresramirezpatino123@gmail.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simonochoa14@hotmail.com" TargetMode="External"/><Relationship Id="rId2" Type="http://schemas.openxmlformats.org/officeDocument/2006/relationships/hyperlink" Target="mailto:josemiguelramirez22@gmail.com" TargetMode="External"/><Relationship Id="rId1" Type="http://schemas.openxmlformats.org/officeDocument/2006/relationships/hyperlink" Target="mailto:juangomez.cliente99@gmail.com" TargetMode="External"/><Relationship Id="rId5" Type="http://schemas.openxmlformats.org/officeDocument/2006/relationships/hyperlink" Target="mailto:kevinmunozsalazar05@gmail.com" TargetMode="External"/><Relationship Id="rId4" Type="http://schemas.openxmlformats.org/officeDocument/2006/relationships/hyperlink" Target="mailto:alexisgallego8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zoomScaleNormal="100" workbookViewId="0">
      <selection activeCell="O11" sqref="O11"/>
    </sheetView>
  </sheetViews>
  <sheetFormatPr baseColWidth="10" defaultColWidth="9.109375" defaultRowHeight="14.4" x14ac:dyDescent="0.3"/>
  <cols>
    <col min="1" max="1" width="26.109375" customWidth="1"/>
  </cols>
  <sheetData>
    <row r="1" spans="1:30" ht="14.25" customHeight="1" x14ac:dyDescent="0.3">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ht="14.25" customHeight="1" x14ac:dyDescent="0.3">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4.25" customHeight="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ht="14.25" customHeight="1"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spans="1:30" ht="14.25" customHeight="1"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row>
    <row r="6" spans="1:30" ht="14.25" customHeight="1"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ht="14.25" customHeight="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row>
    <row r="8" spans="1:30" ht="14.25" customHeight="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row>
    <row r="9" spans="1:30" ht="14.25" customHeight="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row>
    <row r="10" spans="1:30"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sheetData>
  <hyperlinks>
    <hyperlink ref="A1" location="'Objetos%20de%20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topLeftCell="A6" zoomScaleNormal="100" workbookViewId="0">
      <selection activeCell="D14" sqref="D14"/>
    </sheetView>
  </sheetViews>
  <sheetFormatPr baseColWidth="10" defaultColWidth="10.6640625" defaultRowHeight="14.4" x14ac:dyDescent="0.3"/>
  <cols>
    <col min="1" max="1" width="27" customWidth="1"/>
    <col min="2" max="2" width="65.5546875" customWidth="1"/>
    <col min="3" max="3" width="12.5546875" customWidth="1"/>
    <col min="5" max="5" width="13.77734375" customWidth="1"/>
  </cols>
  <sheetData>
    <row r="1" spans="1:6" ht="14.25" customHeight="1" x14ac:dyDescent="0.3">
      <c r="A1" s="1" t="s">
        <v>1</v>
      </c>
    </row>
    <row r="2" spans="1:6" ht="14.25" customHeight="1" x14ac:dyDescent="0.3">
      <c r="A2" s="3" t="s">
        <v>2</v>
      </c>
      <c r="B2" s="3" t="s">
        <v>3</v>
      </c>
      <c r="C2" s="3" t="s">
        <v>4</v>
      </c>
      <c r="D2" s="3" t="s">
        <v>5</v>
      </c>
      <c r="E2" s="103"/>
      <c r="F2" s="103"/>
    </row>
    <row r="3" spans="1:6" ht="28.8" x14ac:dyDescent="0.3">
      <c r="A3" s="6" t="s">
        <v>6</v>
      </c>
      <c r="B3" s="101" t="s">
        <v>7</v>
      </c>
      <c r="C3" s="4">
        <v>1</v>
      </c>
      <c r="D3" s="5" t="s">
        <v>8</v>
      </c>
    </row>
    <row r="4" spans="1:6" ht="43.2" x14ac:dyDescent="0.3">
      <c r="A4" s="6" t="s">
        <v>9</v>
      </c>
      <c r="B4" s="102" t="s">
        <v>10</v>
      </c>
      <c r="C4" s="6">
        <v>1</v>
      </c>
      <c r="D4" s="7" t="s">
        <v>8</v>
      </c>
    </row>
    <row r="5" spans="1:6" ht="28.8" x14ac:dyDescent="0.3">
      <c r="A5" s="6" t="s">
        <v>11</v>
      </c>
      <c r="B5" s="102" t="s">
        <v>12</v>
      </c>
      <c r="C5" s="6">
        <v>1</v>
      </c>
      <c r="D5" s="7" t="s">
        <v>8</v>
      </c>
    </row>
    <row r="6" spans="1:6" ht="57.6" x14ac:dyDescent="0.3">
      <c r="A6" s="6" t="s">
        <v>13</v>
      </c>
      <c r="B6" s="102" t="s">
        <v>14</v>
      </c>
      <c r="C6" s="6">
        <v>1</v>
      </c>
      <c r="D6" s="7" t="s">
        <v>8</v>
      </c>
    </row>
    <row r="7" spans="1:6" ht="28.8" x14ac:dyDescent="0.3">
      <c r="A7" s="6" t="s">
        <v>15</v>
      </c>
      <c r="B7" s="102" t="s">
        <v>16</v>
      </c>
      <c r="C7" s="6">
        <v>1</v>
      </c>
      <c r="D7" s="7" t="s">
        <v>8</v>
      </c>
    </row>
    <row r="8" spans="1:6" ht="28.8" x14ac:dyDescent="0.3">
      <c r="A8" s="6" t="s">
        <v>17</v>
      </c>
      <c r="B8" s="102" t="s">
        <v>18</v>
      </c>
      <c r="C8" s="6">
        <v>1</v>
      </c>
      <c r="D8" s="8" t="s">
        <v>8</v>
      </c>
    </row>
    <row r="9" spans="1:6" ht="43.2" x14ac:dyDescent="0.3">
      <c r="A9" s="6" t="s">
        <v>19</v>
      </c>
      <c r="B9" s="102" t="s">
        <v>20</v>
      </c>
      <c r="C9" s="6">
        <v>2</v>
      </c>
      <c r="D9" s="7" t="s">
        <v>8</v>
      </c>
    </row>
    <row r="10" spans="1:6" ht="43.2" x14ac:dyDescent="0.3">
      <c r="A10" s="6" t="s">
        <v>21</v>
      </c>
      <c r="B10" s="102" t="s">
        <v>22</v>
      </c>
      <c r="C10" s="6">
        <v>2</v>
      </c>
      <c r="D10" s="7" t="s">
        <v>8</v>
      </c>
    </row>
    <row r="11" spans="1:6" ht="28.8" x14ac:dyDescent="0.3">
      <c r="A11" s="6" t="s">
        <v>23</v>
      </c>
      <c r="B11" s="102" t="s">
        <v>24</v>
      </c>
      <c r="C11" s="6">
        <v>2</v>
      </c>
      <c r="D11" s="7" t="s">
        <v>8</v>
      </c>
    </row>
    <row r="12" spans="1:6" ht="43.2" x14ac:dyDescent="0.3">
      <c r="A12" s="6" t="s">
        <v>25</v>
      </c>
      <c r="B12" s="102" t="s">
        <v>26</v>
      </c>
      <c r="C12" s="6">
        <v>3</v>
      </c>
      <c r="D12" s="7" t="s">
        <v>8</v>
      </c>
    </row>
    <row r="13" spans="1:6" ht="28.8" x14ac:dyDescent="0.3">
      <c r="A13" s="6" t="s">
        <v>27</v>
      </c>
      <c r="B13" s="102" t="s">
        <v>28</v>
      </c>
      <c r="C13" s="6">
        <v>3</v>
      </c>
      <c r="D13" s="7" t="s">
        <v>8</v>
      </c>
    </row>
    <row r="14" spans="1:6" ht="43.2" x14ac:dyDescent="0.3">
      <c r="A14" s="6" t="s">
        <v>29</v>
      </c>
      <c r="B14" s="102" t="s">
        <v>30</v>
      </c>
      <c r="C14" s="6">
        <v>4</v>
      </c>
      <c r="D14" s="7" t="s">
        <v>8</v>
      </c>
    </row>
    <row r="15" spans="1:6" ht="43.2" x14ac:dyDescent="0.3">
      <c r="A15" s="6" t="s">
        <v>31</v>
      </c>
      <c r="B15" s="102" t="s">
        <v>32</v>
      </c>
      <c r="C15" s="6">
        <v>5</v>
      </c>
      <c r="D15" s="7" t="s">
        <v>8</v>
      </c>
    </row>
    <row r="16" spans="1:6" ht="57.6" x14ac:dyDescent="0.3">
      <c r="A16" s="6" t="s">
        <v>33</v>
      </c>
      <c r="B16" s="102" t="s">
        <v>34</v>
      </c>
      <c r="C16" s="6">
        <v>6</v>
      </c>
      <c r="D16" s="8" t="s">
        <v>8</v>
      </c>
    </row>
    <row r="17" spans="1:4" ht="43.2" x14ac:dyDescent="0.3">
      <c r="A17" s="6" t="s">
        <v>35</v>
      </c>
      <c r="B17" s="102" t="s">
        <v>36</v>
      </c>
      <c r="C17" s="6">
        <v>6</v>
      </c>
      <c r="D17" s="7" t="s">
        <v>8</v>
      </c>
    </row>
  </sheetData>
  <hyperlinks>
    <hyperlink ref="A1" location="'Modelo%20de%20Dominio'!A1" display="&lt;&lt;&lt;&lt; Ir al modulo de dominio" xr:uid="{00000000-0004-0000-0100-000000000000}"/>
    <hyperlink ref="D3" location="'M-DiaSemana'!A3" display="Aquí" xr:uid="{00000000-0004-0000-0100-000002000000}"/>
    <hyperlink ref="D4" location="'M-Estado'!A3" display="Aquí" xr:uid="{00000000-0004-0000-0100-000004000000}"/>
    <hyperlink ref="D5" location="'M-Servicio'!A3" display="Aquí" xr:uid="{00000000-0004-0000-0100-000006000000}"/>
    <hyperlink ref="D6" location="'M-Regla'!A3" display="Aquí" xr:uid="{00000000-0004-0000-0100-000008000000}"/>
    <hyperlink ref="D7" location="'M-PrefijoCelular'!A3" display="Aquí" xr:uid="{00000000-0004-0000-0100-00000A000000}"/>
    <hyperlink ref="D8" location="'M-TipoMulta'!A1" display="Aquí" xr:uid="{00000000-0004-0000-0100-00000C000000}"/>
    <hyperlink ref="D9" location="'M-Barbero'!A3" display="Aquí" xr:uid="{00000000-0004-0000-0100-00000E000000}"/>
    <hyperlink ref="D10" location="'M-Cliente'!A3" display="Aquí" xr:uid="{00000000-0004-0000-0100-000010000000}"/>
    <hyperlink ref="D11" location="'M-HorarioBarberia'!A3" display="Aquí" xr:uid="{00000000-0004-0000-0100-000012000000}"/>
    <hyperlink ref="D12" location="'M-BarberoServicio'!A3" display="Aquí" xr:uid="{00000000-0004-0000-0100-000014000000}"/>
    <hyperlink ref="D13" location="'M-HorarioBarbero'!A3" display="Aquí" xr:uid="{00000000-0004-0000-0100-000016000000}"/>
    <hyperlink ref="D14" location="'M-Agenda'!A3" display="Aquí" xr:uid="{00000000-0004-0000-0100-000018000000}"/>
    <hyperlink ref="D15" location="'M-Cita'!A3" display="Aquí" xr:uid="{00000000-0004-0000-0100-00001A000000}"/>
    <hyperlink ref="D16" location="'M-CitaServicio'!A1" display="Aquí" xr:uid="{00000000-0004-0000-0100-00001C000000}"/>
    <hyperlink ref="D17" location="'M-Multa'!A3" display="Aquí"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zoomScale="130" zoomScaleNormal="130" workbookViewId="0">
      <selection activeCell="A6" sqref="A6"/>
    </sheetView>
  </sheetViews>
  <sheetFormatPr baseColWidth="10" defaultColWidth="10.6640625" defaultRowHeight="14.4" x14ac:dyDescent="0.3"/>
  <cols>
    <col min="1" max="1" width="27" customWidth="1"/>
    <col min="2" max="2" width="26.109375" customWidth="1"/>
    <col min="3" max="3" width="21.6640625" customWidth="1"/>
  </cols>
  <sheetData>
    <row r="1" spans="1:3" ht="14.25" customHeight="1" x14ac:dyDescent="0.3">
      <c r="A1" s="1" t="s">
        <v>1</v>
      </c>
      <c r="B1" s="1" t="s">
        <v>37</v>
      </c>
    </row>
    <row r="2" spans="1:3" ht="32.25" customHeight="1" x14ac:dyDescent="0.3">
      <c r="A2" s="9" t="s">
        <v>38</v>
      </c>
      <c r="B2" s="9" t="s">
        <v>39</v>
      </c>
      <c r="C2" s="10" t="s">
        <v>40</v>
      </c>
    </row>
    <row r="3" spans="1:3" ht="14.25" customHeight="1" x14ac:dyDescent="0.3">
      <c r="A3" s="11" t="s">
        <v>41</v>
      </c>
      <c r="B3" s="12" t="s">
        <v>42</v>
      </c>
      <c r="C3" s="13" t="s">
        <v>43</v>
      </c>
    </row>
    <row r="4" spans="1:3" ht="14.25" customHeight="1" x14ac:dyDescent="0.3">
      <c r="A4" s="14">
        <v>1</v>
      </c>
      <c r="B4" s="15" t="s">
        <v>44</v>
      </c>
      <c r="C4" s="15" t="str">
        <f t="shared" ref="C4:C11" si="0">B4</f>
        <v>Lunes</v>
      </c>
    </row>
    <row r="5" spans="1:3" ht="14.25" customHeight="1" x14ac:dyDescent="0.3">
      <c r="A5" s="14">
        <v>2</v>
      </c>
      <c r="B5" s="14" t="s">
        <v>45</v>
      </c>
      <c r="C5" s="15" t="str">
        <f t="shared" si="0"/>
        <v>Martes</v>
      </c>
    </row>
    <row r="6" spans="1:3" ht="14.25" customHeight="1" x14ac:dyDescent="0.3">
      <c r="A6" s="14">
        <v>3</v>
      </c>
      <c r="B6" s="15" t="s">
        <v>46</v>
      </c>
      <c r="C6" s="15" t="str">
        <f t="shared" si="0"/>
        <v>Miércoles</v>
      </c>
    </row>
    <row r="7" spans="1:3" ht="14.25" customHeight="1" x14ac:dyDescent="0.3">
      <c r="A7" s="14">
        <v>4</v>
      </c>
      <c r="B7" s="14" t="s">
        <v>47</v>
      </c>
      <c r="C7" s="15" t="str">
        <f t="shared" si="0"/>
        <v>Jueves</v>
      </c>
    </row>
    <row r="8" spans="1:3" ht="14.25" customHeight="1" x14ac:dyDescent="0.3">
      <c r="A8" s="14">
        <v>5</v>
      </c>
      <c r="B8" s="15" t="s">
        <v>48</v>
      </c>
      <c r="C8" s="15" t="str">
        <f t="shared" si="0"/>
        <v>Viernes</v>
      </c>
    </row>
    <row r="9" spans="1:3" ht="14.25" customHeight="1" x14ac:dyDescent="0.3">
      <c r="A9" s="14">
        <v>6</v>
      </c>
      <c r="B9" s="14" t="s">
        <v>49</v>
      </c>
      <c r="C9" s="15" t="str">
        <f t="shared" si="0"/>
        <v>Sábado</v>
      </c>
    </row>
    <row r="10" spans="1:3" ht="14.25" customHeight="1" x14ac:dyDescent="0.3">
      <c r="A10" s="14">
        <v>7</v>
      </c>
      <c r="B10" s="15" t="s">
        <v>50</v>
      </c>
      <c r="C10" s="15" t="str">
        <f t="shared" si="0"/>
        <v>Domingo</v>
      </c>
    </row>
    <row r="11" spans="1:3" ht="14.25" customHeight="1" x14ac:dyDescent="0.3">
      <c r="A11" s="14">
        <v>8</v>
      </c>
      <c r="B11" s="14" t="s">
        <v>51</v>
      </c>
      <c r="C11" s="15" t="str">
        <f t="shared" si="0"/>
        <v>Festivo</v>
      </c>
    </row>
    <row r="12" spans="1:3" ht="14.25" customHeight="1" x14ac:dyDescent="0.3">
      <c r="A12" s="16"/>
      <c r="B12" s="16"/>
    </row>
    <row r="13" spans="1:3" ht="14.25" customHeight="1" x14ac:dyDescent="0.3">
      <c r="A13" s="16"/>
      <c r="B13" s="16"/>
    </row>
    <row r="14" spans="1:3" ht="14.25" customHeight="1" x14ac:dyDescent="0.3">
      <c r="A14" s="16"/>
      <c r="B14" s="16"/>
    </row>
    <row r="15" spans="1:3" ht="14.25" customHeight="1" x14ac:dyDescent="0.3">
      <c r="A15" s="16"/>
      <c r="B15" s="16"/>
    </row>
    <row r="17" spans="1:2" ht="28.5" customHeight="1" x14ac:dyDescent="0.3">
      <c r="A17" s="17"/>
      <c r="B17" s="18" t="s">
        <v>52</v>
      </c>
    </row>
    <row r="18" spans="1:2" ht="28.5" customHeight="1" x14ac:dyDescent="0.3">
      <c r="A18" s="19"/>
      <c r="B18" s="18" t="s">
        <v>53</v>
      </c>
    </row>
    <row r="19" spans="1:2" ht="28.5" customHeight="1" x14ac:dyDescent="0.3">
      <c r="A19" s="20"/>
      <c r="B19" s="18" t="s">
        <v>54</v>
      </c>
    </row>
    <row r="20" spans="1:2" ht="28.5" customHeight="1" x14ac:dyDescent="0.3">
      <c r="A20" s="21"/>
      <c r="B20" s="18" t="s">
        <v>55</v>
      </c>
    </row>
  </sheetData>
  <hyperlinks>
    <hyperlink ref="A1" location="'Modelo%20de%20Dominio'!A1" display="&lt;&lt;&lt;&lt; Ir al modulo de dominio" xr:uid="{00000000-0004-0000-0200-000000000000}"/>
    <hyperlink ref="B1" location="'Objetos%20de%20Dominio'!A1" display="&lt;&lt;&lt;&lt; Ir a objetos de dominio" xr:uid="{00000000-0004-0000-0200-000001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zoomScale="130" zoomScaleNormal="130" workbookViewId="0">
      <selection activeCell="B1" sqref="B1"/>
    </sheetView>
  </sheetViews>
  <sheetFormatPr baseColWidth="10" defaultColWidth="10.6640625" defaultRowHeight="14.4" x14ac:dyDescent="0.3"/>
  <cols>
    <col min="1" max="1" width="27" customWidth="1"/>
    <col min="2" max="2" width="26.109375" customWidth="1"/>
    <col min="3" max="3" width="49.109375" customWidth="1"/>
    <col min="4" max="4" width="23.33203125" customWidth="1"/>
  </cols>
  <sheetData>
    <row r="1" spans="1:4" ht="14.25" customHeight="1" x14ac:dyDescent="0.3">
      <c r="A1" s="1" t="s">
        <v>1</v>
      </c>
      <c r="B1" s="1" t="s">
        <v>37</v>
      </c>
      <c r="C1" s="22"/>
    </row>
    <row r="2" spans="1:4" ht="39" customHeight="1" x14ac:dyDescent="0.3">
      <c r="A2" s="9" t="s">
        <v>38</v>
      </c>
      <c r="B2" s="9" t="s">
        <v>56</v>
      </c>
      <c r="C2" s="9" t="s">
        <v>57</v>
      </c>
      <c r="D2" s="10" t="s">
        <v>40</v>
      </c>
    </row>
    <row r="3" spans="1:4" ht="14.25" customHeight="1" x14ac:dyDescent="0.3">
      <c r="A3" s="11" t="s">
        <v>41</v>
      </c>
      <c r="B3" s="12" t="s">
        <v>42</v>
      </c>
      <c r="C3" s="12" t="s">
        <v>58</v>
      </c>
      <c r="D3" s="13" t="s">
        <v>43</v>
      </c>
    </row>
    <row r="4" spans="1:4" ht="28.5" customHeight="1" x14ac:dyDescent="0.3">
      <c r="A4" s="14">
        <v>1</v>
      </c>
      <c r="B4" s="15" t="s">
        <v>59</v>
      </c>
      <c r="C4" s="23" t="s">
        <v>60</v>
      </c>
      <c r="D4" s="15" t="str">
        <f t="shared" ref="D4:D10" si="0">B4</f>
        <v>Agendada</v>
      </c>
    </row>
    <row r="5" spans="1:4" ht="28.5" customHeight="1" x14ac:dyDescent="0.3">
      <c r="A5" s="14">
        <v>2</v>
      </c>
      <c r="B5" s="14" t="s">
        <v>61</v>
      </c>
      <c r="C5" s="24" t="s">
        <v>62</v>
      </c>
      <c r="D5" s="15" t="str">
        <f t="shared" si="0"/>
        <v>Finalizada</v>
      </c>
    </row>
    <row r="6" spans="1:4" ht="28.5" customHeight="1" x14ac:dyDescent="0.3">
      <c r="A6" s="14">
        <v>3</v>
      </c>
      <c r="B6" s="14" t="s">
        <v>63</v>
      </c>
      <c r="C6" s="24" t="s">
        <v>64</v>
      </c>
      <c r="D6" s="15" t="str">
        <f t="shared" si="0"/>
        <v>Cancelada por el cliente</v>
      </c>
    </row>
    <row r="7" spans="1:4" ht="28.5" customHeight="1" x14ac:dyDescent="0.3">
      <c r="A7" s="14">
        <v>4</v>
      </c>
      <c r="B7" s="14" t="s">
        <v>65</v>
      </c>
      <c r="C7" s="24" t="s">
        <v>66</v>
      </c>
      <c r="D7" s="15" t="str">
        <f t="shared" si="0"/>
        <v>Cancelada por el barbero</v>
      </c>
    </row>
    <row r="8" spans="1:4" ht="42.75" customHeight="1" x14ac:dyDescent="0.3">
      <c r="A8" s="14">
        <v>5</v>
      </c>
      <c r="B8" s="14" t="s">
        <v>67</v>
      </c>
      <c r="C8" s="24" t="s">
        <v>68</v>
      </c>
      <c r="D8" s="15" t="str">
        <f t="shared" si="0"/>
        <v>El cliente se demoro</v>
      </c>
    </row>
    <row r="9" spans="1:4" ht="42.75" customHeight="1" x14ac:dyDescent="0.3">
      <c r="A9" s="14">
        <v>6</v>
      </c>
      <c r="B9" s="14" t="s">
        <v>69</v>
      </c>
      <c r="C9" s="24" t="s">
        <v>70</v>
      </c>
      <c r="D9" s="15" t="str">
        <f t="shared" si="0"/>
        <v>El barbero se demoro</v>
      </c>
    </row>
    <row r="10" spans="1:4" ht="54.75" customHeight="1" x14ac:dyDescent="0.3">
      <c r="A10" s="14">
        <v>7</v>
      </c>
      <c r="B10" s="14" t="s">
        <v>71</v>
      </c>
      <c r="C10" s="24" t="s">
        <v>72</v>
      </c>
      <c r="D10" s="15" t="str">
        <f t="shared" si="0"/>
        <v>Inasistencia</v>
      </c>
    </row>
    <row r="16" spans="1:4" ht="28.5" customHeight="1" x14ac:dyDescent="0.3">
      <c r="A16" s="17"/>
      <c r="B16" s="18" t="s">
        <v>52</v>
      </c>
    </row>
    <row r="17" spans="1:2" ht="28.5" customHeight="1" x14ac:dyDescent="0.3">
      <c r="A17" s="19"/>
      <c r="B17" s="18" t="s">
        <v>53</v>
      </c>
    </row>
    <row r="18" spans="1:2" ht="28.5" customHeight="1" x14ac:dyDescent="0.3">
      <c r="A18" s="20"/>
      <c r="B18" s="18" t="s">
        <v>54</v>
      </c>
    </row>
    <row r="19" spans="1:2" ht="28.5" customHeight="1" x14ac:dyDescent="0.3">
      <c r="A19" s="21"/>
      <c r="B19" s="18" t="s">
        <v>55</v>
      </c>
    </row>
  </sheetData>
  <hyperlinks>
    <hyperlink ref="A1" location="'Modelo%20de%20Dominio'!A1" display="&lt;&lt;&lt;&lt; Ir al modulo de dominio" xr:uid="{00000000-0004-0000-0300-000000000000}"/>
    <hyperlink ref="B1" location="'Objetos%20de%20Dominio'!A1" display="&lt;&lt;&lt;&lt; Ir a objetos de dominio" xr:uid="{00000000-0004-0000-0300-000001000000}"/>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topLeftCell="A11" zoomScale="130" zoomScaleNormal="130" workbookViewId="0">
      <selection activeCell="D4" sqref="D4"/>
    </sheetView>
  </sheetViews>
  <sheetFormatPr baseColWidth="10" defaultColWidth="10.6640625" defaultRowHeight="14.4" x14ac:dyDescent="0.3"/>
  <cols>
    <col min="1" max="1" width="27" customWidth="1"/>
    <col min="2" max="2" width="26.109375" customWidth="1"/>
    <col min="3" max="3" width="20.88671875" customWidth="1"/>
    <col min="4" max="4" width="22.88671875" customWidth="1"/>
    <col min="6" max="6" width="18.33203125" customWidth="1"/>
  </cols>
  <sheetData>
    <row r="1" spans="1:6" ht="14.25" customHeight="1" x14ac:dyDescent="0.3">
      <c r="A1" s="1" t="s">
        <v>1</v>
      </c>
      <c r="B1" s="1" t="s">
        <v>37</v>
      </c>
      <c r="C1" s="25"/>
      <c r="D1" s="26"/>
      <c r="E1" s="26"/>
      <c r="F1" s="16"/>
    </row>
    <row r="2" spans="1:6" ht="42.75" customHeight="1" x14ac:dyDescent="0.3">
      <c r="A2" s="27" t="s">
        <v>38</v>
      </c>
      <c r="B2" s="27" t="s">
        <v>73</v>
      </c>
      <c r="C2" s="27" t="s">
        <v>74</v>
      </c>
      <c r="D2" s="27" t="s">
        <v>75</v>
      </c>
      <c r="E2" s="27" t="s">
        <v>76</v>
      </c>
      <c r="F2" s="28" t="s">
        <v>77</v>
      </c>
    </row>
    <row r="3" spans="1:6" ht="14.25" customHeight="1" x14ac:dyDescent="0.3">
      <c r="A3" s="29" t="s">
        <v>41</v>
      </c>
      <c r="B3" s="30" t="s">
        <v>42</v>
      </c>
      <c r="C3" s="30" t="s">
        <v>58</v>
      </c>
      <c r="D3" s="31" t="s">
        <v>78</v>
      </c>
      <c r="E3" s="32" t="s">
        <v>79</v>
      </c>
      <c r="F3" s="33" t="s">
        <v>80</v>
      </c>
    </row>
    <row r="4" spans="1:6" ht="57" customHeight="1" x14ac:dyDescent="0.3">
      <c r="A4" s="34">
        <v>1</v>
      </c>
      <c r="B4" s="34" t="s">
        <v>81</v>
      </c>
      <c r="C4" s="35" t="s">
        <v>82</v>
      </c>
      <c r="D4" s="36">
        <v>22000</v>
      </c>
      <c r="E4" s="36" t="s">
        <v>83</v>
      </c>
      <c r="F4" s="14" t="str">
        <f>B4</f>
        <v>Motilada</v>
      </c>
    </row>
    <row r="5" spans="1:6" ht="57" customHeight="1" x14ac:dyDescent="0.3">
      <c r="A5" s="34">
        <v>2</v>
      </c>
      <c r="B5" s="34" t="s">
        <v>84</v>
      </c>
      <c r="C5" s="35" t="s">
        <v>85</v>
      </c>
      <c r="D5" s="36">
        <v>12000</v>
      </c>
      <c r="E5" s="36" t="s">
        <v>83</v>
      </c>
      <c r="F5" s="14" t="str">
        <f>B5</f>
        <v>Corte de barba</v>
      </c>
    </row>
    <row r="6" spans="1:6" ht="57" customHeight="1" x14ac:dyDescent="0.3">
      <c r="A6" s="34">
        <v>3</v>
      </c>
      <c r="B6" s="34" t="s">
        <v>86</v>
      </c>
      <c r="C6" s="35" t="s">
        <v>87</v>
      </c>
      <c r="D6" s="36">
        <v>15000</v>
      </c>
      <c r="E6" s="36" t="s">
        <v>83</v>
      </c>
      <c r="F6" s="14" t="str">
        <f>B6</f>
        <v>Perfilada de barba</v>
      </c>
    </row>
    <row r="7" spans="1:6" ht="57" customHeight="1" x14ac:dyDescent="0.3">
      <c r="A7" s="34">
        <v>4</v>
      </c>
      <c r="B7" s="35" t="s">
        <v>88</v>
      </c>
      <c r="C7" s="35" t="s">
        <v>89</v>
      </c>
      <c r="D7" s="36">
        <v>35000</v>
      </c>
      <c r="E7" s="36" t="s">
        <v>83</v>
      </c>
      <c r="F7" s="24" t="str">
        <f>B7</f>
        <v>Arreglo completo de barba con toalla caliente</v>
      </c>
    </row>
    <row r="13" spans="1:6" ht="28.5" customHeight="1" x14ac:dyDescent="0.3">
      <c r="A13" s="17"/>
      <c r="B13" s="18" t="s">
        <v>52</v>
      </c>
    </row>
    <row r="14" spans="1:6" ht="28.5" customHeight="1" x14ac:dyDescent="0.3">
      <c r="A14" s="19"/>
      <c r="B14" s="18" t="s">
        <v>53</v>
      </c>
    </row>
    <row r="15" spans="1:6" ht="42.75" customHeight="1" x14ac:dyDescent="0.3">
      <c r="A15" s="37"/>
      <c r="B15" s="18" t="s">
        <v>90</v>
      </c>
    </row>
    <row r="16" spans="1:6" ht="28.5" customHeight="1" x14ac:dyDescent="0.3">
      <c r="A16" s="38"/>
      <c r="B16" s="18" t="s">
        <v>54</v>
      </c>
    </row>
    <row r="17" spans="1:2" ht="28.5" customHeight="1" x14ac:dyDescent="0.3">
      <c r="A17" s="39"/>
      <c r="B17" s="18" t="s">
        <v>91</v>
      </c>
    </row>
    <row r="18" spans="1:2" ht="28.5" customHeight="1" x14ac:dyDescent="0.3">
      <c r="A18" s="40"/>
      <c r="B18" s="18" t="s">
        <v>92</v>
      </c>
    </row>
    <row r="19" spans="1:2" ht="28.5" customHeight="1" x14ac:dyDescent="0.3">
      <c r="A19" s="41"/>
      <c r="B19" s="18" t="s">
        <v>55</v>
      </c>
    </row>
  </sheetData>
  <hyperlinks>
    <hyperlink ref="A1" location="'Modelo%20de%20Dominio'!A1" display="&lt;&lt;&lt;&lt; Ir al modulo de dominio" xr:uid="{00000000-0004-0000-0400-000000000000}"/>
    <hyperlink ref="B1" location="'Objetos%20de%20Dominio'!A1" display="&lt;&lt;&lt;&lt; Ir a objetos de dominio" xr:uid="{00000000-0004-0000-0400-000001000000}"/>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zoomScaleNormal="100" workbookViewId="0">
      <selection activeCell="B1" sqref="B1"/>
    </sheetView>
  </sheetViews>
  <sheetFormatPr baseColWidth="10" defaultColWidth="10.6640625" defaultRowHeight="14.4" x14ac:dyDescent="0.3"/>
  <cols>
    <col min="1" max="1" width="25" customWidth="1"/>
    <col min="2" max="2" width="26.88671875" customWidth="1"/>
    <col min="3" max="3" width="31.44140625" customWidth="1"/>
    <col min="4" max="4" width="34.44140625" customWidth="1"/>
    <col min="5" max="5" width="28.44140625" customWidth="1"/>
    <col min="6" max="6" width="29.88671875" customWidth="1"/>
  </cols>
  <sheetData>
    <row r="1" spans="1:7" ht="14.25" customHeight="1" x14ac:dyDescent="0.3">
      <c r="A1" s="1" t="s">
        <v>1</v>
      </c>
      <c r="B1" s="1" t="s">
        <v>37</v>
      </c>
    </row>
    <row r="2" spans="1:7" ht="48.75" customHeight="1" x14ac:dyDescent="0.3">
      <c r="A2" s="27" t="s">
        <v>38</v>
      </c>
      <c r="B2" s="28" t="s">
        <v>93</v>
      </c>
      <c r="C2" s="28" t="s">
        <v>94</v>
      </c>
      <c r="D2" s="28" t="s">
        <v>95</v>
      </c>
      <c r="E2" s="28" t="s">
        <v>96</v>
      </c>
      <c r="F2" s="28" t="s">
        <v>97</v>
      </c>
      <c r="G2" s="16"/>
    </row>
    <row r="3" spans="1:7" ht="14.25" customHeight="1" x14ac:dyDescent="0.3">
      <c r="A3" s="42" t="s">
        <v>41</v>
      </c>
      <c r="B3" s="43" t="s">
        <v>98</v>
      </c>
      <c r="C3" s="43" t="s">
        <v>99</v>
      </c>
      <c r="D3" s="43" t="s">
        <v>100</v>
      </c>
      <c r="E3" s="43" t="s">
        <v>101</v>
      </c>
      <c r="F3" s="43" t="s">
        <v>102</v>
      </c>
      <c r="G3" s="44"/>
    </row>
    <row r="4" spans="1:7" ht="14.25" customHeight="1" x14ac:dyDescent="0.3">
      <c r="A4" s="14">
        <v>1</v>
      </c>
      <c r="B4" s="14">
        <v>10</v>
      </c>
      <c r="C4" s="45">
        <v>10000</v>
      </c>
      <c r="D4" s="14">
        <v>3</v>
      </c>
      <c r="E4" s="14">
        <v>15</v>
      </c>
      <c r="F4" s="14">
        <v>10</v>
      </c>
      <c r="G4" s="16"/>
    </row>
    <row r="9" spans="1:7" ht="28.5" customHeight="1" x14ac:dyDescent="0.3">
      <c r="A9" s="17"/>
      <c r="B9" s="18" t="s">
        <v>52</v>
      </c>
    </row>
    <row r="10" spans="1:7" ht="28.5" customHeight="1" x14ac:dyDescent="0.3">
      <c r="A10" s="19"/>
      <c r="B10" s="18" t="s">
        <v>53</v>
      </c>
    </row>
    <row r="11" spans="1:7" ht="28.5" customHeight="1" x14ac:dyDescent="0.3">
      <c r="A11" s="46"/>
      <c r="B11" s="18" t="s">
        <v>91</v>
      </c>
    </row>
  </sheetData>
  <hyperlinks>
    <hyperlink ref="A1" location="'Modelo%20de%20Dominio'!A1" display="&lt;&lt;&lt;&lt; Ir al modulo de dominio" xr:uid="{00000000-0004-0000-0500-000000000000}"/>
    <hyperlink ref="B1" location="'Objetos%20de%20Dominio'!A1" display="&lt;&lt;&lt;&lt; Ir a objetos de dominio" xr:uid="{00000000-0004-0000-0500-000001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zoomScale="115" zoomScaleNormal="115" workbookViewId="0">
      <selection activeCell="E11" sqref="E11"/>
    </sheetView>
  </sheetViews>
  <sheetFormatPr baseColWidth="10" defaultColWidth="10.6640625" defaultRowHeight="14.4" x14ac:dyDescent="0.3"/>
  <cols>
    <col min="1" max="1" width="27" customWidth="1"/>
    <col min="2" max="2" width="26.109375" customWidth="1"/>
    <col min="3" max="3" width="19.6640625" customWidth="1"/>
  </cols>
  <sheetData>
    <row r="1" spans="1:3" ht="14.25" customHeight="1" x14ac:dyDescent="0.3">
      <c r="A1" s="1" t="s">
        <v>1</v>
      </c>
      <c r="B1" s="1" t="s">
        <v>37</v>
      </c>
    </row>
    <row r="2" spans="1:3" ht="31.5" customHeight="1" x14ac:dyDescent="0.3">
      <c r="A2" s="9" t="s">
        <v>38</v>
      </c>
      <c r="B2" s="9" t="s">
        <v>103</v>
      </c>
      <c r="C2" s="10" t="s">
        <v>104</v>
      </c>
    </row>
    <row r="3" spans="1:3" ht="14.25" customHeight="1" x14ac:dyDescent="0.3">
      <c r="A3" s="11" t="s">
        <v>41</v>
      </c>
      <c r="B3" s="12" t="s">
        <v>105</v>
      </c>
      <c r="C3" s="13" t="s">
        <v>43</v>
      </c>
    </row>
    <row r="4" spans="1:3" ht="14.25" customHeight="1" x14ac:dyDescent="0.3">
      <c r="A4" s="14">
        <v>1</v>
      </c>
      <c r="B4" s="14" t="s">
        <v>106</v>
      </c>
      <c r="C4" s="14" t="str">
        <f>B4</f>
        <v>+57</v>
      </c>
    </row>
    <row r="5" spans="1:3" ht="14.25" customHeight="1" x14ac:dyDescent="0.3">
      <c r="A5" s="14">
        <v>2</v>
      </c>
      <c r="B5" s="14" t="s">
        <v>107</v>
      </c>
      <c r="C5" s="14" t="str">
        <f>B5</f>
        <v>+91</v>
      </c>
    </row>
    <row r="6" spans="1:3" ht="14.25" customHeight="1" x14ac:dyDescent="0.3">
      <c r="A6" s="14">
        <v>3</v>
      </c>
      <c r="B6" s="14" t="s">
        <v>108</v>
      </c>
      <c r="C6" s="14" t="str">
        <f>B6</f>
        <v>+593</v>
      </c>
    </row>
    <row r="7" spans="1:3" ht="14.25" customHeight="1" x14ac:dyDescent="0.3">
      <c r="A7" s="14">
        <v>4</v>
      </c>
      <c r="B7" s="14" t="s">
        <v>109</v>
      </c>
      <c r="C7" s="14" t="str">
        <f>B7</f>
        <v>+58</v>
      </c>
    </row>
    <row r="8" spans="1:3" ht="14.25" customHeight="1" x14ac:dyDescent="0.3">
      <c r="A8" s="16"/>
      <c r="B8" s="16"/>
    </row>
    <row r="9" spans="1:3" ht="14.25" customHeight="1" x14ac:dyDescent="0.3">
      <c r="A9" s="16"/>
      <c r="B9" s="16"/>
    </row>
    <row r="13" spans="1:3" ht="28.5" customHeight="1" x14ac:dyDescent="0.3">
      <c r="A13" s="17"/>
      <c r="B13" s="18" t="s">
        <v>52</v>
      </c>
    </row>
    <row r="14" spans="1:3" ht="28.5" customHeight="1" x14ac:dyDescent="0.3">
      <c r="A14" s="19"/>
      <c r="B14" s="18" t="s">
        <v>53</v>
      </c>
    </row>
    <row r="15" spans="1:3" ht="28.5" customHeight="1" x14ac:dyDescent="0.3">
      <c r="A15" s="20"/>
      <c r="B15" s="18" t="s">
        <v>54</v>
      </c>
    </row>
    <row r="16" spans="1:3" ht="28.5" customHeight="1" x14ac:dyDescent="0.3">
      <c r="A16" s="21"/>
      <c r="B16" s="18" t="s">
        <v>55</v>
      </c>
    </row>
  </sheetData>
  <hyperlinks>
    <hyperlink ref="A1" location="'Modelo%20de%20Dominio'!A1" display="&lt;&lt;&lt;&lt; Ir al modulo de dominio" xr:uid="{00000000-0004-0000-0600-000000000000}"/>
    <hyperlink ref="B1" location="'Objetos%20de%20Dominio'!A1" display="&lt;&lt;&lt;&lt; Ir a objetos de dominio" xr:uid="{00000000-0004-0000-0600-000001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7"/>
  <sheetViews>
    <sheetView zoomScale="115" zoomScaleNormal="115" workbookViewId="0">
      <selection activeCell="D9" sqref="D9"/>
    </sheetView>
  </sheetViews>
  <sheetFormatPr baseColWidth="10" defaultColWidth="10.6640625" defaultRowHeight="14.4" x14ac:dyDescent="0.3"/>
  <cols>
    <col min="1" max="1" width="25" customWidth="1"/>
    <col min="2" max="2" width="24.44140625" customWidth="1"/>
    <col min="3" max="3" width="41" customWidth="1"/>
    <col min="4" max="4" width="17.6640625" customWidth="1"/>
  </cols>
  <sheetData>
    <row r="1" spans="1:4" ht="14.25" customHeight="1" x14ac:dyDescent="0.3">
      <c r="A1" s="1" t="s">
        <v>1</v>
      </c>
      <c r="B1" s="1" t="s">
        <v>37</v>
      </c>
      <c r="C1" s="47"/>
    </row>
    <row r="2" spans="1:4" ht="39" customHeight="1" x14ac:dyDescent="0.3">
      <c r="A2" s="9" t="s">
        <v>38</v>
      </c>
      <c r="B2" s="9" t="s">
        <v>110</v>
      </c>
      <c r="C2" s="9" t="s">
        <v>111</v>
      </c>
      <c r="D2" s="10" t="s">
        <v>112</v>
      </c>
    </row>
    <row r="3" spans="1:4" ht="14.25" customHeight="1" x14ac:dyDescent="0.3">
      <c r="A3" s="11" t="s">
        <v>41</v>
      </c>
      <c r="B3" s="48" t="s">
        <v>42</v>
      </c>
      <c r="C3" s="49" t="s">
        <v>58</v>
      </c>
      <c r="D3" s="13" t="s">
        <v>113</v>
      </c>
    </row>
    <row r="4" spans="1:4" ht="43.2" x14ac:dyDescent="0.3">
      <c r="A4" s="14">
        <v>1</v>
      </c>
      <c r="B4" s="14" t="s">
        <v>114</v>
      </c>
      <c r="C4" s="24" t="s">
        <v>115</v>
      </c>
      <c r="D4" s="14" t="str">
        <f>B4</f>
        <v>Tardanza</v>
      </c>
    </row>
    <row r="5" spans="1:4" ht="43.2" x14ac:dyDescent="0.3">
      <c r="A5" s="14">
        <v>2</v>
      </c>
      <c r="B5" s="14" t="s">
        <v>71</v>
      </c>
      <c r="C5" s="24" t="s">
        <v>116</v>
      </c>
      <c r="D5" s="14" t="str">
        <f>B5</f>
        <v>Inasistencia</v>
      </c>
    </row>
    <row r="6" spans="1:4" ht="14.25" customHeight="1" x14ac:dyDescent="0.3">
      <c r="A6" s="16"/>
      <c r="B6" s="16"/>
      <c r="C6" s="16"/>
      <c r="D6" s="16"/>
    </row>
    <row r="7" spans="1:4" ht="14.25" customHeight="1" x14ac:dyDescent="0.3">
      <c r="A7" s="16"/>
      <c r="B7" s="16"/>
      <c r="C7" s="16"/>
      <c r="D7" s="16"/>
    </row>
    <row r="8" spans="1:4" ht="14.25" customHeight="1" x14ac:dyDescent="0.3">
      <c r="A8" s="16"/>
      <c r="B8" s="16"/>
      <c r="C8" s="16"/>
    </row>
    <row r="9" spans="1:4" ht="14.25" customHeight="1" x14ac:dyDescent="0.3">
      <c r="A9" s="16"/>
      <c r="B9" s="16"/>
      <c r="C9" s="16"/>
    </row>
    <row r="11" spans="1:4" ht="28.5" customHeight="1" x14ac:dyDescent="0.3">
      <c r="A11" s="17"/>
      <c r="B11" s="18" t="s">
        <v>52</v>
      </c>
    </row>
    <row r="12" spans="1:4" ht="28.5" customHeight="1" x14ac:dyDescent="0.3">
      <c r="A12" s="19"/>
      <c r="B12" s="18" t="s">
        <v>53</v>
      </c>
    </row>
    <row r="13" spans="1:4" ht="28.5" customHeight="1" x14ac:dyDescent="0.3">
      <c r="A13" s="50"/>
      <c r="B13" s="18" t="s">
        <v>117</v>
      </c>
      <c r="C13" s="18"/>
    </row>
    <row r="14" spans="1:4" ht="28.5" customHeight="1" x14ac:dyDescent="0.3">
      <c r="A14" s="20"/>
      <c r="B14" s="18" t="s">
        <v>54</v>
      </c>
      <c r="C14" s="18"/>
    </row>
    <row r="15" spans="1:4" ht="28.5" customHeight="1" x14ac:dyDescent="0.3">
      <c r="A15" s="21"/>
      <c r="B15" s="18" t="s">
        <v>55</v>
      </c>
      <c r="C15" s="18"/>
    </row>
    <row r="16" spans="1:4" ht="14.25" customHeight="1" x14ac:dyDescent="0.3">
      <c r="C16" s="18"/>
    </row>
    <row r="17" spans="3:3" ht="14.25" customHeight="1" x14ac:dyDescent="0.3">
      <c r="C17" s="18"/>
    </row>
  </sheetData>
  <hyperlinks>
    <hyperlink ref="A1" location="'Modelo%20de%20Dominio'!A1" display="&lt;&lt;&lt;&lt; Ir al modulo de dominio" xr:uid="{00000000-0004-0000-0700-000000000000}"/>
    <hyperlink ref="B1" location="'Objetos%20de%20Dominio'!A1" display="&lt;&lt;&lt;&lt; Ir a objetos de dominio" xr:uid="{00000000-0004-0000-0700-000001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0"/>
  <sheetViews>
    <sheetView topLeftCell="A8" zoomScale="115" zoomScaleNormal="115" workbookViewId="0">
      <selection activeCell="A20" sqref="A20:B20"/>
    </sheetView>
  </sheetViews>
  <sheetFormatPr baseColWidth="10" defaultColWidth="10.6640625" defaultRowHeight="14.4" x14ac:dyDescent="0.3"/>
  <cols>
    <col min="1" max="1" width="27" customWidth="1"/>
    <col min="2" max="2" width="26.109375" customWidth="1"/>
    <col min="3" max="3" width="21.44140625" customWidth="1"/>
    <col min="4" max="4" width="19.44140625" customWidth="1"/>
    <col min="5" max="5" width="20.44140625" customWidth="1"/>
    <col min="6" max="6" width="20.5546875" customWidth="1"/>
    <col min="7" max="7" width="21" customWidth="1"/>
    <col min="8" max="8" width="34.33203125" customWidth="1"/>
    <col min="9" max="9" width="69" customWidth="1"/>
    <col min="10" max="10" width="33" customWidth="1"/>
    <col min="11" max="11" width="42" customWidth="1"/>
    <col min="12" max="12" width="45.6640625" customWidth="1"/>
  </cols>
  <sheetData>
    <row r="1" spans="1:12" ht="14.25" customHeight="1" x14ac:dyDescent="0.3">
      <c r="A1" s="1" t="s">
        <v>1</v>
      </c>
      <c r="B1" s="1" t="s">
        <v>37</v>
      </c>
      <c r="C1" s="22"/>
      <c r="D1" s="22"/>
      <c r="E1" s="22"/>
      <c r="F1" s="22"/>
    </row>
    <row r="2" spans="1:12" ht="39" customHeight="1" x14ac:dyDescent="0.3">
      <c r="A2" s="9" t="s">
        <v>38</v>
      </c>
      <c r="B2" s="9" t="s">
        <v>103</v>
      </c>
      <c r="C2" s="9" t="s">
        <v>118</v>
      </c>
      <c r="D2" s="9" t="s">
        <v>119</v>
      </c>
      <c r="E2" s="9" t="s">
        <v>120</v>
      </c>
      <c r="F2" s="9" t="s">
        <v>121</v>
      </c>
      <c r="G2" s="9" t="s">
        <v>122</v>
      </c>
      <c r="H2" s="9" t="s">
        <v>123</v>
      </c>
      <c r="I2" s="9" t="s">
        <v>124</v>
      </c>
      <c r="J2" s="9" t="s">
        <v>125</v>
      </c>
      <c r="K2" s="10" t="s">
        <v>126</v>
      </c>
      <c r="L2" s="10" t="s">
        <v>127</v>
      </c>
    </row>
    <row r="3" spans="1:12" ht="14.25" customHeight="1" x14ac:dyDescent="0.3">
      <c r="A3" s="11" t="s">
        <v>41</v>
      </c>
      <c r="B3" s="12" t="s">
        <v>128</v>
      </c>
      <c r="C3" s="12" t="s">
        <v>129</v>
      </c>
      <c r="D3" s="12" t="s">
        <v>130</v>
      </c>
      <c r="E3" s="12" t="s">
        <v>131</v>
      </c>
      <c r="F3" s="51" t="s">
        <v>105</v>
      </c>
      <c r="G3" s="12" t="s">
        <v>132</v>
      </c>
      <c r="H3" s="12" t="s">
        <v>133</v>
      </c>
      <c r="I3" s="12" t="s">
        <v>134</v>
      </c>
      <c r="J3" s="52" t="s">
        <v>135</v>
      </c>
      <c r="K3" s="13" t="s">
        <v>136</v>
      </c>
      <c r="L3" s="53" t="s">
        <v>137</v>
      </c>
    </row>
    <row r="4" spans="1:12" ht="14.25" customHeight="1" x14ac:dyDescent="0.3">
      <c r="A4" s="14">
        <v>1</v>
      </c>
      <c r="B4" s="14" t="s">
        <v>138</v>
      </c>
      <c r="C4" s="14" t="s">
        <v>139</v>
      </c>
      <c r="D4" s="14" t="s">
        <v>140</v>
      </c>
      <c r="E4" s="14" t="s">
        <v>141</v>
      </c>
      <c r="F4" s="54" t="str">
        <f>'M-PrefijoCelular'!C4</f>
        <v>+57</v>
      </c>
      <c r="G4" s="14">
        <v>3245627890</v>
      </c>
      <c r="H4" s="55" t="s">
        <v>142</v>
      </c>
      <c r="I4" s="56" t="s">
        <v>143</v>
      </c>
      <c r="J4" s="14" t="s">
        <v>83</v>
      </c>
      <c r="K4" s="14" t="str">
        <f>_xlfn.CONCAT(F4,"-",G4)</f>
        <v>+57-3245627890</v>
      </c>
      <c r="L4" s="14" t="str">
        <f>H4</f>
        <v>juanfer234535@gmail.com</v>
      </c>
    </row>
    <row r="5" spans="1:12" ht="14.25" customHeight="1" x14ac:dyDescent="0.3">
      <c r="A5" s="14">
        <v>2</v>
      </c>
      <c r="B5" s="14" t="s">
        <v>138</v>
      </c>
      <c r="C5" s="14" t="s">
        <v>144</v>
      </c>
      <c r="D5" s="14" t="s">
        <v>145</v>
      </c>
      <c r="E5" s="14" t="s">
        <v>146</v>
      </c>
      <c r="F5" s="54" t="str">
        <f>'M-PrefijoCelular'!C4</f>
        <v>+57</v>
      </c>
      <c r="G5" s="14">
        <v>3124518923</v>
      </c>
      <c r="H5" s="55" t="s">
        <v>147</v>
      </c>
      <c r="I5" s="56" t="s">
        <v>148</v>
      </c>
      <c r="J5" s="14" t="s">
        <v>83</v>
      </c>
      <c r="K5" s="14" t="str">
        <f>_xlfn.CONCAT(F5,"-",G5)</f>
        <v>+57-3124518923</v>
      </c>
      <c r="L5" s="14" t="str">
        <f>H5</f>
        <v>juandaviddd2525@gmail.com</v>
      </c>
    </row>
    <row r="6" spans="1:12" ht="14.25" customHeight="1" x14ac:dyDescent="0.3">
      <c r="A6" s="14">
        <v>3</v>
      </c>
      <c r="B6" s="14" t="s">
        <v>149</v>
      </c>
      <c r="C6" s="14"/>
      <c r="D6" s="14" t="s">
        <v>150</v>
      </c>
      <c r="E6" s="14"/>
      <c r="F6" s="54" t="str">
        <f>'M-PrefijoCelular'!C4</f>
        <v>+57</v>
      </c>
      <c r="G6" s="14">
        <v>3214533321</v>
      </c>
      <c r="H6" s="55" t="s">
        <v>151</v>
      </c>
      <c r="I6" s="56" t="s">
        <v>152</v>
      </c>
      <c r="J6" s="14" t="s">
        <v>83</v>
      </c>
      <c r="K6" s="14" t="str">
        <f>_xlfn.CONCAT(F6,"-",G6)</f>
        <v>+57-3214533321</v>
      </c>
      <c r="L6" s="14" t="str">
        <f>H6</f>
        <v>carlosbeladez@gmail.com</v>
      </c>
    </row>
    <row r="7" spans="1:12" ht="14.25" customHeight="1" x14ac:dyDescent="0.3">
      <c r="A7" s="14">
        <v>4</v>
      </c>
      <c r="B7" s="14" t="s">
        <v>153</v>
      </c>
      <c r="C7" s="14"/>
      <c r="D7" s="14" t="s">
        <v>154</v>
      </c>
      <c r="E7" s="14" t="s">
        <v>155</v>
      </c>
      <c r="F7" s="54" t="str">
        <f>'M-PrefijoCelular'!C5</f>
        <v>+91</v>
      </c>
      <c r="G7" s="14">
        <v>9876543210</v>
      </c>
      <c r="H7" s="55" t="s">
        <v>156</v>
      </c>
      <c r="I7" s="56" t="s">
        <v>157</v>
      </c>
      <c r="J7" s="14" t="s">
        <v>158</v>
      </c>
      <c r="K7" s="14" t="str">
        <f>_xlfn.CONCAT(F7,"-",G7)</f>
        <v>+91-9876543210</v>
      </c>
      <c r="L7" s="14" t="str">
        <f>H7</f>
        <v>andresramirezpatino123@gmail.com</v>
      </c>
    </row>
    <row r="8" spans="1:12" ht="14.25" customHeight="1" x14ac:dyDescent="0.3">
      <c r="A8" s="14">
        <v>5</v>
      </c>
      <c r="B8" s="14" t="s">
        <v>138</v>
      </c>
      <c r="C8" s="14" t="s">
        <v>149</v>
      </c>
      <c r="D8" s="14" t="s">
        <v>159</v>
      </c>
      <c r="E8" s="14" t="s">
        <v>160</v>
      </c>
      <c r="F8" s="54" t="str">
        <f>'M-PrefijoCelular'!C6</f>
        <v>+593</v>
      </c>
      <c r="G8" s="14">
        <v>998765432</v>
      </c>
      <c r="H8" s="55" t="s">
        <v>161</v>
      </c>
      <c r="I8" s="14" t="s">
        <v>162</v>
      </c>
      <c r="J8" s="14" t="s">
        <v>158</v>
      </c>
      <c r="K8" s="14" t="str">
        <f>_xlfn.CONCAT(F8,"-",G8)</f>
        <v>+593-998765432</v>
      </c>
      <c r="L8" s="14" t="str">
        <f>H8</f>
        <v>juancarloszambrano4394@gmail.com</v>
      </c>
    </row>
    <row r="14" spans="1:12" ht="28.5" customHeight="1" x14ac:dyDescent="0.3">
      <c r="A14" s="17"/>
      <c r="B14" s="18" t="s">
        <v>52</v>
      </c>
    </row>
    <row r="15" spans="1:12" ht="28.5" customHeight="1" x14ac:dyDescent="0.3">
      <c r="A15" s="19"/>
      <c r="B15" s="18" t="s">
        <v>53</v>
      </c>
    </row>
    <row r="16" spans="1:12" ht="28.5" customHeight="1" x14ac:dyDescent="0.3">
      <c r="A16" s="20"/>
      <c r="B16" s="18" t="s">
        <v>54</v>
      </c>
    </row>
    <row r="17" spans="1:2" ht="28.5" customHeight="1" x14ac:dyDescent="0.3">
      <c r="A17" s="37"/>
      <c r="B17" s="18" t="s">
        <v>163</v>
      </c>
    </row>
    <row r="18" spans="1:2" ht="28.5" customHeight="1" x14ac:dyDescent="0.3">
      <c r="A18" s="57"/>
      <c r="B18" s="18" t="s">
        <v>164</v>
      </c>
    </row>
    <row r="19" spans="1:2" ht="28.5" customHeight="1" x14ac:dyDescent="0.3">
      <c r="A19" s="21"/>
      <c r="B19" s="18" t="s">
        <v>165</v>
      </c>
    </row>
    <row r="20" spans="1:2" ht="28.5" customHeight="1" x14ac:dyDescent="0.3">
      <c r="A20" s="58"/>
      <c r="B20" s="18" t="s">
        <v>166</v>
      </c>
    </row>
  </sheetData>
  <hyperlinks>
    <hyperlink ref="A1" location="'Modelo%20de%20Dominio'!A1" display="&lt;&lt;&lt;&lt; Ir al modulo de dominio" xr:uid="{00000000-0004-0000-0800-000000000000}"/>
    <hyperlink ref="B1" location="'Objetos%20de%20Dominio'!A1" display="&lt;&lt;&lt;&lt; Ir a objetos de dominio" xr:uid="{00000000-0004-0000-0800-000001000000}"/>
    <hyperlink ref="F4" location="'M-PrefijoCelular'!A4" display="'M-PrefijoCelular'!A4" xr:uid="{00000000-0004-0000-0800-000002000000}"/>
    <hyperlink ref="H4" r:id="rId1" xr:uid="{00000000-0004-0000-0800-000003000000}"/>
    <hyperlink ref="F5" location="'M-PrefijoCelular'!A4" display="'M-PrefijoCelular'!A4" xr:uid="{00000000-0004-0000-0800-000004000000}"/>
    <hyperlink ref="H5" r:id="rId2" xr:uid="{00000000-0004-0000-0800-000005000000}"/>
    <hyperlink ref="F6" location="'M-PrefijoCelular'!A4" display="'M-PrefijoCelular'!A4" xr:uid="{00000000-0004-0000-0800-000006000000}"/>
    <hyperlink ref="H6" r:id="rId3" xr:uid="{00000000-0004-0000-0800-000007000000}"/>
    <hyperlink ref="F7" location="'M-PrefijoCelular'!A5" display="'M-PrefijoCelular'!A5" xr:uid="{00000000-0004-0000-0800-000008000000}"/>
    <hyperlink ref="H7" r:id="rId4" xr:uid="{00000000-0004-0000-0800-000009000000}"/>
    <hyperlink ref="F8" location="'M-PrefijoCelular'!A6" display="'M-PrefijoCelular'!A6" xr:uid="{00000000-0004-0000-0800-00000A000000}"/>
    <hyperlink ref="H8" r:id="rId5" xr:uid="{00000000-0004-0000-0800-00000B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0"/>
  <sheetViews>
    <sheetView topLeftCell="I1" zoomScale="130" zoomScaleNormal="130" workbookViewId="0">
      <selection activeCell="A19" sqref="A19"/>
    </sheetView>
  </sheetViews>
  <sheetFormatPr baseColWidth="10" defaultColWidth="10.6640625" defaultRowHeight="14.4" x14ac:dyDescent="0.3"/>
  <cols>
    <col min="1" max="1" width="27" customWidth="1"/>
    <col min="2" max="2" width="26.109375" customWidth="1"/>
    <col min="3" max="3" width="21.88671875" customWidth="1"/>
    <col min="4" max="4" width="22.109375" customWidth="1"/>
    <col min="5" max="5" width="22.44140625" customWidth="1"/>
    <col min="6" max="6" width="19.5546875" customWidth="1"/>
    <col min="7" max="7" width="24.88671875" customWidth="1"/>
    <col min="8" max="8" width="29.6640625" bestFit="1" customWidth="1"/>
    <col min="9" max="9" width="66.5546875" bestFit="1" customWidth="1"/>
    <col min="10" max="10" width="41.88671875" customWidth="1"/>
    <col min="11" max="11" width="35.88671875" bestFit="1" customWidth="1"/>
    <col min="12" max="12" width="28.21875" bestFit="1" customWidth="1"/>
    <col min="13" max="13" width="30.21875" bestFit="1" customWidth="1"/>
  </cols>
  <sheetData>
    <row r="1" spans="1:13" ht="14.25" customHeight="1" x14ac:dyDescent="0.3">
      <c r="A1" s="1" t="s">
        <v>1</v>
      </c>
      <c r="B1" s="1" t="s">
        <v>37</v>
      </c>
      <c r="C1" s="55"/>
      <c r="D1" s="55"/>
      <c r="E1" s="55"/>
      <c r="F1" s="55"/>
      <c r="G1" s="14"/>
      <c r="J1" s="14"/>
      <c r="K1" s="14"/>
      <c r="L1" s="14"/>
    </row>
    <row r="2" spans="1:13" ht="37.5" customHeight="1" x14ac:dyDescent="0.3">
      <c r="A2" s="27" t="s">
        <v>38</v>
      </c>
      <c r="B2" s="27" t="s">
        <v>167</v>
      </c>
      <c r="C2" s="27" t="s">
        <v>168</v>
      </c>
      <c r="D2" s="27" t="s">
        <v>169</v>
      </c>
      <c r="E2" s="27" t="s">
        <v>170</v>
      </c>
      <c r="F2" s="27" t="s">
        <v>171</v>
      </c>
      <c r="G2" s="59" t="s">
        <v>172</v>
      </c>
      <c r="H2" s="105" t="s">
        <v>173</v>
      </c>
      <c r="I2" s="105" t="s">
        <v>174</v>
      </c>
      <c r="J2" s="59" t="s">
        <v>175</v>
      </c>
      <c r="K2" s="59" t="s">
        <v>176</v>
      </c>
      <c r="L2" s="60" t="s">
        <v>177</v>
      </c>
      <c r="M2" s="106" t="s">
        <v>178</v>
      </c>
    </row>
    <row r="3" spans="1:13" ht="14.25" customHeight="1" x14ac:dyDescent="0.3">
      <c r="A3" s="11" t="s">
        <v>41</v>
      </c>
      <c r="B3" s="12" t="s">
        <v>128</v>
      </c>
      <c r="C3" s="12" t="s">
        <v>129</v>
      </c>
      <c r="D3" s="12" t="s">
        <v>130</v>
      </c>
      <c r="E3" s="12" t="s">
        <v>131</v>
      </c>
      <c r="F3" s="61" t="s">
        <v>179</v>
      </c>
      <c r="G3" s="12" t="s">
        <v>132</v>
      </c>
      <c r="H3" s="12" t="s">
        <v>133</v>
      </c>
      <c r="I3" s="12" t="s">
        <v>134</v>
      </c>
      <c r="J3" s="52" t="s">
        <v>180</v>
      </c>
      <c r="K3" s="52" t="s">
        <v>181</v>
      </c>
      <c r="L3" s="13" t="s">
        <v>136</v>
      </c>
      <c r="M3" s="107" t="s">
        <v>137</v>
      </c>
    </row>
    <row r="4" spans="1:13" ht="14.25" customHeight="1" x14ac:dyDescent="0.3">
      <c r="A4" s="14">
        <v>1</v>
      </c>
      <c r="B4" s="14" t="s">
        <v>138</v>
      </c>
      <c r="C4" s="14"/>
      <c r="D4" s="14" t="s">
        <v>182</v>
      </c>
      <c r="E4" s="14"/>
      <c r="F4" s="54" t="str">
        <f>'M-PrefijoCelular'!C4</f>
        <v>+57</v>
      </c>
      <c r="G4" s="14">
        <v>3234528921</v>
      </c>
      <c r="H4" s="104" t="s">
        <v>183</v>
      </c>
      <c r="I4" s="6" t="s">
        <v>184</v>
      </c>
      <c r="J4" s="14">
        <v>0</v>
      </c>
      <c r="K4" s="14" t="s">
        <v>158</v>
      </c>
      <c r="L4" s="14" t="str">
        <f>_xlfn.CONCAT(F4,"-",G4)</f>
        <v>+57-3234528921</v>
      </c>
      <c r="M4" s="6" t="str">
        <f>H4</f>
        <v>juangomez.cliente99@gmail.com</v>
      </c>
    </row>
    <row r="5" spans="1:13" ht="14.25" customHeight="1" x14ac:dyDescent="0.3">
      <c r="A5" s="14">
        <v>2</v>
      </c>
      <c r="B5" s="14" t="s">
        <v>185</v>
      </c>
      <c r="C5" s="14" t="s">
        <v>186</v>
      </c>
      <c r="D5" s="14" t="s">
        <v>154</v>
      </c>
      <c r="E5" s="14" t="s">
        <v>160</v>
      </c>
      <c r="F5" s="54" t="str">
        <f>'M-PrefijoCelular'!C4</f>
        <v>+57</v>
      </c>
      <c r="G5" s="14">
        <v>3161657782</v>
      </c>
      <c r="H5" s="104" t="s">
        <v>187</v>
      </c>
      <c r="I5" s="6" t="s">
        <v>188</v>
      </c>
      <c r="J5" s="14">
        <v>0</v>
      </c>
      <c r="K5" s="14" t="s">
        <v>158</v>
      </c>
      <c r="L5" s="14" t="str">
        <f>_xlfn.CONCAT(F5,"-",G5)</f>
        <v>+57-3161657782</v>
      </c>
      <c r="M5" s="6" t="str">
        <f>H5</f>
        <v>josemiguelramirez22@gmail.com</v>
      </c>
    </row>
    <row r="6" spans="1:13" ht="14.25" customHeight="1" x14ac:dyDescent="0.3">
      <c r="A6" s="14">
        <v>3</v>
      </c>
      <c r="B6" s="14" t="s">
        <v>189</v>
      </c>
      <c r="C6" s="14"/>
      <c r="D6" s="14" t="s">
        <v>190</v>
      </c>
      <c r="E6" s="14" t="s">
        <v>154</v>
      </c>
      <c r="F6" s="54" t="str">
        <f>'M-PrefijoCelular'!C4</f>
        <v>+57</v>
      </c>
      <c r="G6" s="14">
        <v>3119884321</v>
      </c>
      <c r="H6" s="104" t="s">
        <v>191</v>
      </c>
      <c r="I6" s="6" t="s">
        <v>192</v>
      </c>
      <c r="J6" s="14">
        <v>0</v>
      </c>
      <c r="K6" s="14" t="s">
        <v>158</v>
      </c>
      <c r="L6" s="14" t="str">
        <f>_xlfn.CONCAT(F6,"-",G6)</f>
        <v>+57-3119884321</v>
      </c>
      <c r="M6" s="6" t="str">
        <f>H6</f>
        <v>simonochoa14@hotmail.com</v>
      </c>
    </row>
    <row r="7" spans="1:13" ht="14.25" customHeight="1" x14ac:dyDescent="0.3">
      <c r="A7" s="14">
        <v>4</v>
      </c>
      <c r="B7" s="14" t="s">
        <v>193</v>
      </c>
      <c r="C7" s="14"/>
      <c r="D7" s="14" t="s">
        <v>194</v>
      </c>
      <c r="E7" s="14"/>
      <c r="F7" s="54" t="str">
        <f>'M-PrefijoCelular'!C7</f>
        <v>+58</v>
      </c>
      <c r="G7" s="14">
        <v>4127359182</v>
      </c>
      <c r="H7" s="104" t="s">
        <v>195</v>
      </c>
      <c r="I7" s="6" t="s">
        <v>196</v>
      </c>
      <c r="J7" s="14">
        <v>1</v>
      </c>
      <c r="K7" s="14" t="s">
        <v>158</v>
      </c>
      <c r="L7" s="14" t="str">
        <f>_xlfn.CONCAT(F7,"-",G7)</f>
        <v>+58-4127359182</v>
      </c>
      <c r="M7" s="6" t="str">
        <f>H7</f>
        <v>alexisgallego88@gmail.com</v>
      </c>
    </row>
    <row r="8" spans="1:13" ht="14.25" customHeight="1" x14ac:dyDescent="0.3">
      <c r="A8" s="14">
        <v>5</v>
      </c>
      <c r="B8" s="14" t="s">
        <v>197</v>
      </c>
      <c r="C8" s="14" t="s">
        <v>198</v>
      </c>
      <c r="D8" s="14" t="s">
        <v>199</v>
      </c>
      <c r="E8" s="14" t="s">
        <v>200</v>
      </c>
      <c r="F8" s="54" t="str">
        <f>'M-PrefijoCelular'!C4</f>
        <v>+57</v>
      </c>
      <c r="G8" s="14">
        <v>3005544332</v>
      </c>
      <c r="H8" s="104" t="s">
        <v>201</v>
      </c>
      <c r="I8" s="6" t="s">
        <v>202</v>
      </c>
      <c r="J8" s="14">
        <v>3</v>
      </c>
      <c r="K8" s="14" t="s">
        <v>83</v>
      </c>
      <c r="L8" s="14" t="str">
        <f>_xlfn.CONCAT(F8,"-",G8)</f>
        <v>+57-3005544332</v>
      </c>
      <c r="M8" s="6" t="str">
        <f>H8</f>
        <v>kevinmunozsalazar05@gmail.com</v>
      </c>
    </row>
    <row r="13" spans="1:13" ht="14.25" customHeight="1" x14ac:dyDescent="0.3">
      <c r="B13" s="18"/>
    </row>
    <row r="14" spans="1:13" ht="28.5" customHeight="1" x14ac:dyDescent="0.3">
      <c r="A14" s="17"/>
      <c r="B14" s="18" t="s">
        <v>52</v>
      </c>
    </row>
    <row r="15" spans="1:13" ht="28.5" customHeight="1" x14ac:dyDescent="0.3">
      <c r="A15" s="19"/>
      <c r="B15" s="18" t="s">
        <v>53</v>
      </c>
    </row>
    <row r="16" spans="1:13" ht="28.5" customHeight="1" x14ac:dyDescent="0.3">
      <c r="A16" s="20"/>
      <c r="B16" s="18" t="s">
        <v>54</v>
      </c>
    </row>
    <row r="17" spans="1:2" ht="28.5" customHeight="1" x14ac:dyDescent="0.3">
      <c r="A17" s="37"/>
      <c r="B17" s="18" t="s">
        <v>163</v>
      </c>
    </row>
    <row r="18" spans="1:2" ht="28.5" customHeight="1" x14ac:dyDescent="0.3">
      <c r="A18" s="57"/>
      <c r="B18" s="18" t="s">
        <v>164</v>
      </c>
    </row>
    <row r="19" spans="1:2" ht="28.5" customHeight="1" x14ac:dyDescent="0.3">
      <c r="A19" s="21"/>
      <c r="B19" s="18" t="s">
        <v>55</v>
      </c>
    </row>
    <row r="20" spans="1:2" ht="28.8" x14ac:dyDescent="0.3">
      <c r="A20" s="58"/>
      <c r="B20" s="18" t="s">
        <v>166</v>
      </c>
    </row>
  </sheetData>
  <hyperlinks>
    <hyperlink ref="A1" location="'Modelo%20de%20Dominio'!A1" display="&lt;&lt;&lt;&lt; Ir al modulo de dominio" xr:uid="{00000000-0004-0000-0900-000000000000}"/>
    <hyperlink ref="B1" location="'Objetos%20de%20Dominio'!A1" display="&lt;&lt;&lt;&lt; Ir a objetos de dominio" xr:uid="{00000000-0004-0000-0900-000001000000}"/>
    <hyperlink ref="F3" location="'M-PrefijoCelular'!A1" display="prefijoCelular" xr:uid="{00000000-0004-0000-0900-000002000000}"/>
    <hyperlink ref="F4" location="'M-PrefijoCelular'!A4" display="'M-PrefijoCelular'!A4" xr:uid="{00000000-0004-0000-0900-000003000000}"/>
    <hyperlink ref="F5" location="'M-PrefijoCelular'!A4" display="'M-PrefijoCelular'!A4" xr:uid="{00000000-0004-0000-0900-000004000000}"/>
    <hyperlink ref="F6" location="'M-PrefijoCelular'!A4" display="'M-PrefijoCelular'!A4" xr:uid="{00000000-0004-0000-0900-000005000000}"/>
    <hyperlink ref="F7" location="'M-PrefijoCelular'!A7" display="'M-PrefijoCelular'!A7" xr:uid="{00000000-0004-0000-0900-000006000000}"/>
    <hyperlink ref="F8" location="'M-PrefijoCelular'!A4" display="'M-PrefijoCelular'!A4" xr:uid="{00000000-0004-0000-0900-000007000000}"/>
    <hyperlink ref="H4" r:id="rId1" xr:uid="{D8CC3D45-6E2E-4F9D-A597-1F3F9D489522}"/>
    <hyperlink ref="H5" r:id="rId2" xr:uid="{0E6DB6D2-3A63-4090-9C5D-EAEBCFD38F6D}"/>
    <hyperlink ref="H6" r:id="rId3" xr:uid="{25929B42-F1CB-4315-B102-A4537AC8684A}"/>
    <hyperlink ref="H7" r:id="rId4" xr:uid="{AD85821D-8D20-45D3-8293-3FA10E8D4F43}"/>
    <hyperlink ref="H8" r:id="rId5" xr:uid="{F64A2FDC-8E88-4857-9FBA-8900C0E9C964}"/>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0"/>
  <sheetViews>
    <sheetView zoomScale="130" zoomScaleNormal="130" workbookViewId="0">
      <selection activeCell="B6" sqref="B6"/>
    </sheetView>
  </sheetViews>
  <sheetFormatPr baseColWidth="10" defaultColWidth="10.6640625" defaultRowHeight="14.4" x14ac:dyDescent="0.3"/>
  <cols>
    <col min="1" max="1" width="27" customWidth="1"/>
    <col min="2" max="2" width="26.109375" customWidth="1"/>
    <col min="3" max="3" width="15.6640625" customWidth="1"/>
    <col min="4" max="4" width="17.44140625" customWidth="1"/>
    <col min="5" max="5" width="35.44140625" customWidth="1"/>
  </cols>
  <sheetData>
    <row r="1" spans="1:5" ht="14.25" customHeight="1" x14ac:dyDescent="0.3">
      <c r="A1" s="1" t="s">
        <v>1</v>
      </c>
      <c r="B1" s="1" t="s">
        <v>37</v>
      </c>
    </row>
    <row r="2" spans="1:5" ht="37.5" customHeight="1" x14ac:dyDescent="0.3">
      <c r="A2" s="59" t="s">
        <v>38</v>
      </c>
      <c r="B2" s="59" t="s">
        <v>203</v>
      </c>
      <c r="C2" s="59" t="s">
        <v>204</v>
      </c>
      <c r="D2" s="59" t="s">
        <v>205</v>
      </c>
      <c r="E2" s="59" t="s">
        <v>206</v>
      </c>
    </row>
    <row r="3" spans="1:5" ht="23.25" customHeight="1" x14ac:dyDescent="0.3">
      <c r="A3" s="11" t="s">
        <v>41</v>
      </c>
      <c r="B3" s="61" t="s">
        <v>207</v>
      </c>
      <c r="C3" s="62" t="s">
        <v>208</v>
      </c>
      <c r="D3" s="63" t="s">
        <v>209</v>
      </c>
      <c r="E3" s="64" t="s">
        <v>113</v>
      </c>
    </row>
    <row r="4" spans="1:5" ht="14.25" customHeight="1" x14ac:dyDescent="0.3">
      <c r="A4" s="14">
        <v>1</v>
      </c>
      <c r="B4" s="65" t="str">
        <f>'M-DiaSemana'!C4</f>
        <v>Lunes</v>
      </c>
      <c r="C4" s="66">
        <v>0.375</v>
      </c>
      <c r="D4" s="66">
        <v>0.79166666666666696</v>
      </c>
      <c r="E4" s="14" t="str">
        <f t="shared" ref="E4:E10" si="0">_xlfn.CONCAT(B4,"-",TEXT(C4,"hh:mm"),"-",TEXT(D4,"hh:mm"))</f>
        <v>Lunes-09:00-19:00</v>
      </c>
    </row>
    <row r="5" spans="1:5" ht="14.25" customHeight="1" x14ac:dyDescent="0.3">
      <c r="A5" s="14">
        <v>2</v>
      </c>
      <c r="B5" s="65" t="str">
        <f>'M-DiaSemana'!C5</f>
        <v>Martes</v>
      </c>
      <c r="C5" s="66">
        <v>0.375</v>
      </c>
      <c r="D5" s="66">
        <v>0.79166666666666696</v>
      </c>
      <c r="E5" s="14" t="str">
        <f t="shared" si="0"/>
        <v>Martes-09:00-19:00</v>
      </c>
    </row>
    <row r="6" spans="1:5" ht="14.25" customHeight="1" x14ac:dyDescent="0.3">
      <c r="A6" s="14">
        <v>3</v>
      </c>
      <c r="B6" s="65" t="str">
        <f>'M-DiaSemana'!C6</f>
        <v>Miércoles</v>
      </c>
      <c r="C6" s="66">
        <v>0.375</v>
      </c>
      <c r="D6" s="66">
        <v>0.79166666666666696</v>
      </c>
      <c r="E6" s="14" t="str">
        <f t="shared" si="0"/>
        <v>Miércoles-09:00-19:00</v>
      </c>
    </row>
    <row r="7" spans="1:5" ht="14.25" customHeight="1" x14ac:dyDescent="0.3">
      <c r="A7" s="14">
        <v>4</v>
      </c>
      <c r="B7" s="65" t="str">
        <f>'M-DiaSemana'!C7</f>
        <v>Jueves</v>
      </c>
      <c r="C7" s="66">
        <v>0.375</v>
      </c>
      <c r="D7" s="66">
        <v>0.79166666666666696</v>
      </c>
      <c r="E7" s="14" t="str">
        <f t="shared" si="0"/>
        <v>Jueves-09:00-19:00</v>
      </c>
    </row>
    <row r="8" spans="1:5" ht="14.25" customHeight="1" x14ac:dyDescent="0.3">
      <c r="A8" s="14">
        <v>5</v>
      </c>
      <c r="B8" s="65" t="str">
        <f>'M-DiaSemana'!C8</f>
        <v>Viernes</v>
      </c>
      <c r="C8" s="66">
        <v>0.375</v>
      </c>
      <c r="D8" s="66">
        <v>0.79166666666666696</v>
      </c>
      <c r="E8" s="14" t="str">
        <f t="shared" si="0"/>
        <v>Viernes-09:00-19:00</v>
      </c>
    </row>
    <row r="9" spans="1:5" ht="14.25" customHeight="1" x14ac:dyDescent="0.3">
      <c r="A9" s="14">
        <v>6</v>
      </c>
      <c r="B9" s="65" t="str">
        <f>'M-DiaSemana'!C9</f>
        <v>Sábado</v>
      </c>
      <c r="C9" s="67">
        <v>0.33333333333333298</v>
      </c>
      <c r="D9" s="66">
        <v>0.875</v>
      </c>
      <c r="E9" s="14" t="str">
        <f t="shared" si="0"/>
        <v>Sábado-08:00-21:00</v>
      </c>
    </row>
    <row r="10" spans="1:5" ht="14.25" customHeight="1" x14ac:dyDescent="0.3">
      <c r="A10" s="14">
        <v>7</v>
      </c>
      <c r="B10" s="65" t="str">
        <f>'M-DiaSemana'!C11</f>
        <v>Festivo</v>
      </c>
      <c r="C10" s="66">
        <v>0.41666666666666702</v>
      </c>
      <c r="D10" s="66">
        <v>0.625</v>
      </c>
      <c r="E10" s="14" t="str">
        <f t="shared" si="0"/>
        <v>Festivo-10:00-15:00</v>
      </c>
    </row>
    <row r="16" spans="1:5" ht="28.5" customHeight="1" x14ac:dyDescent="0.3">
      <c r="A16" s="17"/>
      <c r="B16" s="18" t="s">
        <v>52</v>
      </c>
    </row>
    <row r="17" spans="1:2" ht="28.5" customHeight="1" x14ac:dyDescent="0.3">
      <c r="A17" s="19"/>
      <c r="B17" s="18" t="s">
        <v>53</v>
      </c>
    </row>
    <row r="18" spans="1:2" ht="28.5" customHeight="1" x14ac:dyDescent="0.3">
      <c r="A18" s="37"/>
      <c r="B18" s="18" t="s">
        <v>163</v>
      </c>
    </row>
    <row r="19" spans="1:2" ht="28.5" customHeight="1" x14ac:dyDescent="0.3">
      <c r="A19" s="68"/>
      <c r="B19" s="18" t="s">
        <v>210</v>
      </c>
    </row>
    <row r="20" spans="1:2" ht="28.5" customHeight="1" x14ac:dyDescent="0.3">
      <c r="A20" s="21"/>
      <c r="B20" s="18" t="s">
        <v>55</v>
      </c>
    </row>
  </sheetData>
  <hyperlinks>
    <hyperlink ref="A1" location="'Modelo%20de%20Dominio'!A1" display="&lt;&lt;&lt;&lt; Ir al modulo de dominio" xr:uid="{00000000-0004-0000-0A00-000000000000}"/>
    <hyperlink ref="B1" location="'Objetos%20de%20Dominio'!A1" display="&lt;&lt;&lt;&lt; Ir a objetos de dominio" xr:uid="{00000000-0004-0000-0A00-000001000000}"/>
    <hyperlink ref="B3" location="'M-DiaSemana'!A1" display="diaDeLaSemana" xr:uid="{00000000-0004-0000-0A00-000002000000}"/>
    <hyperlink ref="B4" location="'M-DiaSemana'!A4" display="'M-DiaSemana'!A4" xr:uid="{00000000-0004-0000-0A00-000003000000}"/>
    <hyperlink ref="B5" location="'M-DiaSemana'!A5" display="'M-DiaSemana'!A5" xr:uid="{00000000-0004-0000-0A00-000004000000}"/>
    <hyperlink ref="B6" location="'M-DiaSemana'!A6" display="'M-DiaSemana'!A6" xr:uid="{00000000-0004-0000-0A00-000005000000}"/>
    <hyperlink ref="B7" location="'M-DiaSemana'!A7" display="'M-DiaSemana'!A7" xr:uid="{00000000-0004-0000-0A00-000006000000}"/>
    <hyperlink ref="B8" location="'M-DiaSemana'!A8" display="'M-DiaSemana'!A8" xr:uid="{00000000-0004-0000-0A00-000007000000}"/>
    <hyperlink ref="B9" location="'M-DiaSemana'!A9" display="'M-DiaSemana'!A9" xr:uid="{00000000-0004-0000-0A00-000008000000}"/>
    <hyperlink ref="B10" location="'M-DiaSemana'!A11" display="'M-DiaSemana'!A11" xr:uid="{00000000-0004-0000-0A00-000009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2"/>
  <sheetViews>
    <sheetView topLeftCell="C1" zoomScale="130" zoomScaleNormal="130" workbookViewId="0">
      <selection activeCell="A4" sqref="A4"/>
    </sheetView>
  </sheetViews>
  <sheetFormatPr baseColWidth="10" defaultColWidth="10.6640625" defaultRowHeight="14.4" x14ac:dyDescent="0.3"/>
  <cols>
    <col min="1" max="1" width="27" customWidth="1"/>
    <col min="2" max="2" width="26.109375" customWidth="1"/>
    <col min="3" max="3" width="42" customWidth="1"/>
    <col min="4" max="4" width="40.33203125" customWidth="1"/>
    <col min="5" max="5" width="38.77734375" customWidth="1"/>
    <col min="6" max="6" width="35.6640625" customWidth="1"/>
    <col min="7" max="7" width="56.88671875" customWidth="1"/>
  </cols>
  <sheetData>
    <row r="1" spans="1:7" ht="14.25" customHeight="1" x14ac:dyDescent="0.3">
      <c r="A1" s="1" t="s">
        <v>1</v>
      </c>
      <c r="B1" s="1" t="s">
        <v>37</v>
      </c>
    </row>
    <row r="2" spans="1:7" ht="49.2" x14ac:dyDescent="0.3">
      <c r="A2" s="27" t="s">
        <v>38</v>
      </c>
      <c r="B2" s="69" t="s">
        <v>211</v>
      </c>
      <c r="C2" s="27" t="s">
        <v>212</v>
      </c>
      <c r="D2" s="27" t="s">
        <v>288</v>
      </c>
      <c r="E2" s="27" t="s">
        <v>213</v>
      </c>
      <c r="F2" s="27" t="s">
        <v>214</v>
      </c>
      <c r="G2" s="28" t="s">
        <v>215</v>
      </c>
    </row>
    <row r="3" spans="1:7" ht="14.25" customHeight="1" x14ac:dyDescent="0.3">
      <c r="A3" s="42" t="s">
        <v>41</v>
      </c>
      <c r="B3" s="70" t="s">
        <v>216</v>
      </c>
      <c r="C3" s="70" t="s">
        <v>217</v>
      </c>
      <c r="D3" s="71" t="s">
        <v>218</v>
      </c>
      <c r="E3" s="71" t="s">
        <v>219</v>
      </c>
      <c r="F3" s="72" t="s">
        <v>135</v>
      </c>
      <c r="G3" s="73" t="s">
        <v>113</v>
      </c>
    </row>
    <row r="4" spans="1:7" ht="14.25" customHeight="1" x14ac:dyDescent="0.3">
      <c r="A4" s="14">
        <v>1</v>
      </c>
      <c r="B4" s="54" t="str">
        <f>_xlfn.CONCAT('M-Barbero'!B4," ",'M-Barbero'!D4)</f>
        <v>Juan García</v>
      </c>
      <c r="C4" s="54" t="str">
        <f>'M-Servicio'!B4</f>
        <v>Motilada</v>
      </c>
      <c r="D4" s="56">
        <v>45</v>
      </c>
      <c r="E4" s="56">
        <v>15</v>
      </c>
      <c r="F4" s="56" t="s">
        <v>83</v>
      </c>
      <c r="G4" s="14" t="str">
        <f t="shared" ref="G4:G12" si="0">_xlfn.CONCAT(B4,"-",C4)</f>
        <v>Juan García-Motilada</v>
      </c>
    </row>
    <row r="5" spans="1:7" ht="14.25" customHeight="1" x14ac:dyDescent="0.3">
      <c r="A5" s="14">
        <v>2</v>
      </c>
      <c r="B5" s="54" t="str">
        <f>_xlfn.CONCAT('M-Barbero'!B5," ",'M-Barbero'!D5)</f>
        <v>Juan Ortiz</v>
      </c>
      <c r="C5" s="54" t="str">
        <f>'M-Servicio'!B5</f>
        <v>Corte de barba</v>
      </c>
      <c r="D5" s="56">
        <v>10</v>
      </c>
      <c r="E5" s="56">
        <v>5</v>
      </c>
      <c r="F5" s="56" t="s">
        <v>83</v>
      </c>
      <c r="G5" s="14" t="str">
        <f t="shared" si="0"/>
        <v>Juan Ortiz-Corte de barba</v>
      </c>
    </row>
    <row r="6" spans="1:7" ht="14.25" customHeight="1" x14ac:dyDescent="0.3">
      <c r="A6" s="14">
        <v>3</v>
      </c>
      <c r="B6" s="54" t="str">
        <f>_xlfn.CONCAT('M-Barbero'!B6," ",'M-Barbero'!D6)</f>
        <v>Carlos Arbeladez</v>
      </c>
      <c r="C6" s="54" t="str">
        <f>'M-Servicio'!B6</f>
        <v>Perfilada de barba</v>
      </c>
      <c r="D6" s="56">
        <v>15</v>
      </c>
      <c r="E6" s="56">
        <v>5</v>
      </c>
      <c r="F6" s="56" t="s">
        <v>83</v>
      </c>
      <c r="G6" s="14" t="str">
        <f t="shared" si="0"/>
        <v>Carlos Arbeladez-Perfilada de barba</v>
      </c>
    </row>
    <row r="7" spans="1:7" ht="14.25" customHeight="1" x14ac:dyDescent="0.3">
      <c r="A7" s="14">
        <v>4</v>
      </c>
      <c r="B7" s="54" t="str">
        <f>_xlfn.CONCAT('M-Barbero'!B7," ",'M-Barbero'!D7)</f>
        <v>Andres Ramirez</v>
      </c>
      <c r="C7" s="54" t="str">
        <f>'M-Servicio'!B7</f>
        <v>Arreglo completo de barba con toalla caliente</v>
      </c>
      <c r="D7" s="56">
        <v>40</v>
      </c>
      <c r="E7" s="56">
        <v>10</v>
      </c>
      <c r="F7" s="56" t="s">
        <v>83</v>
      </c>
      <c r="G7" s="14" t="str">
        <f t="shared" si="0"/>
        <v>Andres Ramirez-Arreglo completo de barba con toalla caliente</v>
      </c>
    </row>
    <row r="8" spans="1:7" ht="14.25" customHeight="1" x14ac:dyDescent="0.3">
      <c r="A8" s="14">
        <v>5</v>
      </c>
      <c r="B8" s="54" t="str">
        <f>_xlfn.CONCAT('M-Barbero'!B5," ",'M-Barbero'!D5)</f>
        <v>Juan Ortiz</v>
      </c>
      <c r="C8" s="54" t="str">
        <f>'M-Servicio'!B4</f>
        <v>Motilada</v>
      </c>
      <c r="D8" s="56">
        <v>40</v>
      </c>
      <c r="E8" s="56">
        <v>10</v>
      </c>
      <c r="F8" s="56" t="s">
        <v>83</v>
      </c>
      <c r="G8" s="14" t="str">
        <f t="shared" si="0"/>
        <v>Juan Ortiz-Motilada</v>
      </c>
    </row>
    <row r="9" spans="1:7" ht="14.25" customHeight="1" x14ac:dyDescent="0.3">
      <c r="A9" s="14">
        <v>6</v>
      </c>
      <c r="B9" s="54" t="str">
        <f>_xlfn.CONCAT('M-Barbero'!B6," ",'M-Barbero'!D6)</f>
        <v>Carlos Arbeladez</v>
      </c>
      <c r="C9" s="54" t="str">
        <f>'M-Servicio'!B5</f>
        <v>Corte de barba</v>
      </c>
      <c r="D9" s="56">
        <v>15</v>
      </c>
      <c r="E9" s="56">
        <v>5</v>
      </c>
      <c r="F9" s="56" t="s">
        <v>83</v>
      </c>
      <c r="G9" s="14" t="str">
        <f t="shared" si="0"/>
        <v>Carlos Arbeladez-Corte de barba</v>
      </c>
    </row>
    <row r="10" spans="1:7" ht="14.25" customHeight="1" x14ac:dyDescent="0.3">
      <c r="A10" s="14">
        <v>7</v>
      </c>
      <c r="B10" s="54" t="str">
        <f>_xlfn.CONCAT('M-Barbero'!B4," ",'M-Barbero'!D4)</f>
        <v>Juan García</v>
      </c>
      <c r="C10" s="54" t="str">
        <f>'M-Servicio'!B6</f>
        <v>Perfilada de barba</v>
      </c>
      <c r="D10" s="56">
        <v>20</v>
      </c>
      <c r="E10" s="56">
        <v>5</v>
      </c>
      <c r="F10" s="56" t="s">
        <v>83</v>
      </c>
      <c r="G10" s="14" t="str">
        <f t="shared" si="0"/>
        <v>Juan García-Perfilada de barba</v>
      </c>
    </row>
    <row r="11" spans="1:7" ht="14.25" customHeight="1" x14ac:dyDescent="0.3">
      <c r="A11" s="14">
        <v>8</v>
      </c>
      <c r="B11" s="54" t="str">
        <f>_xlfn.CONCAT('M-Barbero'!B7," ",'M-Barbero'!D7)</f>
        <v>Andres Ramirez</v>
      </c>
      <c r="C11" s="54" t="str">
        <f>'M-Servicio'!B4</f>
        <v>Motilada</v>
      </c>
      <c r="D11" s="56">
        <v>50</v>
      </c>
      <c r="E11" s="56">
        <v>15</v>
      </c>
      <c r="F11" s="56" t="s">
        <v>83</v>
      </c>
      <c r="G11" s="14" t="str">
        <f t="shared" si="0"/>
        <v>Andres Ramirez-Motilada</v>
      </c>
    </row>
    <row r="12" spans="1:7" ht="14.25" customHeight="1" x14ac:dyDescent="0.3">
      <c r="A12" s="14">
        <v>9</v>
      </c>
      <c r="B12" s="54" t="str">
        <f>_xlfn.CONCAT('M-Barbero'!B8," ",'M-Barbero'!D8)</f>
        <v>Juan Zambrano</v>
      </c>
      <c r="C12" s="54" t="str">
        <f>'M-Servicio'!B5</f>
        <v>Corte de barba</v>
      </c>
      <c r="D12" s="56">
        <v>12</v>
      </c>
      <c r="E12" s="56">
        <v>5</v>
      </c>
      <c r="F12" s="56" t="s">
        <v>83</v>
      </c>
      <c r="G12" s="14" t="str">
        <f t="shared" si="0"/>
        <v>Juan Zambrano-Corte de barba</v>
      </c>
    </row>
    <row r="18" spans="1:2" ht="28.8" x14ac:dyDescent="0.3">
      <c r="A18" s="17"/>
      <c r="B18" s="18" t="s">
        <v>52</v>
      </c>
    </row>
    <row r="19" spans="1:2" ht="28.8" x14ac:dyDescent="0.3">
      <c r="A19" s="19"/>
      <c r="B19" s="18" t="s">
        <v>53</v>
      </c>
    </row>
    <row r="20" spans="1:2" ht="28.8" x14ac:dyDescent="0.3">
      <c r="A20" s="37"/>
      <c r="B20" s="18" t="s">
        <v>163</v>
      </c>
    </row>
    <row r="21" spans="1:2" ht="28.8" x14ac:dyDescent="0.3">
      <c r="A21" s="68"/>
      <c r="B21" s="18" t="s">
        <v>210</v>
      </c>
    </row>
    <row r="22" spans="1:2" ht="28.8" x14ac:dyDescent="0.3">
      <c r="A22" s="21"/>
      <c r="B22" s="18" t="s">
        <v>55</v>
      </c>
    </row>
  </sheetData>
  <hyperlinks>
    <hyperlink ref="A1" location="'Modelo%20de%20Dominio'!A1" display="&lt;&lt;&lt;&lt; Ir al modulo de dominio" xr:uid="{00000000-0004-0000-0B00-000000000000}"/>
    <hyperlink ref="B1" location="'Objetos%20de%20Dominio'!A1" display="&lt;&lt;&lt;&lt; Ir a objetos de dominio" xr:uid="{00000000-0004-0000-0B00-000001000000}"/>
    <hyperlink ref="B3" location="'M-Barbero'!A1" display="barbero" xr:uid="{00000000-0004-0000-0B00-000002000000}"/>
    <hyperlink ref="C3" location="'M-Servicio'!A1" display="servicio" xr:uid="{00000000-0004-0000-0B00-000003000000}"/>
    <hyperlink ref="B4" location="'M-Barbero'!A4" display="'M-Barbero'!A4" xr:uid="{00000000-0004-0000-0B00-000004000000}"/>
    <hyperlink ref="C4" location="'M-Servicio'!A4" display="'M-Servicio'!A4" xr:uid="{00000000-0004-0000-0B00-000005000000}"/>
    <hyperlink ref="B5" location="'M-Barbero'!A5" display="'M-Barbero'!A5" xr:uid="{00000000-0004-0000-0B00-000006000000}"/>
    <hyperlink ref="C5" location="'M-Servicio'!A5" display="'M-Servicio'!A5" xr:uid="{00000000-0004-0000-0B00-000007000000}"/>
    <hyperlink ref="B6" location="'M-Barbero'!A6" display="'M-Barbero'!A6" xr:uid="{00000000-0004-0000-0B00-000008000000}"/>
    <hyperlink ref="C6" location="'M-Servicio'!A6" display="'M-Servicio'!A6" xr:uid="{00000000-0004-0000-0B00-000009000000}"/>
    <hyperlink ref="B7" location="'M-Barbero'!A7" display="'M-Barbero'!A7" xr:uid="{00000000-0004-0000-0B00-00000A000000}"/>
    <hyperlink ref="C7" location="'M-Servicio'!A7" display="'M-Servicio'!A7" xr:uid="{00000000-0004-0000-0B00-00000B000000}"/>
    <hyperlink ref="B8" location="'M-Barbero'!A5" display="'M-Barbero'!A5" xr:uid="{00000000-0004-0000-0B00-00000C000000}"/>
    <hyperlink ref="C8" location="'M-Servicio'!A4" display="'M-Servicio'!A4" xr:uid="{00000000-0004-0000-0B00-00000D000000}"/>
    <hyperlink ref="B9" location="'M-Barbero'!A6" display="'M-Barbero'!A6" xr:uid="{00000000-0004-0000-0B00-00000E000000}"/>
    <hyperlink ref="C9" location="'M-Servicio'!A5" display="'M-Servicio'!A5" xr:uid="{00000000-0004-0000-0B00-00000F000000}"/>
    <hyperlink ref="B10" location="'M-Barbero'!A4" display="'M-Barbero'!A4" xr:uid="{00000000-0004-0000-0B00-000010000000}"/>
    <hyperlink ref="C10" location="'M-Servicio'!A6" display="'M-Servicio'!A6" xr:uid="{00000000-0004-0000-0B00-000011000000}"/>
    <hyperlink ref="B11" location="'M-Barbero'!A7" display="'M-Barbero'!A7" xr:uid="{00000000-0004-0000-0B00-000012000000}"/>
    <hyperlink ref="C11" location="'M-Servicio'!A4" display="'M-Servicio'!A4" xr:uid="{00000000-0004-0000-0B00-000013000000}"/>
    <hyperlink ref="B12" location="'M-Barbero'!A8" display="'M-Barbero'!A8" xr:uid="{00000000-0004-0000-0B00-000014000000}"/>
    <hyperlink ref="C12" location="'M-Servicio'!A5" display="'M-Servicio'!A5" xr:uid="{00000000-0004-0000-0B00-000015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1"/>
  <sheetViews>
    <sheetView topLeftCell="D1" zoomScale="115" zoomScaleNormal="115" workbookViewId="0">
      <selection activeCell="F3" sqref="F3"/>
    </sheetView>
  </sheetViews>
  <sheetFormatPr baseColWidth="10" defaultColWidth="10.6640625" defaultRowHeight="14.4" x14ac:dyDescent="0.3"/>
  <cols>
    <col min="1" max="1" width="27" customWidth="1"/>
    <col min="2" max="2" width="26.109375" customWidth="1"/>
    <col min="3" max="3" width="20.5546875" customWidth="1"/>
    <col min="4" max="4" width="24.44140625" customWidth="1"/>
    <col min="5" max="5" width="38.44140625" customWidth="1"/>
    <col min="6" max="6" width="26.44140625" customWidth="1"/>
    <col min="7" max="7" width="27.44140625" customWidth="1"/>
    <col min="8" max="8" width="26" customWidth="1"/>
    <col min="9" max="9" width="41.44140625" customWidth="1"/>
  </cols>
  <sheetData>
    <row r="1" spans="1:9" ht="14.25" customHeight="1" x14ac:dyDescent="0.3">
      <c r="A1" s="1" t="s">
        <v>1</v>
      </c>
      <c r="B1" s="1" t="s">
        <v>37</v>
      </c>
      <c r="C1" s="47"/>
      <c r="D1" s="47"/>
      <c r="E1" s="47"/>
      <c r="F1" s="47"/>
      <c r="G1" s="47"/>
      <c r="H1" s="47"/>
    </row>
    <row r="2" spans="1:9" ht="58.5" customHeight="1" x14ac:dyDescent="0.3">
      <c r="A2" s="27" t="s">
        <v>38</v>
      </c>
      <c r="B2" s="27" t="s">
        <v>289</v>
      </c>
      <c r="C2" s="27" t="s">
        <v>290</v>
      </c>
      <c r="D2" s="27" t="s">
        <v>291</v>
      </c>
      <c r="E2" s="27" t="s">
        <v>292</v>
      </c>
      <c r="F2" s="27" t="s">
        <v>220</v>
      </c>
      <c r="G2" s="27" t="s">
        <v>221</v>
      </c>
      <c r="H2" s="27" t="s">
        <v>222</v>
      </c>
      <c r="I2" s="28" t="s">
        <v>293</v>
      </c>
    </row>
    <row r="3" spans="1:9" ht="14.25" customHeight="1" x14ac:dyDescent="0.3">
      <c r="A3" s="42" t="s">
        <v>41</v>
      </c>
      <c r="B3" s="70" t="s">
        <v>216</v>
      </c>
      <c r="C3" s="70" t="s">
        <v>223</v>
      </c>
      <c r="D3" s="74" t="s">
        <v>224</v>
      </c>
      <c r="E3" s="74" t="s">
        <v>225</v>
      </c>
      <c r="F3" s="75" t="s">
        <v>226</v>
      </c>
      <c r="G3" s="75" t="s">
        <v>227</v>
      </c>
      <c r="H3" s="72" t="s">
        <v>135</v>
      </c>
      <c r="I3" s="33" t="s">
        <v>113</v>
      </c>
    </row>
    <row r="4" spans="1:9" ht="28.5" customHeight="1" x14ac:dyDescent="0.3">
      <c r="A4" s="14">
        <v>1</v>
      </c>
      <c r="B4" s="76" t="str">
        <f>'M-Barbero'!K4</f>
        <v>+57-3245627890</v>
      </c>
      <c r="C4" s="76" t="str">
        <f>'M-HorarioBarberia'!E4</f>
        <v>Lunes-09:00-19:00</v>
      </c>
      <c r="D4" s="66">
        <v>0.41666666666666702</v>
      </c>
      <c r="E4" s="66">
        <v>0.66666666666666696</v>
      </c>
      <c r="F4" s="77">
        <v>45780</v>
      </c>
      <c r="G4" s="77" t="s">
        <v>228</v>
      </c>
      <c r="H4" s="66" t="s">
        <v>83</v>
      </c>
      <c r="I4" s="24" t="str">
        <f>_xlfn.CONCAT(B4,"-",C4,"-",TEXT(D4,"hh:mm"),"-",TEXT(E4,"hh:mm"))</f>
        <v>+57-3245627890-Lunes-09:00-19:00-10:00-16:00</v>
      </c>
    </row>
    <row r="5" spans="1:9" ht="28.5" customHeight="1" x14ac:dyDescent="0.3">
      <c r="A5" s="14">
        <v>2</v>
      </c>
      <c r="B5" s="76" t="str">
        <f>'M-Barbero'!K5</f>
        <v>+57-3124518923</v>
      </c>
      <c r="C5" s="76" t="str">
        <f>'M-HorarioBarberia'!E5</f>
        <v>Martes-09:00-19:00</v>
      </c>
      <c r="D5" s="66">
        <v>0.375</v>
      </c>
      <c r="E5" s="66">
        <v>0.625</v>
      </c>
      <c r="F5" s="77">
        <v>45718</v>
      </c>
      <c r="G5" s="77" t="s">
        <v>228</v>
      </c>
      <c r="H5" s="66" t="s">
        <v>83</v>
      </c>
      <c r="I5" s="24" t="str">
        <f>_xlfn.CONCAT(B5,"-",C5,"-",TEXT(D5,"hh:mm"),"-",TEXT(E5,"hh:mm"))</f>
        <v>+57-3124518923-Martes-09:00-19:00-09:00-15:00</v>
      </c>
    </row>
    <row r="6" spans="1:9" ht="28.5" customHeight="1" x14ac:dyDescent="0.3">
      <c r="A6" s="14">
        <v>3</v>
      </c>
      <c r="B6" s="76" t="str">
        <f>'M-Barbero'!K6</f>
        <v>+57-3214533321</v>
      </c>
      <c r="C6" s="76" t="str">
        <f>'M-HorarioBarberia'!E7</f>
        <v>Jueves-09:00-19:00</v>
      </c>
      <c r="D6" s="66">
        <v>0.54166666666666696</v>
      </c>
      <c r="E6" s="66">
        <v>0.79166666666666696</v>
      </c>
      <c r="F6" s="77">
        <v>44917</v>
      </c>
      <c r="G6" s="78" t="s">
        <v>228</v>
      </c>
      <c r="H6" s="66" t="s">
        <v>83</v>
      </c>
      <c r="I6" s="24" t="str">
        <f>_xlfn.CONCAT(B6,"-",C6,"-",TEXT(D6,"hh:mm"),"-",TEXT(E6,"hh:mm"))</f>
        <v>+57-3214533321-Jueves-09:00-19:00-13:00-19:00</v>
      </c>
    </row>
    <row r="7" spans="1:9" ht="28.5" customHeight="1" x14ac:dyDescent="0.3">
      <c r="A7" s="14">
        <v>4</v>
      </c>
      <c r="B7" s="76" t="str">
        <f>'M-Barbero'!K7</f>
        <v>+91-9876543210</v>
      </c>
      <c r="C7" s="76" t="str">
        <f>'M-HorarioBarberia'!E9</f>
        <v>Sábado-08:00-21:00</v>
      </c>
      <c r="D7" s="66">
        <v>0.33333333333333298</v>
      </c>
      <c r="E7" s="66">
        <v>0.58333333333333304</v>
      </c>
      <c r="F7" s="79">
        <v>45915</v>
      </c>
      <c r="G7" s="77">
        <v>46023</v>
      </c>
      <c r="H7" s="80" t="s">
        <v>158</v>
      </c>
      <c r="I7" s="24" t="str">
        <f>_xlfn.CONCAT(B7,"-",C7,"-",TEXT(D7,"hh:mm"),"-",TEXT(E7,"hh:mm"))</f>
        <v>+91-9876543210-Sábado-08:00-21:00-08:00-14:00</v>
      </c>
    </row>
    <row r="8" spans="1:9" ht="28.5" customHeight="1" x14ac:dyDescent="0.3">
      <c r="A8" s="14">
        <v>5</v>
      </c>
      <c r="B8" s="76" t="str">
        <f>'M-Barbero'!K7</f>
        <v>+91-9876543210</v>
      </c>
      <c r="C8" s="76" t="str">
        <f>'M-HorarioBarberia'!E10</f>
        <v>Festivo-10:00-15:00</v>
      </c>
      <c r="D8" s="66">
        <v>0.5</v>
      </c>
      <c r="E8" s="66">
        <v>0.625</v>
      </c>
      <c r="F8" s="79">
        <v>46054</v>
      </c>
      <c r="G8" s="77">
        <v>46083</v>
      </c>
      <c r="H8" s="80" t="s">
        <v>158</v>
      </c>
      <c r="I8" s="24" t="str">
        <f>_xlfn.CONCAT(B8,"-",C8,"-",TEXT(D8,"hh:mm"),"-",TEXT(E8,"hh:mm"))</f>
        <v>+91-9876543210-Festivo-10:00-15:00-12:00-15:00</v>
      </c>
    </row>
    <row r="10" spans="1:9" ht="14.25" customHeight="1" x14ac:dyDescent="0.3">
      <c r="G10" s="81"/>
    </row>
    <row r="14" spans="1:9" ht="28.5" customHeight="1" x14ac:dyDescent="0.3">
      <c r="A14" s="17"/>
      <c r="B14" s="18" t="s">
        <v>52</v>
      </c>
      <c r="C14" s="18"/>
    </row>
    <row r="15" spans="1:9" ht="28.5" customHeight="1" x14ac:dyDescent="0.3">
      <c r="A15" s="19"/>
      <c r="B15" s="18" t="s">
        <v>53</v>
      </c>
      <c r="C15" s="18"/>
    </row>
    <row r="16" spans="1:9" ht="28.5" customHeight="1" x14ac:dyDescent="0.3">
      <c r="A16" s="37"/>
      <c r="B16" s="18" t="s">
        <v>163</v>
      </c>
      <c r="C16" s="18"/>
    </row>
    <row r="17" spans="1:3" ht="28.5" customHeight="1" x14ac:dyDescent="0.3">
      <c r="A17" s="38"/>
      <c r="B17" s="18" t="s">
        <v>54</v>
      </c>
      <c r="C17" s="18"/>
    </row>
    <row r="18" spans="1:3" ht="28.5" customHeight="1" x14ac:dyDescent="0.3">
      <c r="A18" s="68"/>
      <c r="B18" s="18" t="s">
        <v>210</v>
      </c>
      <c r="C18" s="18"/>
    </row>
    <row r="19" spans="1:3" ht="28.5" customHeight="1" x14ac:dyDescent="0.3">
      <c r="A19" s="82"/>
      <c r="B19" s="18" t="s">
        <v>229</v>
      </c>
      <c r="C19" s="18"/>
    </row>
    <row r="20" spans="1:3" ht="28.5" customHeight="1" x14ac:dyDescent="0.3">
      <c r="A20" s="40"/>
      <c r="B20" s="18" t="s">
        <v>230</v>
      </c>
      <c r="C20" s="18"/>
    </row>
    <row r="21" spans="1:3" ht="28.5" customHeight="1" x14ac:dyDescent="0.3">
      <c r="A21" s="21"/>
      <c r="B21" s="18" t="s">
        <v>55</v>
      </c>
      <c r="C21" s="18"/>
    </row>
  </sheetData>
  <hyperlinks>
    <hyperlink ref="A1" location="'Modelo%20de%20Dominio'!A1" display="&lt;&lt;&lt;&lt; Ir al modulo de dominio" xr:uid="{00000000-0004-0000-0C00-000000000000}"/>
    <hyperlink ref="B1" location="'Objetos%20de%20Dominio'!A1" display="&lt;&lt;&lt;&lt; Ir a objetos de dominio" xr:uid="{00000000-0004-0000-0C00-000001000000}"/>
    <hyperlink ref="B3" location="'M-Barbero'!A1" display="barbero" xr:uid="{00000000-0004-0000-0C00-000002000000}"/>
    <hyperlink ref="C3" location="'M-HorarioBarberia'!A1" display="horarioDeLaBarberia" xr:uid="{00000000-0004-0000-0C00-000003000000}"/>
    <hyperlink ref="B4" location="'M-Barbero'!A4" display="'M-Barbero'!A4" xr:uid="{00000000-0004-0000-0C00-000004000000}"/>
    <hyperlink ref="C4" location="'M-HorarioBarberia'!A4" display="'M-HorarioBarberia'!A4" xr:uid="{00000000-0004-0000-0C00-000005000000}"/>
    <hyperlink ref="B5" location="'M-Barbero'!A5" display="'M-Barbero'!A5" xr:uid="{00000000-0004-0000-0C00-000006000000}"/>
    <hyperlink ref="C5" location="'M-HorarioBarberia'!A5" display="'M-HorarioBarberia'!A5" xr:uid="{00000000-0004-0000-0C00-000007000000}"/>
    <hyperlink ref="B6" location="'M-Barbero'!A6" display="'M-Barbero'!A6" xr:uid="{00000000-0004-0000-0C00-000008000000}"/>
    <hyperlink ref="C6" location="'M-HorarioBarberia'!A7" display="'M-HorarioBarberia'!A7" xr:uid="{00000000-0004-0000-0C00-000009000000}"/>
    <hyperlink ref="B7" location="'M-Barbero'!A7" display="'M-Barbero'!A7" xr:uid="{00000000-0004-0000-0C00-00000A000000}"/>
    <hyperlink ref="C7" location="'M-HorarioBarberia'!A9" display="'M-HorarioBarberia'!A9" xr:uid="{00000000-0004-0000-0C00-00000B000000}"/>
    <hyperlink ref="B8" location="'M-Barbero'!A7" display="'M-Barbero'!A7" xr:uid="{00000000-0004-0000-0C00-00000C000000}"/>
    <hyperlink ref="C8" location="'M-HorarioBarberia'!A10" display="'M-HorarioBarberia'!A10" xr:uid="{00000000-0004-0000-0C00-00000D000000}"/>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9"/>
  <sheetViews>
    <sheetView tabSelected="1" zoomScale="115" zoomScaleNormal="115" workbookViewId="0">
      <selection activeCell="A3" sqref="A3"/>
    </sheetView>
  </sheetViews>
  <sheetFormatPr baseColWidth="10" defaultColWidth="10.6640625" defaultRowHeight="14.4" x14ac:dyDescent="0.3"/>
  <cols>
    <col min="1" max="1" width="25" customWidth="1"/>
    <col min="2" max="2" width="48.44140625" customWidth="1"/>
    <col min="3" max="3" width="33.77734375" bestFit="1" customWidth="1"/>
    <col min="4" max="4" width="64.21875" customWidth="1"/>
  </cols>
  <sheetData>
    <row r="1" spans="1:4" s="110" customFormat="1" ht="14.25" customHeight="1" x14ac:dyDescent="0.3">
      <c r="A1" s="108" t="s">
        <v>1</v>
      </c>
      <c r="B1" s="108" t="s">
        <v>37</v>
      </c>
      <c r="C1" s="109"/>
    </row>
    <row r="2" spans="1:4" ht="36" customHeight="1" x14ac:dyDescent="0.3">
      <c r="A2" s="9" t="s">
        <v>38</v>
      </c>
      <c r="B2" s="9" t="s">
        <v>231</v>
      </c>
      <c r="C2" s="9" t="s">
        <v>232</v>
      </c>
      <c r="D2" s="10" t="s">
        <v>233</v>
      </c>
    </row>
    <row r="3" spans="1:4" ht="14.25" customHeight="1" x14ac:dyDescent="0.3">
      <c r="A3" s="11" t="s">
        <v>41</v>
      </c>
      <c r="B3" s="70" t="s">
        <v>234</v>
      </c>
      <c r="C3" s="75" t="s">
        <v>235</v>
      </c>
      <c r="D3" s="13" t="s">
        <v>43</v>
      </c>
    </row>
    <row r="4" spans="1:4" ht="14.25" customHeight="1" x14ac:dyDescent="0.3">
      <c r="A4" s="14">
        <v>1</v>
      </c>
      <c r="B4" s="54" t="str">
        <f>'M-HorarioBarbero'!I4</f>
        <v>+57-3245627890-Lunes-09:00-19:00-10:00-16:00</v>
      </c>
      <c r="C4" s="111">
        <v>46265</v>
      </c>
      <c r="D4" s="14" t="str">
        <f t="shared" ref="D4:D12" si="0">_xlfn.CONCAT(B4,"-",TEXT(C4,"dd/mm/yyyy"))</f>
        <v>+57-3245627890-Lunes-09:00-19:00-10:00-16:00-31/08/2026</v>
      </c>
    </row>
    <row r="5" spans="1:4" ht="14.25" customHeight="1" x14ac:dyDescent="0.3">
      <c r="A5" s="14">
        <v>2</v>
      </c>
      <c r="B5" s="54" t="str">
        <f>'M-HorarioBarbero'!I5</f>
        <v>+57-3124518923-Martes-09:00-19:00-09:00-15:00</v>
      </c>
      <c r="C5" s="111">
        <v>46091</v>
      </c>
      <c r="D5" s="14" t="str">
        <f t="shared" si="0"/>
        <v>+57-3124518923-Martes-09:00-19:00-09:00-15:00-10/03/2026</v>
      </c>
    </row>
    <row r="6" spans="1:4" ht="14.25" customHeight="1" x14ac:dyDescent="0.3">
      <c r="A6" s="14">
        <v>3</v>
      </c>
      <c r="B6" s="54" t="str">
        <f>'M-HorarioBarbero'!I6</f>
        <v>+57-3214533321-Jueves-09:00-19:00-13:00-19:00</v>
      </c>
      <c r="C6" s="111">
        <v>46156</v>
      </c>
      <c r="D6" s="14" t="str">
        <f t="shared" si="0"/>
        <v>+57-3214533321-Jueves-09:00-19:00-13:00-19:00-14/05/2026</v>
      </c>
    </row>
    <row r="7" spans="1:4" ht="14.25" customHeight="1" x14ac:dyDescent="0.3">
      <c r="A7" s="14">
        <v>4</v>
      </c>
      <c r="B7" s="54" t="str">
        <f>'M-HorarioBarbero'!I8</f>
        <v>+91-9876543210-Festivo-10:00-15:00-12:00-15:00</v>
      </c>
      <c r="C7" s="111">
        <v>46073</v>
      </c>
      <c r="D7" s="14" t="str">
        <f t="shared" si="0"/>
        <v>+91-9876543210-Festivo-10:00-15:00-12:00-15:00-20/02/2026</v>
      </c>
    </row>
    <row r="8" spans="1:4" ht="14.25" customHeight="1" x14ac:dyDescent="0.3">
      <c r="A8" s="14">
        <v>5</v>
      </c>
      <c r="B8" s="54" t="str">
        <f>'M-HorarioBarbero'!I7</f>
        <v>+91-9876543210-Sábado-08:00-21:00-08:00-14:00</v>
      </c>
      <c r="C8" s="111">
        <v>45983</v>
      </c>
      <c r="D8" s="14" t="str">
        <f t="shared" si="0"/>
        <v>+91-9876543210-Sábado-08:00-21:00-08:00-14:00-22/11/2025</v>
      </c>
    </row>
    <row r="9" spans="1:4" ht="14.25" customHeight="1" x14ac:dyDescent="0.3">
      <c r="A9" s="14">
        <v>6</v>
      </c>
      <c r="B9" s="54" t="str">
        <f>'M-HorarioBarbero'!I6</f>
        <v>+57-3214533321-Jueves-09:00-19:00-13:00-19:00</v>
      </c>
      <c r="C9" s="111">
        <v>46240</v>
      </c>
      <c r="D9" s="14" t="str">
        <f t="shared" si="0"/>
        <v>+57-3214533321-Jueves-09:00-19:00-13:00-19:00-06/08/2026</v>
      </c>
    </row>
    <row r="10" spans="1:4" ht="14.25" customHeight="1" x14ac:dyDescent="0.3">
      <c r="A10" s="14">
        <v>7</v>
      </c>
      <c r="B10" s="54" t="str">
        <f>'M-HorarioBarbero'!I4</f>
        <v>+57-3245627890-Lunes-09:00-19:00-10:00-16:00</v>
      </c>
      <c r="C10" s="111">
        <v>46174</v>
      </c>
      <c r="D10" s="14" t="str">
        <f t="shared" si="0"/>
        <v>+57-3245627890-Lunes-09:00-19:00-10:00-16:00-01/06/2026</v>
      </c>
    </row>
    <row r="11" spans="1:4" ht="14.25" customHeight="1" x14ac:dyDescent="0.3">
      <c r="A11" s="14">
        <v>8</v>
      </c>
      <c r="B11" s="54" t="str">
        <f>'M-HorarioBarbero'!I5</f>
        <v>+57-3124518923-Martes-09:00-19:00-09:00-15:00</v>
      </c>
      <c r="C11" s="111">
        <v>46189</v>
      </c>
      <c r="D11" s="14" t="str">
        <f t="shared" si="0"/>
        <v>+57-3124518923-Martes-09:00-19:00-09:00-15:00-16/06/2026</v>
      </c>
    </row>
    <row r="12" spans="1:4" ht="14.25" customHeight="1" x14ac:dyDescent="0.3">
      <c r="A12" s="14">
        <v>9</v>
      </c>
      <c r="B12" s="54" t="str">
        <f>'M-HorarioBarbero'!I6</f>
        <v>+57-3214533321-Jueves-09:00-19:00-13:00-19:00</v>
      </c>
      <c r="C12" s="111">
        <v>46205</v>
      </c>
      <c r="D12" s="14" t="str">
        <f t="shared" si="0"/>
        <v>+57-3214533321-Jueves-09:00-19:00-13:00-19:00-02/07/2026</v>
      </c>
    </row>
    <row r="13" spans="1:4" ht="14.25" customHeight="1" x14ac:dyDescent="0.3">
      <c r="A13" s="17"/>
      <c r="B13" s="18"/>
    </row>
    <row r="14" spans="1:4" ht="14.25" customHeight="1" x14ac:dyDescent="0.3">
      <c r="A14" s="19"/>
      <c r="B14" s="18"/>
    </row>
    <row r="15" spans="1:4" ht="14.25" customHeight="1" x14ac:dyDescent="0.3">
      <c r="A15" s="37"/>
      <c r="B15" s="18" t="s">
        <v>52</v>
      </c>
    </row>
    <row r="16" spans="1:4" ht="27.75" customHeight="1" x14ac:dyDescent="0.3">
      <c r="A16" s="21"/>
      <c r="B16" s="18" t="s">
        <v>53</v>
      </c>
    </row>
    <row r="17" spans="2:2" ht="14.25" customHeight="1" x14ac:dyDescent="0.3">
      <c r="B17" t="s">
        <v>163</v>
      </c>
    </row>
    <row r="18" spans="2:2" ht="14.25" customHeight="1" x14ac:dyDescent="0.3">
      <c r="B18" t="s">
        <v>236</v>
      </c>
    </row>
    <row r="19" spans="2:2" ht="14.25" customHeight="1" x14ac:dyDescent="0.3">
      <c r="B19" t="s">
        <v>55</v>
      </c>
    </row>
  </sheetData>
  <hyperlinks>
    <hyperlink ref="A1" location="'Modelo%20de%20Dominio'!A1" display="&lt;&lt;&lt;&lt; Ir al modulo de dominio" xr:uid="{00000000-0004-0000-0D00-000000000000}"/>
    <hyperlink ref="B1" location="'Objetos%20de%20Dominio'!A1" display="&lt;&lt;&lt;&lt; Ir a objetos de dominio" xr:uid="{00000000-0004-0000-0D00-000001000000}"/>
    <hyperlink ref="B3" location="'M-HorarioBarbero'!A1" display="horarioDelBarbero" xr:uid="{00000000-0004-0000-0D00-000002000000}"/>
    <hyperlink ref="B4" location="'M-HorarioBarbero'!A4" display="'M-HorarioBarbero'!A4" xr:uid="{00000000-0004-0000-0D00-000003000000}"/>
    <hyperlink ref="B5" location="'M-HorarioBarbero'!A5" display="'M-HorarioBarbero'!A5" xr:uid="{00000000-0004-0000-0D00-000004000000}"/>
    <hyperlink ref="B6" location="'M-HorarioBarbero'!A6" display="'M-HorarioBarbero'!A6" xr:uid="{00000000-0004-0000-0D00-000005000000}"/>
    <hyperlink ref="B7" location="'M-HorarioBarbero'!A8" display="'M-HorarioBarbero'!A8" xr:uid="{00000000-0004-0000-0D00-000006000000}"/>
    <hyperlink ref="B8" location="'M-HorarioBarbero'!A7" display="'M-HorarioBarbero'!A7" xr:uid="{00000000-0004-0000-0D00-000007000000}"/>
    <hyperlink ref="B9" location="'M-HorarioBarbero'!A6" display="'M-HorarioBarbero'!A6" xr:uid="{00000000-0004-0000-0D00-000008000000}"/>
    <hyperlink ref="B10" location="'M-HorarioBarbero'!A4" display="'M-HorarioBarbero'!A4" xr:uid="{00000000-0004-0000-0D00-000009000000}"/>
    <hyperlink ref="B11" location="'M-HorarioBarbero'!A5" display="'M-HorarioBarbero'!A5" xr:uid="{00000000-0004-0000-0D00-00000A000000}"/>
    <hyperlink ref="B12" location="'M-HorarioBarbero'!A6" display="'M-HorarioBarbero'!A6" xr:uid="{00000000-0004-0000-0D00-00000B000000}"/>
  </hyperlink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3"/>
  <sheetViews>
    <sheetView zoomScale="124" zoomScaleNormal="124" workbookViewId="0">
      <selection activeCell="A6" sqref="A6"/>
    </sheetView>
  </sheetViews>
  <sheetFormatPr baseColWidth="10" defaultColWidth="10.6640625" defaultRowHeight="14.4" x14ac:dyDescent="0.3"/>
  <cols>
    <col min="1" max="1" width="25" customWidth="1"/>
    <col min="2" max="2" width="27.5546875" customWidth="1"/>
    <col min="3" max="3" width="26.109375" customWidth="1"/>
    <col min="4" max="4" width="27.109375" bestFit="1" customWidth="1"/>
    <col min="5" max="5" width="26.109375" customWidth="1"/>
    <col min="6" max="6" width="19.88671875" customWidth="1"/>
    <col min="7" max="7" width="22.109375" bestFit="1" customWidth="1"/>
    <col min="8" max="8" width="24.21875" bestFit="1" customWidth="1"/>
    <col min="9" max="10" width="25" bestFit="1" customWidth="1"/>
    <col min="11" max="11" width="24.21875" bestFit="1" customWidth="1"/>
    <col min="12" max="12" width="22.44140625" bestFit="1" customWidth="1"/>
    <col min="13" max="13" width="23" customWidth="1"/>
    <col min="14" max="14" width="40.109375" bestFit="1" customWidth="1"/>
    <col min="15" max="15" width="26.77734375" customWidth="1"/>
    <col min="16" max="16" width="36" customWidth="1"/>
  </cols>
  <sheetData>
    <row r="1" spans="1:17" ht="14.25" customHeight="1" x14ac:dyDescent="0.3">
      <c r="A1" s="1" t="s">
        <v>1</v>
      </c>
      <c r="B1" s="1" t="s">
        <v>37</v>
      </c>
    </row>
    <row r="2" spans="1:17" ht="48" customHeight="1" x14ac:dyDescent="0.3">
      <c r="A2" s="83" t="s">
        <v>38</v>
      </c>
      <c r="B2" s="83" t="s">
        <v>237</v>
      </c>
      <c r="C2" s="83" t="s">
        <v>238</v>
      </c>
      <c r="D2" s="83" t="s">
        <v>239</v>
      </c>
      <c r="E2" s="83" t="s">
        <v>240</v>
      </c>
      <c r="F2" s="83" t="s">
        <v>241</v>
      </c>
      <c r="G2" s="83" t="s">
        <v>242</v>
      </c>
      <c r="H2" s="83" t="s">
        <v>243</v>
      </c>
      <c r="I2" s="83" t="s">
        <v>244</v>
      </c>
      <c r="J2" s="83" t="s">
        <v>245</v>
      </c>
      <c r="K2" s="83" t="s">
        <v>246</v>
      </c>
      <c r="L2" s="83" t="s">
        <v>247</v>
      </c>
      <c r="M2" s="83" t="s">
        <v>248</v>
      </c>
      <c r="N2" s="83" t="s">
        <v>249</v>
      </c>
      <c r="O2" s="83" t="s">
        <v>250</v>
      </c>
      <c r="P2" s="83" t="s">
        <v>251</v>
      </c>
    </row>
    <row r="3" spans="1:17" ht="14.25" customHeight="1" x14ac:dyDescent="0.3">
      <c r="A3" s="84" t="s">
        <v>41</v>
      </c>
      <c r="B3" s="70" t="s">
        <v>252</v>
      </c>
      <c r="C3" s="70" t="s">
        <v>253</v>
      </c>
      <c r="D3" s="70" t="s">
        <v>254</v>
      </c>
      <c r="E3" s="70" t="s">
        <v>255</v>
      </c>
      <c r="F3" s="63" t="s">
        <v>224</v>
      </c>
      <c r="G3" s="63" t="s">
        <v>256</v>
      </c>
      <c r="H3" s="63" t="s">
        <v>257</v>
      </c>
      <c r="I3" s="63" t="s">
        <v>258</v>
      </c>
      <c r="J3" s="63" t="s">
        <v>259</v>
      </c>
      <c r="K3" s="85" t="s">
        <v>260</v>
      </c>
      <c r="L3" s="85" t="s">
        <v>261</v>
      </c>
      <c r="M3" s="85" t="s">
        <v>262</v>
      </c>
      <c r="N3" s="85" t="s">
        <v>263</v>
      </c>
      <c r="O3" s="85" t="s">
        <v>264</v>
      </c>
      <c r="P3" s="86" t="s">
        <v>113</v>
      </c>
    </row>
    <row r="4" spans="1:17" ht="43.2" x14ac:dyDescent="0.3">
      <c r="A4" s="14">
        <v>1</v>
      </c>
      <c r="B4" s="54" t="str">
        <f>_xlfn.CONCAT('M-Cliente'!B4," ",'M-Cliente'!C4," ", 'M-Cliente'!D4," ",'M-Cliente'!E4)</f>
        <v xml:space="preserve">Juan  Gómez </v>
      </c>
      <c r="C4" s="87" t="str">
        <f>'M-Agenda'!D4</f>
        <v>+57-3245627890-Lunes-09:00-19:00-10:00-16:00-31/08/2026</v>
      </c>
      <c r="D4" s="87">
        <f>'M-Regla'!A4</f>
        <v>1</v>
      </c>
      <c r="E4" s="87" t="str">
        <f>'M-Estado'!D4</f>
        <v>Agendada</v>
      </c>
      <c r="F4" s="88">
        <v>0.41666666666666702</v>
      </c>
      <c r="G4" s="88">
        <f t="shared" ref="G4:G13" si="0">F4+TIME(0,K4,0)</f>
        <v>0.4583333333333337</v>
      </c>
      <c r="H4" s="88">
        <v>0</v>
      </c>
      <c r="I4" s="88">
        <v>0</v>
      </c>
      <c r="J4" s="88">
        <v>0</v>
      </c>
      <c r="K4" s="89">
        <f>SUMIF('M-CitaServicio'!$B$4:$B$14,P4,'M-CitaServicio'!$E$4:$E$14)+SUMIF('M-CitaServicio'!$B$4:$B$14,P4,'M-CitaServicio'!$F$4:$F$14)</f>
        <v>60</v>
      </c>
      <c r="L4" s="90">
        <f t="shared" ref="L4:L13" si="1">IF(H4=TIME(0,0,0),0,MAX(0,(H4-F4)*1440))</f>
        <v>0</v>
      </c>
      <c r="M4" s="90">
        <f t="shared" ref="M4:M13" si="2">IF(I4=TIME(0,0,0),0,MAX(0,(I4-MAX(H4,F4))*1440))</f>
        <v>0</v>
      </c>
      <c r="N4" s="90">
        <v>0</v>
      </c>
      <c r="O4" s="91">
        <f>SUMIF('M-CitaServicio'!$B$4:$B$14,P4,'M-CitaServicio'!$D$4:$D$14)*(1-N4/100)</f>
        <v>22000</v>
      </c>
      <c r="P4" s="24" t="str">
        <f t="shared" ref="P4:P13" si="3">_xlfn.CONCAT(C4,"-",TEXT(F4,"hh:mm"))</f>
        <v>+57-3245627890-Lunes-09:00-19:00-10:00-16:00-31/08/2026-10:00</v>
      </c>
    </row>
    <row r="5" spans="1:17" ht="43.2" x14ac:dyDescent="0.3">
      <c r="A5" s="14">
        <v>2</v>
      </c>
      <c r="B5" s="54" t="str">
        <f>_xlfn.CONCAT('M-Cliente'!B5," ",'M-Cliente'!C5," ", 'M-Cliente'!D5," ",'M-Cliente'!E5)</f>
        <v>Jose Miguel Ramirez Perez</v>
      </c>
      <c r="C5" s="87" t="str">
        <f>'M-Agenda'!D5</f>
        <v>+57-3124518923-Martes-09:00-19:00-09:00-15:00-10/03/2026</v>
      </c>
      <c r="D5" s="87">
        <f>'M-Regla'!A4</f>
        <v>1</v>
      </c>
      <c r="E5" s="87" t="str">
        <f>'M-Estado'!D5</f>
        <v>Finalizada</v>
      </c>
      <c r="F5" s="88">
        <v>0.39583333333333298</v>
      </c>
      <c r="G5" s="88">
        <f t="shared" si="0"/>
        <v>0.40624999999999967</v>
      </c>
      <c r="H5" s="88">
        <v>0.39444444444444399</v>
      </c>
      <c r="I5" s="88">
        <v>0.39583333333333298</v>
      </c>
      <c r="J5" s="88">
        <v>0.40625</v>
      </c>
      <c r="K5" s="89">
        <f>SUMIF('M-CitaServicio'!$B$4:$B$14,P5,'M-CitaServicio'!$E$4:$E$14)+SUMIF('M-CitaServicio'!$B$4:$B$14,P5,'M-CitaServicio'!$F$4:$F$14)</f>
        <v>15</v>
      </c>
      <c r="L5" s="90">
        <f t="shared" si="1"/>
        <v>0</v>
      </c>
      <c r="M5" s="90">
        <f t="shared" si="2"/>
        <v>0</v>
      </c>
      <c r="N5" s="90">
        <v>0</v>
      </c>
      <c r="O5" s="91">
        <f>SUMIF('M-CitaServicio'!$B$4:$B$14,P5,'M-CitaServicio'!$D$4:$D$14)*(1-N5/100)</f>
        <v>12000</v>
      </c>
      <c r="P5" s="24" t="str">
        <f t="shared" si="3"/>
        <v>+57-3124518923-Martes-09:00-19:00-09:00-15:00-10/03/2026-09:30</v>
      </c>
    </row>
    <row r="6" spans="1:17" ht="43.2" x14ac:dyDescent="0.3">
      <c r="A6" s="14">
        <v>3</v>
      </c>
      <c r="B6" s="54" t="str">
        <f>_xlfn.CONCAT('M-Cliente'!B6," ",'M-Cliente'!C6," ", 'M-Cliente'!D6," ",'M-Cliente'!E6)</f>
        <v>Simon  Ochoa Ramirez</v>
      </c>
      <c r="C6" s="87" t="str">
        <f>'M-Agenda'!D6</f>
        <v>+57-3214533321-Jueves-09:00-19:00-13:00-19:00-14/05/2026</v>
      </c>
      <c r="D6" s="87">
        <f>'M-Regla'!A4</f>
        <v>1</v>
      </c>
      <c r="E6" s="87" t="str">
        <f>'M-Estado'!D8</f>
        <v>El cliente se demoro</v>
      </c>
      <c r="F6" s="88">
        <v>0.54166666666666696</v>
      </c>
      <c r="G6" s="88">
        <f t="shared" si="0"/>
        <v>0.5555555555555558</v>
      </c>
      <c r="H6" s="88">
        <v>0.55208333333333304</v>
      </c>
      <c r="I6" s="88">
        <v>0.55208333333333304</v>
      </c>
      <c r="J6" s="88">
        <v>0.56597222222222199</v>
      </c>
      <c r="K6" s="89">
        <f>SUMIF('M-CitaServicio'!$B$4:$B$14,P6,'M-CitaServicio'!$E$4:$E$14)+SUMIF('M-CitaServicio'!$B$4:$B$14,P6,'M-CitaServicio'!$F$4:$F$14)</f>
        <v>20</v>
      </c>
      <c r="L6" s="90">
        <f t="shared" si="1"/>
        <v>14.999999999999147</v>
      </c>
      <c r="M6" s="90">
        <f t="shared" si="2"/>
        <v>0</v>
      </c>
      <c r="N6" s="90">
        <v>0</v>
      </c>
      <c r="O6" s="91">
        <f>SUMIF('M-CitaServicio'!$B$4:$B$14,P6,'M-CitaServicio'!$D$4:$D$14)*(1-N6/100)</f>
        <v>15000</v>
      </c>
      <c r="P6" s="24" t="str">
        <f t="shared" si="3"/>
        <v>+57-3214533321-Jueves-09:00-19:00-13:00-19:00-14/05/2026-13:00</v>
      </c>
    </row>
    <row r="7" spans="1:17" ht="43.2" x14ac:dyDescent="0.3">
      <c r="A7" s="14">
        <v>4</v>
      </c>
      <c r="B7" s="54" t="str">
        <f>_xlfn.CONCAT('M-Cliente'!B7," ",'M-Cliente'!C7," ", 'M-Cliente'!D7," ",'M-Cliente'!E7)</f>
        <v xml:space="preserve">Alexis  Gallego </v>
      </c>
      <c r="C7" s="87" t="str">
        <f>'M-Agenda'!D8</f>
        <v>+91-9876543210-Sábado-08:00-21:00-08:00-14:00-22/11/2025</v>
      </c>
      <c r="D7" s="87">
        <f>'M-Regla'!A4</f>
        <v>1</v>
      </c>
      <c r="E7" s="87" t="str">
        <f>'M-Estado'!D10</f>
        <v>Inasistencia</v>
      </c>
      <c r="F7" s="88">
        <v>0.54166666666666696</v>
      </c>
      <c r="G7" s="88">
        <f t="shared" si="0"/>
        <v>0.57638888888888917</v>
      </c>
      <c r="H7" s="88">
        <v>0</v>
      </c>
      <c r="I7" s="88">
        <v>0</v>
      </c>
      <c r="J7" s="88">
        <v>0</v>
      </c>
      <c r="K7" s="89">
        <f>SUMIF('M-CitaServicio'!$B$4:$B$14,P7,'M-CitaServicio'!$E$4:$E$14)+SUMIF('M-CitaServicio'!$B$4:$B$14,P7,'M-CitaServicio'!$F$4:$F$14)</f>
        <v>50</v>
      </c>
      <c r="L7" s="90">
        <f t="shared" si="1"/>
        <v>0</v>
      </c>
      <c r="M7" s="90">
        <f t="shared" si="2"/>
        <v>0</v>
      </c>
      <c r="N7" s="90">
        <v>0</v>
      </c>
      <c r="O7" s="91">
        <f>SUMIF('M-CitaServicio'!$B$4:$B$14,P7,'M-CitaServicio'!$D$4:$D$14)*(1-N7/100)</f>
        <v>35000</v>
      </c>
      <c r="P7" s="24" t="str">
        <f t="shared" si="3"/>
        <v>+91-9876543210-Sábado-08:00-21:00-08:00-14:00-22/11/2025-13:00</v>
      </c>
    </row>
    <row r="8" spans="1:17" ht="43.2" x14ac:dyDescent="0.3">
      <c r="A8" s="14">
        <v>5</v>
      </c>
      <c r="B8" s="54" t="str">
        <f>_xlfn.CONCAT('M-Cliente'!B7," ",'M-Cliente'!C7," ", 'M-Cliente'!D7," ",'M-Cliente'!E7)</f>
        <v xml:space="preserve">Alexis  Gallego </v>
      </c>
      <c r="C8" s="87" t="str">
        <f>'M-Agenda'!D9</f>
        <v>+57-3214533321-Jueves-09:00-19:00-13:00-19:00-06/08/2026</v>
      </c>
      <c r="D8" s="87">
        <f>'M-Regla'!A4</f>
        <v>1</v>
      </c>
      <c r="E8" s="87" t="str">
        <f>'M-Estado'!D9</f>
        <v>El barbero se demoro</v>
      </c>
      <c r="F8" s="88">
        <v>0.75</v>
      </c>
      <c r="G8" s="88">
        <f t="shared" si="0"/>
        <v>0.76388888888888884</v>
      </c>
      <c r="H8" s="88">
        <v>0.74861111111111101</v>
      </c>
      <c r="I8" s="88">
        <v>0.76388888888888895</v>
      </c>
      <c r="J8" s="88">
        <v>0.77777777777777801</v>
      </c>
      <c r="K8" s="89">
        <f>SUMIF('M-CitaServicio'!$B$4:$B$14,P8,'M-CitaServicio'!$E$4:$E$14)+SUMIF('M-CitaServicio'!$B$4:$B$14,P8,'M-CitaServicio'!$F$4:$F$14)</f>
        <v>20</v>
      </c>
      <c r="L8" s="90">
        <f t="shared" si="1"/>
        <v>0</v>
      </c>
      <c r="M8" s="90">
        <f t="shared" si="2"/>
        <v>20.000000000000089</v>
      </c>
      <c r="N8" s="90">
        <v>10</v>
      </c>
      <c r="O8" s="91">
        <f>SUMIF('M-CitaServicio'!$B$4:$B$14,P8,'M-CitaServicio'!$D$4:$D$14)*(1-N8/100)</f>
        <v>10800</v>
      </c>
      <c r="P8" s="24" t="str">
        <f t="shared" si="3"/>
        <v>+57-3214533321-Jueves-09:00-19:00-13:00-19:00-06/08/2026-18:00</v>
      </c>
    </row>
    <row r="9" spans="1:17" ht="43.2" x14ac:dyDescent="0.3">
      <c r="A9" s="14">
        <v>6</v>
      </c>
      <c r="B9" s="54" t="str">
        <f>_xlfn.CONCAT('M-Cliente'!B4," ",'M-Cliente'!C4," ", 'M-Cliente'!D4," ",'M-Cliente'!E4)</f>
        <v xml:space="preserve">Juan  Gómez </v>
      </c>
      <c r="C9" s="87" t="str">
        <f>'M-Agenda'!D7</f>
        <v>+91-9876543210-Festivo-10:00-15:00-12:00-15:00-20/02/2026</v>
      </c>
      <c r="D9" s="87">
        <f>'M-Regla'!A4</f>
        <v>1</v>
      </c>
      <c r="E9" s="87" t="str">
        <f>'M-Estado'!D5</f>
        <v>Finalizada</v>
      </c>
      <c r="F9" s="88">
        <v>0.58333333333333304</v>
      </c>
      <c r="G9" s="88">
        <f t="shared" si="0"/>
        <v>0.61805555555555525</v>
      </c>
      <c r="H9" s="88">
        <v>0.58194444444444504</v>
      </c>
      <c r="I9" s="88">
        <v>0.58333333333333304</v>
      </c>
      <c r="J9" s="88">
        <v>0.61805555555555602</v>
      </c>
      <c r="K9" s="89">
        <f>SUMIF('M-CitaServicio'!$B$4:$B$14,P9,'M-CitaServicio'!$E$4:$E$14)+SUMIF('M-CitaServicio'!$B$4:$B$14,P9,'M-CitaServicio'!$F$4:$F$14)</f>
        <v>50</v>
      </c>
      <c r="L9" s="90">
        <f t="shared" si="1"/>
        <v>0</v>
      </c>
      <c r="M9" s="90">
        <f t="shared" si="2"/>
        <v>0</v>
      </c>
      <c r="N9" s="90">
        <v>0</v>
      </c>
      <c r="O9" s="91">
        <f>SUMIF('M-CitaServicio'!$B$4:$B$14,P9,'M-CitaServicio'!$D$4:$D$14)*(1-N9/100)</f>
        <v>35000</v>
      </c>
      <c r="P9" s="24" t="str">
        <f t="shared" si="3"/>
        <v>+91-9876543210-Festivo-10:00-15:00-12:00-15:00-20/02/2026-14:00</v>
      </c>
    </row>
    <row r="10" spans="1:17" ht="43.2" x14ac:dyDescent="0.3">
      <c r="A10" s="14">
        <v>7</v>
      </c>
      <c r="B10" s="54" t="str">
        <f>_xlfn.CONCAT('M-Cliente'!B8," ",'M-Cliente'!C8," ", 'M-Cliente'!D8," ",'M-Cliente'!E8)</f>
        <v>Kevin Andrés Muñoz Salazar</v>
      </c>
      <c r="C10" s="87" t="str">
        <f>'M-Agenda'!D10</f>
        <v>+57-3245627890-Lunes-09:00-19:00-10:00-16:00-01/06/2026</v>
      </c>
      <c r="D10" s="87">
        <f>'M-Regla'!A4</f>
        <v>1</v>
      </c>
      <c r="E10" s="87" t="str">
        <f>'M-Estado'!D10</f>
        <v>Inasistencia</v>
      </c>
      <c r="F10" s="88">
        <v>0.41666666666666702</v>
      </c>
      <c r="G10" s="88">
        <f t="shared" si="0"/>
        <v>0.4583333333333337</v>
      </c>
      <c r="H10" s="88">
        <v>0</v>
      </c>
      <c r="I10" s="88">
        <v>0</v>
      </c>
      <c r="J10" s="88">
        <v>0</v>
      </c>
      <c r="K10" s="89">
        <f>SUMIF('M-CitaServicio'!$B$4:$B$14,P10,'M-CitaServicio'!$E$4:$E$14)+SUMIF('M-CitaServicio'!$B$4:$B$14,P10,'M-CitaServicio'!$F$4:$F$14)</f>
        <v>60</v>
      </c>
      <c r="L10" s="90">
        <f t="shared" si="1"/>
        <v>0</v>
      </c>
      <c r="M10" s="90">
        <f t="shared" si="2"/>
        <v>0</v>
      </c>
      <c r="N10" s="90">
        <v>0</v>
      </c>
      <c r="O10" s="91">
        <f>SUMIF('M-CitaServicio'!$B$4:$B$14,P10,'M-CitaServicio'!$D$4:$D$14)*(1-N10/100)</f>
        <v>22000</v>
      </c>
      <c r="P10" s="24" t="str">
        <f t="shared" si="3"/>
        <v>+57-3245627890-Lunes-09:00-19:00-10:00-16:00-01/06/2026-10:00</v>
      </c>
    </row>
    <row r="11" spans="1:17" ht="43.2" x14ac:dyDescent="0.3">
      <c r="A11" s="14">
        <v>8</v>
      </c>
      <c r="B11" s="54" t="str">
        <f>_xlfn.CONCAT('M-Cliente'!B8," ",'M-Cliente'!C8," ", 'M-Cliente'!D8," ",'M-Cliente'!E8)</f>
        <v>Kevin Andrés Muñoz Salazar</v>
      </c>
      <c r="C11" s="87" t="str">
        <f>'M-Agenda'!D11</f>
        <v>+57-3124518923-Martes-09:00-19:00-09:00-15:00-16/06/2026</v>
      </c>
      <c r="D11" s="87">
        <f>'M-Regla'!A4</f>
        <v>1</v>
      </c>
      <c r="E11" s="87" t="str">
        <f>'M-Estado'!D10</f>
        <v>Inasistencia</v>
      </c>
      <c r="F11" s="88">
        <v>0.375</v>
      </c>
      <c r="G11" s="88">
        <f t="shared" si="0"/>
        <v>0.38541666666666669</v>
      </c>
      <c r="H11" s="88">
        <v>0</v>
      </c>
      <c r="I11" s="88">
        <v>0</v>
      </c>
      <c r="J11" s="88">
        <v>0</v>
      </c>
      <c r="K11" s="89">
        <f>SUMIF('M-CitaServicio'!$B$4:$B$14,P11,'M-CitaServicio'!$E$4:$E$14)+SUMIF('M-CitaServicio'!$B$4:$B$14,P11,'M-CitaServicio'!$F$4:$F$14)</f>
        <v>15</v>
      </c>
      <c r="L11" s="90">
        <f t="shared" si="1"/>
        <v>0</v>
      </c>
      <c r="M11" s="90">
        <f t="shared" si="2"/>
        <v>0</v>
      </c>
      <c r="N11" s="90">
        <v>0</v>
      </c>
      <c r="O11" s="91">
        <f>SUMIF('M-CitaServicio'!$B$4:$B$14,P11,'M-CitaServicio'!$D$4:$D$14)*(1-N11/100)</f>
        <v>12000</v>
      </c>
      <c r="P11" s="24" t="str">
        <f t="shared" si="3"/>
        <v>+57-3124518923-Martes-09:00-19:00-09:00-15:00-16/06/2026-09:00</v>
      </c>
    </row>
    <row r="12" spans="1:17" ht="43.2" x14ac:dyDescent="0.3">
      <c r="A12" s="14">
        <v>9</v>
      </c>
      <c r="B12" s="54" t="str">
        <f>_xlfn.CONCAT('M-Cliente'!B8," ",'M-Cliente'!C8," ", 'M-Cliente'!D8," ",'M-Cliente'!E8)</f>
        <v>Kevin Andrés Muñoz Salazar</v>
      </c>
      <c r="C12" s="87" t="str">
        <f>'M-Agenda'!D12</f>
        <v>+57-3214533321-Jueves-09:00-19:00-13:00-19:00-02/07/2026</v>
      </c>
      <c r="D12" s="87">
        <f>'M-Regla'!A4</f>
        <v>1</v>
      </c>
      <c r="E12" s="87" t="str">
        <f>'M-Estado'!D10</f>
        <v>Inasistencia</v>
      </c>
      <c r="F12" s="88">
        <v>0.625</v>
      </c>
      <c r="G12" s="88">
        <f t="shared" si="0"/>
        <v>0.63888888888888884</v>
      </c>
      <c r="H12" s="88">
        <v>0</v>
      </c>
      <c r="I12" s="88">
        <v>0</v>
      </c>
      <c r="J12" s="88">
        <v>0</v>
      </c>
      <c r="K12" s="89">
        <f>SUMIF('M-CitaServicio'!$B$4:$B$14,P12,'M-CitaServicio'!$E$4:$E$14)+SUMIF('M-CitaServicio'!$B$4:$B$14,P12,'M-CitaServicio'!$F$4:$F$14)</f>
        <v>20</v>
      </c>
      <c r="L12" s="90">
        <f t="shared" si="1"/>
        <v>0</v>
      </c>
      <c r="M12" s="90">
        <f t="shared" si="2"/>
        <v>0</v>
      </c>
      <c r="N12" s="90">
        <v>0</v>
      </c>
      <c r="O12" s="91">
        <f>SUMIF('M-CitaServicio'!$B$4:$B$14,P12,'M-CitaServicio'!$D$4:$D$14)*(1-N12/100)</f>
        <v>15000</v>
      </c>
      <c r="P12" s="24" t="str">
        <f t="shared" si="3"/>
        <v>+57-3214533321-Jueves-09:00-19:00-13:00-19:00-02/07/2026-15:00</v>
      </c>
    </row>
    <row r="13" spans="1:17" ht="43.2" x14ac:dyDescent="0.3">
      <c r="A13" s="14">
        <v>10</v>
      </c>
      <c r="B13" s="54" t="str">
        <f>_xlfn.CONCAT('M-Cliente'!B5," ",'M-Cliente'!C5," ", 'M-Cliente'!D5," ",'M-Cliente'!E5)</f>
        <v>Jose Miguel Ramirez Perez</v>
      </c>
      <c r="C13" s="87" t="str">
        <f>'M-Agenda'!D6</f>
        <v>+57-3214533321-Jueves-09:00-19:00-13:00-19:00-14/05/2026</v>
      </c>
      <c r="D13" s="54">
        <f>'M-Regla'!A4</f>
        <v>1</v>
      </c>
      <c r="E13" s="54" t="str">
        <f>'M-Estado'!D5</f>
        <v>Finalizada</v>
      </c>
      <c r="F13" s="88">
        <v>0.5625</v>
      </c>
      <c r="G13" s="88">
        <f t="shared" si="0"/>
        <v>0.59027777777777779</v>
      </c>
      <c r="H13" s="88">
        <v>0.56111111111111101</v>
      </c>
      <c r="I13" s="88">
        <v>0.5625</v>
      </c>
      <c r="J13" s="88">
        <v>0.59027777777777801</v>
      </c>
      <c r="K13" s="89">
        <f>SUMIF('M-CitaServicio'!$B$4:$B$14,P13,'M-CitaServicio'!$E$4:$E$14)+SUMIF('M-CitaServicio'!$B$4:$B$14,P13,'M-CitaServicio'!$F$4:$F$14)</f>
        <v>40</v>
      </c>
      <c r="L13" s="90">
        <f t="shared" si="1"/>
        <v>0</v>
      </c>
      <c r="M13" s="90">
        <f t="shared" si="2"/>
        <v>0</v>
      </c>
      <c r="N13" s="90">
        <v>0</v>
      </c>
      <c r="O13" s="91">
        <f>SUMIF('M-CitaServicio'!$B$4:$B$14,P13,'M-CitaServicio'!$D$4:$D$14)*(1-N13/100)</f>
        <v>27000</v>
      </c>
      <c r="P13" s="14" t="str">
        <f t="shared" si="3"/>
        <v>+57-3214533321-Jueves-09:00-19:00-13:00-19:00-14/05/2026-13:30</v>
      </c>
      <c r="Q13" s="16"/>
    </row>
    <row r="14" spans="1:17" ht="14.25" customHeight="1" x14ac:dyDescent="0.3">
      <c r="B14" s="18"/>
      <c r="C14" s="18"/>
    </row>
    <row r="15" spans="1:17" ht="27.75" customHeight="1" x14ac:dyDescent="0.3">
      <c r="B15" s="18" t="s">
        <v>52</v>
      </c>
    </row>
    <row r="16" spans="1:17" ht="27.75" customHeight="1" x14ac:dyDescent="0.3">
      <c r="B16" s="18" t="s">
        <v>53</v>
      </c>
    </row>
    <row r="17" spans="1:2" ht="27.75" customHeight="1" x14ac:dyDescent="0.3">
      <c r="B17" s="18" t="s">
        <v>163</v>
      </c>
    </row>
    <row r="18" spans="1:2" ht="28.5" customHeight="1" x14ac:dyDescent="0.3">
      <c r="A18" s="17"/>
      <c r="B18" s="18" t="s">
        <v>54</v>
      </c>
    </row>
    <row r="19" spans="1:2" ht="28.5" customHeight="1" x14ac:dyDescent="0.3">
      <c r="A19" s="19"/>
      <c r="B19" s="18" t="s">
        <v>210</v>
      </c>
    </row>
    <row r="20" spans="1:2" ht="28.5" customHeight="1" x14ac:dyDescent="0.3">
      <c r="A20" s="37"/>
      <c r="B20" s="18" t="s">
        <v>55</v>
      </c>
    </row>
    <row r="21" spans="1:2" ht="28.5" customHeight="1" x14ac:dyDescent="0.3">
      <c r="A21" s="38"/>
      <c r="B21" s="18"/>
    </row>
    <row r="22" spans="1:2" ht="28.5" customHeight="1" x14ac:dyDescent="0.3">
      <c r="A22" s="68"/>
      <c r="B22" s="18"/>
    </row>
    <row r="23" spans="1:2" ht="28.5" customHeight="1" x14ac:dyDescent="0.3">
      <c r="A23" s="21"/>
      <c r="B23" s="18"/>
    </row>
  </sheetData>
  <hyperlinks>
    <hyperlink ref="A1" location="'Modelo%20de%20Dominio'!A1" display="&lt;&lt;&lt;&lt; Ir al modulo de dominio" xr:uid="{00000000-0004-0000-0E00-000000000000}"/>
    <hyperlink ref="B1" location="'Objetos%20de%20Dominio'!A1" display="&lt;&lt;&lt;&lt; Ir a objetos de dominio" xr:uid="{00000000-0004-0000-0E00-000001000000}"/>
    <hyperlink ref="B3" location="'M-Cliente'!A1" display="cliente" xr:uid="{00000000-0004-0000-0E00-000002000000}"/>
    <hyperlink ref="C3" location="'M-Agenda'!A1" display="agenda" xr:uid="{00000000-0004-0000-0E00-000003000000}"/>
    <hyperlink ref="B4" location="'M-Cliente'!A4" display="'M-Cliente'!A4" xr:uid="{00000000-0004-0000-0E00-000004000000}"/>
    <hyperlink ref="C4" location="'M-Agenda'!A4" display="'M-Agenda'!A4" xr:uid="{00000000-0004-0000-0E00-000005000000}"/>
    <hyperlink ref="D4" location="'M-Regla'!A4" display="'M-Regla'!A4" xr:uid="{00000000-0004-0000-0E00-000006000000}"/>
    <hyperlink ref="E4" location="'M-Estado'!A4" display="'M-Estado'!A4" xr:uid="{00000000-0004-0000-0E00-000007000000}"/>
    <hyperlink ref="K4" location="'M-CitaServicio'!A4" display="'M-CitaServicio'!A4" xr:uid="{00000000-0004-0000-0E00-000008000000}"/>
    <hyperlink ref="O4" location="'M-CitaServicio'!A4" display="'M-CitaServicio'!A4" xr:uid="{00000000-0004-0000-0E00-000009000000}"/>
    <hyperlink ref="B5" location="'M-Cliente'!A5" display="'M-Cliente'!A5" xr:uid="{00000000-0004-0000-0E00-00000A000000}"/>
    <hyperlink ref="C5" location="'M-Agenda'!A5" display="'M-Agenda'!A5" xr:uid="{00000000-0004-0000-0E00-00000B000000}"/>
    <hyperlink ref="D5" location="'M-Regla'!A4" display="'M-Regla'!A4" xr:uid="{00000000-0004-0000-0E00-00000C000000}"/>
    <hyperlink ref="E5" location="'M-Estado'!A5" display="'M-Estado'!A5" xr:uid="{00000000-0004-0000-0E00-00000D000000}"/>
    <hyperlink ref="K5" location="'M-CitaServicio'!A4" display="'M-CitaServicio'!A4" xr:uid="{00000000-0004-0000-0E00-00000E000000}"/>
    <hyperlink ref="O5" location="'M-CitaServicio'!A4" display="'M-CitaServicio'!A4" xr:uid="{00000000-0004-0000-0E00-00000F000000}"/>
    <hyperlink ref="B6" location="'M-Cliente'!A6" display="'M-Cliente'!A6" xr:uid="{00000000-0004-0000-0E00-000010000000}"/>
    <hyperlink ref="C6" location="'M-Agenda'!A6" display="'M-Agenda'!A6" xr:uid="{00000000-0004-0000-0E00-000011000000}"/>
    <hyperlink ref="D6" location="'M-Regla'!A4" display="'M-Regla'!A4" xr:uid="{00000000-0004-0000-0E00-000012000000}"/>
    <hyperlink ref="E6" location="'M-Estado'!A8" display="'M-Estado'!A8" xr:uid="{00000000-0004-0000-0E00-000013000000}"/>
    <hyperlink ref="K6" location="'M-CitaServicio'!A4" display="'M-CitaServicio'!A4" xr:uid="{00000000-0004-0000-0E00-000014000000}"/>
    <hyperlink ref="O6" location="'M-CitaServicio'!A4" display="'M-CitaServicio'!A4" xr:uid="{00000000-0004-0000-0E00-000015000000}"/>
    <hyperlink ref="B7" location="'M-Cliente'!A7" display="'M-Cliente'!A7" xr:uid="{00000000-0004-0000-0E00-000016000000}"/>
    <hyperlink ref="C7" location="'M-Agenda'!A8" display="'M-Agenda'!A8" xr:uid="{00000000-0004-0000-0E00-000017000000}"/>
    <hyperlink ref="D7" location="'M-Regla'!A4" display="'M-Regla'!A4" xr:uid="{00000000-0004-0000-0E00-000018000000}"/>
    <hyperlink ref="E7" location="'M-Estado'!A10" display="'M-Estado'!A10" xr:uid="{00000000-0004-0000-0E00-000019000000}"/>
    <hyperlink ref="K7" location="'M-CitaServicio'!A4" display="'M-CitaServicio'!A4" xr:uid="{00000000-0004-0000-0E00-00001A000000}"/>
    <hyperlink ref="O7" location="'M-CitaServicio'!A4" display="'M-CitaServicio'!A4" xr:uid="{00000000-0004-0000-0E00-00001B000000}"/>
    <hyperlink ref="B8" location="'M-Cliente'!A7" display="'M-Cliente'!A7" xr:uid="{00000000-0004-0000-0E00-00001C000000}"/>
    <hyperlink ref="C8" location="'M-Agenda'!A9" display="'M-Agenda'!A9" xr:uid="{00000000-0004-0000-0E00-00001D000000}"/>
    <hyperlink ref="D8" location="'M-Regla'!A4" display="'M-Regla'!A4" xr:uid="{00000000-0004-0000-0E00-00001E000000}"/>
    <hyperlink ref="E8" location="'M-Estado'!A9" display="'M-Estado'!A9" xr:uid="{00000000-0004-0000-0E00-00001F000000}"/>
    <hyperlink ref="K8" location="'M-CitaServicio'!A4" display="'M-CitaServicio'!A4" xr:uid="{00000000-0004-0000-0E00-000020000000}"/>
    <hyperlink ref="O8" location="'M-CitaServicio'!A4" display="'M-CitaServicio'!A4" xr:uid="{00000000-0004-0000-0E00-000021000000}"/>
    <hyperlink ref="B9" location="'M-Cliente'!A4" display="'M-Cliente'!A4" xr:uid="{00000000-0004-0000-0E00-000022000000}"/>
    <hyperlink ref="C9" location="'M-Agenda'!A7" display="'M-Agenda'!A7" xr:uid="{00000000-0004-0000-0E00-000023000000}"/>
    <hyperlink ref="D9" location="'M-Regla'!A4" display="'M-Regla'!A4" xr:uid="{00000000-0004-0000-0E00-000024000000}"/>
    <hyperlink ref="E9" location="'M-Estado'!A5" display="'M-Estado'!A5" xr:uid="{00000000-0004-0000-0E00-000025000000}"/>
    <hyperlink ref="K9" location="'M-CitaServicio'!A4" display="'M-CitaServicio'!A4" xr:uid="{00000000-0004-0000-0E00-000026000000}"/>
    <hyperlink ref="O9" location="'M-CitaServicio'!A4" display="'M-CitaServicio'!A4" xr:uid="{00000000-0004-0000-0E00-000027000000}"/>
    <hyperlink ref="B10" location="'M-Cliente'!A8" display="'M-Cliente'!A8" xr:uid="{00000000-0004-0000-0E00-000028000000}"/>
    <hyperlink ref="C10" location="'M-Agenda'!A10" display="'M-Agenda'!A10" xr:uid="{00000000-0004-0000-0E00-000029000000}"/>
    <hyperlink ref="D10" location="'M-Regla'!A4" display="'M-Regla'!A4" xr:uid="{00000000-0004-0000-0E00-00002A000000}"/>
    <hyperlink ref="E10" location="'M-Estado'!A10" display="'M-Estado'!A10" xr:uid="{00000000-0004-0000-0E00-00002B000000}"/>
    <hyperlink ref="K10" location="'M-CitaServicio'!A4" display="'M-CitaServicio'!A4" xr:uid="{00000000-0004-0000-0E00-00002C000000}"/>
    <hyperlink ref="O10" location="'M-CitaServicio'!A4" display="'M-CitaServicio'!A4" xr:uid="{00000000-0004-0000-0E00-00002D000000}"/>
    <hyperlink ref="B11" location="'M-Cliente'!A8" display="'M-Cliente'!A8" xr:uid="{00000000-0004-0000-0E00-00002E000000}"/>
    <hyperlink ref="C11" location="'M-Agenda'!A11" display="'M-Agenda'!A11" xr:uid="{00000000-0004-0000-0E00-00002F000000}"/>
    <hyperlink ref="D11" location="'M-Regla'!A4" display="'M-Regla'!A4" xr:uid="{00000000-0004-0000-0E00-000030000000}"/>
    <hyperlink ref="E11" location="'M-Estado'!A10" display="'M-Estado'!A10" xr:uid="{00000000-0004-0000-0E00-000031000000}"/>
    <hyperlink ref="K11" location="'M-CitaServicio'!A4" display="'M-CitaServicio'!A4" xr:uid="{00000000-0004-0000-0E00-000032000000}"/>
    <hyperlink ref="O11" location="'M-CitaServicio'!A4" display="'M-CitaServicio'!A4" xr:uid="{00000000-0004-0000-0E00-000033000000}"/>
    <hyperlink ref="B12" location="'M-Cliente'!A8" display="'M-Cliente'!A8" xr:uid="{00000000-0004-0000-0E00-000034000000}"/>
    <hyperlink ref="C12" location="'M-Agenda'!A12" display="'M-Agenda'!A12" xr:uid="{00000000-0004-0000-0E00-000035000000}"/>
    <hyperlink ref="D12" location="'M-Regla'!A4" display="'M-Regla'!A4" xr:uid="{00000000-0004-0000-0E00-000036000000}"/>
    <hyperlink ref="E12" location="'M-Estado'!A10" display="'M-Estado'!A10" xr:uid="{00000000-0004-0000-0E00-000037000000}"/>
    <hyperlink ref="K12" location="'M-CitaServicio'!A4" display="'M-CitaServicio'!A4" xr:uid="{00000000-0004-0000-0E00-000038000000}"/>
    <hyperlink ref="O12" location="'M-CitaServicio'!A4" display="'M-CitaServicio'!A4" xr:uid="{00000000-0004-0000-0E00-000039000000}"/>
    <hyperlink ref="B13" location="'M-Cliente'!A5" display="'M-Cliente'!A5" xr:uid="{00000000-0004-0000-0E00-00003A000000}"/>
    <hyperlink ref="C13" location="'M-Agenda'!A6" display="'M-Agenda'!A6" xr:uid="{00000000-0004-0000-0E00-00003B000000}"/>
    <hyperlink ref="D13" location="'M-Regla'!A4" display="'M-Regla'!A4" xr:uid="{00000000-0004-0000-0E00-00003C000000}"/>
    <hyperlink ref="E13" location="'M-Estado'!A5" display="'M-Estado'!A5" xr:uid="{00000000-0004-0000-0E00-00003D000000}"/>
    <hyperlink ref="K13" location="'M-CitaServicio'!A4" display="'M-CitaServicio'!A4" xr:uid="{00000000-0004-0000-0E00-00003E000000}"/>
    <hyperlink ref="O13" location="'M-CitaServicio'!A4" display="'M-CitaServicio'!A4" xr:uid="{00000000-0004-0000-0E00-00003F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4"/>
  <sheetViews>
    <sheetView topLeftCell="A14" zoomScale="130" zoomScaleNormal="130" workbookViewId="0">
      <selection activeCell="F2" sqref="F2"/>
    </sheetView>
  </sheetViews>
  <sheetFormatPr baseColWidth="10" defaultColWidth="10.6640625" defaultRowHeight="14.4" x14ac:dyDescent="0.3"/>
  <cols>
    <col min="1" max="1" width="27" customWidth="1"/>
    <col min="2" max="2" width="49.77734375" bestFit="1" customWidth="1"/>
    <col min="3" max="3" width="26.109375" customWidth="1"/>
    <col min="4" max="4" width="36.109375" bestFit="1" customWidth="1"/>
    <col min="5" max="5" width="30.6640625" bestFit="1" customWidth="1"/>
    <col min="6" max="6" width="45.44140625" bestFit="1" customWidth="1"/>
    <col min="7" max="7" width="29.33203125" bestFit="1" customWidth="1"/>
  </cols>
  <sheetData>
    <row r="1" spans="1:7" ht="14.25" customHeight="1" x14ac:dyDescent="0.3">
      <c r="A1" s="1" t="s">
        <v>1</v>
      </c>
      <c r="B1" s="1" t="s">
        <v>37</v>
      </c>
      <c r="C1" s="22"/>
      <c r="D1" s="22"/>
      <c r="E1" s="22"/>
    </row>
    <row r="2" spans="1:7" ht="44.25" customHeight="1" x14ac:dyDescent="0.3">
      <c r="A2" s="9" t="s">
        <v>38</v>
      </c>
      <c r="B2" s="9" t="s">
        <v>265</v>
      </c>
      <c r="C2" s="9" t="s">
        <v>266</v>
      </c>
      <c r="D2" s="9" t="s">
        <v>267</v>
      </c>
      <c r="E2" s="9" t="s">
        <v>268</v>
      </c>
      <c r="F2" s="114" t="s">
        <v>269</v>
      </c>
      <c r="G2" s="10" t="s">
        <v>270</v>
      </c>
    </row>
    <row r="3" spans="1:7" ht="14.25" customHeight="1" x14ac:dyDescent="0.3">
      <c r="A3" s="11" t="s">
        <v>41</v>
      </c>
      <c r="B3" s="113" t="s">
        <v>271</v>
      </c>
      <c r="C3" s="113" t="s">
        <v>272</v>
      </c>
      <c r="D3" s="85" t="s">
        <v>273</v>
      </c>
      <c r="E3" s="85" t="s">
        <v>218</v>
      </c>
      <c r="F3" s="85" t="s">
        <v>219</v>
      </c>
      <c r="G3" s="13" t="s">
        <v>43</v>
      </c>
    </row>
    <row r="4" spans="1:7" ht="43.2" x14ac:dyDescent="0.3">
      <c r="A4" s="14">
        <v>1</v>
      </c>
      <c r="B4" s="112" t="str">
        <f>'M-Cita'!P4</f>
        <v>+57-3245627890-Lunes-09:00-19:00-10:00-16:00-31/08/2026-10:00</v>
      </c>
      <c r="C4" s="112" t="str">
        <f>'M-BarberoServicio'!G4</f>
        <v>Juan García-Motilada</v>
      </c>
      <c r="D4" s="91">
        <f>'M-Servicio'!D4</f>
        <v>22000</v>
      </c>
      <c r="E4" s="89">
        <f>'M-BarberoServicio'!D4</f>
        <v>45</v>
      </c>
      <c r="F4" s="89">
        <f>'M-BarberoServicio'!E4</f>
        <v>15</v>
      </c>
      <c r="G4" s="23" t="str">
        <f t="shared" ref="G4:G14" si="0">_xlfn.CONCAT(B4,"-",C4)</f>
        <v>+57-3245627890-Lunes-09:00-19:00-10:00-16:00-31/08/2026-10:00-Juan García-Motilada</v>
      </c>
    </row>
    <row r="5" spans="1:7" ht="43.2" x14ac:dyDescent="0.3">
      <c r="A5" s="14">
        <v>2</v>
      </c>
      <c r="B5" s="87" t="str">
        <f>'M-Cita'!P5</f>
        <v>+57-3124518923-Martes-09:00-19:00-09:00-15:00-10/03/2026-09:30</v>
      </c>
      <c r="C5" s="87" t="str">
        <f>'M-BarberoServicio'!G5</f>
        <v>Juan Ortiz-Corte de barba</v>
      </c>
      <c r="D5" s="91">
        <f>'M-Servicio'!D5</f>
        <v>12000</v>
      </c>
      <c r="E5" s="89">
        <f>'M-BarberoServicio'!D5</f>
        <v>10</v>
      </c>
      <c r="F5" s="89">
        <f>'M-BarberoServicio'!E5</f>
        <v>5</v>
      </c>
      <c r="G5" s="23" t="str">
        <f t="shared" si="0"/>
        <v>+57-3124518923-Martes-09:00-19:00-09:00-15:00-10/03/2026-09:30-Juan Ortiz-Corte de barba</v>
      </c>
    </row>
    <row r="6" spans="1:7" ht="57.6" x14ac:dyDescent="0.3">
      <c r="A6" s="14">
        <v>3</v>
      </c>
      <c r="B6" s="87" t="str">
        <f>'M-Cita'!P6</f>
        <v>+57-3214533321-Jueves-09:00-19:00-13:00-19:00-14/05/2026-13:00</v>
      </c>
      <c r="C6" s="87" t="str">
        <f>'M-BarberoServicio'!G6</f>
        <v>Carlos Arbeladez-Perfilada de barba</v>
      </c>
      <c r="D6" s="91">
        <f>'M-Servicio'!D6</f>
        <v>15000</v>
      </c>
      <c r="E6" s="89">
        <f>'M-BarberoServicio'!D6</f>
        <v>15</v>
      </c>
      <c r="F6" s="89">
        <f>'M-BarberoServicio'!E6</f>
        <v>5</v>
      </c>
      <c r="G6" s="23" t="str">
        <f t="shared" si="0"/>
        <v>+57-3214533321-Jueves-09:00-19:00-13:00-19:00-14/05/2026-13:00-Carlos Arbeladez-Perfilada de barba</v>
      </c>
    </row>
    <row r="7" spans="1:7" ht="72" x14ac:dyDescent="0.3">
      <c r="A7" s="14">
        <v>4</v>
      </c>
      <c r="B7" s="87" t="str">
        <f>'M-Cita'!P7</f>
        <v>+91-9876543210-Sábado-08:00-21:00-08:00-14:00-22/11/2025-13:00</v>
      </c>
      <c r="C7" s="87" t="str">
        <f>'M-BarberoServicio'!G7</f>
        <v>Andres Ramirez-Arreglo completo de barba con toalla caliente</v>
      </c>
      <c r="D7" s="91">
        <f>'M-Servicio'!D7</f>
        <v>35000</v>
      </c>
      <c r="E7" s="89">
        <f>'M-BarberoServicio'!D7</f>
        <v>40</v>
      </c>
      <c r="F7" s="89">
        <f>'M-BarberoServicio'!E7</f>
        <v>10</v>
      </c>
      <c r="G7" s="23" t="str">
        <f t="shared" si="0"/>
        <v>+91-9876543210-Sábado-08:00-21:00-08:00-14:00-22/11/2025-13:00-Andres Ramirez-Arreglo completo de barba con toalla caliente</v>
      </c>
    </row>
    <row r="8" spans="1:7" ht="57.6" x14ac:dyDescent="0.3">
      <c r="A8" s="14">
        <v>5</v>
      </c>
      <c r="B8" s="87" t="str">
        <f>'M-Cita'!P8</f>
        <v>+57-3214533321-Jueves-09:00-19:00-13:00-19:00-06/08/2026-18:00</v>
      </c>
      <c r="C8" s="87" t="str">
        <f>'M-BarberoServicio'!G9</f>
        <v>Carlos Arbeladez-Corte de barba</v>
      </c>
      <c r="D8" s="91">
        <f>'M-Servicio'!D5</f>
        <v>12000</v>
      </c>
      <c r="E8" s="89">
        <f>'M-BarberoServicio'!D9</f>
        <v>15</v>
      </c>
      <c r="F8" s="89">
        <f>'M-BarberoServicio'!E9</f>
        <v>5</v>
      </c>
      <c r="G8" s="23" t="str">
        <f t="shared" si="0"/>
        <v>+57-3214533321-Jueves-09:00-19:00-13:00-19:00-06/08/2026-18:00-Carlos Arbeladez-Corte de barba</v>
      </c>
    </row>
    <row r="9" spans="1:7" ht="72" x14ac:dyDescent="0.3">
      <c r="A9" s="14">
        <v>6</v>
      </c>
      <c r="B9" s="87" t="str">
        <f>'M-Cita'!P9</f>
        <v>+91-9876543210-Festivo-10:00-15:00-12:00-15:00-20/02/2026-14:00</v>
      </c>
      <c r="C9" s="87" t="str">
        <f>'M-BarberoServicio'!G7</f>
        <v>Andres Ramirez-Arreglo completo de barba con toalla caliente</v>
      </c>
      <c r="D9" s="91">
        <f>'M-Servicio'!D7</f>
        <v>35000</v>
      </c>
      <c r="E9" s="89">
        <f>'M-BarberoServicio'!D7</f>
        <v>40</v>
      </c>
      <c r="F9" s="89">
        <f>'M-BarberoServicio'!E7</f>
        <v>10</v>
      </c>
      <c r="G9" s="23" t="str">
        <f t="shared" si="0"/>
        <v>+91-9876543210-Festivo-10:00-15:00-12:00-15:00-20/02/2026-14:00-Andres Ramirez-Arreglo completo de barba con toalla caliente</v>
      </c>
    </row>
    <row r="10" spans="1:7" ht="43.2" x14ac:dyDescent="0.3">
      <c r="A10" s="14">
        <v>7</v>
      </c>
      <c r="B10" s="87" t="str">
        <f>'M-Cita'!P10</f>
        <v>+57-3245627890-Lunes-09:00-19:00-10:00-16:00-01/06/2026-10:00</v>
      </c>
      <c r="C10" s="87" t="str">
        <f>'M-BarberoServicio'!G4</f>
        <v>Juan García-Motilada</v>
      </c>
      <c r="D10" s="91">
        <f>'M-Servicio'!D4</f>
        <v>22000</v>
      </c>
      <c r="E10" s="89">
        <f>'M-BarberoServicio'!D4</f>
        <v>45</v>
      </c>
      <c r="F10" s="89">
        <f>'M-BarberoServicio'!E4</f>
        <v>15</v>
      </c>
      <c r="G10" s="24" t="str">
        <f t="shared" si="0"/>
        <v>+57-3245627890-Lunes-09:00-19:00-10:00-16:00-01/06/2026-10:00-Juan García-Motilada</v>
      </c>
    </row>
    <row r="11" spans="1:7" ht="43.2" x14ac:dyDescent="0.3">
      <c r="A11" s="14">
        <v>8</v>
      </c>
      <c r="B11" s="87" t="str">
        <f>'M-Cita'!P11</f>
        <v>+57-3124518923-Martes-09:00-19:00-09:00-15:00-16/06/2026-09:00</v>
      </c>
      <c r="C11" s="87" t="str">
        <f>'M-BarberoServicio'!G5</f>
        <v>Juan Ortiz-Corte de barba</v>
      </c>
      <c r="D11" s="91">
        <f>'M-Servicio'!D5</f>
        <v>12000</v>
      </c>
      <c r="E11" s="89">
        <f>'M-BarberoServicio'!D5</f>
        <v>10</v>
      </c>
      <c r="F11" s="89">
        <f>'M-BarberoServicio'!E5</f>
        <v>5</v>
      </c>
      <c r="G11" s="24" t="str">
        <f t="shared" si="0"/>
        <v>+57-3124518923-Martes-09:00-19:00-09:00-15:00-16/06/2026-09:00-Juan Ortiz-Corte de barba</v>
      </c>
    </row>
    <row r="12" spans="1:7" ht="57.6" x14ac:dyDescent="0.3">
      <c r="A12" s="14">
        <v>9</v>
      </c>
      <c r="B12" s="87" t="str">
        <f>'M-Cita'!P12</f>
        <v>+57-3214533321-Jueves-09:00-19:00-13:00-19:00-02/07/2026-15:00</v>
      </c>
      <c r="C12" s="87" t="str">
        <f>'M-BarberoServicio'!G6</f>
        <v>Carlos Arbeladez-Perfilada de barba</v>
      </c>
      <c r="D12" s="91">
        <f>'M-Servicio'!D6</f>
        <v>15000</v>
      </c>
      <c r="E12" s="89">
        <f>'M-BarberoServicio'!D6</f>
        <v>15</v>
      </c>
      <c r="F12" s="89">
        <f>'M-BarberoServicio'!E6</f>
        <v>5</v>
      </c>
      <c r="G12" s="24" t="str">
        <f t="shared" si="0"/>
        <v>+57-3214533321-Jueves-09:00-19:00-13:00-19:00-02/07/2026-15:00-Carlos Arbeladez-Perfilada de barba</v>
      </c>
    </row>
    <row r="13" spans="1:7" ht="57.6" x14ac:dyDescent="0.3">
      <c r="A13" s="14">
        <v>10</v>
      </c>
      <c r="B13" s="87" t="str">
        <f>'M-Cita'!P13</f>
        <v>+57-3214533321-Jueves-09:00-19:00-13:00-19:00-14/05/2026-13:30</v>
      </c>
      <c r="C13" s="87" t="str">
        <f>'M-BarberoServicio'!G6</f>
        <v>Carlos Arbeladez-Perfilada de barba</v>
      </c>
      <c r="D13" s="91">
        <f>'M-Servicio'!D6</f>
        <v>15000</v>
      </c>
      <c r="E13" s="89">
        <f>'M-BarberoServicio'!D6</f>
        <v>15</v>
      </c>
      <c r="F13" s="89">
        <f>'M-BarberoServicio'!E6</f>
        <v>5</v>
      </c>
      <c r="G13" s="24" t="str">
        <f t="shared" si="0"/>
        <v>+57-3214533321-Jueves-09:00-19:00-13:00-19:00-14/05/2026-13:30-Carlos Arbeladez-Perfilada de barba</v>
      </c>
    </row>
    <row r="14" spans="1:7" ht="57.6" x14ac:dyDescent="0.3">
      <c r="A14" s="14">
        <v>11</v>
      </c>
      <c r="B14" s="87" t="str">
        <f>'M-Cita'!P13</f>
        <v>+57-3214533321-Jueves-09:00-19:00-13:00-19:00-14/05/2026-13:30</v>
      </c>
      <c r="C14" s="87" t="str">
        <f>'M-BarberoServicio'!G9</f>
        <v>Carlos Arbeladez-Corte de barba</v>
      </c>
      <c r="D14" s="91">
        <f>'M-Servicio'!D5</f>
        <v>12000</v>
      </c>
      <c r="E14" s="89">
        <f>'M-BarberoServicio'!D9</f>
        <v>15</v>
      </c>
      <c r="F14" s="89">
        <f>'M-BarberoServicio'!E9</f>
        <v>5</v>
      </c>
      <c r="G14" s="24" t="str">
        <f t="shared" si="0"/>
        <v>+57-3214533321-Jueves-09:00-19:00-13:00-19:00-14/05/2026-13:30-Carlos Arbeladez-Corte de barba</v>
      </c>
    </row>
    <row r="15" spans="1:7" ht="28.5" customHeight="1" x14ac:dyDescent="0.3">
      <c r="B15" s="18"/>
    </row>
    <row r="16" spans="1:7" ht="28.5" customHeight="1" x14ac:dyDescent="0.3">
      <c r="B16" s="18"/>
    </row>
    <row r="17" spans="1:2" ht="28.5" customHeight="1" x14ac:dyDescent="0.3">
      <c r="B17" s="18"/>
    </row>
    <row r="18" spans="1:2" ht="28.5" customHeight="1" x14ac:dyDescent="0.3">
      <c r="B18" s="18"/>
    </row>
    <row r="19" spans="1:2" ht="28.5" customHeight="1" x14ac:dyDescent="0.3">
      <c r="B19" s="18"/>
    </row>
    <row r="20" spans="1:2" ht="28.5" customHeight="1" x14ac:dyDescent="0.3">
      <c r="A20" s="17"/>
      <c r="B20" s="18" t="s">
        <v>52</v>
      </c>
    </row>
    <row r="21" spans="1:2" ht="28.5" customHeight="1" x14ac:dyDescent="0.3">
      <c r="A21" s="19"/>
      <c r="B21" s="18" t="s">
        <v>53</v>
      </c>
    </row>
    <row r="22" spans="1:2" ht="28.5" customHeight="1" x14ac:dyDescent="0.3">
      <c r="A22" s="37"/>
      <c r="B22" s="18" t="s">
        <v>163</v>
      </c>
    </row>
    <row r="23" spans="1:2" ht="14.25" customHeight="1" x14ac:dyDescent="0.3">
      <c r="A23" s="39"/>
      <c r="B23" t="s">
        <v>91</v>
      </c>
    </row>
    <row r="24" spans="1:2" ht="14.25" customHeight="1" x14ac:dyDescent="0.3">
      <c r="A24" s="21"/>
      <c r="B24" t="s">
        <v>55</v>
      </c>
    </row>
  </sheetData>
  <hyperlinks>
    <hyperlink ref="A1" location="'Modelo%20de%20Dominio'!A1" display="&lt;&lt;&lt;&lt; Ir al modulo de dominio" xr:uid="{00000000-0004-0000-0F00-000000000000}"/>
    <hyperlink ref="B1" location="'Objetos%20de%20Dominio'!A1" display="&lt;&lt;&lt;&lt; Ir a objetos de dominio" xr:uid="{00000000-0004-0000-0F00-000001000000}"/>
    <hyperlink ref="B4" location="'M-Cita'!A4" display="'M-Cita'!A4" xr:uid="{00000000-0004-0000-0F00-000002000000}"/>
    <hyperlink ref="C4" location="'M-BarberoServicio'!A4" display="'M-BarberoServicio'!A4" xr:uid="{00000000-0004-0000-0F00-000003000000}"/>
    <hyperlink ref="D4" location="'M-Servicio'!A4" display="'M-Servicio'!A4" xr:uid="{00000000-0004-0000-0F00-000004000000}"/>
    <hyperlink ref="E4" location="'M-BarberoServicio'!A4" display="'M-BarberoServicio'!A4" xr:uid="{00000000-0004-0000-0F00-000005000000}"/>
    <hyperlink ref="F4" location="'M-BarberoServicio'!A4" display="'M-BarberoServicio'!A4" xr:uid="{00000000-0004-0000-0F00-000006000000}"/>
    <hyperlink ref="B5" location="'M-Cita'!A5" display="'M-Cita'!A5" xr:uid="{00000000-0004-0000-0F00-000007000000}"/>
    <hyperlink ref="C5" location="'M-BarberoServicio'!A5" display="'M-BarberoServicio'!A5" xr:uid="{00000000-0004-0000-0F00-000008000000}"/>
    <hyperlink ref="D5" location="'M-Servicio'!A5" display="'M-Servicio'!A5" xr:uid="{00000000-0004-0000-0F00-000009000000}"/>
    <hyperlink ref="E5" location="'M-BarberoServicio'!A5" display="'M-BarberoServicio'!A5" xr:uid="{00000000-0004-0000-0F00-00000A000000}"/>
    <hyperlink ref="F5" location="'M-BarberoServicio'!A5" display="'M-BarberoServicio'!A5" xr:uid="{00000000-0004-0000-0F00-00000B000000}"/>
    <hyperlink ref="B6" location="'M-Cita'!A6" display="'M-Cita'!A6" xr:uid="{00000000-0004-0000-0F00-00000C000000}"/>
    <hyperlink ref="C6" location="'M-BarberoServicio'!A6" display="'M-BarberoServicio'!A6" xr:uid="{00000000-0004-0000-0F00-00000D000000}"/>
    <hyperlink ref="D6" location="'M-Servicio'!A6" display="'M-Servicio'!A6" xr:uid="{00000000-0004-0000-0F00-00000E000000}"/>
    <hyperlink ref="E6" location="'M-BarberoServicio'!A6" display="'M-BarberoServicio'!A6" xr:uid="{00000000-0004-0000-0F00-00000F000000}"/>
    <hyperlink ref="F6" location="'M-BarberoServicio'!A6" display="'M-BarberoServicio'!A6" xr:uid="{00000000-0004-0000-0F00-000010000000}"/>
    <hyperlink ref="B7" location="'M-Cita'!A7" display="'M-Cita'!A7" xr:uid="{00000000-0004-0000-0F00-000011000000}"/>
    <hyperlink ref="C7" location="'M-BarberoServicio'!A7" display="'M-BarberoServicio'!A7" xr:uid="{00000000-0004-0000-0F00-000012000000}"/>
    <hyperlink ref="D7" location="'M-Servicio'!A7" display="'M-Servicio'!A7" xr:uid="{00000000-0004-0000-0F00-000013000000}"/>
    <hyperlink ref="E7" location="'M-BarberoServicio'!A7" display="'M-BarberoServicio'!A7" xr:uid="{00000000-0004-0000-0F00-000014000000}"/>
    <hyperlink ref="F7" location="'M-BarberoServicio'!A7" display="'M-BarberoServicio'!A7" xr:uid="{00000000-0004-0000-0F00-000015000000}"/>
    <hyperlink ref="B8" location="'M-Cita'!A8" display="'M-Cita'!A8" xr:uid="{00000000-0004-0000-0F00-000016000000}"/>
    <hyperlink ref="C8" location="'M-BarberoServicio'!A9" display="'M-BarberoServicio'!A9" xr:uid="{00000000-0004-0000-0F00-000017000000}"/>
    <hyperlink ref="D8" location="'M-Servicio'!A5" display="'M-Servicio'!A5" xr:uid="{00000000-0004-0000-0F00-000018000000}"/>
    <hyperlink ref="E8" location="'M-BarberoServicio'!A9" display="'M-BarberoServicio'!A9" xr:uid="{00000000-0004-0000-0F00-000019000000}"/>
    <hyperlink ref="F8" location="'M-BarberoServicio'!A9" display="'M-BarberoServicio'!A9" xr:uid="{00000000-0004-0000-0F00-00001A000000}"/>
    <hyperlink ref="B9" location="'M-Cita'!A9" display="'M-Cita'!A9" xr:uid="{00000000-0004-0000-0F00-00001B000000}"/>
    <hyperlink ref="C9" location="'M-BarberoServicio'!A7" display="'M-BarberoServicio'!A7" xr:uid="{00000000-0004-0000-0F00-00001C000000}"/>
    <hyperlink ref="D9" location="'M-Servicio'!A7" display="'M-Servicio'!A7" xr:uid="{00000000-0004-0000-0F00-00001D000000}"/>
    <hyperlink ref="E9" location="'M-BarberoServicio'!A7" display="'M-BarberoServicio'!A7" xr:uid="{00000000-0004-0000-0F00-00001E000000}"/>
    <hyperlink ref="F9" location="'M-BarberoServicio'!A7" display="'M-BarberoServicio'!A7" xr:uid="{00000000-0004-0000-0F00-00001F000000}"/>
    <hyperlink ref="B10" location="'M-Cita'!A10" display="'M-Cita'!A10" xr:uid="{00000000-0004-0000-0F00-000020000000}"/>
    <hyperlink ref="C10" location="'M-BarberoServicio'!A4" display="'M-BarberoServicio'!A4" xr:uid="{00000000-0004-0000-0F00-000021000000}"/>
    <hyperlink ref="D10" location="'M-Servicio'!A4" display="'M-Servicio'!A4" xr:uid="{00000000-0004-0000-0F00-000022000000}"/>
    <hyperlink ref="E10" location="'M-BarberoServicio'!A4" display="'M-BarberoServicio'!A4" xr:uid="{00000000-0004-0000-0F00-000023000000}"/>
    <hyperlink ref="F10" location="'M-BarberoServicio'!A4" display="'M-BarberoServicio'!A4" xr:uid="{00000000-0004-0000-0F00-000024000000}"/>
    <hyperlink ref="B11" location="'M-Cita'!A11" display="'M-Cita'!A11" xr:uid="{00000000-0004-0000-0F00-000025000000}"/>
    <hyperlink ref="C11" location="'M-BarberoServicio'!A5" display="'M-BarberoServicio'!A5" xr:uid="{00000000-0004-0000-0F00-000026000000}"/>
    <hyperlink ref="D11" location="'M-Servicio'!A5" display="'M-Servicio'!A5" xr:uid="{00000000-0004-0000-0F00-000027000000}"/>
    <hyperlink ref="E11" location="'M-BarberoServicio'!A5" display="'M-BarberoServicio'!A5" xr:uid="{00000000-0004-0000-0F00-000028000000}"/>
    <hyperlink ref="F11" location="'M-BarberoServicio'!A5" display="'M-BarberoServicio'!A5" xr:uid="{00000000-0004-0000-0F00-000029000000}"/>
    <hyperlink ref="B12" location="'M-Cita'!A12" display="'M-Cita'!A12" xr:uid="{00000000-0004-0000-0F00-00002A000000}"/>
    <hyperlink ref="C12" location="'M-BarberoServicio'!A6" display="'M-BarberoServicio'!A6" xr:uid="{00000000-0004-0000-0F00-00002B000000}"/>
    <hyperlink ref="D12" location="'M-Servicio'!A6" display="'M-Servicio'!A6" xr:uid="{00000000-0004-0000-0F00-00002C000000}"/>
    <hyperlink ref="E12" location="'M-BarberoServicio'!A6" display="'M-BarberoServicio'!A6" xr:uid="{00000000-0004-0000-0F00-00002D000000}"/>
    <hyperlink ref="F12" location="'M-BarberoServicio'!A6" display="'M-BarberoServicio'!A6" xr:uid="{00000000-0004-0000-0F00-00002E000000}"/>
    <hyperlink ref="B13" location="'M-Cita'!A13" display="'M-Cita'!A13" xr:uid="{00000000-0004-0000-0F00-00002F000000}"/>
    <hyperlink ref="C13" location="'M-BarberoServicio'!A6" display="'M-BarberoServicio'!A6" xr:uid="{00000000-0004-0000-0F00-000030000000}"/>
    <hyperlink ref="D13" location="'M-Servicio'!A6" display="'M-Servicio'!A6" xr:uid="{00000000-0004-0000-0F00-000031000000}"/>
    <hyperlink ref="E13" location="'M-BarberoServicio'!A6" display="'M-BarberoServicio'!A6" xr:uid="{00000000-0004-0000-0F00-000032000000}"/>
    <hyperlink ref="F13" location="'M-BarberoServicio'!A6" display="'M-BarberoServicio'!A6" xr:uid="{00000000-0004-0000-0F00-000033000000}"/>
    <hyperlink ref="B14" location="'M-Cita'!A13" display="'M-Cita'!A13" xr:uid="{00000000-0004-0000-0F00-000034000000}"/>
    <hyperlink ref="C14" location="'M-BarberoServicio'!A9" display="'M-BarberoServicio'!A9" xr:uid="{00000000-0004-0000-0F00-000035000000}"/>
    <hyperlink ref="D14" location="'M-Servicio'!A5" display="'M-Servicio'!A5" xr:uid="{00000000-0004-0000-0F00-000036000000}"/>
    <hyperlink ref="E14" location="'M-BarberoServicio'!A9" display="'M-BarberoServicio'!A9" xr:uid="{00000000-0004-0000-0F00-000037000000}"/>
    <hyperlink ref="F14" location="'M-BarberoServicio'!A9" display="'M-BarberoServicio'!A9" xr:uid="{00000000-0004-0000-0F00-000038000000}"/>
    <hyperlink ref="B3" location="'M-Cita'!A1" display="cita" xr:uid="{09A74327-B686-4C58-A47F-873DCEF6FE6D}"/>
    <hyperlink ref="C3" location="'M-BarberoServicio'!A1" display="barberoServicio" xr:uid="{940F4FDB-60AA-4EB4-AB54-B141387A8B2B}"/>
  </hyperlink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1"/>
  <sheetViews>
    <sheetView zoomScale="85" zoomScaleNormal="85" workbookViewId="0"/>
  </sheetViews>
  <sheetFormatPr baseColWidth="10" defaultColWidth="10.6640625" defaultRowHeight="14.4" x14ac:dyDescent="0.3"/>
  <cols>
    <col min="1" max="1" width="25" customWidth="1"/>
    <col min="2" max="2" width="33.6640625" customWidth="1"/>
    <col min="3" max="3" width="24.6640625" customWidth="1"/>
    <col min="4" max="6" width="35.5546875" customWidth="1"/>
    <col min="7" max="7" width="27.109375" customWidth="1"/>
    <col min="8" max="8" width="30.44140625" customWidth="1"/>
  </cols>
  <sheetData>
    <row r="1" spans="1:8" ht="14.25" customHeight="1" x14ac:dyDescent="0.3">
      <c r="A1" s="1" t="s">
        <v>1</v>
      </c>
      <c r="B1" s="1" t="s">
        <v>37</v>
      </c>
    </row>
    <row r="2" spans="1:8" ht="54" customHeight="1" x14ac:dyDescent="0.3">
      <c r="A2" s="83" t="s">
        <v>38</v>
      </c>
      <c r="B2" s="83" t="s">
        <v>274</v>
      </c>
      <c r="C2" s="83" t="s">
        <v>275</v>
      </c>
      <c r="D2" s="83" t="s">
        <v>276</v>
      </c>
      <c r="E2" s="83" t="s">
        <v>277</v>
      </c>
      <c r="F2" s="83" t="s">
        <v>278</v>
      </c>
      <c r="G2" s="83" t="s">
        <v>279</v>
      </c>
      <c r="H2" s="83" t="s">
        <v>280</v>
      </c>
    </row>
    <row r="3" spans="1:8" ht="14.25" customHeight="1" x14ac:dyDescent="0.3">
      <c r="A3" s="84" t="s">
        <v>41</v>
      </c>
      <c r="B3" s="70" t="s">
        <v>271</v>
      </c>
      <c r="C3" s="61" t="s">
        <v>281</v>
      </c>
      <c r="D3" s="85" t="s">
        <v>282</v>
      </c>
      <c r="E3" s="63" t="s">
        <v>283</v>
      </c>
      <c r="F3" s="92" t="s">
        <v>284</v>
      </c>
      <c r="G3" s="93" t="s">
        <v>285</v>
      </c>
      <c r="H3" s="13" t="s">
        <v>113</v>
      </c>
    </row>
    <row r="4" spans="1:8" ht="42.75" customHeight="1" x14ac:dyDescent="0.3">
      <c r="A4" s="14">
        <v>1</v>
      </c>
      <c r="B4" s="87" t="str">
        <f>'M-Cita'!P6</f>
        <v>+57-3214533321-Jueves-09:00-19:00-13:00-19:00-14/05/2026-13:00</v>
      </c>
      <c r="C4" s="54" t="str">
        <f>'M-TipoMulta'!D4</f>
        <v>Tardanza</v>
      </c>
      <c r="D4" s="91">
        <f>'M-Regla'!C4</f>
        <v>10000</v>
      </c>
      <c r="E4" s="94">
        <f>'M-Cita'!H6</f>
        <v>0.55208333333333304</v>
      </c>
      <c r="F4" s="118">
        <v>46233.416666666664</v>
      </c>
      <c r="G4" s="14" t="s">
        <v>83</v>
      </c>
      <c r="H4" s="24" t="str">
        <f>B4</f>
        <v>+57-3214533321-Jueves-09:00-19:00-13:00-19:00-14/05/2026-13:00</v>
      </c>
    </row>
    <row r="5" spans="1:8" ht="42.75" customHeight="1" x14ac:dyDescent="0.3">
      <c r="A5" s="14">
        <v>2</v>
      </c>
      <c r="B5" s="87" t="str">
        <f>'M-Cita'!P7</f>
        <v>+91-9876543210-Sábado-08:00-21:00-08:00-14:00-22/11/2025-13:00</v>
      </c>
      <c r="C5" s="54" t="str">
        <f>'M-TipoMulta'!D5</f>
        <v>Inasistencia</v>
      </c>
      <c r="D5" s="91">
        <f>'M-Cita'!O7</f>
        <v>35000</v>
      </c>
      <c r="E5" s="94">
        <f>'M-Cita'!G7</f>
        <v>0.57638888888888917</v>
      </c>
      <c r="F5" s="14" t="s">
        <v>286</v>
      </c>
      <c r="G5" s="14" t="s">
        <v>158</v>
      </c>
      <c r="H5" s="24" t="str">
        <f>B5</f>
        <v>+91-9876543210-Sábado-08:00-21:00-08:00-14:00-22/11/2025-13:00</v>
      </c>
    </row>
    <row r="6" spans="1:8" ht="57" customHeight="1" x14ac:dyDescent="0.3">
      <c r="A6" s="14">
        <v>3</v>
      </c>
      <c r="B6" s="87" t="str">
        <f>'M-Cita'!P10</f>
        <v>+57-3245627890-Lunes-09:00-19:00-10:00-16:00-01/06/2026-10:00</v>
      </c>
      <c r="C6" s="54" t="str">
        <f>'M-TipoMulta'!D5</f>
        <v>Inasistencia</v>
      </c>
      <c r="D6" s="91">
        <f>'M-Cita'!O10</f>
        <v>22000</v>
      </c>
      <c r="E6" s="94">
        <f>'M-Cita'!G10</f>
        <v>0.4583333333333337</v>
      </c>
      <c r="F6" s="14" t="s">
        <v>286</v>
      </c>
      <c r="G6" s="14" t="s">
        <v>158</v>
      </c>
      <c r="H6" s="24" t="str">
        <f>B6</f>
        <v>+57-3245627890-Lunes-09:00-19:00-10:00-16:00-01/06/2026-10:00</v>
      </c>
    </row>
    <row r="7" spans="1:8" ht="57" customHeight="1" x14ac:dyDescent="0.3">
      <c r="A7" s="14">
        <v>4</v>
      </c>
      <c r="B7" s="87" t="str">
        <f>'M-Cita'!P11</f>
        <v>+57-3124518923-Martes-09:00-19:00-09:00-15:00-16/06/2026-09:00</v>
      </c>
      <c r="C7" s="54" t="str">
        <f>'M-TipoMulta'!D5</f>
        <v>Inasistencia</v>
      </c>
      <c r="D7" s="91">
        <f>'M-Cita'!O11</f>
        <v>12000</v>
      </c>
      <c r="E7" s="94">
        <f>'M-Cita'!G11</f>
        <v>0.38541666666666669</v>
      </c>
      <c r="F7" s="14" t="s">
        <v>286</v>
      </c>
      <c r="G7" s="14" t="s">
        <v>158</v>
      </c>
      <c r="H7" s="24" t="str">
        <f>B7</f>
        <v>+57-3124518923-Martes-09:00-19:00-09:00-15:00-16/06/2026-09:00</v>
      </c>
    </row>
    <row r="8" spans="1:8" ht="57" customHeight="1" x14ac:dyDescent="0.3">
      <c r="A8" s="14">
        <v>5</v>
      </c>
      <c r="B8" s="87" t="str">
        <f>'M-Cita'!P12</f>
        <v>+57-3214533321-Jueves-09:00-19:00-13:00-19:00-02/07/2026-15:00</v>
      </c>
      <c r="C8" s="54" t="str">
        <f>'M-TipoMulta'!D5</f>
        <v>Inasistencia</v>
      </c>
      <c r="D8" s="91">
        <f>'M-Cita'!O12</f>
        <v>15000</v>
      </c>
      <c r="E8" s="94">
        <f>'M-Cita'!G12</f>
        <v>0.63888888888888884</v>
      </c>
      <c r="F8" s="14" t="s">
        <v>286</v>
      </c>
      <c r="G8" s="14" t="s">
        <v>158</v>
      </c>
      <c r="H8" s="24" t="str">
        <f>B8</f>
        <v>+57-3214533321-Jueves-09:00-19:00-13:00-19:00-02/07/2026-15:00</v>
      </c>
    </row>
    <row r="10" spans="1:8" x14ac:dyDescent="0.3">
      <c r="F10" s="117"/>
    </row>
    <row r="14" spans="1:8" ht="28.5" customHeight="1" x14ac:dyDescent="0.3">
      <c r="A14" s="95"/>
      <c r="B14" s="18" t="s">
        <v>52</v>
      </c>
    </row>
    <row r="15" spans="1:8" ht="28.5" customHeight="1" x14ac:dyDescent="0.3">
      <c r="A15" s="96"/>
      <c r="B15" s="18" t="s">
        <v>53</v>
      </c>
    </row>
    <row r="16" spans="1:8" ht="28.5" customHeight="1" x14ac:dyDescent="0.3">
      <c r="A16" s="97"/>
      <c r="B16" s="18" t="s">
        <v>90</v>
      </c>
    </row>
    <row r="17" spans="1:2" ht="14.25" customHeight="1" x14ac:dyDescent="0.3">
      <c r="A17" s="98"/>
      <c r="B17" s="18" t="s">
        <v>287</v>
      </c>
    </row>
    <row r="18" spans="1:2" ht="14.25" customHeight="1" x14ac:dyDescent="0.3">
      <c r="A18" s="115"/>
      <c r="B18" s="18" t="s">
        <v>210</v>
      </c>
    </row>
    <row r="19" spans="1:2" ht="28.8" x14ac:dyDescent="0.3">
      <c r="A19" s="116"/>
      <c r="B19" s="18" t="s">
        <v>294</v>
      </c>
    </row>
    <row r="20" spans="1:2" ht="14.25" customHeight="1" x14ac:dyDescent="0.3">
      <c r="A20" s="99"/>
      <c r="B20" t="s">
        <v>92</v>
      </c>
    </row>
    <row r="21" spans="1:2" ht="14.25" customHeight="1" x14ac:dyDescent="0.3">
      <c r="A21" s="100"/>
      <c r="B21" t="s">
        <v>55</v>
      </c>
    </row>
  </sheetData>
  <hyperlinks>
    <hyperlink ref="A1" location="'Modelo%20de%20Dominio'!A1" display="&lt;&lt;&lt;&lt; Ir al modulo de dominio" xr:uid="{00000000-0004-0000-1000-000000000000}"/>
    <hyperlink ref="B1" location="'Objetos%20de%20Dominio'!A1" display="&lt;&lt;&lt;&lt; Ir a objetos de dominio" xr:uid="{00000000-0004-0000-1000-000001000000}"/>
    <hyperlink ref="B3" location="'M-Cita'!A1" display="cita" xr:uid="{00000000-0004-0000-1000-000002000000}"/>
    <hyperlink ref="C3" location="'M-TipoMulta'!A1" display="tipo" xr:uid="{00000000-0004-0000-1000-000003000000}"/>
    <hyperlink ref="B4" location="'M-Cita'!A6" display="'M-Cita'!A6" xr:uid="{00000000-0004-0000-1000-000004000000}"/>
    <hyperlink ref="C4" location="'M-TipoMulta'!A4" display="'M-TipoMulta'!A4" xr:uid="{00000000-0004-0000-1000-000005000000}"/>
    <hyperlink ref="D4" location="'M-Regla'!A4" display="'M-Regla'!A4" xr:uid="{00000000-0004-0000-1000-000006000000}"/>
    <hyperlink ref="E4" location="'M-Cita'!A6" display="'M-Cita'!A6" xr:uid="{00000000-0004-0000-1000-000007000000}"/>
    <hyperlink ref="B5" location="'M-Cita'!A7" display="'M-Cita'!A7" xr:uid="{00000000-0004-0000-1000-000009000000}"/>
    <hyperlink ref="C5" location="'M-TipoMulta'!A5" display="'M-TipoMulta'!A5" xr:uid="{00000000-0004-0000-1000-00000A000000}"/>
    <hyperlink ref="D5" location="'M-Cita'!A7" display="'M-Cita'!A7" xr:uid="{00000000-0004-0000-1000-00000B000000}"/>
    <hyperlink ref="E5" location="'M-Cita'!A7" display="'M-Cita'!A7" xr:uid="{00000000-0004-0000-1000-00000C000000}"/>
    <hyperlink ref="B6" location="'M-Cita'!A10" display="'M-Cita'!A10" xr:uid="{00000000-0004-0000-1000-00000D000000}"/>
    <hyperlink ref="C6" location="'M-TipoMulta'!A5" display="'M-TipoMulta'!A5" xr:uid="{00000000-0004-0000-1000-00000E000000}"/>
    <hyperlink ref="D6" location="'M-Cita'!A10" display="'M-Cita'!A10" xr:uid="{00000000-0004-0000-1000-00000F000000}"/>
    <hyperlink ref="E6" location="'M-Cita'!A10" display="'M-Cita'!A10" xr:uid="{00000000-0004-0000-1000-000010000000}"/>
    <hyperlink ref="B7" location="'M-Cita'!A11" display="'M-Cita'!A11" xr:uid="{00000000-0004-0000-1000-000011000000}"/>
    <hyperlink ref="C7" location="'M-TipoMulta'!A5" display="'M-TipoMulta'!A5" xr:uid="{00000000-0004-0000-1000-000012000000}"/>
    <hyperlink ref="D7" location="'M-Cita'!A11" display="'M-Cita'!A11" xr:uid="{00000000-0004-0000-1000-000013000000}"/>
    <hyperlink ref="E7" location="'M-Cita'!A11" display="'M-Cita'!A11" xr:uid="{00000000-0004-0000-1000-000014000000}"/>
    <hyperlink ref="B8" location="'M-Cita'!A12" display="'M-Cita'!A12" xr:uid="{00000000-0004-0000-1000-000015000000}"/>
    <hyperlink ref="C8" location="'M-TipoMulta'!A5" display="'M-TipoMulta'!A5" xr:uid="{00000000-0004-0000-1000-000016000000}"/>
    <hyperlink ref="D8" location="'M-Cita'!A12" display="'M-Cita'!A12" xr:uid="{00000000-0004-0000-1000-000017000000}"/>
    <hyperlink ref="E8" location="'M-Cita'!A12" display="'M-Cita'!A12" xr:uid="{00000000-0004-0000-1000-000018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Modelo de Dominio</vt:lpstr>
      <vt:lpstr>Objetos de Dominio</vt:lpstr>
      <vt:lpstr>M-DiaSemana</vt:lpstr>
      <vt:lpstr>M-Estado</vt:lpstr>
      <vt:lpstr>M-Servicio</vt:lpstr>
      <vt:lpstr>M-Regla</vt:lpstr>
      <vt:lpstr>M-PrefijoCelular</vt:lpstr>
      <vt:lpstr>M-TipoMulta</vt:lpstr>
      <vt:lpstr>M-Barbero</vt:lpstr>
      <vt:lpstr>M-Cliente</vt:lpstr>
      <vt:lpstr>M-HorarioBarberia</vt:lpstr>
      <vt:lpstr>M-BarberoServicio</vt:lpstr>
      <vt:lpstr>M-HorarioBarbero</vt:lpstr>
      <vt:lpstr>M-Agenda</vt:lpstr>
      <vt:lpstr>M-Cita</vt:lpstr>
      <vt:lpstr>M-CitaServicio</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Leo 1000</cp:lastModifiedBy>
  <cp:revision>0</cp:revision>
  <dcterms:created xsi:type="dcterms:W3CDTF">2015-06-05T18:19:34Z</dcterms:created>
  <dcterms:modified xsi:type="dcterms:W3CDTF">2026-08-31T02:32:25Z</dcterms:modified>
  <dc:language>en-US</dc:language>
</cp:coreProperties>
</file>