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388" documentId="11_AD4D2F04E46CFB4ACB3E20F07552DBC0683EDF10" xr6:coauthVersionLast="47" xr6:coauthVersionMax="47" xr10:uidLastSave="{ABEDD8F6-8ADF-4CAC-9005-6254CA58684C}"/>
  <bookViews>
    <workbookView xWindow="-120" yWindow="-120" windowWidth="29040" windowHeight="15840" firstSheet="4" activeTab="10" xr2:uid="{00000000-000D-0000-FFFF-FFFF00000000}"/>
  </bookViews>
  <sheets>
    <sheet name="Modelo de Dominio" sheetId="1" r:id="rId1"/>
    <sheet name="Objetos de Dominio" sheetId="2" r:id="rId2"/>
    <sheet name="M-DiaSemana" sheetId="3" r:id="rId3"/>
    <sheet name="M-Estado" sheetId="4" r:id="rId4"/>
    <sheet name="M-Servicio" sheetId="5" r:id="rId5"/>
    <sheet name="M-PrefijoCelular" sheetId="6" r:id="rId6"/>
    <sheet name="M-Barbero" sheetId="7" r:id="rId7"/>
    <sheet name="M-Cliente" sheetId="8" r:id="rId8"/>
    <sheet name="M-HorarioBarberia" sheetId="9" r:id="rId9"/>
    <sheet name="M-BarberoServicio" sheetId="10" r:id="rId10"/>
    <sheet name="M-HorarioBarbero" sheetId="11" r:id="rId11"/>
    <sheet name="M-Agenda" sheetId="12" r:id="rId12"/>
    <sheet name="M-Cita" sheetId="13" r:id="rId13"/>
    <sheet name="M-Multa" sheetId="14" r:id="rId14"/>
  </sheets>
  <externalReferences>
    <externalReference r:id="rId1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1" l="1"/>
  <c r="I5" i="11"/>
  <c r="I6" i="11"/>
  <c r="I7" i="11"/>
  <c r="I8" i="11"/>
  <c r="I4" i="11"/>
  <c r="C8" i="11"/>
  <c r="C7" i="11"/>
  <c r="C6" i="11"/>
  <c r="C5" i="11"/>
  <c r="C4" i="11"/>
  <c r="C12" i="10"/>
  <c r="B12" i="10"/>
  <c r="C11" i="10"/>
  <c r="B11" i="10"/>
  <c r="C10" i="10"/>
  <c r="B10" i="10"/>
  <c r="C9" i="10"/>
  <c r="B9" i="10"/>
  <c r="F9" i="10" s="1"/>
  <c r="C8" i="10"/>
  <c r="B8" i="10"/>
  <c r="F8" i="10" s="1"/>
  <c r="C7" i="10"/>
  <c r="B7" i="10"/>
  <c r="F7" i="10" s="1"/>
  <c r="C6" i="10"/>
  <c r="B6" i="10"/>
  <c r="C5" i="10"/>
  <c r="B5" i="10"/>
  <c r="F5" i="10" s="1"/>
  <c r="C4" i="10"/>
  <c r="B4" i="10"/>
  <c r="B8" i="11"/>
  <c r="B7" i="11"/>
  <c r="B6" i="11"/>
  <c r="B5" i="11"/>
  <c r="F12" i="10"/>
  <c r="F11" i="10"/>
  <c r="F10" i="10"/>
  <c r="F6" i="10"/>
  <c r="F4" i="10"/>
  <c r="B10" i="9"/>
  <c r="B5" i="9"/>
  <c r="B6" i="9"/>
  <c r="B7" i="9"/>
  <c r="B8" i="9"/>
  <c r="B9" i="9"/>
  <c r="B4" i="9"/>
  <c r="E10" i="9"/>
  <c r="E9" i="9"/>
  <c r="E8" i="9"/>
  <c r="E7" i="9"/>
  <c r="E6" i="9"/>
  <c r="E5" i="9"/>
  <c r="E4" i="9"/>
  <c r="D5" i="4"/>
  <c r="D6" i="4"/>
  <c r="D7" i="4"/>
  <c r="D8" i="4"/>
  <c r="D9" i="4"/>
  <c r="D4" i="4"/>
  <c r="F7" i="5"/>
  <c r="F6" i="5"/>
  <c r="F5" i="5"/>
  <c r="F4" i="5"/>
  <c r="C5" i="3"/>
  <c r="C6" i="3"/>
  <c r="C7" i="3"/>
  <c r="C8" i="3"/>
  <c r="C9" i="3"/>
  <c r="C10" i="3"/>
  <c r="C11" i="3"/>
  <c r="C4" i="3"/>
  <c r="F8" i="8"/>
  <c r="J8" i="8" s="1"/>
  <c r="F7" i="8"/>
  <c r="J7" i="8" s="1"/>
  <c r="F6" i="8"/>
  <c r="J6" i="8" s="1"/>
  <c r="F5" i="8"/>
  <c r="J5" i="8" s="1"/>
  <c r="C7" i="6"/>
  <c r="F7" i="7"/>
  <c r="K7" i="7" s="1"/>
  <c r="C4" i="6"/>
  <c r="F6" i="7" s="1"/>
  <c r="K6" i="7" s="1"/>
  <c r="C5" i="6"/>
  <c r="C6" i="6"/>
  <c r="F8" i="7" s="1"/>
  <c r="K8" i="7" s="1"/>
  <c r="L5" i="7"/>
  <c r="L6" i="7"/>
  <c r="L7" i="7"/>
  <c r="L8" i="7"/>
  <c r="L4" i="7"/>
  <c r="F4" i="8" l="1"/>
  <c r="J4" i="8" s="1"/>
  <c r="F4" i="7"/>
  <c r="K4" i="7" s="1"/>
  <c r="F5" i="7"/>
  <c r="K5" i="7" s="1"/>
</calcChain>
</file>

<file path=xl/sharedStrings.xml><?xml version="1.0" encoding="utf-8"?>
<sst xmlns="http://schemas.openxmlformats.org/spreadsheetml/2006/main" count="286" uniqueCount="177">
  <si>
    <t>Ir a objetos de dominio &gt;&gt;&gt;&gt;</t>
  </si>
  <si>
    <t>&lt;&lt;&lt;&lt; Ir al modulo de dominio</t>
  </si>
  <si>
    <t>Nombre</t>
  </si>
  <si>
    <t>Descripcion</t>
  </si>
  <si>
    <t>Linea de vida</t>
  </si>
  <si>
    <t>Datos</t>
  </si>
  <si>
    <t>Estado</t>
  </si>
  <si>
    <t>Servicio</t>
  </si>
  <si>
    <t>PrefijoCelular</t>
  </si>
  <si>
    <t>Barbero</t>
  </si>
  <si>
    <t>Cliente</t>
  </si>
  <si>
    <t>HorarioBarberia</t>
  </si>
  <si>
    <t>BarberoServicio</t>
  </si>
  <si>
    <t>HorarioBarbero</t>
  </si>
  <si>
    <t>Agenda</t>
  </si>
  <si>
    <t>Cita</t>
  </si>
  <si>
    <t>Multa</t>
  </si>
  <si>
    <t>DiaSemana</t>
  </si>
  <si>
    <t>&lt;&lt;&lt;&lt; Ir a objetos de dominio</t>
  </si>
  <si>
    <t>Representa un identificador que hará unico cada objeto de dominio de este tipo, no se puede repetir</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</si>
  <si>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</si>
  <si>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</si>
  <si>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</si>
  <si>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</si>
  <si>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el número de celular del barbero</t>
  </si>
  <si>
    <t>Representa el correo electronico del barbero, con el que se va a registrar o iniciar seción</t>
  </si>
  <si>
    <t>Representa la contraseña encriptada del barbero</t>
  </si>
  <si>
    <t>Representa si el barbero sigue o no trabajando. Es un dato calculado, si el barbero tiene en su agenda un horario de trabajo si es vigente y si no tiene horario de trabajo dice no es vigente</t>
  </si>
  <si>
    <t>id</t>
  </si>
  <si>
    <t>primerNombre</t>
  </si>
  <si>
    <t>segundoNombre</t>
  </si>
  <si>
    <t>primerApellido</t>
  </si>
  <si>
    <t>segundoApellido</t>
  </si>
  <si>
    <t>prefijo</t>
  </si>
  <si>
    <t>celular</t>
  </si>
  <si>
    <t>correo</t>
  </si>
  <si>
    <t>contraseña</t>
  </si>
  <si>
    <t>vigente</t>
  </si>
  <si>
    <t xml:space="preserve">Combinación única </t>
  </si>
  <si>
    <t>Juan</t>
  </si>
  <si>
    <t>Fernando</t>
  </si>
  <si>
    <t>García</t>
  </si>
  <si>
    <t>Lopez</t>
  </si>
  <si>
    <t>+57</t>
  </si>
  <si>
    <t>juanfer234535@gmail.com</t>
  </si>
  <si>
    <t>$2b$12$Ce2ZsSJaOpx4iq5W.LNrCuvonh1fxNgpYYqBddeR50IjtYsh9n97C</t>
  </si>
  <si>
    <t>si</t>
  </si>
  <si>
    <t>David</t>
  </si>
  <si>
    <t>Ortiz</t>
  </si>
  <si>
    <t>Sanchez</t>
  </si>
  <si>
    <t>juandaviddd2525@gmail.com</t>
  </si>
  <si>
    <t>$2b$12$4dn1n10vtv3SpDX5ryR2FOluaaros/pqDXz8liKcEp/7JG7TBvqAK</t>
  </si>
  <si>
    <t>Carlos</t>
  </si>
  <si>
    <t>Arbeladez</t>
  </si>
  <si>
    <t>carlosbeladez@gmail.com</t>
  </si>
  <si>
    <t>$2b$12$htWWNCh.2QPjVycBmNb5ROHBO21L9p7hlWyFtctUtP4SbV3yBNqei</t>
  </si>
  <si>
    <t>Andres</t>
  </si>
  <si>
    <t>Ramirez</t>
  </si>
  <si>
    <t>Patiño</t>
  </si>
  <si>
    <t>+91</t>
  </si>
  <si>
    <t>andresramirezpatino123@gmail.com</t>
  </si>
  <si>
    <t>$2b$12$IzNJVnlQl1UX5Py84yi5jOE1yuEdUrA.0Okt.BidVKs8biBdotH7W</t>
  </si>
  <si>
    <t>no</t>
  </si>
  <si>
    <t>Zambrano</t>
  </si>
  <si>
    <t>Perez</t>
  </si>
  <si>
    <t>+593</t>
  </si>
  <si>
    <t>juancarloszambrano4394@gmail.com</t>
  </si>
  <si>
    <t>$2b$12$mlxS0WUooP1stXSQdVR8EeBoYrgBrP5czZRqSvIgvelxUIGcwFgh.</t>
  </si>
  <si>
    <t>Corresponde a la descripcion de los atributos</t>
  </si>
  <si>
    <t>Corresponde al identificador unico del objeto de dominio</t>
  </si>
  <si>
    <t>Corresponde a los datos de tipo alfanumerico</t>
  </si>
  <si>
    <t>Corresponde a los datos calculados por el sistema</t>
  </si>
  <si>
    <t>Corresponde a la combinacion única</t>
  </si>
  <si>
    <t>Combinación única  1</t>
  </si>
  <si>
    <t>Combinacion única que indica que no puede existir más de un barbero con el mismo prefijo de celular y número de celular</t>
  </si>
  <si>
    <t>Combinación única  2</t>
  </si>
  <si>
    <t>Combinacion única que indica que no puede existir más un mismo prefijo</t>
  </si>
  <si>
    <t>Representa cual es el prefijo del numero de celular del barbero</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</si>
  <si>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</si>
  <si>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</si>
  <si>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</si>
  <si>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</si>
  <si>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el numero de celular de la persona que le va a escribir al barbero por WhatsApp para pedirle una cita</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</si>
  <si>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</si>
  <si>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</si>
  <si>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prefijoCelular</t>
  </si>
  <si>
    <t>multasSinPagar</t>
  </si>
  <si>
    <t>estaVetado</t>
  </si>
  <si>
    <t>Combinación única</t>
  </si>
  <si>
    <t>Gómez</t>
  </si>
  <si>
    <t>Jose</t>
  </si>
  <si>
    <t>Miguel</t>
  </si>
  <si>
    <t>Simon</t>
  </si>
  <si>
    <t>Ochoa</t>
  </si>
  <si>
    <t>Alexis</t>
  </si>
  <si>
    <t>Gallego</t>
  </si>
  <si>
    <t>+58</t>
  </si>
  <si>
    <t>Kevin</t>
  </si>
  <si>
    <t>Andrés</t>
  </si>
  <si>
    <t>Muñoz</t>
  </si>
  <si>
    <t>Salazar</t>
  </si>
  <si>
    <t>Corresponde a referencias de objetos de dominio</t>
  </si>
  <si>
    <t>Representa cual es el prefijo del numero de celular del cliente</t>
  </si>
  <si>
    <t>Combinacion única que indica que no puede existir más de un barbero con el correro electronico</t>
  </si>
  <si>
    <t>Combinacion única que indica que no puede existir más de un cliente con el mismo prefijo de celular y número de celular</t>
  </si>
  <si>
    <t>nombre</t>
  </si>
  <si>
    <t>Lunes</t>
  </si>
  <si>
    <t>Martes</t>
  </si>
  <si>
    <t>Miércoles</t>
  </si>
  <si>
    <t>Jueves</t>
  </si>
  <si>
    <t>Viernes</t>
  </si>
  <si>
    <t>Sábado</t>
  </si>
  <si>
    <t>Festivo</t>
  </si>
  <si>
    <t>Domingo</t>
  </si>
  <si>
    <t>Combinacion única que indica que no puede existir más un dia de la semana con el mismo nombre</t>
  </si>
  <si>
    <t>Representa cuanto va a valer el servicio en pesos colombianos. Debe de ser mayor a cero, su valor por defecto es 0 y no esta permitido</t>
  </si>
  <si>
    <t>Representa si el servicio sigue o no disponible en la barberia</t>
  </si>
  <si>
    <t>Combinacion única que indica que no puede existir más de un servicio con el mismo nombre</t>
  </si>
  <si>
    <t>descripcion</t>
  </si>
  <si>
    <t>precio</t>
  </si>
  <si>
    <t>disponible</t>
  </si>
  <si>
    <t xml:space="preserve">Combinacion única </t>
  </si>
  <si>
    <t>Motilada</t>
  </si>
  <si>
    <t>Corte de cabello completo con máquina y tijera, incluye lavado y secado</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</si>
  <si>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</si>
  <si>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</si>
  <si>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</si>
  <si>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</si>
  <si>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</si>
  <si>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</si>
  <si>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</si>
  <si>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Corresponde a los datos de tipo entero</t>
  </si>
  <si>
    <t>Corresponde a los datos de tipo logico</t>
  </si>
  <si>
    <t>Representa el nombre del servicio que va estar en la barberia, para que el barbero elija los servicios que el sabe hacer</t>
  </si>
  <si>
    <t>Representa una descripcion de que va a hacer cada servicio, para que el barbero sepa que hace el servicio</t>
  </si>
  <si>
    <t>Representa como se llama el dia de la semana, para los horarios</t>
  </si>
  <si>
    <t>Agendada</t>
  </si>
  <si>
    <t>Finalizada</t>
  </si>
  <si>
    <t>Cancelada por el cliente</t>
  </si>
  <si>
    <t>Cancelada por el barbero</t>
  </si>
  <si>
    <t>El cliente se demoro</t>
  </si>
  <si>
    <t>El barbero se demoro</t>
  </si>
  <si>
    <t>Representa como se llama el estado de la agenda con la cita del cliente</t>
  </si>
  <si>
    <t>Representa el significado de que representa cada estado para la agenda</t>
  </si>
  <si>
    <t>Representa la hora a la que abre la barbería</t>
  </si>
  <si>
    <t>Representa la hora a la que cierra la barbería</t>
  </si>
  <si>
    <t>Combinacion única que indica que no puede existir más de un horario con la misma barberia, dia de la semana, hora de apertura y cierre</t>
  </si>
  <si>
    <t>diaDeLaSemana</t>
  </si>
  <si>
    <t>horaApertura</t>
  </si>
  <si>
    <t>horaCierre</t>
  </si>
  <si>
    <t>Corresponde a los datos de tipo hora</t>
  </si>
  <si>
    <t>Representa el día de la semana en el que la barberia abre</t>
  </si>
  <si>
    <t>Representa el nombre y apellidos del barbero</t>
  </si>
  <si>
    <t xml:space="preserve">Representa el nombre del servicio de la barberia </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</si>
  <si>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</si>
  <si>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</si>
  <si>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Combinación única que indica que un mismo barbero no puede aparecer dos veces ofreciendo el mismo servicio</t>
  </si>
  <si>
    <t>barbero</t>
  </si>
  <si>
    <t>servicio</t>
  </si>
  <si>
    <t>duracionServicio</t>
  </si>
  <si>
    <t>tiempoExtra</t>
  </si>
  <si>
    <t>Referencia a que barbero va a ser dueño de esta agenda</t>
  </si>
  <si>
    <t>Hace referencia a la agenda del barbero en la que queda guardado este horario de trabajo</t>
  </si>
  <si>
    <t>Representa la hora en la que el barbero empieza a estar disponible ese dia. Su valor por defecto es 00:00 y es permitido. La hora debe de estar dentro del horario barberia</t>
  </si>
  <si>
    <t>Representa la hora en la que el barbero deja de estar disponible ese día, junto con horaInicio, es lo que la aplicación usa para saber si hay campo para agendar una cita nueva. Su valor por defecto es 00:00 y no es permitido. Esta hora debe de ser mayor a horaInicio y también debe de estar dentro de horario barberia</t>
  </si>
  <si>
    <t>Representa la fecha en el que el barbero creo esta agenda. Es un dato calculado que toma la fecha de hoy cuando el barbero crea la agenda</t>
  </si>
  <si>
    <t>Representa la fecha en el que el barbero decidio que ya no va a trabaja más en este horario. Es un dato calculo que toma la fecha de hoy cuando el barbero dice que ya no es vigente</t>
  </si>
  <si>
    <t>Representa si este horario lo sigue o no usando el barbero. Una vez que el barbero cambie este estado a no vigente, no se puede volver a cambiar</t>
  </si>
  <si>
    <t>horaInicio</t>
  </si>
  <si>
    <t>horaFinal</t>
  </si>
  <si>
    <t>fechaCreacion</t>
  </si>
  <si>
    <t>fechaDesactivacion</t>
  </si>
  <si>
    <t>1/01/1000</t>
  </si>
  <si>
    <t>horarioDeLaBarberia</t>
  </si>
  <si>
    <t>Combinación única que indica que un barbero no puede tener más de un horario, cada barbero organiza todo su tiempo en un único lugar</t>
  </si>
  <si>
    <t>Corresponde a los datos calculados</t>
  </si>
  <si>
    <t>Corresponde a los datos tipo logico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</si>
</sst>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h:mm\ AM/PM"/>
    <numFmt numFmtId="169" formatCode="&quot;$ &quot;#,##0"/>
    <numFmt numFmtId="170" formatCode="m/d/yyyy"/>
  </numFmts>
  <fonts count="13" x14ac:knownFonts="1">
    <font>
      <sz val="11"/>
      <color theme="1"/>
      <name val="Calibri"/>
      <family val="2"/>
      <scheme val="minor"/>
    </font>
    <font>
      <sz val="11"/>
      <color theme="1"/>
      <name val="Calibri"/>
      <family val="2"/>
    </font>
    <font>
      <u/>
      <sz val="11"/>
      <color theme="10"/>
      <name val="Calibri"/>
      <family val="2"/>
      <charset val="1"/>
    </font>
    <font>
      <b/>
      <sz val="11"/>
      <color theme="1"/>
      <name val="Calibri"/>
      <family val="2"/>
      <charset val="1"/>
    </font>
    <font>
      <sz val="7"/>
      <name val="Calibri"/>
      <family val="2"/>
      <charset val="1"/>
    </font>
    <font>
      <sz val="7"/>
      <color theme="1"/>
      <name val="Calibri"/>
      <family val="2"/>
      <charset val="1"/>
    </font>
    <font>
      <sz val="11"/>
      <name val="Calibri"/>
      <family val="2"/>
      <charset val="1"/>
    </font>
    <font>
      <u/>
      <sz val="11"/>
      <color rgb="FF0563C1"/>
      <name val="Calibri"/>
      <family val="2"/>
      <charset val="1"/>
    </font>
    <font>
      <sz val="11"/>
      <color theme="1"/>
      <name val="Calibri"/>
      <family val="2"/>
      <charset val="1"/>
    </font>
    <font>
      <sz val="7"/>
      <color rgb="FF000000"/>
      <name val="Calibri"/>
      <family val="2"/>
      <charset val="1"/>
    </font>
    <font>
      <b/>
      <sz val="11"/>
      <color rgb="FF000000"/>
      <name val="Calibri"/>
      <family val="2"/>
      <charset val="1"/>
    </font>
    <font>
      <b/>
      <sz val="11"/>
      <name val="Calibri"/>
      <family val="2"/>
      <charset val="1"/>
    </font>
    <font>
      <b/>
      <u/>
      <sz val="11"/>
      <color theme="10"/>
      <name val="Calibri"/>
      <family val="2"/>
      <charset val="1"/>
    </font>
  </fonts>
  <fills count="22">
    <fill>
      <patternFill patternType="none"/>
    </fill>
    <fill>
      <patternFill patternType="gray125"/>
    </fill>
    <fill>
      <patternFill patternType="solid">
        <fgColor theme="0"/>
        <bgColor indexed="64"/>
      </patternFill>
    </fill>
    <fill>
      <patternFill patternType="solid">
        <fgColor theme="0"/>
        <bgColor rgb="FFD9D9D9"/>
      </patternFill>
    </fill>
    <fill>
      <patternFill patternType="solid">
        <fgColor rgb="FFD9D9D9"/>
        <bgColor rgb="FFD0D0D0"/>
      </patternFill>
    </fill>
    <fill>
      <patternFill patternType="solid">
        <fgColor theme="9"/>
        <bgColor rgb="FF4EA72E"/>
      </patternFill>
    </fill>
    <fill>
      <patternFill patternType="solid">
        <fgColor theme="4" tint="-0.249977111117893"/>
        <bgColor rgb="FF467886"/>
      </patternFill>
    </fill>
    <fill>
      <patternFill patternType="solid">
        <fgColor rgb="FFF1ABE9"/>
        <bgColor rgb="FFE49EDD"/>
      </patternFill>
    </fill>
    <fill>
      <patternFill patternType="solid">
        <fgColor theme="7" tint="0.39979247413556324"/>
        <bgColor rgb="FFFFE699"/>
      </patternFill>
    </fill>
    <fill>
      <patternFill patternType="solid">
        <fgColor theme="2" tint="-9.9978637043366805E-2"/>
        <bgColor rgb="FFD0D0D0"/>
      </patternFill>
    </fill>
    <fill>
      <patternFill patternType="solid">
        <fgColor rgb="FF70AD47"/>
        <bgColor rgb="FF4EA72E"/>
      </patternFill>
    </fill>
    <fill>
      <patternFill patternType="solid">
        <fgColor rgb="FF2F75B5"/>
        <bgColor rgb="FF467886"/>
      </patternFill>
    </fill>
    <fill>
      <patternFill patternType="solid">
        <fgColor rgb="FFFFD966"/>
        <bgColor rgb="FFFFE699"/>
      </patternFill>
    </fill>
    <fill>
      <patternFill patternType="solid">
        <fgColor rgb="FFD0CECE"/>
        <bgColor rgb="FFD0D0D0"/>
      </patternFill>
    </fill>
    <fill>
      <patternFill patternType="solid">
        <fgColor theme="5" tint="0.59999389629810485"/>
        <bgColor rgb="FF467886"/>
      </patternFill>
    </fill>
    <fill>
      <patternFill patternType="solid">
        <fgColor theme="5" tint="0.59968871120334488"/>
        <bgColor rgb="FFF7C7AC"/>
      </patternFill>
    </fill>
    <fill>
      <patternFill patternType="solid">
        <fgColor rgb="FF7030A0"/>
        <bgColor rgb="FF993366"/>
      </patternFill>
    </fill>
    <fill>
      <patternFill patternType="solid">
        <fgColor rgb="FF00B0F0"/>
        <bgColor rgb="FF33CCCC"/>
      </patternFill>
    </fill>
    <fill>
      <patternFill patternType="solid">
        <fgColor theme="7" tint="0.59968871120334488"/>
        <bgColor rgb="FFFFD966"/>
      </patternFill>
    </fill>
    <fill>
      <patternFill patternType="solid">
        <fgColor rgb="FFFFFF00"/>
        <bgColor rgb="FFFFFF00"/>
      </patternFill>
    </fill>
    <fill>
      <patternFill patternType="solid">
        <fgColor rgb="FFF8CBAD"/>
        <bgColor rgb="FFF7C7AC"/>
      </patternFill>
    </fill>
    <fill>
      <patternFill patternType="solid">
        <fgColor rgb="FF00B0F0"/>
        <bgColor rgb="FFFFFF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2">
    <xf numFmtId="0" fontId="0" fillId="0" borderId="0" xfId="0"/>
    <xf numFmtId="0" fontId="0" fillId="2" borderId="0" xfId="0" applyFill="1"/>
    <xf numFmtId="0" fontId="2" fillId="3" borderId="0" xfId="0" applyFont="1" applyFill="1"/>
    <xf numFmtId="0" fontId="2" fillId="0" borderId="0" xfId="0" applyFont="1"/>
    <xf numFmtId="0" fontId="3" fillId="0" borderId="1" xfId="0" applyFont="1" applyBorder="1" applyAlignment="1">
      <alignment vertical="center"/>
    </xf>
    <xf numFmtId="0" fontId="0" fillId="0" borderId="0" xfId="0" applyFont="1"/>
    <xf numFmtId="0" fontId="1" fillId="0" borderId="1" xfId="0" applyFont="1" applyBorder="1" applyAlignment="1">
      <alignment vertical="center"/>
    </xf>
    <xf numFmtId="0" fontId="0" fillId="0" borderId="1" xfId="0" applyBorder="1"/>
    <xf numFmtId="0" fontId="4" fillId="4" borderId="1" xfId="0" applyFont="1" applyFill="1" applyBorder="1" applyAlignment="1">
      <alignment horizontal="center" wrapText="1"/>
    </xf>
    <xf numFmtId="0" fontId="3" fillId="5" borderId="1" xfId="0" applyFont="1"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6" fillId="0" borderId="1" xfId="0" applyFont="1" applyBorder="1" applyAlignment="1">
      <alignment horizontal="center"/>
    </xf>
    <xf numFmtId="0" fontId="0" fillId="9" borderId="0" xfId="0" applyFill="1"/>
    <xf numFmtId="0" fontId="0" fillId="0" borderId="0" xfId="0" applyAlignment="1">
      <alignment wrapText="1"/>
    </xf>
    <xf numFmtId="0" fontId="0" fillId="5" borderId="0" xfId="0" applyFill="1"/>
    <xf numFmtId="0" fontId="0" fillId="6" borderId="0" xfId="0" applyFill="1"/>
    <xf numFmtId="0" fontId="0" fillId="8" borderId="0" xfId="0" applyFill="1"/>
    <xf numFmtId="0" fontId="7" fillId="0" borderId="0" xfId="0" applyFont="1"/>
    <xf numFmtId="0" fontId="8" fillId="0" borderId="0" xfId="0" applyFont="1"/>
    <xf numFmtId="0" fontId="9" fillId="4" borderId="1" xfId="0" applyFont="1" applyFill="1" applyBorder="1" applyAlignment="1">
      <alignment horizontal="center" wrapText="1"/>
    </xf>
    <xf numFmtId="0" fontId="10" fillId="10" borderId="1" xfId="0" applyFont="1" applyFill="1" applyBorder="1" applyAlignment="1">
      <alignment horizontal="center"/>
    </xf>
    <xf numFmtId="0" fontId="10" fillId="11" borderId="1" xfId="0" applyFont="1" applyFill="1" applyBorder="1" applyAlignment="1">
      <alignment horizontal="center"/>
    </xf>
    <xf numFmtId="0" fontId="10" fillId="7" borderId="1" xfId="0" applyFont="1" applyFill="1" applyBorder="1" applyAlignment="1">
      <alignment horizontal="center"/>
    </xf>
    <xf numFmtId="0" fontId="10" fillId="12" borderId="1" xfId="0" applyFont="1" applyFill="1" applyBorder="1" applyAlignment="1">
      <alignment horizontal="center"/>
    </xf>
    <xf numFmtId="0" fontId="8" fillId="0" borderId="1" xfId="0" applyFont="1" applyBorder="1" applyAlignment="1">
      <alignment horizontal="center"/>
    </xf>
    <xf numFmtId="0" fontId="7" fillId="0" borderId="1" xfId="0" applyFont="1" applyBorder="1" applyAlignment="1">
      <alignment horizontal="center"/>
    </xf>
    <xf numFmtId="0" fontId="8" fillId="13" borderId="0" xfId="0" applyFont="1" applyFill="1"/>
    <xf numFmtId="0" fontId="8" fillId="0" borderId="0" xfId="0" applyFont="1" applyAlignment="1">
      <alignment wrapText="1"/>
    </xf>
    <xf numFmtId="0" fontId="8" fillId="10" borderId="0" xfId="0" applyFont="1" applyFill="1"/>
    <xf numFmtId="0" fontId="8" fillId="11" borderId="0" xfId="0" applyFont="1" applyFill="1"/>
    <xf numFmtId="0" fontId="8" fillId="7" borderId="0" xfId="0" applyFont="1" applyFill="1"/>
    <xf numFmtId="0" fontId="8" fillId="12" borderId="0" xfId="0" applyFont="1" applyFill="1"/>
    <xf numFmtId="0" fontId="10" fillId="14" borderId="1" xfId="0" applyFont="1" applyFill="1" applyBorder="1" applyAlignment="1">
      <alignment horizontal="center"/>
    </xf>
    <xf numFmtId="0" fontId="8" fillId="0" borderId="1" xfId="0" quotePrefix="1" applyFont="1" applyBorder="1" applyAlignment="1">
      <alignment horizontal="center"/>
    </xf>
    <xf numFmtId="0" fontId="8" fillId="0" borderId="0" xfId="0" applyFont="1" applyBorder="1" applyAlignment="1">
      <alignment horizontal="center"/>
    </xf>
    <xf numFmtId="0" fontId="0" fillId="0" borderId="0" xfId="0" applyAlignment="1">
      <alignment horizontal="center"/>
    </xf>
    <xf numFmtId="0" fontId="8" fillId="0" borderId="1" xfId="0" applyNumberFormat="1" applyFont="1" applyBorder="1" applyAlignment="1">
      <alignment horizontal="center"/>
    </xf>
    <xf numFmtId="0" fontId="4" fillId="9" borderId="1" xfId="0" applyFont="1" applyFill="1" applyBorder="1" applyAlignment="1">
      <alignment horizontal="center" wrapText="1"/>
    </xf>
    <xf numFmtId="0" fontId="5" fillId="9" borderId="1" xfId="0" applyFont="1" applyFill="1" applyBorder="1" applyAlignment="1">
      <alignment horizontal="center" wrapText="1"/>
    </xf>
    <xf numFmtId="0" fontId="4" fillId="13" borderId="1" xfId="0" applyFont="1" applyFill="1" applyBorder="1" applyAlignment="1">
      <alignment horizontal="center" wrapText="1"/>
    </xf>
    <xf numFmtId="0" fontId="9" fillId="13" borderId="1" xfId="0" applyFont="1" applyFill="1" applyBorder="1" applyAlignment="1">
      <alignment horizontal="center" wrapText="1"/>
    </xf>
    <xf numFmtId="0" fontId="9" fillId="13" borderId="1" xfId="0" applyFont="1" applyFill="1" applyBorder="1" applyAlignment="1">
      <alignment wrapText="1"/>
    </xf>
    <xf numFmtId="0" fontId="8" fillId="14" borderId="0" xfId="0" applyFont="1" applyFill="1"/>
    <xf numFmtId="168" fontId="0" fillId="0" borderId="1" xfId="0" applyNumberFormat="1" applyBorder="1" applyAlignment="1">
      <alignment horizontal="center"/>
    </xf>
    <xf numFmtId="0" fontId="0" fillId="0" borderId="1" xfId="0" applyFill="1" applyBorder="1" applyAlignment="1">
      <alignment horizontal="center"/>
    </xf>
    <xf numFmtId="0" fontId="0" fillId="0" borderId="0" xfId="0" applyFill="1" applyBorder="1" applyAlignment="1">
      <alignment horizontal="center"/>
    </xf>
    <xf numFmtId="0" fontId="0" fillId="0" borderId="0" xfId="0" applyBorder="1"/>
    <xf numFmtId="0" fontId="2" fillId="0" borderId="0" xfId="0" applyFont="1" applyAlignment="1">
      <alignment horizontal="center" vertical="top"/>
    </xf>
    <xf numFmtId="0" fontId="0" fillId="0" borderId="0" xfId="0" applyAlignment="1">
      <alignment horizontal="center" vertical="top"/>
    </xf>
    <xf numFmtId="0" fontId="11" fillId="5" borderId="1" xfId="0" applyFont="1" applyFill="1" applyBorder="1" applyAlignment="1">
      <alignment horizontal="center" vertical="top"/>
    </xf>
    <xf numFmtId="0" fontId="11" fillId="6" borderId="1" xfId="0" applyFont="1" applyFill="1" applyBorder="1" applyAlignment="1">
      <alignment horizontal="center" vertical="top"/>
    </xf>
    <xf numFmtId="0" fontId="11" fillId="16" borderId="1" xfId="0" applyFont="1" applyFill="1" applyBorder="1" applyAlignment="1">
      <alignment horizontal="center" vertical="top"/>
    </xf>
    <xf numFmtId="0" fontId="11" fillId="17" borderId="1" xfId="0" applyFont="1" applyFill="1" applyBorder="1" applyAlignment="1">
      <alignment horizontal="center" vertical="top"/>
    </xf>
    <xf numFmtId="0" fontId="3" fillId="18"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9" fontId="0" fillId="0" borderId="1" xfId="0" applyNumberFormat="1" applyBorder="1" applyAlignment="1">
      <alignment horizontal="center" vertical="top"/>
    </xf>
    <xf numFmtId="0" fontId="0" fillId="0" borderId="1" xfId="0" applyBorder="1" applyAlignment="1">
      <alignment horizontal="center" wrapText="1"/>
    </xf>
    <xf numFmtId="0" fontId="0" fillId="15" borderId="0" xfId="0" applyFill="1"/>
    <xf numFmtId="0" fontId="0" fillId="16" borderId="0" xfId="0" applyFill="1"/>
    <xf numFmtId="0" fontId="0" fillId="17" borderId="0" xfId="0" applyFill="1"/>
    <xf numFmtId="0" fontId="0" fillId="18" borderId="0" xfId="0" applyFill="1"/>
    <xf numFmtId="0" fontId="12" fillId="15" borderId="1" xfId="0" applyFont="1" applyFill="1" applyBorder="1" applyAlignment="1">
      <alignment horizontal="center"/>
    </xf>
    <xf numFmtId="20" fontId="0" fillId="0" borderId="1" xfId="0" applyNumberFormat="1" applyBorder="1" applyAlignment="1">
      <alignment horizontal="center"/>
    </xf>
    <xf numFmtId="0" fontId="0" fillId="19" borderId="0" xfId="0" applyFill="1"/>
    <xf numFmtId="0" fontId="10" fillId="19" borderId="1" xfId="0" applyFont="1" applyFill="1" applyBorder="1" applyAlignment="1">
      <alignment horizontal="center" wrapText="1"/>
    </xf>
    <xf numFmtId="0" fontId="10" fillId="19" borderId="1" xfId="0" applyFont="1" applyFill="1" applyBorder="1" applyAlignment="1">
      <alignment horizontal="center"/>
    </xf>
    <xf numFmtId="0" fontId="11" fillId="12" borderId="1" xfId="0" applyFont="1" applyFill="1" applyBorder="1" applyAlignment="1">
      <alignment horizontal="center"/>
    </xf>
    <xf numFmtId="168" fontId="8" fillId="0" borderId="1" xfId="0" applyNumberFormat="1" applyFont="1" applyBorder="1" applyAlignment="1">
      <alignment horizontal="center"/>
    </xf>
    <xf numFmtId="20" fontId="8" fillId="0" borderId="1" xfId="0" applyNumberFormat="1" applyFont="1" applyBorder="1" applyAlignment="1">
      <alignment horizontal="center"/>
    </xf>
    <xf numFmtId="20" fontId="8" fillId="0" borderId="1" xfId="0" applyNumberFormat="1" applyFont="1" applyBorder="1" applyAlignment="1">
      <alignment horizontal="center" vertical="top"/>
    </xf>
    <xf numFmtId="0" fontId="8" fillId="20" borderId="0" xfId="0" applyFont="1" applyFill="1"/>
    <xf numFmtId="0" fontId="8" fillId="19" borderId="0" xfId="0" applyFont="1" applyFill="1"/>
    <xf numFmtId="0" fontId="11" fillId="14" borderId="1" xfId="0" applyFont="1" applyFill="1" applyBorder="1" applyAlignment="1">
      <alignment horizontal="center"/>
    </xf>
    <xf numFmtId="0" fontId="4" fillId="9" borderId="1" xfId="0" applyFont="1" applyFill="1" applyBorder="1" applyAlignment="1">
      <alignment horizontal="center"/>
    </xf>
    <xf numFmtId="0" fontId="11" fillId="16" borderId="1" xfId="0" applyFont="1" applyFill="1" applyBorder="1" applyAlignment="1">
      <alignment horizontal="center"/>
    </xf>
    <xf numFmtId="0" fontId="11" fillId="18" borderId="1" xfId="0" applyFont="1" applyFill="1" applyBorder="1" applyAlignment="1">
      <alignment horizontal="center"/>
    </xf>
    <xf numFmtId="0" fontId="12" fillId="15" borderId="0" xfId="0" applyFont="1" applyFill="1" applyAlignment="1">
      <alignment horizontal="center"/>
    </xf>
    <xf numFmtId="0" fontId="11" fillId="19" borderId="1" xfId="0" applyFont="1" applyFill="1" applyBorder="1" applyAlignment="1">
      <alignment horizontal="center"/>
    </xf>
    <xf numFmtId="0" fontId="11" fillId="7" borderId="1" xfId="0" applyFont="1" applyFill="1" applyBorder="1" applyAlignment="1">
      <alignment horizontal="center"/>
    </xf>
    <xf numFmtId="0" fontId="11" fillId="17" borderId="1" xfId="0" applyFont="1" applyFill="1" applyBorder="1" applyAlignment="1">
      <alignment horizontal="center"/>
    </xf>
    <xf numFmtId="0" fontId="2" fillId="0" borderId="1" xfId="0" applyFont="1" applyBorder="1" applyAlignment="1">
      <alignment wrapText="1"/>
    </xf>
    <xf numFmtId="170" fontId="0" fillId="0" borderId="1" xfId="0" applyNumberFormat="1" applyBorder="1" applyAlignment="1">
      <alignment horizontal="center"/>
    </xf>
    <xf numFmtId="170" fontId="0" fillId="0" borderId="2" xfId="0" applyNumberFormat="1" applyBorder="1" applyAlignment="1">
      <alignment horizontal="center"/>
    </xf>
    <xf numFmtId="170" fontId="0" fillId="0" borderId="3" xfId="0" applyNumberFormat="1" applyBorder="1" applyAlignment="1">
      <alignment horizontal="center"/>
    </xf>
    <xf numFmtId="20" fontId="0" fillId="0" borderId="4" xfId="0" applyNumberFormat="1" applyBorder="1" applyAlignment="1">
      <alignment horizontal="center"/>
    </xf>
    <xf numFmtId="170" fontId="0" fillId="0" borderId="0" xfId="0" applyNumberFormat="1" applyAlignment="1">
      <alignment horizontal="center"/>
    </xf>
    <xf numFmtId="0" fontId="3" fillId="15" borderId="1" xfId="0" applyFont="1" applyFill="1" applyBorder="1" applyAlignment="1">
      <alignment horizontal="center"/>
    </xf>
    <xf numFmtId="0" fontId="8" fillId="0" borderId="1" xfId="0" applyFont="1" applyBorder="1" applyAlignment="1">
      <alignment wrapText="1"/>
    </xf>
    <xf numFmtId="0" fontId="0" fillId="21" borderId="0" xfId="0" applyFill="1"/>
    <xf numFmtId="0" fontId="11" fillId="7"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476249</xdr:colOff>
      <xdr:row>34</xdr:row>
      <xdr:rowOff>150178</xdr:rowOff>
    </xdr:to>
    <xdr:pic>
      <xdr:nvPicPr>
        <xdr:cNvPr id="7" name="Imagen 6">
          <a:extLst>
            <a:ext uri="{FF2B5EF4-FFF2-40B4-BE49-F238E27FC236}">
              <a16:creationId xmlns:a16="http://schemas.microsoft.com/office/drawing/2014/main" id="{E5CABB0F-0D77-4B45-99D7-0326D4523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315324" cy="6436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20f6d501c463b80/Escritorio/leo/Doo/Barberia%20proyecto/Modelo%20de%20dominio%20enriquesido.xlsx" TargetMode="External"/><Relationship Id="rId1" Type="http://schemas.openxmlformats.org/officeDocument/2006/relationships/externalLinkPath" Target="Modelo%20de%20dominio%20enriques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o de Dominio"/>
      <sheetName val="Objetos de Dominio"/>
      <sheetName val="C-Agenda"/>
      <sheetName val="M-Agenda"/>
      <sheetName val="C-Dueño"/>
      <sheetName val="M-Dueño"/>
      <sheetName val="C-Barbero"/>
      <sheetName val="M-Barbero"/>
      <sheetName val="C-Cliente"/>
      <sheetName val="M-Cliente"/>
      <sheetName val="C-HorarioBarberia"/>
      <sheetName val="M-HorarioBarberia"/>
      <sheetName val="C-Regla"/>
      <sheetName val="M-Regla"/>
      <sheetName val="C-Servicio"/>
      <sheetName val="M-Servicio"/>
      <sheetName val="C-BarberoServicio"/>
      <sheetName val="M-BarberoServicio"/>
      <sheetName val="C-HorarioBarbero"/>
      <sheetName val="M-HorarioBarbero"/>
      <sheetName val="C-Bloqueo"/>
      <sheetName val="M-Bloqueo"/>
      <sheetName val="C-Cita"/>
      <sheetName val="M-Cita"/>
      <sheetName val="C-CitaServicio"/>
      <sheetName val="M-CitaServicio"/>
      <sheetName val="C-Multa"/>
      <sheetName val="M-Multa"/>
    </sheetNames>
    <sheetDataSet>
      <sheetData sheetId="0"/>
      <sheetData sheetId="1"/>
      <sheetData sheetId="2"/>
      <sheetData sheetId="3"/>
      <sheetData sheetId="4"/>
      <sheetData sheetId="5"/>
      <sheetData sheetId="6"/>
      <sheetData sheetId="7">
        <row r="4">
          <cell r="B4" t="str">
            <v>Juan</v>
          </cell>
          <cell r="D4" t="str">
            <v>García</v>
          </cell>
          <cell r="K4" t="str">
            <v>Juan-Fernando-García-Lopez-+57-3245627890</v>
          </cell>
        </row>
        <row r="5">
          <cell r="B5" t="str">
            <v>Juan</v>
          </cell>
          <cell r="D5" t="str">
            <v>Ortiz</v>
          </cell>
          <cell r="K5" t="str">
            <v>Juan-David-Ortiz-Sanchez-+57-3124518923</v>
          </cell>
        </row>
        <row r="6">
          <cell r="B6" t="str">
            <v>Carlos</v>
          </cell>
          <cell r="D6" t="str">
            <v>Arbeladez</v>
          </cell>
          <cell r="K6" t="str">
            <v>Carlos--Arbeladez--+57-3214533321</v>
          </cell>
        </row>
        <row r="7">
          <cell r="B7" t="str">
            <v>Andres</v>
          </cell>
          <cell r="D7" t="str">
            <v>Ramirez</v>
          </cell>
          <cell r="K7" t="str">
            <v>Andres--Ramirez-Patiño-+91-9876543210</v>
          </cell>
        </row>
        <row r="8">
          <cell r="B8" t="str">
            <v>Juan</v>
          </cell>
          <cell r="D8" t="str">
            <v>Zambrano</v>
          </cell>
        </row>
      </sheetData>
      <sheetData sheetId="8"/>
      <sheetData sheetId="9"/>
      <sheetData sheetId="10"/>
      <sheetData sheetId="11"/>
      <sheetData sheetId="12"/>
      <sheetData sheetId="13"/>
      <sheetData sheetId="14"/>
      <sheetData sheetId="15">
        <row r="4">
          <cell r="C4" t="str">
            <v>Motilada</v>
          </cell>
        </row>
        <row r="5">
          <cell r="C5" t="str">
            <v>Corte de barba</v>
          </cell>
        </row>
        <row r="6">
          <cell r="C6" t="str">
            <v>Perfilada de barba</v>
          </cell>
        </row>
        <row r="7">
          <cell r="C7" t="str">
            <v>Arreglo completo de barba con toalla caliente</v>
          </cell>
        </row>
      </sheetData>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mailto:carlosbeladez@gmail.com" TargetMode="External"/><Relationship Id="rId2" Type="http://schemas.openxmlformats.org/officeDocument/2006/relationships/hyperlink" Target="mailto:juandaviddd2525@gmail.com" TargetMode="External"/><Relationship Id="rId1" Type="http://schemas.openxmlformats.org/officeDocument/2006/relationships/hyperlink" Target="mailto:juanfer234535@gmail.com" TargetMode="External"/><Relationship Id="rId5" Type="http://schemas.openxmlformats.org/officeDocument/2006/relationships/hyperlink" Target="mailto:juancarloszambrano4394@gmail.com" TargetMode="External"/><Relationship Id="rId4" Type="http://schemas.openxmlformats.org/officeDocument/2006/relationships/hyperlink" Target="mailto:andresramirezpatino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workbookViewId="0">
      <selection activeCell="U10" sqref="U10"/>
    </sheetView>
  </sheetViews>
  <sheetFormatPr baseColWidth="10" defaultColWidth="9.140625" defaultRowHeight="15" x14ac:dyDescent="0.25"/>
  <cols>
    <col min="1" max="1" width="26.140625" bestFit="1" customWidth="1"/>
  </cols>
  <sheetData>
    <row r="1" spans="1:30"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sheetData>
  <hyperlinks>
    <hyperlink ref="A1" location="'Objetos de Dominio'!A1" display="Ir a objetos de dominio &gt;&gt;&gt;&gt;" xr:uid="{7A904F95-51F4-4FC7-A386-8EF933A0B3E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88A3-E909-4500-94A9-A337DEC4E385}">
  <dimension ref="A1:D14"/>
  <sheetViews>
    <sheetView workbookViewId="0">
      <selection activeCell="A11" sqref="A11"/>
    </sheetView>
  </sheetViews>
  <sheetFormatPr baseColWidth="10" defaultRowHeight="15" x14ac:dyDescent="0.25"/>
  <cols>
    <col min="1" max="1" width="27" bestFit="1" customWidth="1"/>
    <col min="2" max="2" width="23" customWidth="1"/>
    <col min="3" max="3" width="12.5703125" bestFit="1" customWidth="1"/>
  </cols>
  <sheetData>
    <row r="1" spans="1:4" x14ac:dyDescent="0.25">
      <c r="A1" s="3" t="s">
        <v>1</v>
      </c>
    </row>
    <row r="2" spans="1:4" x14ac:dyDescent="0.25">
      <c r="A2" s="4" t="s">
        <v>2</v>
      </c>
      <c r="B2" s="4" t="s">
        <v>3</v>
      </c>
      <c r="C2" s="4" t="s">
        <v>4</v>
      </c>
      <c r="D2" s="4" t="s">
        <v>5</v>
      </c>
    </row>
    <row r="3" spans="1:4" s="5" customFormat="1" x14ac:dyDescent="0.25">
      <c r="A3" s="6" t="s">
        <v>17</v>
      </c>
      <c r="B3" s="6"/>
      <c r="C3" s="6">
        <v>1</v>
      </c>
      <c r="D3" s="6"/>
    </row>
    <row r="4" spans="1:4" x14ac:dyDescent="0.25">
      <c r="A4" s="7" t="s">
        <v>6</v>
      </c>
      <c r="B4" s="7"/>
      <c r="C4" s="7">
        <v>1</v>
      </c>
      <c r="D4" s="7"/>
    </row>
    <row r="5" spans="1:4" x14ac:dyDescent="0.25">
      <c r="A5" s="7" t="s">
        <v>7</v>
      </c>
      <c r="B5" s="7"/>
      <c r="C5" s="7">
        <v>1</v>
      </c>
      <c r="D5" s="7"/>
    </row>
    <row r="6" spans="1:4" x14ac:dyDescent="0.25">
      <c r="A6" s="7" t="s">
        <v>8</v>
      </c>
      <c r="B6" s="7"/>
      <c r="C6" s="7">
        <v>1</v>
      </c>
      <c r="D6" s="7"/>
    </row>
    <row r="7" spans="1:4" x14ac:dyDescent="0.25">
      <c r="A7" s="7" t="s">
        <v>9</v>
      </c>
      <c r="B7" s="7"/>
      <c r="C7" s="7">
        <v>2</v>
      </c>
      <c r="D7" s="7"/>
    </row>
    <row r="8" spans="1:4" x14ac:dyDescent="0.25">
      <c r="A8" s="7" t="s">
        <v>10</v>
      </c>
      <c r="B8" s="7"/>
      <c r="C8" s="7">
        <v>2</v>
      </c>
      <c r="D8" s="7"/>
    </row>
    <row r="9" spans="1:4" x14ac:dyDescent="0.25">
      <c r="A9" s="7" t="s">
        <v>11</v>
      </c>
      <c r="B9" s="7"/>
      <c r="C9" s="7">
        <v>2</v>
      </c>
      <c r="D9" s="7"/>
    </row>
    <row r="10" spans="1:4" x14ac:dyDescent="0.25">
      <c r="A10" s="7" t="s">
        <v>12</v>
      </c>
      <c r="B10" s="7"/>
      <c r="C10" s="7">
        <v>3</v>
      </c>
      <c r="D10" s="7"/>
    </row>
    <row r="11" spans="1:4" x14ac:dyDescent="0.25">
      <c r="A11" s="7" t="s">
        <v>13</v>
      </c>
      <c r="B11" s="7"/>
      <c r="C11" s="7">
        <v>3</v>
      </c>
      <c r="D11" s="7"/>
    </row>
    <row r="12" spans="1:4" x14ac:dyDescent="0.25">
      <c r="A12" s="7" t="s">
        <v>14</v>
      </c>
      <c r="B12" s="7"/>
      <c r="C12" s="7">
        <v>4</v>
      </c>
      <c r="D12" s="7"/>
    </row>
    <row r="13" spans="1:4" x14ac:dyDescent="0.25">
      <c r="A13" s="7" t="s">
        <v>15</v>
      </c>
      <c r="B13" s="7"/>
      <c r="C13" s="7">
        <v>5</v>
      </c>
      <c r="D13" s="7"/>
    </row>
    <row r="14" spans="1:4" x14ac:dyDescent="0.25">
      <c r="A14" s="7" t="s">
        <v>16</v>
      </c>
      <c r="B14" s="7"/>
      <c r="C14" s="7">
        <v>5</v>
      </c>
      <c r="D14" s="7"/>
    </row>
  </sheetData>
  <hyperlinks>
    <hyperlink ref="A1" location="'Modelo de Dominio'!A1" display="&lt;&lt;&lt;&lt; Ir al modulo de dominio" xr:uid="{65473DFF-4670-4CCD-AC44-024123FD1D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6BA6-FE81-4C06-B219-BB4A9830AE41}">
  <dimension ref="A1:C20"/>
  <sheetViews>
    <sheetView zoomScale="130" zoomScaleNormal="130" workbookViewId="0">
      <selection activeCell="B3" sqref="B3"/>
    </sheetView>
  </sheetViews>
  <sheetFormatPr baseColWidth="10" defaultRowHeight="15" x14ac:dyDescent="0.25"/>
  <cols>
    <col min="1" max="1" width="27" bestFit="1" customWidth="1"/>
    <col min="2" max="2" width="26.140625" bestFit="1" customWidth="1"/>
    <col min="3" max="3" width="21.7109375" bestFit="1" customWidth="1"/>
  </cols>
  <sheetData>
    <row r="1" spans="1:3" x14ac:dyDescent="0.25">
      <c r="A1" s="18" t="s">
        <v>1</v>
      </c>
      <c r="B1" s="18" t="s">
        <v>18</v>
      </c>
    </row>
    <row r="2" spans="1:3" ht="32.25" customHeight="1" x14ac:dyDescent="0.25">
      <c r="A2" s="8" t="s">
        <v>19</v>
      </c>
      <c r="B2" s="8" t="s">
        <v>135</v>
      </c>
      <c r="C2" s="20" t="s">
        <v>114</v>
      </c>
    </row>
    <row r="3" spans="1:3" x14ac:dyDescent="0.25">
      <c r="A3" s="21" t="s">
        <v>28</v>
      </c>
      <c r="B3" s="22" t="s">
        <v>105</v>
      </c>
      <c r="C3" s="24" t="s">
        <v>38</v>
      </c>
    </row>
    <row r="4" spans="1:3" x14ac:dyDescent="0.25">
      <c r="A4" s="25">
        <v>1</v>
      </c>
      <c r="B4" s="44" t="s">
        <v>106</v>
      </c>
      <c r="C4" s="44" t="str">
        <f>B4</f>
        <v>Lunes</v>
      </c>
    </row>
    <row r="5" spans="1:3" x14ac:dyDescent="0.25">
      <c r="A5" s="25">
        <v>2</v>
      </c>
      <c r="B5" s="10" t="s">
        <v>107</v>
      </c>
      <c r="C5" s="44" t="str">
        <f t="shared" ref="C5:C11" si="0">B5</f>
        <v>Martes</v>
      </c>
    </row>
    <row r="6" spans="1:3" x14ac:dyDescent="0.25">
      <c r="A6" s="25">
        <v>3</v>
      </c>
      <c r="B6" s="44" t="s">
        <v>108</v>
      </c>
      <c r="C6" s="44" t="str">
        <f t="shared" si="0"/>
        <v>Miércoles</v>
      </c>
    </row>
    <row r="7" spans="1:3" x14ac:dyDescent="0.25">
      <c r="A7" s="25">
        <v>4</v>
      </c>
      <c r="B7" s="10" t="s">
        <v>109</v>
      </c>
      <c r="C7" s="44" t="str">
        <f t="shared" si="0"/>
        <v>Jueves</v>
      </c>
    </row>
    <row r="8" spans="1:3" x14ac:dyDescent="0.25">
      <c r="A8" s="25">
        <v>5</v>
      </c>
      <c r="B8" s="44" t="s">
        <v>110</v>
      </c>
      <c r="C8" s="44" t="str">
        <f t="shared" si="0"/>
        <v>Viernes</v>
      </c>
    </row>
    <row r="9" spans="1:3" x14ac:dyDescent="0.25">
      <c r="A9" s="25">
        <v>6</v>
      </c>
      <c r="B9" s="10" t="s">
        <v>111</v>
      </c>
      <c r="C9" s="44" t="str">
        <f t="shared" si="0"/>
        <v>Sábado</v>
      </c>
    </row>
    <row r="10" spans="1:3" x14ac:dyDescent="0.25">
      <c r="A10" s="25">
        <v>7</v>
      </c>
      <c r="B10" s="44" t="s">
        <v>113</v>
      </c>
      <c r="C10" s="44" t="str">
        <f t="shared" si="0"/>
        <v>Domingo</v>
      </c>
    </row>
    <row r="11" spans="1:3" x14ac:dyDescent="0.25">
      <c r="A11" s="25">
        <v>8</v>
      </c>
      <c r="B11" s="45" t="s">
        <v>112</v>
      </c>
      <c r="C11" s="44" t="str">
        <f t="shared" si="0"/>
        <v>Festivo</v>
      </c>
    </row>
    <row r="12" spans="1:3" x14ac:dyDescent="0.25">
      <c r="A12" s="35"/>
      <c r="B12" s="46"/>
      <c r="C12" s="47"/>
    </row>
    <row r="13" spans="1:3" x14ac:dyDescent="0.25">
      <c r="A13" s="35"/>
      <c r="B13" s="46"/>
      <c r="C13" s="47"/>
    </row>
    <row r="14" spans="1:3" x14ac:dyDescent="0.25">
      <c r="A14" s="35"/>
      <c r="B14" s="46"/>
      <c r="C14" s="47"/>
    </row>
    <row r="15" spans="1:3" x14ac:dyDescent="0.25">
      <c r="A15" s="35"/>
      <c r="B15" s="46"/>
      <c r="C15" s="47"/>
    </row>
    <row r="17" spans="1:2" ht="75" x14ac:dyDescent="0.25">
      <c r="A17" s="27"/>
      <c r="B17" s="28" t="s">
        <v>68</v>
      </c>
    </row>
    <row r="18" spans="1:2" ht="90" x14ac:dyDescent="0.25">
      <c r="A18" s="29"/>
      <c r="B18" s="28" t="s">
        <v>69</v>
      </c>
    </row>
    <row r="19" spans="1:2" ht="90" x14ac:dyDescent="0.25">
      <c r="A19" s="30"/>
      <c r="B19" s="28" t="s">
        <v>70</v>
      </c>
    </row>
    <row r="20" spans="1:2" ht="60" x14ac:dyDescent="0.25">
      <c r="A20" s="32"/>
      <c r="B20" s="28" t="s">
        <v>72</v>
      </c>
    </row>
  </sheetData>
  <hyperlinks>
    <hyperlink ref="A1" location="'Modelo de Dominio'!A1" display="&lt;&lt;&lt;&lt; Ir al modulo de dominio" xr:uid="{BA4A5045-8F36-415C-B7A4-B6FB87D4B011}"/>
    <hyperlink ref="B1" location="'Objetos de Dominio'!A1" display="&lt;&lt;&lt;&lt; Ir a objetos de dominio" xr:uid="{4EF33284-A598-45EB-B58E-78B97983EAB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BC8D-AFB6-437A-BAE9-5D9DCAC2053C}">
  <dimension ref="A1:D18"/>
  <sheetViews>
    <sheetView zoomScale="130" zoomScaleNormal="130" workbookViewId="0">
      <selection activeCell="C16" sqref="C16"/>
    </sheetView>
  </sheetViews>
  <sheetFormatPr baseColWidth="10" defaultRowHeight="15" x14ac:dyDescent="0.25"/>
  <cols>
    <col min="1" max="1" width="27" bestFit="1" customWidth="1"/>
    <col min="2" max="2" width="26.140625" bestFit="1" customWidth="1"/>
    <col min="3" max="3" width="26.140625" customWidth="1"/>
    <col min="4" max="4" width="23.28515625" bestFit="1" customWidth="1"/>
  </cols>
  <sheetData>
    <row r="1" spans="1:4" x14ac:dyDescent="0.25">
      <c r="A1" s="18" t="s">
        <v>1</v>
      </c>
      <c r="B1" s="18" t="s">
        <v>18</v>
      </c>
      <c r="C1" s="18"/>
    </row>
    <row r="2" spans="1:4" ht="42.75" customHeight="1" x14ac:dyDescent="0.25">
      <c r="A2" s="8" t="s">
        <v>19</v>
      </c>
      <c r="B2" s="8" t="s">
        <v>142</v>
      </c>
      <c r="C2" s="8" t="s">
        <v>143</v>
      </c>
      <c r="D2" s="20" t="s">
        <v>114</v>
      </c>
    </row>
    <row r="3" spans="1:4" x14ac:dyDescent="0.25">
      <c r="A3" s="21" t="s">
        <v>28</v>
      </c>
      <c r="B3" s="22" t="s">
        <v>105</v>
      </c>
      <c r="C3" s="22" t="s">
        <v>118</v>
      </c>
      <c r="D3" s="24" t="s">
        <v>38</v>
      </c>
    </row>
    <row r="4" spans="1:4" x14ac:dyDescent="0.25">
      <c r="A4" s="25">
        <v>1</v>
      </c>
      <c r="B4" s="44" t="s">
        <v>136</v>
      </c>
      <c r="C4" s="44"/>
      <c r="D4" s="44" t="str">
        <f>B4</f>
        <v>Agendada</v>
      </c>
    </row>
    <row r="5" spans="1:4" x14ac:dyDescent="0.25">
      <c r="A5" s="10">
        <v>2</v>
      </c>
      <c r="B5" s="10" t="s">
        <v>137</v>
      </c>
      <c r="C5" s="10"/>
      <c r="D5" s="44" t="str">
        <f t="shared" ref="D5:D9" si="0">B5</f>
        <v>Finalizada</v>
      </c>
    </row>
    <row r="6" spans="1:4" x14ac:dyDescent="0.25">
      <c r="A6" s="25">
        <v>3</v>
      </c>
      <c r="B6" s="10" t="s">
        <v>138</v>
      </c>
      <c r="C6" s="10"/>
      <c r="D6" s="44" t="str">
        <f t="shared" si="0"/>
        <v>Cancelada por el cliente</v>
      </c>
    </row>
    <row r="7" spans="1:4" x14ac:dyDescent="0.25">
      <c r="A7" s="10">
        <v>4</v>
      </c>
      <c r="B7" s="10" t="s">
        <v>139</v>
      </c>
      <c r="C7" s="10"/>
      <c r="D7" s="44" t="str">
        <f t="shared" si="0"/>
        <v>Cancelada por el barbero</v>
      </c>
    </row>
    <row r="8" spans="1:4" x14ac:dyDescent="0.25">
      <c r="A8" s="25">
        <v>5</v>
      </c>
      <c r="B8" s="10" t="s">
        <v>140</v>
      </c>
      <c r="C8" s="10"/>
      <c r="D8" s="44" t="str">
        <f t="shared" si="0"/>
        <v>El cliente se demoro</v>
      </c>
    </row>
    <row r="9" spans="1:4" x14ac:dyDescent="0.25">
      <c r="A9" s="10">
        <v>6</v>
      </c>
      <c r="B9" s="10" t="s">
        <v>141</v>
      </c>
      <c r="C9" s="10"/>
      <c r="D9" s="44" t="str">
        <f t="shared" si="0"/>
        <v>El barbero se demoro</v>
      </c>
    </row>
    <row r="15" spans="1:4" ht="30" x14ac:dyDescent="0.25">
      <c r="A15" s="27"/>
      <c r="B15" s="28" t="s">
        <v>68</v>
      </c>
    </row>
    <row r="16" spans="1:4" ht="45" x14ac:dyDescent="0.25">
      <c r="A16" s="29"/>
      <c r="B16" s="28" t="s">
        <v>69</v>
      </c>
    </row>
    <row r="17" spans="1:2" ht="30" x14ac:dyDescent="0.25">
      <c r="A17" s="30"/>
      <c r="B17" s="28" t="s">
        <v>70</v>
      </c>
    </row>
    <row r="18" spans="1:2" ht="30" x14ac:dyDescent="0.25">
      <c r="A18" s="32"/>
      <c r="B18" s="28" t="s">
        <v>72</v>
      </c>
    </row>
  </sheetData>
  <hyperlinks>
    <hyperlink ref="A1" location="'Modelo de Dominio'!A1" display="&lt;&lt;&lt;&lt; Ir al modulo de dominio" xr:uid="{25BCFC9D-34B4-4688-9AB0-9743DFEE98D5}"/>
    <hyperlink ref="B1" location="'Objetos de Dominio'!A1" display="&lt;&lt;&lt;&lt; Ir a objetos de dominio" xr:uid="{64E161CA-116F-455E-B82D-1E93BBBBFE5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B882-44D8-4F15-8970-08FEED5FA8BC}">
  <dimension ref="A1:F19"/>
  <sheetViews>
    <sheetView zoomScale="130" zoomScaleNormal="130" workbookViewId="0"/>
  </sheetViews>
  <sheetFormatPr baseColWidth="10" defaultRowHeight="15" x14ac:dyDescent="0.25"/>
  <cols>
    <col min="1" max="1" width="27" bestFit="1" customWidth="1"/>
    <col min="2" max="2" width="26.140625" bestFit="1" customWidth="1"/>
    <col min="3" max="3" width="20.85546875" customWidth="1"/>
    <col min="4" max="4" width="22.85546875" customWidth="1"/>
    <col min="6" max="6" width="18.28515625" bestFit="1" customWidth="1"/>
  </cols>
  <sheetData>
    <row r="1" spans="1:6" x14ac:dyDescent="0.25">
      <c r="A1" s="48" t="s">
        <v>1</v>
      </c>
      <c r="B1" s="48" t="s">
        <v>18</v>
      </c>
      <c r="C1" s="48"/>
      <c r="D1" s="49"/>
      <c r="E1" s="49"/>
      <c r="F1" s="36"/>
    </row>
    <row r="2" spans="1:6" ht="42.75" customHeight="1" x14ac:dyDescent="0.25">
      <c r="A2" s="38" t="s">
        <v>19</v>
      </c>
      <c r="B2" s="38" t="s">
        <v>133</v>
      </c>
      <c r="C2" s="38" t="s">
        <v>134</v>
      </c>
      <c r="D2" s="38" t="s">
        <v>115</v>
      </c>
      <c r="E2" s="38" t="s">
        <v>116</v>
      </c>
      <c r="F2" s="39" t="s">
        <v>117</v>
      </c>
    </row>
    <row r="3" spans="1:6" x14ac:dyDescent="0.25">
      <c r="A3" s="50" t="s">
        <v>28</v>
      </c>
      <c r="B3" s="51" t="s">
        <v>105</v>
      </c>
      <c r="C3" s="51" t="s">
        <v>118</v>
      </c>
      <c r="D3" s="52" t="s">
        <v>119</v>
      </c>
      <c r="E3" s="53" t="s">
        <v>120</v>
      </c>
      <c r="F3" s="54" t="s">
        <v>121</v>
      </c>
    </row>
    <row r="4" spans="1:6" ht="75" x14ac:dyDescent="0.25">
      <c r="A4" s="55">
        <v>1</v>
      </c>
      <c r="B4" s="55" t="s">
        <v>122</v>
      </c>
      <c r="C4" s="56" t="s">
        <v>123</v>
      </c>
      <c r="D4" s="57">
        <v>22000</v>
      </c>
      <c r="E4" s="57" t="s">
        <v>46</v>
      </c>
      <c r="F4" s="10" t="str">
        <f>B4</f>
        <v>Motilada</v>
      </c>
    </row>
    <row r="5" spans="1:6" ht="75" x14ac:dyDescent="0.25">
      <c r="A5" s="55">
        <v>2</v>
      </c>
      <c r="B5" s="55" t="s">
        <v>124</v>
      </c>
      <c r="C5" s="56" t="s">
        <v>125</v>
      </c>
      <c r="D5" s="57">
        <v>12000</v>
      </c>
      <c r="E5" s="57" t="s">
        <v>46</v>
      </c>
      <c r="F5" s="10" t="str">
        <f>B5</f>
        <v>Corte de barba</v>
      </c>
    </row>
    <row r="6" spans="1:6" ht="60" x14ac:dyDescent="0.25">
      <c r="A6" s="55">
        <v>3</v>
      </c>
      <c r="B6" s="55" t="s">
        <v>126</v>
      </c>
      <c r="C6" s="56" t="s">
        <v>127</v>
      </c>
      <c r="D6" s="57">
        <v>15000</v>
      </c>
      <c r="E6" s="57" t="s">
        <v>46</v>
      </c>
      <c r="F6" s="10" t="str">
        <f>B6</f>
        <v>Perfilada de barba</v>
      </c>
    </row>
    <row r="7" spans="1:6" ht="60" x14ac:dyDescent="0.25">
      <c r="A7" s="55">
        <v>4</v>
      </c>
      <c r="B7" s="56" t="s">
        <v>128</v>
      </c>
      <c r="C7" s="56" t="s">
        <v>129</v>
      </c>
      <c r="D7" s="57">
        <v>35000</v>
      </c>
      <c r="E7" s="57" t="s">
        <v>46</v>
      </c>
      <c r="F7" s="58" t="str">
        <f>B7</f>
        <v>Arreglo completo de barba con toalla caliente</v>
      </c>
    </row>
    <row r="13" spans="1:6" ht="75" x14ac:dyDescent="0.25">
      <c r="A13" s="13"/>
      <c r="B13" s="14" t="s">
        <v>68</v>
      </c>
    </row>
    <row r="14" spans="1:6" ht="90" x14ac:dyDescent="0.25">
      <c r="A14" s="15"/>
      <c r="B14" s="14" t="s">
        <v>69</v>
      </c>
    </row>
    <row r="15" spans="1:6" ht="105" x14ac:dyDescent="0.25">
      <c r="A15" s="59"/>
      <c r="B15" s="14" t="s">
        <v>130</v>
      </c>
    </row>
    <row r="16" spans="1:6" ht="90" x14ac:dyDescent="0.25">
      <c r="A16" s="16"/>
      <c r="B16" s="14" t="s">
        <v>70</v>
      </c>
    </row>
    <row r="17" spans="1:2" ht="60" x14ac:dyDescent="0.25">
      <c r="A17" s="60"/>
      <c r="B17" s="14" t="s">
        <v>131</v>
      </c>
    </row>
    <row r="18" spans="1:2" ht="60" x14ac:dyDescent="0.25">
      <c r="A18" s="61"/>
      <c r="B18" s="14" t="s">
        <v>132</v>
      </c>
    </row>
    <row r="19" spans="1:2" ht="60" x14ac:dyDescent="0.25">
      <c r="A19" s="62"/>
      <c r="B19" s="14" t="s">
        <v>72</v>
      </c>
    </row>
  </sheetData>
  <hyperlinks>
    <hyperlink ref="A1" location="'Modelo de Dominio'!A1" display="&lt;&lt;&lt;&lt; Ir al modulo de dominio" xr:uid="{3BA934CB-3DF9-41F7-8D14-1573F859CB2D}"/>
    <hyperlink ref="B1" location="'Objetos de Dominio'!A1" display="&lt;&lt;&lt;&lt; Ir a objetos de dominio" xr:uid="{91C2F115-BC0A-4F60-9F94-D59A937D2E9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3A71-3BBF-4976-8AE0-DCE061A9C574}">
  <dimension ref="A1:C16"/>
  <sheetViews>
    <sheetView zoomScale="115" zoomScaleNormal="115" workbookViewId="0">
      <selection activeCell="B16" sqref="A13:B16"/>
    </sheetView>
  </sheetViews>
  <sheetFormatPr baseColWidth="10" defaultRowHeight="15" x14ac:dyDescent="0.25"/>
  <cols>
    <col min="1" max="1" width="27" bestFit="1" customWidth="1"/>
    <col min="2" max="2" width="26.140625" bestFit="1" customWidth="1"/>
    <col min="3" max="3" width="19.7109375" bestFit="1" customWidth="1"/>
  </cols>
  <sheetData>
    <row r="1" spans="1:3" x14ac:dyDescent="0.25">
      <c r="A1" s="18" t="s">
        <v>1</v>
      </c>
      <c r="B1" s="18" t="s">
        <v>18</v>
      </c>
    </row>
    <row r="2" spans="1:3" ht="31.5" customHeight="1" x14ac:dyDescent="0.25">
      <c r="A2" s="8" t="s">
        <v>19</v>
      </c>
      <c r="B2" s="8" t="s">
        <v>20</v>
      </c>
      <c r="C2" s="20" t="s">
        <v>76</v>
      </c>
    </row>
    <row r="3" spans="1:3" x14ac:dyDescent="0.25">
      <c r="A3" s="21" t="s">
        <v>28</v>
      </c>
      <c r="B3" s="22" t="s">
        <v>33</v>
      </c>
      <c r="C3" s="24" t="s">
        <v>38</v>
      </c>
    </row>
    <row r="4" spans="1:3" x14ac:dyDescent="0.25">
      <c r="A4" s="25">
        <v>1</v>
      </c>
      <c r="B4" s="34" t="s">
        <v>43</v>
      </c>
      <c r="C4" s="10" t="str">
        <f>B4</f>
        <v>+57</v>
      </c>
    </row>
    <row r="5" spans="1:3" x14ac:dyDescent="0.25">
      <c r="A5" s="25">
        <v>2</v>
      </c>
      <c r="B5" s="34" t="s">
        <v>59</v>
      </c>
      <c r="C5" s="10" t="str">
        <f t="shared" ref="C5:C6" si="0">B5</f>
        <v>+91</v>
      </c>
    </row>
    <row r="6" spans="1:3" x14ac:dyDescent="0.25">
      <c r="A6" s="25">
        <v>3</v>
      </c>
      <c r="B6" s="34" t="s">
        <v>65</v>
      </c>
      <c r="C6" s="10" t="str">
        <f t="shared" si="0"/>
        <v>+593</v>
      </c>
    </row>
    <row r="7" spans="1:3" x14ac:dyDescent="0.25">
      <c r="A7" s="25">
        <v>4</v>
      </c>
      <c r="B7" s="34" t="s">
        <v>96</v>
      </c>
      <c r="C7" s="10" t="str">
        <f>B7</f>
        <v>+58</v>
      </c>
    </row>
    <row r="8" spans="1:3" x14ac:dyDescent="0.25">
      <c r="A8" s="35"/>
      <c r="B8" s="35"/>
    </row>
    <row r="9" spans="1:3" x14ac:dyDescent="0.25">
      <c r="A9" s="35"/>
      <c r="B9" s="35"/>
    </row>
    <row r="13" spans="1:3" ht="30" x14ac:dyDescent="0.25">
      <c r="A13" s="27"/>
      <c r="B13" s="28" t="s">
        <v>68</v>
      </c>
    </row>
    <row r="14" spans="1:3" ht="45" x14ac:dyDescent="0.25">
      <c r="A14" s="29"/>
      <c r="B14" s="28" t="s">
        <v>69</v>
      </c>
    </row>
    <row r="15" spans="1:3" ht="30" x14ac:dyDescent="0.25">
      <c r="A15" s="30"/>
      <c r="B15" s="28" t="s">
        <v>70</v>
      </c>
    </row>
    <row r="16" spans="1:3" ht="30" x14ac:dyDescent="0.25">
      <c r="A16" s="32"/>
      <c r="B16" s="28" t="s">
        <v>72</v>
      </c>
    </row>
  </sheetData>
  <hyperlinks>
    <hyperlink ref="A1" location="'Modelo de Dominio'!A1" display="&lt;&lt;&lt;&lt; Ir al modulo de dominio" xr:uid="{51184925-F92A-4BCE-9DB0-349293C25C54}"/>
    <hyperlink ref="B1" location="'Objetos de Dominio'!A1" display="&lt;&lt;&lt;&lt; Ir a objetos de dominio" xr:uid="{E8677F43-AF89-4945-A90A-24B668F726F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64945-9CA4-4264-9F03-B5EEA8D61E84}">
  <dimension ref="A1:L21"/>
  <sheetViews>
    <sheetView zoomScale="115" zoomScaleNormal="115" workbookViewId="0"/>
  </sheetViews>
  <sheetFormatPr baseColWidth="10" defaultRowHeight="15" x14ac:dyDescent="0.25"/>
  <cols>
    <col min="1" max="1" width="27" bestFit="1" customWidth="1"/>
    <col min="2" max="2" width="26.140625" bestFit="1" customWidth="1"/>
    <col min="3" max="3" width="21.42578125" bestFit="1" customWidth="1"/>
    <col min="4" max="4" width="19.42578125" customWidth="1"/>
    <col min="5" max="5" width="20.42578125" customWidth="1"/>
    <col min="6" max="6" width="20.5703125" bestFit="1" customWidth="1"/>
    <col min="7" max="7" width="14.28515625" customWidth="1"/>
    <col min="8" max="8" width="34.28515625" bestFit="1" customWidth="1"/>
    <col min="9" max="9" width="69" bestFit="1" customWidth="1"/>
    <col min="10" max="10" width="33" customWidth="1"/>
    <col min="11" max="11" width="42" bestFit="1" customWidth="1"/>
    <col min="12" max="12" width="45.7109375" bestFit="1" customWidth="1"/>
  </cols>
  <sheetData>
    <row r="1" spans="1:12" x14ac:dyDescent="0.25">
      <c r="A1" s="18" t="s">
        <v>1</v>
      </c>
      <c r="B1" s="18" t="s">
        <v>18</v>
      </c>
      <c r="C1" s="18"/>
      <c r="D1" s="18"/>
      <c r="E1" s="18"/>
      <c r="F1" s="18"/>
      <c r="G1" s="19"/>
      <c r="H1" s="19"/>
      <c r="I1" s="19"/>
      <c r="J1" s="19"/>
      <c r="K1" s="19"/>
    </row>
    <row r="2" spans="1:12" ht="37.5" x14ac:dyDescent="0.25">
      <c r="A2" s="8" t="s">
        <v>19</v>
      </c>
      <c r="B2" s="8" t="s">
        <v>20</v>
      </c>
      <c r="C2" s="8" t="s">
        <v>21</v>
      </c>
      <c r="D2" s="8" t="s">
        <v>22</v>
      </c>
      <c r="E2" s="8" t="s">
        <v>23</v>
      </c>
      <c r="F2" s="8" t="s">
        <v>77</v>
      </c>
      <c r="G2" s="8" t="s">
        <v>24</v>
      </c>
      <c r="H2" s="8" t="s">
        <v>25</v>
      </c>
      <c r="I2" s="8" t="s">
        <v>26</v>
      </c>
      <c r="J2" s="8" t="s">
        <v>27</v>
      </c>
      <c r="K2" s="20" t="s">
        <v>74</v>
      </c>
      <c r="L2" s="20" t="s">
        <v>103</v>
      </c>
    </row>
    <row r="3" spans="1:12" x14ac:dyDescent="0.25">
      <c r="A3" s="21" t="s">
        <v>28</v>
      </c>
      <c r="B3" s="22" t="s">
        <v>29</v>
      </c>
      <c r="C3" s="22" t="s">
        <v>30</v>
      </c>
      <c r="D3" s="22" t="s">
        <v>31</v>
      </c>
      <c r="E3" s="22" t="s">
        <v>32</v>
      </c>
      <c r="F3" s="33" t="s">
        <v>33</v>
      </c>
      <c r="G3" s="22" t="s">
        <v>34</v>
      </c>
      <c r="H3" s="22" t="s">
        <v>35</v>
      </c>
      <c r="I3" s="22" t="s">
        <v>36</v>
      </c>
      <c r="J3" s="23" t="s">
        <v>37</v>
      </c>
      <c r="K3" s="24" t="s">
        <v>73</v>
      </c>
      <c r="L3" s="24" t="s">
        <v>75</v>
      </c>
    </row>
    <row r="4" spans="1:12" x14ac:dyDescent="0.25">
      <c r="A4" s="25">
        <v>1</v>
      </c>
      <c r="B4" s="25" t="s">
        <v>39</v>
      </c>
      <c r="C4" s="25" t="s">
        <v>40</v>
      </c>
      <c r="D4" s="25" t="s">
        <v>41</v>
      </c>
      <c r="E4" s="25" t="s">
        <v>42</v>
      </c>
      <c r="F4" s="37" t="str">
        <f>'M-PrefijoCelular'!C4</f>
        <v>+57</v>
      </c>
      <c r="G4" s="25">
        <v>3245627890</v>
      </c>
      <c r="H4" s="26" t="s">
        <v>44</v>
      </c>
      <c r="I4" s="12" t="s">
        <v>45</v>
      </c>
      <c r="J4" s="25" t="s">
        <v>46</v>
      </c>
      <c r="K4" s="25" t="str">
        <f>_xlfn.CONCAT(F4,"-",G4)</f>
        <v>+57-3245627890</v>
      </c>
      <c r="L4" s="25" t="str">
        <f>H4</f>
        <v>juanfer234535@gmail.com</v>
      </c>
    </row>
    <row r="5" spans="1:12" x14ac:dyDescent="0.25">
      <c r="A5" s="25">
        <v>2</v>
      </c>
      <c r="B5" s="25" t="s">
        <v>39</v>
      </c>
      <c r="C5" s="25" t="s">
        <v>47</v>
      </c>
      <c r="D5" s="25" t="s">
        <v>48</v>
      </c>
      <c r="E5" s="25" t="s">
        <v>49</v>
      </c>
      <c r="F5" s="37" t="str">
        <f>'M-PrefijoCelular'!C4</f>
        <v>+57</v>
      </c>
      <c r="G5" s="25">
        <v>3124518923</v>
      </c>
      <c r="H5" s="26" t="s">
        <v>50</v>
      </c>
      <c r="I5" s="12" t="s">
        <v>51</v>
      </c>
      <c r="J5" s="25" t="s">
        <v>46</v>
      </c>
      <c r="K5" s="25" t="str">
        <f t="shared" ref="K5:K8" si="0">_xlfn.CONCAT(F5,"-",G5)</f>
        <v>+57-3124518923</v>
      </c>
      <c r="L5" s="25" t="str">
        <f t="shared" ref="L5:L8" si="1">H5</f>
        <v>juandaviddd2525@gmail.com</v>
      </c>
    </row>
    <row r="6" spans="1:12" x14ac:dyDescent="0.25">
      <c r="A6" s="25">
        <v>3</v>
      </c>
      <c r="B6" s="25" t="s">
        <v>52</v>
      </c>
      <c r="C6" s="25"/>
      <c r="D6" s="25" t="s">
        <v>53</v>
      </c>
      <c r="E6" s="25"/>
      <c r="F6" s="37" t="str">
        <f>'M-PrefijoCelular'!C4</f>
        <v>+57</v>
      </c>
      <c r="G6" s="25">
        <v>3214533321</v>
      </c>
      <c r="H6" s="26" t="s">
        <v>54</v>
      </c>
      <c r="I6" s="12" t="s">
        <v>55</v>
      </c>
      <c r="J6" s="25" t="s">
        <v>46</v>
      </c>
      <c r="K6" s="25" t="str">
        <f t="shared" si="0"/>
        <v>+57-3214533321</v>
      </c>
      <c r="L6" s="25" t="str">
        <f t="shared" si="1"/>
        <v>carlosbeladez@gmail.com</v>
      </c>
    </row>
    <row r="7" spans="1:12" x14ac:dyDescent="0.25">
      <c r="A7" s="25">
        <v>4</v>
      </c>
      <c r="B7" s="25" t="s">
        <v>56</v>
      </c>
      <c r="C7" s="25"/>
      <c r="D7" s="25" t="s">
        <v>57</v>
      </c>
      <c r="E7" s="25" t="s">
        <v>58</v>
      </c>
      <c r="F7" s="37" t="str">
        <f>'M-PrefijoCelular'!C5</f>
        <v>+91</v>
      </c>
      <c r="G7" s="25">
        <v>9876543210</v>
      </c>
      <c r="H7" s="26" t="s">
        <v>60</v>
      </c>
      <c r="I7" s="12" t="s">
        <v>61</v>
      </c>
      <c r="J7" s="25" t="s">
        <v>62</v>
      </c>
      <c r="K7" s="25" t="str">
        <f t="shared" si="0"/>
        <v>+91-9876543210</v>
      </c>
      <c r="L7" s="25" t="str">
        <f t="shared" si="1"/>
        <v>andresramirezpatino123@gmail.com</v>
      </c>
    </row>
    <row r="8" spans="1:12" x14ac:dyDescent="0.25">
      <c r="A8" s="25">
        <v>5</v>
      </c>
      <c r="B8" s="25" t="s">
        <v>39</v>
      </c>
      <c r="C8" s="25" t="s">
        <v>52</v>
      </c>
      <c r="D8" s="25" t="s">
        <v>63</v>
      </c>
      <c r="E8" s="25" t="s">
        <v>64</v>
      </c>
      <c r="F8" s="37" t="str">
        <f>'M-PrefijoCelular'!C6</f>
        <v>+593</v>
      </c>
      <c r="G8" s="25">
        <v>998765432</v>
      </c>
      <c r="H8" s="26" t="s">
        <v>66</v>
      </c>
      <c r="I8" s="25" t="s">
        <v>67</v>
      </c>
      <c r="J8" s="25" t="s">
        <v>62</v>
      </c>
      <c r="K8" s="25" t="str">
        <f t="shared" si="0"/>
        <v>+593-998765432</v>
      </c>
      <c r="L8" s="25" t="str">
        <f t="shared" si="1"/>
        <v>juancarloszambrano4394@gmail.com</v>
      </c>
    </row>
    <row r="9" spans="1:12" x14ac:dyDescent="0.25">
      <c r="A9" s="19"/>
      <c r="B9" s="19"/>
      <c r="C9" s="19"/>
      <c r="D9" s="19"/>
      <c r="E9" s="19"/>
      <c r="F9" s="19"/>
      <c r="G9" s="19"/>
      <c r="H9" s="19"/>
      <c r="I9" s="19"/>
      <c r="J9" s="19"/>
      <c r="K9" s="19"/>
    </row>
    <row r="10" spans="1:12" x14ac:dyDescent="0.25">
      <c r="A10" s="19"/>
      <c r="B10" s="19"/>
      <c r="C10" s="19"/>
      <c r="D10" s="19"/>
      <c r="E10" s="19"/>
      <c r="F10" s="19"/>
      <c r="G10" s="19"/>
      <c r="H10" s="19"/>
      <c r="I10" s="19"/>
      <c r="J10" s="19"/>
      <c r="K10" s="19"/>
    </row>
    <row r="11" spans="1:12" x14ac:dyDescent="0.25">
      <c r="A11" s="19"/>
      <c r="B11" s="19"/>
      <c r="C11" s="19"/>
      <c r="D11" s="19"/>
      <c r="E11" s="19"/>
      <c r="F11" s="19"/>
      <c r="G11" s="19"/>
      <c r="H11" s="19"/>
      <c r="I11" s="19"/>
      <c r="J11" s="19"/>
      <c r="K11" s="19"/>
    </row>
    <row r="12" spans="1:12" x14ac:dyDescent="0.25">
      <c r="A12" s="19"/>
      <c r="B12" s="19"/>
      <c r="C12" s="19"/>
      <c r="D12" s="19"/>
      <c r="E12" s="19"/>
      <c r="F12" s="19"/>
      <c r="G12" s="19"/>
      <c r="H12" s="19"/>
      <c r="I12" s="19"/>
      <c r="J12" s="19"/>
      <c r="K12" s="19"/>
    </row>
    <row r="13" spans="1:12" x14ac:dyDescent="0.25">
      <c r="A13" s="19"/>
      <c r="B13" s="19"/>
      <c r="C13" s="19"/>
      <c r="D13" s="19"/>
      <c r="E13" s="19"/>
      <c r="F13" s="19"/>
      <c r="G13" s="19"/>
      <c r="H13" s="19"/>
      <c r="I13" s="19"/>
      <c r="J13" s="19"/>
      <c r="K13" s="19"/>
    </row>
    <row r="14" spans="1:12" ht="75" x14ac:dyDescent="0.25">
      <c r="A14" s="27"/>
      <c r="B14" s="28" t="s">
        <v>68</v>
      </c>
      <c r="C14" s="19"/>
      <c r="D14" s="19"/>
      <c r="E14" s="19"/>
      <c r="F14" s="19"/>
      <c r="G14" s="19"/>
      <c r="H14" s="19"/>
      <c r="I14" s="19"/>
      <c r="J14" s="19"/>
      <c r="K14" s="19"/>
    </row>
    <row r="15" spans="1:12" ht="90" x14ac:dyDescent="0.25">
      <c r="A15" s="29"/>
      <c r="B15" s="28" t="s">
        <v>69</v>
      </c>
      <c r="C15" s="19"/>
      <c r="D15" s="19"/>
      <c r="E15" s="19"/>
      <c r="F15" s="19"/>
      <c r="G15" s="19"/>
      <c r="H15" s="19"/>
      <c r="I15" s="19"/>
      <c r="J15" s="19"/>
      <c r="K15" s="19"/>
    </row>
    <row r="16" spans="1:12" ht="90" x14ac:dyDescent="0.25">
      <c r="A16" s="30"/>
      <c r="B16" s="28" t="s">
        <v>70</v>
      </c>
      <c r="C16" s="19"/>
      <c r="D16" s="19"/>
      <c r="E16" s="19"/>
      <c r="F16" s="19"/>
      <c r="G16" s="19"/>
      <c r="H16" s="19"/>
      <c r="I16" s="19"/>
      <c r="J16" s="19"/>
      <c r="K16" s="19"/>
    </row>
    <row r="17" spans="1:11" ht="30" x14ac:dyDescent="0.25">
      <c r="A17" s="43"/>
      <c r="B17" s="14" t="s">
        <v>101</v>
      </c>
      <c r="C17" s="19"/>
      <c r="D17" s="19"/>
      <c r="E17" s="19"/>
      <c r="F17" s="19"/>
      <c r="G17" s="19"/>
      <c r="H17" s="19"/>
      <c r="I17" s="19"/>
      <c r="J17" s="19"/>
      <c r="K17" s="19"/>
    </row>
    <row r="18" spans="1:11" ht="90" x14ac:dyDescent="0.25">
      <c r="A18" s="31"/>
      <c r="B18" s="28" t="s">
        <v>71</v>
      </c>
      <c r="C18" s="19"/>
      <c r="D18" s="19"/>
      <c r="E18" s="19"/>
      <c r="F18" s="19"/>
      <c r="G18" s="19"/>
      <c r="H18" s="19"/>
      <c r="I18" s="19"/>
      <c r="J18" s="19"/>
      <c r="K18" s="19"/>
    </row>
    <row r="19" spans="1:11" ht="60" x14ac:dyDescent="0.25">
      <c r="A19" s="32"/>
      <c r="B19" s="28" t="s">
        <v>72</v>
      </c>
      <c r="C19" s="19"/>
      <c r="D19" s="19"/>
      <c r="E19" s="19"/>
      <c r="F19" s="19"/>
      <c r="G19" s="19"/>
      <c r="H19" s="19"/>
      <c r="I19" s="19"/>
      <c r="J19" s="19"/>
      <c r="K19" s="19"/>
    </row>
    <row r="20" spans="1:11" x14ac:dyDescent="0.25">
      <c r="A20" s="19"/>
      <c r="B20" s="19"/>
      <c r="C20" s="19"/>
      <c r="D20" s="19"/>
      <c r="E20" s="19"/>
      <c r="F20" s="19"/>
      <c r="G20" s="19"/>
      <c r="H20" s="19"/>
      <c r="I20" s="19"/>
      <c r="J20" s="19"/>
      <c r="K20" s="19"/>
    </row>
    <row r="21" spans="1:11" x14ac:dyDescent="0.25">
      <c r="A21" s="19"/>
      <c r="B21" s="19"/>
      <c r="C21" s="19"/>
      <c r="D21" s="19"/>
      <c r="E21" s="19"/>
      <c r="F21" s="19"/>
      <c r="G21" s="19"/>
      <c r="H21" s="19"/>
      <c r="I21" s="19"/>
      <c r="J21" s="19"/>
      <c r="K21" s="19"/>
    </row>
  </sheetData>
  <hyperlinks>
    <hyperlink ref="A1" location="'Modelo de Dominio'!A1" display="&lt;&lt;&lt;&lt; Ir al modulo de dominio" xr:uid="{AEBE2727-BE66-4D62-8808-888BE535FD88}"/>
    <hyperlink ref="B1" location="'Objetos de Dominio'!A1" display="&lt;&lt;&lt;&lt; Ir a objetos de dominio" xr:uid="{1F60CCD7-0013-411C-9F41-163FDA6709E0}"/>
    <hyperlink ref="H4" r:id="rId1" xr:uid="{6282BC50-C0C1-4F88-96D9-A7ECBFB9DCF4}"/>
    <hyperlink ref="H5" r:id="rId2" xr:uid="{48977D08-F9A0-429F-BA87-2EA1E5CB2C0E}"/>
    <hyperlink ref="H6" r:id="rId3" xr:uid="{F83F8EA8-42AE-4892-BBB3-CAD6A4892053}"/>
    <hyperlink ref="H7" r:id="rId4" xr:uid="{91206527-DF15-4D8C-BA31-3E26BA769647}"/>
    <hyperlink ref="H8" r:id="rId5" xr:uid="{DE1925D8-C8E4-434D-930D-BB6C2EDD05D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AE22-0DB5-4942-8FD3-B9CB8EDCA1DB}">
  <dimension ref="A1:J19"/>
  <sheetViews>
    <sheetView zoomScale="130" zoomScaleNormal="130" workbookViewId="0">
      <selection activeCell="C17" sqref="C17"/>
    </sheetView>
  </sheetViews>
  <sheetFormatPr baseColWidth="10" defaultRowHeight="15" x14ac:dyDescent="0.25"/>
  <cols>
    <col min="1" max="1" width="27" bestFit="1" customWidth="1"/>
    <col min="2" max="2" width="26.140625" bestFit="1" customWidth="1"/>
    <col min="3" max="3" width="21.85546875" customWidth="1"/>
    <col min="4" max="4" width="22.140625" customWidth="1"/>
    <col min="5" max="5" width="22.42578125" customWidth="1"/>
    <col min="6" max="6" width="19.5703125" customWidth="1"/>
    <col min="7" max="7" width="24.85546875" customWidth="1"/>
    <col min="8" max="8" width="27" customWidth="1"/>
    <col min="9" max="9" width="36.42578125" customWidth="1"/>
    <col min="10" max="10" width="41.85546875" bestFit="1" customWidth="1"/>
  </cols>
  <sheetData>
    <row r="1" spans="1:10" x14ac:dyDescent="0.25">
      <c r="A1" s="26" t="s">
        <v>1</v>
      </c>
      <c r="B1" s="26" t="s">
        <v>18</v>
      </c>
      <c r="C1" s="26"/>
      <c r="D1" s="26"/>
      <c r="E1" s="26"/>
      <c r="F1" s="26"/>
      <c r="G1" s="25"/>
      <c r="H1" s="25"/>
      <c r="I1" s="25"/>
      <c r="J1" s="25"/>
    </row>
    <row r="2" spans="1:10" ht="37.5" customHeight="1" x14ac:dyDescent="0.25">
      <c r="A2" s="40" t="s">
        <v>19</v>
      </c>
      <c r="B2" s="40" t="s">
        <v>78</v>
      </c>
      <c r="C2" s="40" t="s">
        <v>79</v>
      </c>
      <c r="D2" s="40" t="s">
        <v>80</v>
      </c>
      <c r="E2" s="40" t="s">
        <v>81</v>
      </c>
      <c r="F2" s="40" t="s">
        <v>102</v>
      </c>
      <c r="G2" s="41" t="s">
        <v>82</v>
      </c>
      <c r="H2" s="41" t="s">
        <v>83</v>
      </c>
      <c r="I2" s="41" t="s">
        <v>84</v>
      </c>
      <c r="J2" s="42" t="s">
        <v>104</v>
      </c>
    </row>
    <row r="3" spans="1:10" x14ac:dyDescent="0.25">
      <c r="A3" s="21" t="s">
        <v>28</v>
      </c>
      <c r="B3" s="22" t="s">
        <v>29</v>
      </c>
      <c r="C3" s="22" t="s">
        <v>30</v>
      </c>
      <c r="D3" s="22" t="s">
        <v>31</v>
      </c>
      <c r="E3" s="22" t="s">
        <v>32</v>
      </c>
      <c r="F3" s="33" t="s">
        <v>85</v>
      </c>
      <c r="G3" s="22" t="s">
        <v>34</v>
      </c>
      <c r="H3" s="23" t="s">
        <v>86</v>
      </c>
      <c r="I3" s="23" t="s">
        <v>87</v>
      </c>
      <c r="J3" s="24" t="s">
        <v>88</v>
      </c>
    </row>
    <row r="4" spans="1:10" x14ac:dyDescent="0.25">
      <c r="A4" s="25">
        <v>1</v>
      </c>
      <c r="B4" s="25" t="s">
        <v>39</v>
      </c>
      <c r="C4" s="25"/>
      <c r="D4" s="25" t="s">
        <v>89</v>
      </c>
      <c r="E4" s="25"/>
      <c r="F4" s="37" t="str">
        <f>'M-PrefijoCelular'!C4</f>
        <v>+57</v>
      </c>
      <c r="G4" s="25">
        <v>3234528921</v>
      </c>
      <c r="H4" s="25">
        <v>0</v>
      </c>
      <c r="I4" s="25" t="s">
        <v>62</v>
      </c>
      <c r="J4" s="25" t="str">
        <f>_xlfn.CONCAT(F4,"-",G4)</f>
        <v>+57-3234528921</v>
      </c>
    </row>
    <row r="5" spans="1:10" x14ac:dyDescent="0.25">
      <c r="A5" s="25">
        <v>2</v>
      </c>
      <c r="B5" s="25" t="s">
        <v>90</v>
      </c>
      <c r="C5" s="25" t="s">
        <v>91</v>
      </c>
      <c r="D5" s="25" t="s">
        <v>57</v>
      </c>
      <c r="E5" s="25" t="s">
        <v>64</v>
      </c>
      <c r="F5" s="37" t="str">
        <f>'M-PrefijoCelular'!C4</f>
        <v>+57</v>
      </c>
      <c r="G5" s="25">
        <v>3161657782</v>
      </c>
      <c r="H5" s="25">
        <v>0</v>
      </c>
      <c r="I5" s="25" t="s">
        <v>62</v>
      </c>
      <c r="J5" s="25" t="str">
        <f t="shared" ref="J5:J8" si="0">_xlfn.CONCAT(F5,"-",G5)</f>
        <v>+57-3161657782</v>
      </c>
    </row>
    <row r="6" spans="1:10" x14ac:dyDescent="0.25">
      <c r="A6" s="25">
        <v>3</v>
      </c>
      <c r="B6" s="25" t="s">
        <v>92</v>
      </c>
      <c r="C6" s="25"/>
      <c r="D6" s="25" t="s">
        <v>93</v>
      </c>
      <c r="E6" s="25" t="s">
        <v>57</v>
      </c>
      <c r="F6" s="37" t="str">
        <f>'M-PrefijoCelular'!C4</f>
        <v>+57</v>
      </c>
      <c r="G6" s="25">
        <v>3119884321</v>
      </c>
      <c r="H6" s="25">
        <v>0</v>
      </c>
      <c r="I6" s="25" t="s">
        <v>62</v>
      </c>
      <c r="J6" s="25" t="str">
        <f t="shared" si="0"/>
        <v>+57-3119884321</v>
      </c>
    </row>
    <row r="7" spans="1:10" x14ac:dyDescent="0.25">
      <c r="A7" s="25">
        <v>4</v>
      </c>
      <c r="B7" s="25" t="s">
        <v>94</v>
      </c>
      <c r="C7" s="25"/>
      <c r="D7" s="25" t="s">
        <v>95</v>
      </c>
      <c r="E7" s="25"/>
      <c r="F7" s="37" t="str">
        <f>'M-PrefijoCelular'!C7</f>
        <v>+58</v>
      </c>
      <c r="G7" s="25">
        <v>4127359182</v>
      </c>
      <c r="H7" s="25">
        <v>1</v>
      </c>
      <c r="I7" s="25" t="s">
        <v>62</v>
      </c>
      <c r="J7" s="25" t="str">
        <f t="shared" si="0"/>
        <v>+58-4127359182</v>
      </c>
    </row>
    <row r="8" spans="1:10" x14ac:dyDescent="0.25">
      <c r="A8" s="25">
        <v>5</v>
      </c>
      <c r="B8" s="25" t="s">
        <v>97</v>
      </c>
      <c r="C8" s="25" t="s">
        <v>98</v>
      </c>
      <c r="D8" s="25" t="s">
        <v>99</v>
      </c>
      <c r="E8" s="25" t="s">
        <v>100</v>
      </c>
      <c r="F8" s="37" t="str">
        <f>'M-PrefijoCelular'!C4</f>
        <v>+57</v>
      </c>
      <c r="G8" s="25">
        <v>3005544332</v>
      </c>
      <c r="H8" s="25">
        <v>3</v>
      </c>
      <c r="I8" s="25" t="s">
        <v>46</v>
      </c>
      <c r="J8" s="25" t="str">
        <f t="shared" si="0"/>
        <v>+57-3005544332</v>
      </c>
    </row>
    <row r="9" spans="1:10" x14ac:dyDescent="0.25">
      <c r="A9" s="19"/>
      <c r="B9" s="19"/>
      <c r="C9" s="19"/>
      <c r="D9" s="19"/>
      <c r="E9" s="19"/>
      <c r="F9" s="19"/>
      <c r="G9" s="19"/>
      <c r="H9" s="19"/>
      <c r="I9" s="19"/>
      <c r="J9" s="19"/>
    </row>
    <row r="10" spans="1:10" x14ac:dyDescent="0.25">
      <c r="A10" s="19"/>
      <c r="B10" s="19"/>
      <c r="C10" s="19"/>
      <c r="D10" s="19"/>
      <c r="E10" s="19"/>
      <c r="F10" s="19"/>
      <c r="G10" s="19"/>
      <c r="H10" s="19"/>
      <c r="I10" s="19"/>
      <c r="J10" s="19"/>
    </row>
    <row r="11" spans="1:10" x14ac:dyDescent="0.25">
      <c r="A11" s="19"/>
      <c r="B11" s="19"/>
      <c r="C11" s="19"/>
      <c r="D11" s="19"/>
      <c r="E11" s="19"/>
      <c r="F11" s="19"/>
      <c r="G11" s="19"/>
      <c r="H11" s="19"/>
      <c r="I11" s="19"/>
      <c r="J11" s="19"/>
    </row>
    <row r="12" spans="1:10" x14ac:dyDescent="0.25">
      <c r="A12" s="19"/>
      <c r="B12" s="19"/>
      <c r="C12" s="19"/>
      <c r="D12" s="19"/>
      <c r="E12" s="19"/>
      <c r="F12" s="19"/>
      <c r="G12" s="19"/>
      <c r="H12" s="19"/>
      <c r="I12" s="19"/>
      <c r="J12" s="19"/>
    </row>
    <row r="13" spans="1:10" x14ac:dyDescent="0.25">
      <c r="A13" s="19"/>
      <c r="B13" s="28"/>
      <c r="C13" s="19"/>
      <c r="D13" s="19"/>
      <c r="E13" s="19"/>
      <c r="F13" s="19"/>
      <c r="G13" s="19"/>
      <c r="H13" s="19"/>
      <c r="I13" s="19"/>
      <c r="J13" s="19"/>
    </row>
    <row r="14" spans="1:10" ht="75" x14ac:dyDescent="0.25">
      <c r="A14" s="27"/>
      <c r="B14" s="28" t="s">
        <v>68</v>
      </c>
      <c r="C14" s="19"/>
      <c r="D14" s="19"/>
      <c r="E14" s="19"/>
      <c r="F14" s="19"/>
      <c r="G14" s="19"/>
      <c r="H14" s="19"/>
      <c r="I14" s="19"/>
      <c r="J14" s="19"/>
    </row>
    <row r="15" spans="1:10" ht="90" x14ac:dyDescent="0.25">
      <c r="A15" s="29"/>
      <c r="B15" s="28" t="s">
        <v>69</v>
      </c>
      <c r="C15" s="19"/>
      <c r="D15" s="19"/>
      <c r="E15" s="19"/>
      <c r="F15" s="19"/>
      <c r="G15" s="19"/>
      <c r="H15" s="19"/>
      <c r="I15" s="19"/>
      <c r="J15" s="19"/>
    </row>
    <row r="16" spans="1:10" ht="90" x14ac:dyDescent="0.25">
      <c r="A16" s="30"/>
      <c r="B16" s="28" t="s">
        <v>70</v>
      </c>
      <c r="C16" s="19"/>
      <c r="D16" s="19"/>
      <c r="E16" s="19"/>
      <c r="F16" s="19"/>
      <c r="G16" s="19"/>
      <c r="H16" s="19"/>
      <c r="I16" s="19"/>
      <c r="J16" s="19"/>
    </row>
    <row r="17" spans="1:10" ht="30" x14ac:dyDescent="0.25">
      <c r="A17" s="43"/>
      <c r="B17" s="14" t="s">
        <v>101</v>
      </c>
      <c r="C17" s="19"/>
      <c r="D17" s="19"/>
      <c r="E17" s="19"/>
      <c r="F17" s="19"/>
      <c r="G17" s="19"/>
      <c r="H17" s="19"/>
      <c r="I17" s="19"/>
      <c r="J17" s="19"/>
    </row>
    <row r="18" spans="1:10" ht="90" x14ac:dyDescent="0.25">
      <c r="A18" s="31"/>
      <c r="B18" s="28" t="s">
        <v>71</v>
      </c>
      <c r="C18" s="19"/>
      <c r="D18" s="19"/>
      <c r="E18" s="19"/>
      <c r="F18" s="19"/>
      <c r="G18" s="19"/>
      <c r="H18" s="19"/>
      <c r="I18" s="19"/>
      <c r="J18" s="19"/>
    </row>
    <row r="19" spans="1:10" ht="60" x14ac:dyDescent="0.25">
      <c r="A19" s="32"/>
      <c r="B19" s="28" t="s">
        <v>72</v>
      </c>
      <c r="C19" s="19"/>
      <c r="D19" s="19"/>
      <c r="E19" s="19"/>
      <c r="F19" s="19"/>
      <c r="G19" s="19"/>
      <c r="H19" s="19"/>
      <c r="I19" s="19"/>
      <c r="J19" s="19"/>
    </row>
  </sheetData>
  <hyperlinks>
    <hyperlink ref="A1" location="'Modelo de Dominio'!A1" display="&lt;&lt;&lt;&lt; Ir al modulo de dominio" xr:uid="{4398CB8D-3C62-4881-9986-824BE26E0759}"/>
    <hyperlink ref="B1" location="'Objetos de Dominio'!A1" display="&lt;&lt;&lt;&lt; Ir a objetos de dominio" xr:uid="{331CAC48-A68C-42BC-98CA-09350518D4A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455A-8910-43DE-9691-61D6D0C7EE2E}">
  <dimension ref="A1:E20"/>
  <sheetViews>
    <sheetView zoomScale="130" zoomScaleNormal="130" workbookViewId="0">
      <selection activeCell="F5" sqref="F5"/>
    </sheetView>
  </sheetViews>
  <sheetFormatPr baseColWidth="10" defaultRowHeight="15" x14ac:dyDescent="0.25"/>
  <cols>
    <col min="1" max="1" width="27" bestFit="1" customWidth="1"/>
    <col min="2" max="2" width="26.140625" bestFit="1" customWidth="1"/>
    <col min="3" max="3" width="15.7109375" customWidth="1"/>
    <col min="4" max="4" width="17.42578125" customWidth="1"/>
    <col min="5" max="5" width="35.42578125" customWidth="1"/>
  </cols>
  <sheetData>
    <row r="1" spans="1:5" x14ac:dyDescent="0.25">
      <c r="A1" s="18" t="s">
        <v>1</v>
      </c>
      <c r="B1" s="18" t="s">
        <v>18</v>
      </c>
      <c r="C1" s="19"/>
      <c r="D1" s="19"/>
      <c r="E1" s="19"/>
    </row>
    <row r="2" spans="1:5" ht="37.5" customHeight="1" x14ac:dyDescent="0.25">
      <c r="A2" s="41" t="s">
        <v>19</v>
      </c>
      <c r="B2" s="41" t="s">
        <v>151</v>
      </c>
      <c r="C2" s="41" t="s">
        <v>144</v>
      </c>
      <c r="D2" s="41" t="s">
        <v>145</v>
      </c>
      <c r="E2" s="41" t="s">
        <v>146</v>
      </c>
    </row>
    <row r="3" spans="1:5" ht="23.25" customHeight="1" x14ac:dyDescent="0.25">
      <c r="A3" s="21" t="s">
        <v>28</v>
      </c>
      <c r="B3" s="74" t="s">
        <v>147</v>
      </c>
      <c r="C3" s="66" t="s">
        <v>148</v>
      </c>
      <c r="D3" s="67" t="s">
        <v>149</v>
      </c>
      <c r="E3" s="68" t="s">
        <v>88</v>
      </c>
    </row>
    <row r="4" spans="1:5" x14ac:dyDescent="0.25">
      <c r="A4" s="25">
        <v>1</v>
      </c>
      <c r="B4" s="69" t="str">
        <f>'M-DiaSemana'!C4</f>
        <v>Lunes</v>
      </c>
      <c r="C4" s="70">
        <v>0.375</v>
      </c>
      <c r="D4" s="70">
        <v>0.79166666666666696</v>
      </c>
      <c r="E4" s="25" t="str">
        <f t="shared" ref="E4:E10" si="0">_xlfn.CONCAT(B4,"-",TEXT(C4,"hh:mm"),"-",TEXT(D4,"hh:mm"))</f>
        <v>Lunes-09:00-19:00</v>
      </c>
    </row>
    <row r="5" spans="1:5" x14ac:dyDescent="0.25">
      <c r="A5" s="25">
        <v>2</v>
      </c>
      <c r="B5" s="69" t="str">
        <f>'M-DiaSemana'!C5</f>
        <v>Martes</v>
      </c>
      <c r="C5" s="70">
        <v>0.375</v>
      </c>
      <c r="D5" s="70">
        <v>0.79166666666666696</v>
      </c>
      <c r="E5" s="25" t="str">
        <f t="shared" si="0"/>
        <v>Martes-09:00-19:00</v>
      </c>
    </row>
    <row r="6" spans="1:5" x14ac:dyDescent="0.25">
      <c r="A6" s="25">
        <v>3</v>
      </c>
      <c r="B6" s="69" t="str">
        <f>'M-DiaSemana'!C6</f>
        <v>Miércoles</v>
      </c>
      <c r="C6" s="70">
        <v>0.375</v>
      </c>
      <c r="D6" s="70">
        <v>0.79166666666666696</v>
      </c>
      <c r="E6" s="25" t="str">
        <f t="shared" si="0"/>
        <v>Miércoles-09:00-19:00</v>
      </c>
    </row>
    <row r="7" spans="1:5" x14ac:dyDescent="0.25">
      <c r="A7" s="25">
        <v>4</v>
      </c>
      <c r="B7" s="69" t="str">
        <f>'M-DiaSemana'!C7</f>
        <v>Jueves</v>
      </c>
      <c r="C7" s="70">
        <v>0.375</v>
      </c>
      <c r="D7" s="70">
        <v>0.79166666666666696</v>
      </c>
      <c r="E7" s="25" t="str">
        <f t="shared" si="0"/>
        <v>Jueves-09:00-19:00</v>
      </c>
    </row>
    <row r="8" spans="1:5" x14ac:dyDescent="0.25">
      <c r="A8" s="25">
        <v>5</v>
      </c>
      <c r="B8" s="69" t="str">
        <f>'M-DiaSemana'!C8</f>
        <v>Viernes</v>
      </c>
      <c r="C8" s="70">
        <v>0.375</v>
      </c>
      <c r="D8" s="70">
        <v>0.79166666666666696</v>
      </c>
      <c r="E8" s="25" t="str">
        <f t="shared" si="0"/>
        <v>Viernes-09:00-19:00</v>
      </c>
    </row>
    <row r="9" spans="1:5" x14ac:dyDescent="0.25">
      <c r="A9" s="25">
        <v>6</v>
      </c>
      <c r="B9" s="69" t="str">
        <f>'M-DiaSemana'!C9</f>
        <v>Sábado</v>
      </c>
      <c r="C9" s="71">
        <v>0.33333333333333298</v>
      </c>
      <c r="D9" s="70">
        <v>0.875</v>
      </c>
      <c r="E9" s="25" t="str">
        <f t="shared" si="0"/>
        <v>Sábado-08:00-21:00</v>
      </c>
    </row>
    <row r="10" spans="1:5" x14ac:dyDescent="0.25">
      <c r="A10" s="25">
        <v>7</v>
      </c>
      <c r="B10" s="69" t="str">
        <f>'M-DiaSemana'!C11</f>
        <v>Festivo</v>
      </c>
      <c r="C10" s="70">
        <v>0.41666666666666702</v>
      </c>
      <c r="D10" s="70">
        <v>0.625</v>
      </c>
      <c r="E10" s="25" t="str">
        <f t="shared" si="0"/>
        <v>Festivo-10:00-15:00</v>
      </c>
    </row>
    <row r="11" spans="1:5" x14ac:dyDescent="0.25">
      <c r="A11" s="19"/>
      <c r="B11" s="19"/>
      <c r="C11" s="19"/>
      <c r="D11" s="19"/>
      <c r="E11" s="19"/>
    </row>
    <row r="12" spans="1:5" x14ac:dyDescent="0.25">
      <c r="A12" s="19"/>
      <c r="B12" s="19"/>
      <c r="C12" s="19"/>
      <c r="D12" s="19"/>
      <c r="E12" s="19"/>
    </row>
    <row r="13" spans="1:5" x14ac:dyDescent="0.25">
      <c r="A13" s="19"/>
      <c r="B13" s="19"/>
      <c r="C13" s="19"/>
      <c r="D13" s="19"/>
      <c r="E13" s="19"/>
    </row>
    <row r="14" spans="1:5" x14ac:dyDescent="0.25">
      <c r="A14" s="19"/>
      <c r="B14" s="19"/>
      <c r="C14" s="19"/>
      <c r="D14" s="19"/>
      <c r="E14" s="19"/>
    </row>
    <row r="15" spans="1:5" x14ac:dyDescent="0.25">
      <c r="A15" s="19"/>
      <c r="B15" s="19"/>
      <c r="C15" s="19"/>
      <c r="D15" s="19"/>
      <c r="E15" s="19"/>
    </row>
    <row r="16" spans="1:5" ht="30" x14ac:dyDescent="0.25">
      <c r="A16" s="27"/>
      <c r="B16" s="28" t="s">
        <v>68</v>
      </c>
      <c r="C16" s="19"/>
      <c r="D16" s="19"/>
      <c r="E16" s="19"/>
    </row>
    <row r="17" spans="1:5" ht="45" x14ac:dyDescent="0.25">
      <c r="A17" s="29"/>
      <c r="B17" s="28" t="s">
        <v>69</v>
      </c>
      <c r="C17" s="19"/>
      <c r="D17" s="19"/>
      <c r="E17" s="19"/>
    </row>
    <row r="18" spans="1:5" ht="30" x14ac:dyDescent="0.25">
      <c r="A18" s="72"/>
      <c r="B18" s="28" t="s">
        <v>101</v>
      </c>
      <c r="C18" s="19"/>
      <c r="D18" s="19"/>
      <c r="E18" s="19"/>
    </row>
    <row r="19" spans="1:5" ht="30" x14ac:dyDescent="0.25">
      <c r="A19" s="73"/>
      <c r="B19" s="28" t="s">
        <v>150</v>
      </c>
      <c r="C19" s="19"/>
      <c r="D19" s="19"/>
      <c r="E19" s="19"/>
    </row>
    <row r="20" spans="1:5" ht="30" x14ac:dyDescent="0.25">
      <c r="A20" s="32"/>
      <c r="B20" s="28" t="s">
        <v>72</v>
      </c>
      <c r="C20" s="19"/>
      <c r="D20" s="19"/>
      <c r="E20" s="19"/>
    </row>
  </sheetData>
  <hyperlinks>
    <hyperlink ref="A1" location="'Modelo de Dominio'!A1" display="&lt;&lt;&lt;&lt; Ir al modulo de dominio" xr:uid="{02266D03-C7D3-4023-90F0-0AF4E20A567F}"/>
    <hyperlink ref="B1" location="'Objetos de Dominio'!A1" display="&lt;&lt;&lt;&lt; Ir a objetos de dominio" xr:uid="{4CBCAB43-B763-4586-961B-7F90269F69A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7626-58E1-4E00-BBD3-B6E73B3C68D3}">
  <dimension ref="A1:F12"/>
  <sheetViews>
    <sheetView topLeftCell="A2" zoomScale="130" zoomScaleNormal="130" workbookViewId="0">
      <selection activeCell="C19" sqref="C19"/>
    </sheetView>
  </sheetViews>
  <sheetFormatPr baseColWidth="10" defaultRowHeight="15" x14ac:dyDescent="0.25"/>
  <cols>
    <col min="1" max="1" width="27" bestFit="1" customWidth="1"/>
    <col min="2" max="2" width="26.140625" bestFit="1" customWidth="1"/>
    <col min="3" max="3" width="42" bestFit="1" customWidth="1"/>
    <col min="4" max="4" width="40.28515625" customWidth="1"/>
    <col min="5" max="5" width="35.7109375" customWidth="1"/>
    <col min="6" max="6" width="56.85546875" bestFit="1" customWidth="1"/>
  </cols>
  <sheetData>
    <row r="1" spans="1:6" x14ac:dyDescent="0.25">
      <c r="A1" s="3" t="s">
        <v>1</v>
      </c>
      <c r="B1" s="3" t="s">
        <v>18</v>
      </c>
    </row>
    <row r="2" spans="1:6" ht="136.5" x14ac:dyDescent="0.25">
      <c r="A2" s="38" t="s">
        <v>19</v>
      </c>
      <c r="B2" s="75" t="s">
        <v>152</v>
      </c>
      <c r="C2" s="38" t="s">
        <v>153</v>
      </c>
      <c r="D2" s="38" t="s">
        <v>154</v>
      </c>
      <c r="E2" s="38" t="s">
        <v>155</v>
      </c>
      <c r="F2" s="39" t="s">
        <v>156</v>
      </c>
    </row>
    <row r="3" spans="1:6" x14ac:dyDescent="0.25">
      <c r="A3" s="9" t="s">
        <v>28</v>
      </c>
      <c r="B3" s="63" t="s">
        <v>157</v>
      </c>
      <c r="C3" s="63" t="s">
        <v>158</v>
      </c>
      <c r="D3" s="76" t="s">
        <v>159</v>
      </c>
      <c r="E3" s="76" t="s">
        <v>160</v>
      </c>
      <c r="F3" s="77" t="s">
        <v>88</v>
      </c>
    </row>
    <row r="4" spans="1:6" x14ac:dyDescent="0.25">
      <c r="A4" s="10">
        <v>1</v>
      </c>
      <c r="B4" s="11" t="str">
        <f>_xlfn.CONCAT('[1]M-Barbero'!B4," ",'[1]M-Barbero'!D4)</f>
        <v>Juan García</v>
      </c>
      <c r="C4" s="11" t="str">
        <f>'[1]M-Servicio'!C4</f>
        <v>Motilada</v>
      </c>
      <c r="D4" s="12">
        <v>45</v>
      </c>
      <c r="E4" s="12">
        <v>15</v>
      </c>
      <c r="F4" s="10" t="str">
        <f t="shared" ref="F4:F12" si="0">_xlfn.CONCAT(B4,"-",C4)</f>
        <v>Juan García-Motilada</v>
      </c>
    </row>
    <row r="5" spans="1:6" x14ac:dyDescent="0.25">
      <c r="A5" s="10">
        <v>2</v>
      </c>
      <c r="B5" s="11" t="str">
        <f>_xlfn.CONCAT('[1]M-Barbero'!B5," ",'[1]M-Barbero'!D5)</f>
        <v>Juan Ortiz</v>
      </c>
      <c r="C5" s="11" t="str">
        <f>'[1]M-Servicio'!C5</f>
        <v>Corte de barba</v>
      </c>
      <c r="D5" s="12">
        <v>10</v>
      </c>
      <c r="E5" s="12">
        <v>5</v>
      </c>
      <c r="F5" s="10" t="str">
        <f t="shared" si="0"/>
        <v>Juan Ortiz-Corte de barba</v>
      </c>
    </row>
    <row r="6" spans="1:6" x14ac:dyDescent="0.25">
      <c r="A6" s="10">
        <v>3</v>
      </c>
      <c r="B6" s="11" t="str">
        <f>_xlfn.CONCAT('[1]M-Barbero'!B6," ",'[1]M-Barbero'!D6)</f>
        <v>Carlos Arbeladez</v>
      </c>
      <c r="C6" s="11" t="str">
        <f>'[1]M-Servicio'!C6</f>
        <v>Perfilada de barba</v>
      </c>
      <c r="D6" s="12">
        <v>15</v>
      </c>
      <c r="E6" s="12">
        <v>5</v>
      </c>
      <c r="F6" s="10" t="str">
        <f t="shared" si="0"/>
        <v>Carlos Arbeladez-Perfilada de barba</v>
      </c>
    </row>
    <row r="7" spans="1:6" x14ac:dyDescent="0.25">
      <c r="A7" s="10">
        <v>4</v>
      </c>
      <c r="B7" s="11" t="str">
        <f>_xlfn.CONCAT('[1]M-Barbero'!B7," ",'[1]M-Barbero'!D7)</f>
        <v>Andres Ramirez</v>
      </c>
      <c r="C7" s="11" t="str">
        <f>'[1]M-Servicio'!C7</f>
        <v>Arreglo completo de barba con toalla caliente</v>
      </c>
      <c r="D7" s="12">
        <v>40</v>
      </c>
      <c r="E7" s="12">
        <v>10</v>
      </c>
      <c r="F7" s="10" t="str">
        <f t="shared" si="0"/>
        <v>Andres Ramirez-Arreglo completo de barba con toalla caliente</v>
      </c>
    </row>
    <row r="8" spans="1:6" x14ac:dyDescent="0.25">
      <c r="A8" s="10">
        <v>5</v>
      </c>
      <c r="B8" s="11" t="str">
        <f>_xlfn.CONCAT('[1]M-Barbero'!B5," ",'[1]M-Barbero'!D5)</f>
        <v>Juan Ortiz</v>
      </c>
      <c r="C8" s="11" t="str">
        <f>'[1]M-Servicio'!C4</f>
        <v>Motilada</v>
      </c>
      <c r="D8" s="12">
        <v>40</v>
      </c>
      <c r="E8" s="12">
        <v>10</v>
      </c>
      <c r="F8" s="10" t="str">
        <f t="shared" si="0"/>
        <v>Juan Ortiz-Motilada</v>
      </c>
    </row>
    <row r="9" spans="1:6" x14ac:dyDescent="0.25">
      <c r="A9" s="10">
        <v>6</v>
      </c>
      <c r="B9" s="11" t="str">
        <f>_xlfn.CONCAT('[1]M-Barbero'!B6," ",'[1]M-Barbero'!D6)</f>
        <v>Carlos Arbeladez</v>
      </c>
      <c r="C9" s="11" t="str">
        <f>'[1]M-Servicio'!C5</f>
        <v>Corte de barba</v>
      </c>
      <c r="D9" s="12">
        <v>15</v>
      </c>
      <c r="E9" s="12">
        <v>5</v>
      </c>
      <c r="F9" s="10" t="str">
        <f t="shared" si="0"/>
        <v>Carlos Arbeladez-Corte de barba</v>
      </c>
    </row>
    <row r="10" spans="1:6" x14ac:dyDescent="0.25">
      <c r="A10" s="10">
        <v>7</v>
      </c>
      <c r="B10" s="11" t="str">
        <f>_xlfn.CONCAT('[1]M-Barbero'!B4," ",'[1]M-Barbero'!D4)</f>
        <v>Juan García</v>
      </c>
      <c r="C10" s="11" t="str">
        <f>'[1]M-Servicio'!C6</f>
        <v>Perfilada de barba</v>
      </c>
      <c r="D10" s="12">
        <v>20</v>
      </c>
      <c r="E10" s="12">
        <v>5</v>
      </c>
      <c r="F10" s="10" t="str">
        <f t="shared" si="0"/>
        <v>Juan García-Perfilada de barba</v>
      </c>
    </row>
    <row r="11" spans="1:6" x14ac:dyDescent="0.25">
      <c r="A11" s="10">
        <v>8</v>
      </c>
      <c r="B11" s="11" t="str">
        <f>_xlfn.CONCAT('[1]M-Barbero'!B7," ",'[1]M-Barbero'!D7)</f>
        <v>Andres Ramirez</v>
      </c>
      <c r="C11" s="11" t="str">
        <f>'[1]M-Servicio'!C4</f>
        <v>Motilada</v>
      </c>
      <c r="D11" s="12">
        <v>50</v>
      </c>
      <c r="E11" s="12">
        <v>15</v>
      </c>
      <c r="F11" s="10" t="str">
        <f t="shared" si="0"/>
        <v>Andres Ramirez-Motilada</v>
      </c>
    </row>
    <row r="12" spans="1:6" x14ac:dyDescent="0.25">
      <c r="A12" s="10">
        <v>9</v>
      </c>
      <c r="B12" s="11" t="str">
        <f>_xlfn.CONCAT('[1]M-Barbero'!B8," ",'[1]M-Barbero'!D8)</f>
        <v>Juan Zambrano</v>
      </c>
      <c r="C12" s="11" t="str">
        <f>'[1]M-Servicio'!C5</f>
        <v>Corte de barba</v>
      </c>
      <c r="D12" s="12">
        <v>12</v>
      </c>
      <c r="E12" s="12">
        <v>5</v>
      </c>
      <c r="F12" s="10" t="str">
        <f t="shared" si="0"/>
        <v>Juan Zambrano-Corte de barba</v>
      </c>
    </row>
  </sheetData>
  <hyperlinks>
    <hyperlink ref="A1" location="'Modelo de Dominio'!A1" display="&lt;&lt;&lt;&lt; Ir al modulo de dominio" xr:uid="{E7740B70-F0E9-4445-B741-FAFF06F19277}"/>
    <hyperlink ref="B1" location="'Objetos de Dominio'!A1" display="&lt;&lt;&lt;&lt; Ir a objetos de dominio" xr:uid="{74E5B695-E3CE-4FE9-8CFE-AD424C55F260}"/>
    <hyperlink ref="B3" location="'M-Barbero'!A1" display="barbero" xr:uid="{510DE154-E85B-4920-8DC4-A13FB5AE400F}"/>
    <hyperlink ref="C3" location="'M-Servicio'!A1" display="servicio" xr:uid="{4060AFB1-4400-41D2-88EE-39F99590DE75}"/>
    <hyperlink ref="B4" location="Barbero_D!A4" display="#Barbero_D.A4" xr:uid="{EF05E9BB-2E5C-4C2C-905C-06E43D0BD621}"/>
    <hyperlink ref="C4" location="Servicio_D!A4" display="#Servicio_D.A4" xr:uid="{87A0CA78-1429-4EF9-973C-5354036ADA77}"/>
    <hyperlink ref="B5" location="Barbero_D!A5" display="#Barbero_D.A5" xr:uid="{C588537E-C02D-48CE-B7A4-DA097AE692FA}"/>
    <hyperlink ref="C5" location="Servicio_D!A5" display="#Servicio_D.A5" xr:uid="{1AEAE8E2-3CAA-4860-BCA3-DE990675FCDC}"/>
    <hyperlink ref="B6" location="Barbero_D!A6" display="#Barbero_D.A6" xr:uid="{414B4229-E17E-43DD-A358-164DCDA79039}"/>
    <hyperlink ref="C6" location="Servicio_D!A6" display="#Servicio_D.A6" xr:uid="{3E78C992-36DB-46E7-836D-A2419CC1B03C}"/>
    <hyperlink ref="B7" location="Barbero_D!A7" display="#Barbero_D.A7" xr:uid="{66C57F7D-4EE0-4FEF-8680-8FBD5E413AAE}"/>
    <hyperlink ref="C7" location="Servicio_D!A7" display="#Servicio_D.A7" xr:uid="{2FA57506-F5D1-4FA7-ABF6-5D71B5365A1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B73E-BAD2-465B-BF14-AE55B3CB0D38}">
  <dimension ref="A1:I21"/>
  <sheetViews>
    <sheetView tabSelected="1" topLeftCell="A6" zoomScale="115" zoomScaleNormal="115" workbookViewId="0">
      <selection activeCell="B21" sqref="B21"/>
    </sheetView>
  </sheetViews>
  <sheetFormatPr baseColWidth="10" defaultRowHeight="15" x14ac:dyDescent="0.25"/>
  <cols>
    <col min="1" max="1" width="27" bestFit="1" customWidth="1"/>
    <col min="2" max="2" width="26.140625" bestFit="1" customWidth="1"/>
    <col min="3" max="3" width="19.42578125" bestFit="1" customWidth="1"/>
    <col min="4" max="4" width="24.42578125" customWidth="1"/>
    <col min="5" max="5" width="38.42578125" customWidth="1"/>
    <col min="6" max="6" width="26.42578125" customWidth="1"/>
    <col min="7" max="7" width="27.42578125" customWidth="1"/>
    <col min="8" max="8" width="26" customWidth="1"/>
    <col min="9" max="9" width="41.42578125" bestFit="1" customWidth="1"/>
  </cols>
  <sheetData>
    <row r="1" spans="1:9" x14ac:dyDescent="0.25">
      <c r="A1" s="3" t="s">
        <v>1</v>
      </c>
      <c r="B1" s="3" t="s">
        <v>18</v>
      </c>
      <c r="C1" s="3"/>
      <c r="D1" s="3"/>
      <c r="E1" s="3"/>
      <c r="F1" s="3"/>
      <c r="G1" s="3"/>
      <c r="H1" s="3"/>
    </row>
    <row r="2" spans="1:9" ht="120.75" customHeight="1" x14ac:dyDescent="0.25">
      <c r="A2" s="38" t="s">
        <v>19</v>
      </c>
      <c r="B2" s="38" t="s">
        <v>161</v>
      </c>
      <c r="C2" s="38" t="s">
        <v>162</v>
      </c>
      <c r="D2" s="38" t="s">
        <v>163</v>
      </c>
      <c r="E2" s="38" t="s">
        <v>164</v>
      </c>
      <c r="F2" s="38" t="s">
        <v>165</v>
      </c>
      <c r="G2" s="38" t="s">
        <v>166</v>
      </c>
      <c r="H2" s="38" t="s">
        <v>167</v>
      </c>
      <c r="I2" s="39" t="s">
        <v>174</v>
      </c>
    </row>
    <row r="3" spans="1:9" x14ac:dyDescent="0.25">
      <c r="A3" s="9" t="s">
        <v>28</v>
      </c>
      <c r="B3" s="78" t="s">
        <v>157</v>
      </c>
      <c r="C3" s="88" t="s">
        <v>173</v>
      </c>
      <c r="D3" s="79" t="s">
        <v>168</v>
      </c>
      <c r="E3" s="79" t="s">
        <v>169</v>
      </c>
      <c r="F3" s="80" t="s">
        <v>170</v>
      </c>
      <c r="G3" s="80" t="s">
        <v>171</v>
      </c>
      <c r="H3" s="81" t="s">
        <v>37</v>
      </c>
      <c r="I3" s="54" t="s">
        <v>88</v>
      </c>
    </row>
    <row r="4" spans="1:9" ht="30" x14ac:dyDescent="0.25">
      <c r="A4" s="10">
        <v>1</v>
      </c>
      <c r="B4" s="82" t="str">
        <f>'[1]M-Barbero'!K4</f>
        <v>Juan-Fernando-García-Lopez-+57-3245627890</v>
      </c>
      <c r="C4" s="89" t="str">
        <f>'M-HorarioBarberia'!E4</f>
        <v>Lunes-09:00-19:00</v>
      </c>
      <c r="D4" s="64">
        <v>0.41666666666666702</v>
      </c>
      <c r="E4" s="64">
        <v>0.66666666666666696</v>
      </c>
      <c r="F4" s="83">
        <v>45780</v>
      </c>
      <c r="G4" s="83" t="s">
        <v>172</v>
      </c>
      <c r="H4" s="64" t="s">
        <v>46</v>
      </c>
      <c r="I4" s="58" t="str">
        <f>_xlfn.CONCAT(B4,"-",C4,"-",TEXT(D4,"hh:mm"),"-",TEXT(E4,"hh:mm"))</f>
        <v>Juan-Fernando-García-Lopez-+57-3245627890-Lunes-09:00-19:00-10:00-16:00</v>
      </c>
    </row>
    <row r="5" spans="1:9" ht="30" x14ac:dyDescent="0.25">
      <c r="A5" s="10">
        <v>2</v>
      </c>
      <c r="B5" s="82" t="str">
        <f>'[1]M-Barbero'!K5</f>
        <v>Juan-David-Ortiz-Sanchez-+57-3124518923</v>
      </c>
      <c r="C5" s="89" t="str">
        <f>'M-HorarioBarberia'!E5</f>
        <v>Martes-09:00-19:00</v>
      </c>
      <c r="D5" s="64">
        <v>0.375</v>
      </c>
      <c r="E5" s="64">
        <v>0.625</v>
      </c>
      <c r="F5" s="83">
        <v>45718</v>
      </c>
      <c r="G5" s="83" t="s">
        <v>172</v>
      </c>
      <c r="H5" s="64" t="s">
        <v>46</v>
      </c>
      <c r="I5" s="58" t="str">
        <f t="shared" ref="I5:I8" si="0">_xlfn.CONCAT(B5,"-",C5,"-",TEXT(D5,"hh:mm"),"-",TEXT(E5,"hh:mm"))</f>
        <v>Juan-David-Ortiz-Sanchez-+57-3124518923-Martes-09:00-19:00-09:00-15:00</v>
      </c>
    </row>
    <row r="6" spans="1:9" ht="30" x14ac:dyDescent="0.25">
      <c r="A6" s="10">
        <v>3</v>
      </c>
      <c r="B6" s="82" t="str">
        <f>'[1]M-Barbero'!K6</f>
        <v>Carlos--Arbeladez--+57-3214533321</v>
      </c>
      <c r="C6" s="89" t="str">
        <f>'M-HorarioBarberia'!E7</f>
        <v>Jueves-09:00-19:00</v>
      </c>
      <c r="D6" s="64">
        <v>0.54166666666666696</v>
      </c>
      <c r="E6" s="64">
        <v>0.79166666666666696</v>
      </c>
      <c r="F6" s="83">
        <v>44917</v>
      </c>
      <c r="G6" s="84" t="s">
        <v>172</v>
      </c>
      <c r="H6" s="64" t="s">
        <v>46</v>
      </c>
      <c r="I6" s="58" t="str">
        <f t="shared" si="0"/>
        <v>Carlos--Arbeladez--+57-3214533321-Jueves-09:00-19:00-13:00-19:00</v>
      </c>
    </row>
    <row r="7" spans="1:9" ht="30" x14ac:dyDescent="0.25">
      <c r="A7" s="10">
        <v>4</v>
      </c>
      <c r="B7" s="82" t="str">
        <f>'[1]M-Barbero'!K7</f>
        <v>Andres--Ramirez-Patiño-+91-9876543210</v>
      </c>
      <c r="C7" s="89" t="str">
        <f>'M-HorarioBarberia'!E9</f>
        <v>Sábado-08:00-21:00</v>
      </c>
      <c r="D7" s="64">
        <v>0.33333333333333298</v>
      </c>
      <c r="E7" s="64">
        <v>0.58333333333333304</v>
      </c>
      <c r="F7" s="85">
        <v>45915</v>
      </c>
      <c r="G7" s="83">
        <v>46023</v>
      </c>
      <c r="H7" s="86" t="s">
        <v>62</v>
      </c>
      <c r="I7" s="58" t="str">
        <f t="shared" si="0"/>
        <v>Andres--Ramirez-Patiño-+91-9876543210-Sábado-08:00-21:00-08:00-14:00</v>
      </c>
    </row>
    <row r="8" spans="1:9" ht="30" x14ac:dyDescent="0.25">
      <c r="A8" s="10">
        <v>5</v>
      </c>
      <c r="B8" s="82" t="str">
        <f>'[1]M-Barbero'!K7</f>
        <v>Andres--Ramirez-Patiño-+91-9876543210</v>
      </c>
      <c r="C8" s="89" t="str">
        <f>'M-HorarioBarberia'!E10</f>
        <v>Festivo-10:00-15:00</v>
      </c>
      <c r="D8" s="64">
        <v>0.5</v>
      </c>
      <c r="E8" s="64">
        <v>0.625</v>
      </c>
      <c r="F8" s="85">
        <v>46054</v>
      </c>
      <c r="G8" s="83">
        <v>46083</v>
      </c>
      <c r="H8" s="86" t="s">
        <v>62</v>
      </c>
      <c r="I8" s="58" t="str">
        <f t="shared" si="0"/>
        <v>Andres--Ramirez-Patiño-+91-9876543210-Festivo-10:00-15:00-12:00-15:00</v>
      </c>
    </row>
    <row r="10" spans="1:9" x14ac:dyDescent="0.25">
      <c r="G10" s="87"/>
    </row>
    <row r="14" spans="1:9" ht="30" x14ac:dyDescent="0.25">
      <c r="A14" s="13"/>
      <c r="B14" s="14" t="s">
        <v>68</v>
      </c>
      <c r="C14" s="14"/>
    </row>
    <row r="15" spans="1:9" ht="45" x14ac:dyDescent="0.25">
      <c r="A15" s="15"/>
      <c r="B15" s="14" t="s">
        <v>69</v>
      </c>
      <c r="C15" s="14"/>
    </row>
    <row r="16" spans="1:9" ht="30" x14ac:dyDescent="0.25">
      <c r="A16" s="59"/>
      <c r="B16" s="14" t="s">
        <v>101</v>
      </c>
      <c r="C16" s="14"/>
    </row>
    <row r="17" spans="1:3" ht="30" x14ac:dyDescent="0.25">
      <c r="A17" s="16"/>
      <c r="B17" s="14" t="s">
        <v>70</v>
      </c>
      <c r="C17" s="14"/>
    </row>
    <row r="18" spans="1:3" ht="30" x14ac:dyDescent="0.25">
      <c r="A18" s="65"/>
      <c r="B18" s="14" t="s">
        <v>150</v>
      </c>
      <c r="C18" s="14"/>
    </row>
    <row r="19" spans="1:3" ht="30" x14ac:dyDescent="0.25">
      <c r="A19" s="91"/>
      <c r="B19" s="14" t="s">
        <v>175</v>
      </c>
      <c r="C19" s="14"/>
    </row>
    <row r="20" spans="1:3" ht="30" x14ac:dyDescent="0.25">
      <c r="A20" s="90"/>
      <c r="B20" s="14" t="s">
        <v>176</v>
      </c>
      <c r="C20" s="14"/>
    </row>
    <row r="21" spans="1:3" ht="30" x14ac:dyDescent="0.25">
      <c r="A21" s="17"/>
      <c r="B21" s="14" t="s">
        <v>72</v>
      </c>
      <c r="C21" s="14"/>
    </row>
  </sheetData>
  <hyperlinks>
    <hyperlink ref="A1" location="'Modelo de Dominio'!A1" display="&lt;&lt;&lt;&lt; Ir al modulo de dominio" xr:uid="{50750885-200E-4BD3-9219-549F7F8179F9}"/>
    <hyperlink ref="B1" location="'Objetos de Dominio'!A1" display="&lt;&lt;&lt;&lt; Ir a objetos de dominio" xr:uid="{F481C5E7-D0E7-4E77-9510-D21567C478BA}"/>
    <hyperlink ref="B8" location="'M-Barbero'!A7" display="#'M-Barbero'.A7" xr:uid="{C40FEE13-CEBB-4796-AB6F-6E41A84B3C3E}"/>
    <hyperlink ref="B7" location="'M-Barbero'!A7" display="#'M-Barbero'.A7" xr:uid="{7A5992AF-7A77-4756-88C6-27CFE68B0F85}"/>
    <hyperlink ref="B6" location="'M-Barbero'!A6" display="#'M-Barbero'.A6" xr:uid="{62600F8B-F319-4DFD-AA15-68C8B45AE3D5}"/>
    <hyperlink ref="B5" location="'M-Barbero'!A5" display="#'M-Barbero'.A5" xr:uid="{F3AAE48F-B3F7-4E95-8EA2-3AC177CBD1EF}"/>
    <hyperlink ref="B4" location="'M-Barbero'!A4" display="#'M-Barbero'.A4" xr:uid="{2D05D7C4-977F-4D92-9AD0-CAF6AADA5533}"/>
    <hyperlink ref="B3" location="'M-Barbero'!A1" display="barbero" xr:uid="{ACFE8EEE-D418-4E80-8F61-0791826F878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7404-BDAB-4A83-A457-D9DF66A93CFF}">
  <dimension ref="A1"/>
  <sheetViews>
    <sheetView workbookViewId="0">
      <selection activeCell="L34" sqref="L34"/>
    </sheetView>
  </sheetViews>
  <sheetFormatPr baseColWidth="10"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30A7-1040-4D83-B552-95878C121B8F}">
  <dimension ref="A1"/>
  <sheetViews>
    <sheetView workbookViewId="0">
      <selection activeCell="N33" sqref="N33"/>
    </sheetView>
  </sheetViews>
  <sheetFormatPr baseColWidth="10"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DE3C-6E5A-4AE2-B7A6-3EC63EE77163}">
  <dimension ref="A1"/>
  <sheetViews>
    <sheetView workbookViewId="0">
      <selection activeCell="J23" sqref="J23"/>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Modelo de Dominio</vt:lpstr>
      <vt:lpstr>Objetos de Dominio</vt:lpstr>
      <vt:lpstr>M-DiaSemana</vt:lpstr>
      <vt:lpstr>M-Estado</vt:lpstr>
      <vt:lpstr>M-Servicio</vt:lpstr>
      <vt:lpstr>M-PrefijoCelular</vt:lpstr>
      <vt:lpstr>M-Barbero</vt:lpstr>
      <vt:lpstr>M-Cliente</vt:lpstr>
      <vt:lpstr>M-HorarioBarberia</vt:lpstr>
      <vt:lpstr>M-BarberoServicio</vt:lpstr>
      <vt:lpstr>M-HorarioBarbero</vt:lpstr>
      <vt:lpstr>M-Agenda</vt:lpstr>
      <vt:lpstr>M-Cita</vt:lpstr>
      <vt:lpstr>M-Multa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Edilio Gomez</dc:creator>
  <cp:lastModifiedBy>Edilio Gomez</cp:lastModifiedBy>
  <dcterms:created xsi:type="dcterms:W3CDTF">2015-06-05T18:19:34Z</dcterms:created>
  <dcterms:modified xsi:type="dcterms:W3CDTF">2026-08-27T22:20:54Z</dcterms:modified>
</cp:coreProperties>
</file>