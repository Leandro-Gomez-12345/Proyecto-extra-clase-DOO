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esus\Downloads\"/>
    </mc:Choice>
  </mc:AlternateContent>
  <xr:revisionPtr revIDLastSave="0" documentId="13_ncr:1_{AAAF0C5D-99B9-48E1-8B4F-4277DD4A3B26}" xr6:coauthVersionLast="47" xr6:coauthVersionMax="47" xr10:uidLastSave="{00000000-0000-0000-0000-000000000000}"/>
  <bookViews>
    <workbookView xWindow="-120" yWindow="-120" windowWidth="29040" windowHeight="15840" tabRatio="500" activeTab="4" xr2:uid="{00000000-000D-0000-FFFF-FFFF00000000}"/>
  </bookViews>
  <sheets>
    <sheet name="Modelo de Dominio" sheetId="1" r:id="rId1"/>
    <sheet name="Objetos de Dominio" sheetId="2" r:id="rId2"/>
    <sheet name="C-DiaSemana" sheetId="3" r:id="rId3"/>
    <sheet name="P-DiaSemana" sheetId="4" r:id="rId4"/>
    <sheet name="E-DiaSemana" sheetId="5" r:id="rId5"/>
    <sheet name="M-DiaSemana" sheetId="6" r:id="rId6"/>
    <sheet name="C-Estado" sheetId="7" r:id="rId7"/>
    <sheet name="P-Estado" sheetId="8" r:id="rId8"/>
    <sheet name="E-Estado" sheetId="9" r:id="rId9"/>
    <sheet name="M-Estado" sheetId="10" r:id="rId10"/>
    <sheet name="C-Servicio" sheetId="11" r:id="rId11"/>
    <sheet name="P-Servicio" sheetId="12" r:id="rId12"/>
    <sheet name="E-Servicio" sheetId="13" r:id="rId13"/>
    <sheet name="M-Servicio" sheetId="14" r:id="rId14"/>
    <sheet name="C-Regla" sheetId="15" r:id="rId15"/>
    <sheet name="P-Regla" sheetId="16" r:id="rId16"/>
    <sheet name="E-Regla" sheetId="17" r:id="rId17"/>
    <sheet name="M-Regla" sheetId="18" r:id="rId18"/>
    <sheet name="C-PrefijoCelular" sheetId="19" r:id="rId19"/>
    <sheet name="P-PrefijoCelular" sheetId="20" r:id="rId20"/>
    <sheet name="E-PrefijoCelular" sheetId="21" r:id="rId21"/>
    <sheet name="M-PrefijoCelular" sheetId="22" r:id="rId22"/>
    <sheet name="C-TipoMulta" sheetId="23" r:id="rId23"/>
    <sheet name="P-TipoMulta" sheetId="24" r:id="rId24"/>
    <sheet name="E-TipoMulta" sheetId="25" r:id="rId25"/>
    <sheet name="M-TipoMulta" sheetId="26" r:id="rId26"/>
    <sheet name="C-Barbero" sheetId="27" r:id="rId27"/>
    <sheet name="P-Barbero" sheetId="28" r:id="rId28"/>
    <sheet name="E-Barbero" sheetId="29" r:id="rId29"/>
    <sheet name="M-Barbero" sheetId="30" r:id="rId30"/>
    <sheet name="C-Cliente" sheetId="31" r:id="rId31"/>
    <sheet name="P-Cliente" sheetId="32" r:id="rId32"/>
    <sheet name="E-Cliente" sheetId="33" r:id="rId33"/>
    <sheet name="M-Cliente" sheetId="34" r:id="rId34"/>
    <sheet name="C-HorarioBarberia" sheetId="35" r:id="rId35"/>
    <sheet name="P-HorarioBarberia" sheetId="36" r:id="rId36"/>
    <sheet name="E-HorarioBarberia" sheetId="37" r:id="rId37"/>
    <sheet name="M-HorarioBarberia" sheetId="38" r:id="rId38"/>
    <sheet name="C-BarberoServicio" sheetId="39" r:id="rId39"/>
    <sheet name="P-BarberoServicio" sheetId="40" r:id="rId40"/>
    <sheet name="E-BarberoServicio" sheetId="41" r:id="rId41"/>
    <sheet name="M-BarberoServicio" sheetId="42" r:id="rId42"/>
    <sheet name="C-HorarioBarbero" sheetId="43" r:id="rId43"/>
    <sheet name="P-HorarioBarbero" sheetId="44" r:id="rId44"/>
    <sheet name="E-HorarioBarbero" sheetId="45" r:id="rId45"/>
    <sheet name="M-HorarioBarbero" sheetId="46" r:id="rId46"/>
    <sheet name="C-Agenda" sheetId="47" r:id="rId47"/>
    <sheet name="P-Agenda" sheetId="48" r:id="rId48"/>
    <sheet name="E-Agenda" sheetId="49" r:id="rId49"/>
    <sheet name="M-Agenda" sheetId="50" r:id="rId50"/>
    <sheet name="C-Bloqueo" sheetId="51" r:id="rId51"/>
    <sheet name="P-Bloqueo" sheetId="52" r:id="rId52"/>
    <sheet name="E-Bloqueo" sheetId="53" r:id="rId53"/>
    <sheet name="M-Bloqueo" sheetId="54" r:id="rId54"/>
    <sheet name="C-Cita" sheetId="55" r:id="rId55"/>
    <sheet name="P-Cita" sheetId="56" r:id="rId56"/>
    <sheet name="E-Cita" sheetId="57" r:id="rId57"/>
    <sheet name="M-Cita" sheetId="58" r:id="rId58"/>
    <sheet name="C-CitaServicio" sheetId="59" r:id="rId59"/>
    <sheet name="P-CitaServicio" sheetId="60" r:id="rId60"/>
    <sheet name="E-CitaServicio" sheetId="61" r:id="rId61"/>
    <sheet name="M-CitaServicio" sheetId="62" r:id="rId62"/>
    <sheet name="C-Multa" sheetId="63" r:id="rId63"/>
    <sheet name="P-Multa" sheetId="64" r:id="rId64"/>
    <sheet name="E-Multa" sheetId="65" r:id="rId65"/>
    <sheet name="M-Multa" sheetId="66" r:id="rId6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66" l="1"/>
  <c r="D4" i="66"/>
  <c r="G9" i="65"/>
  <c r="D8" i="65"/>
  <c r="G7" i="65"/>
  <c r="B3" i="65"/>
  <c r="B2" i="65"/>
  <c r="D9" i="65" s="1"/>
  <c r="B3" i="64"/>
  <c r="B2" i="64"/>
  <c r="C12" i="63"/>
  <c r="B12" i="63"/>
  <c r="A12" i="63"/>
  <c r="B9" i="63"/>
  <c r="A9" i="63"/>
  <c r="B8" i="63"/>
  <c r="A8" i="63"/>
  <c r="B7" i="63"/>
  <c r="A7" i="63"/>
  <c r="B6" i="63"/>
  <c r="A6" i="63"/>
  <c r="B5" i="63"/>
  <c r="A5" i="63"/>
  <c r="B4" i="63"/>
  <c r="A4" i="63"/>
  <c r="B3" i="63"/>
  <c r="A3" i="63"/>
  <c r="G14" i="62"/>
  <c r="F14" i="62"/>
  <c r="E14" i="62"/>
  <c r="D14" i="62"/>
  <c r="G13" i="62"/>
  <c r="F13" i="62"/>
  <c r="E13" i="62"/>
  <c r="D13" i="62"/>
  <c r="G12" i="62"/>
  <c r="F12" i="62"/>
  <c r="E12" i="62"/>
  <c r="D12" i="62"/>
  <c r="G11" i="62"/>
  <c r="F11" i="62"/>
  <c r="E11" i="62"/>
  <c r="D11" i="62"/>
  <c r="G10" i="62"/>
  <c r="F10" i="62"/>
  <c r="E10" i="62"/>
  <c r="D10" i="62"/>
  <c r="G9" i="62"/>
  <c r="F9" i="62"/>
  <c r="E9" i="62"/>
  <c r="D9" i="62"/>
  <c r="G8" i="62"/>
  <c r="F8" i="62"/>
  <c r="E8" i="62"/>
  <c r="D8" i="62"/>
  <c r="G7" i="62"/>
  <c r="F7" i="62"/>
  <c r="E7" i="62"/>
  <c r="D7" i="62"/>
  <c r="G6" i="62"/>
  <c r="F6" i="62"/>
  <c r="E6" i="62"/>
  <c r="D6" i="62"/>
  <c r="G5" i="62"/>
  <c r="F5" i="62"/>
  <c r="E5" i="62"/>
  <c r="D5" i="62"/>
  <c r="G4" i="62"/>
  <c r="F4" i="62"/>
  <c r="E4" i="62"/>
  <c r="D4" i="62"/>
  <c r="B3" i="61"/>
  <c r="B2" i="61"/>
  <c r="D10" i="61" s="1"/>
  <c r="B3" i="60"/>
  <c r="B2" i="60"/>
  <c r="C13" i="59"/>
  <c r="B12" i="59"/>
  <c r="A12" i="59"/>
  <c r="B9" i="59"/>
  <c r="A9" i="59"/>
  <c r="B8" i="59"/>
  <c r="A8" i="59"/>
  <c r="B7" i="59"/>
  <c r="A7" i="59"/>
  <c r="B6" i="59"/>
  <c r="A6" i="59"/>
  <c r="B5" i="59"/>
  <c r="A5" i="59"/>
  <c r="B4" i="59"/>
  <c r="A4" i="59"/>
  <c r="C12" i="59" s="1"/>
  <c r="B3" i="59"/>
  <c r="A3" i="59"/>
  <c r="O13" i="58"/>
  <c r="N13" i="58"/>
  <c r="D13" i="58"/>
  <c r="O12" i="58"/>
  <c r="N12" i="58"/>
  <c r="D12" i="58"/>
  <c r="O11" i="58"/>
  <c r="N11" i="58"/>
  <c r="D11" i="58"/>
  <c r="O10" i="58"/>
  <c r="N10" i="58"/>
  <c r="D10" i="58"/>
  <c r="O9" i="58"/>
  <c r="N9" i="58"/>
  <c r="E9" i="58"/>
  <c r="D9" i="58"/>
  <c r="O8" i="58"/>
  <c r="N8" i="58"/>
  <c r="D8" i="58"/>
  <c r="O7" i="58"/>
  <c r="N7" i="58"/>
  <c r="D7" i="58"/>
  <c r="O6" i="58"/>
  <c r="N6" i="58"/>
  <c r="D6" i="58"/>
  <c r="O5" i="58"/>
  <c r="N5" i="58"/>
  <c r="D5" i="58"/>
  <c r="O4" i="58"/>
  <c r="N4" i="58"/>
  <c r="D4" i="58"/>
  <c r="G21" i="57"/>
  <c r="D21" i="57"/>
  <c r="G20" i="57"/>
  <c r="D20" i="57"/>
  <c r="G19" i="57"/>
  <c r="D18" i="57"/>
  <c r="D17" i="57"/>
  <c r="D16" i="57"/>
  <c r="G14" i="57"/>
  <c r="G13" i="57"/>
  <c r="D13" i="57"/>
  <c r="G12" i="57"/>
  <c r="G11" i="57"/>
  <c r="G10" i="57"/>
  <c r="G9" i="57"/>
  <c r="G8" i="57"/>
  <c r="G7" i="57"/>
  <c r="D7" i="57"/>
  <c r="B3" i="57"/>
  <c r="B2" i="57"/>
  <c r="D19" i="57" s="1"/>
  <c r="B3" i="56"/>
  <c r="B2" i="56"/>
  <c r="C22" i="55"/>
  <c r="B22" i="55"/>
  <c r="A22" i="55"/>
  <c r="B19" i="55"/>
  <c r="A19" i="55"/>
  <c r="B18" i="55"/>
  <c r="A18" i="55"/>
  <c r="B17" i="55"/>
  <c r="A17" i="55"/>
  <c r="B16" i="55"/>
  <c r="A16" i="55"/>
  <c r="B15" i="55"/>
  <c r="A15" i="55"/>
  <c r="B14" i="55"/>
  <c r="A14" i="55"/>
  <c r="B13" i="55"/>
  <c r="A13" i="55"/>
  <c r="B12" i="55"/>
  <c r="A12" i="55"/>
  <c r="B11" i="55"/>
  <c r="A11" i="55"/>
  <c r="B10" i="55"/>
  <c r="A10" i="55"/>
  <c r="B9" i="55"/>
  <c r="A9" i="55"/>
  <c r="B8" i="55"/>
  <c r="A8" i="55"/>
  <c r="C23" i="55" s="1"/>
  <c r="B7" i="55"/>
  <c r="A7" i="55"/>
  <c r="B6" i="55"/>
  <c r="A6" i="55"/>
  <c r="B5" i="55"/>
  <c r="A5" i="55"/>
  <c r="B4" i="55"/>
  <c r="A4" i="55"/>
  <c r="B3" i="55"/>
  <c r="A3" i="55"/>
  <c r="D11" i="53"/>
  <c r="G9" i="53"/>
  <c r="G8" i="53"/>
  <c r="G7" i="53"/>
  <c r="B3" i="53"/>
  <c r="B2" i="53"/>
  <c r="D7" i="53" s="1"/>
  <c r="B3" i="52"/>
  <c r="B2" i="52"/>
  <c r="C12" i="51"/>
  <c r="C10" i="51"/>
  <c r="B10" i="51"/>
  <c r="A10" i="51"/>
  <c r="B7" i="51"/>
  <c r="A7" i="51"/>
  <c r="B6" i="51"/>
  <c r="A6" i="51"/>
  <c r="B5" i="51"/>
  <c r="A5" i="51"/>
  <c r="C11" i="51" s="1"/>
  <c r="B4" i="51"/>
  <c r="A4" i="51"/>
  <c r="B3" i="51"/>
  <c r="A3" i="51"/>
  <c r="D11" i="49"/>
  <c r="D10" i="49"/>
  <c r="G8" i="49"/>
  <c r="G7" i="49"/>
  <c r="D7" i="49"/>
  <c r="B3" i="49"/>
  <c r="B2" i="49"/>
  <c r="D9" i="49" s="1"/>
  <c r="B3" i="48"/>
  <c r="B2" i="48"/>
  <c r="C9" i="47"/>
  <c r="B9" i="47"/>
  <c r="A9" i="47"/>
  <c r="B6" i="47"/>
  <c r="A6" i="47"/>
  <c r="B5" i="47"/>
  <c r="A5" i="47"/>
  <c r="C10" i="47" s="1"/>
  <c r="B4" i="47"/>
  <c r="A4" i="47"/>
  <c r="B3" i="47"/>
  <c r="A3" i="47"/>
  <c r="G10" i="45"/>
  <c r="G8" i="45"/>
  <c r="G7" i="45"/>
  <c r="B3" i="45"/>
  <c r="B2" i="45"/>
  <c r="D11" i="45" s="1"/>
  <c r="B3" i="44"/>
  <c r="B2" i="44"/>
  <c r="C17" i="43"/>
  <c r="C16" i="43"/>
  <c r="C14" i="43"/>
  <c r="B13" i="43"/>
  <c r="A13" i="43"/>
  <c r="B10" i="43"/>
  <c r="A10" i="43"/>
  <c r="B9" i="43"/>
  <c r="A9" i="43"/>
  <c r="B8" i="43"/>
  <c r="A8" i="43"/>
  <c r="B7" i="43"/>
  <c r="A7" i="43"/>
  <c r="B6" i="43"/>
  <c r="A6" i="43"/>
  <c r="C15" i="43" s="1"/>
  <c r="B5" i="43"/>
  <c r="A5" i="43"/>
  <c r="B4" i="43"/>
  <c r="A4" i="43"/>
  <c r="C13" i="43" s="1"/>
  <c r="B3" i="43"/>
  <c r="A3" i="43"/>
  <c r="C12" i="42"/>
  <c r="B12" i="42"/>
  <c r="H12" i="42" s="1"/>
  <c r="C11" i="42"/>
  <c r="B11" i="42"/>
  <c r="H11" i="42" s="1"/>
  <c r="H10" i="42"/>
  <c r="C10" i="42"/>
  <c r="B10" i="42"/>
  <c r="C9" i="42"/>
  <c r="B9" i="42"/>
  <c r="H9" i="42" s="1"/>
  <c r="C8" i="42"/>
  <c r="B8" i="42"/>
  <c r="H8" i="42" s="1"/>
  <c r="C7" i="42"/>
  <c r="B7" i="42"/>
  <c r="H7" i="42" s="1"/>
  <c r="H6" i="42"/>
  <c r="C13" i="62" s="1"/>
  <c r="C6" i="42"/>
  <c r="B6" i="42"/>
  <c r="C5" i="42"/>
  <c r="B5" i="42"/>
  <c r="H5" i="42" s="1"/>
  <c r="C4" i="42"/>
  <c r="B4" i="42"/>
  <c r="H4" i="42" s="1"/>
  <c r="D11" i="41"/>
  <c r="G9" i="41"/>
  <c r="G8" i="41"/>
  <c r="G7" i="41"/>
  <c r="D7" i="41"/>
  <c r="B3" i="41"/>
  <c r="B2" i="41"/>
  <c r="D12" i="41" s="1"/>
  <c r="B3" i="40"/>
  <c r="B2" i="40"/>
  <c r="B12" i="39"/>
  <c r="A12" i="39"/>
  <c r="B9" i="39"/>
  <c r="A9" i="39"/>
  <c r="B8" i="39"/>
  <c r="A8" i="39"/>
  <c r="B7" i="39"/>
  <c r="A7" i="39"/>
  <c r="B6" i="39"/>
  <c r="A6" i="39"/>
  <c r="B5" i="39"/>
  <c r="A5" i="39"/>
  <c r="B4" i="39"/>
  <c r="A4" i="39"/>
  <c r="B3" i="39"/>
  <c r="A3" i="39"/>
  <c r="B9" i="38"/>
  <c r="H9" i="38" s="1"/>
  <c r="C7" i="46" s="1"/>
  <c r="B6" i="38"/>
  <c r="H6" i="38" s="1"/>
  <c r="B5" i="38"/>
  <c r="H5" i="38" s="1"/>
  <c r="C5" i="46" s="1"/>
  <c r="G12" i="37"/>
  <c r="D11" i="37"/>
  <c r="G8" i="37"/>
  <c r="G7" i="37"/>
  <c r="B3" i="37"/>
  <c r="B2" i="37"/>
  <c r="D10" i="37" s="1"/>
  <c r="B3" i="36"/>
  <c r="B2" i="36"/>
  <c r="C16" i="35"/>
  <c r="C15" i="35"/>
  <c r="C12" i="35"/>
  <c r="B12" i="35"/>
  <c r="A12" i="35"/>
  <c r="B9" i="35"/>
  <c r="A9" i="35"/>
  <c r="C17" i="35" s="1"/>
  <c r="B8" i="35"/>
  <c r="A8" i="35"/>
  <c r="B7" i="35"/>
  <c r="A7" i="35"/>
  <c r="B6" i="35"/>
  <c r="A6" i="35"/>
  <c r="C14" i="35" s="1"/>
  <c r="B5" i="35"/>
  <c r="A5" i="35"/>
  <c r="C13" i="35" s="1"/>
  <c r="B4" i="35"/>
  <c r="A4" i="35"/>
  <c r="B3" i="35"/>
  <c r="A3" i="35"/>
  <c r="L8" i="34"/>
  <c r="B10" i="58" s="1"/>
  <c r="F8" i="34"/>
  <c r="F7" i="34"/>
  <c r="L7" i="34" s="1"/>
  <c r="L6" i="34"/>
  <c r="B6" i="58" s="1"/>
  <c r="F6" i="34"/>
  <c r="F5" i="34"/>
  <c r="L5" i="34" s="1"/>
  <c r="F4" i="34"/>
  <c r="L4" i="34" s="1"/>
  <c r="D10" i="33"/>
  <c r="G9" i="33"/>
  <c r="G8" i="33"/>
  <c r="G7" i="33"/>
  <c r="B3" i="33"/>
  <c r="B2" i="33"/>
  <c r="D7" i="33" s="1"/>
  <c r="E7" i="32"/>
  <c r="B3" i="32"/>
  <c r="B2" i="32"/>
  <c r="C18" i="31"/>
  <c r="B15" i="31"/>
  <c r="A15" i="31"/>
  <c r="B12" i="31"/>
  <c r="A12" i="31"/>
  <c r="B11" i="31"/>
  <c r="A11" i="31"/>
  <c r="B10" i="31"/>
  <c r="A10" i="31"/>
  <c r="B9" i="31"/>
  <c r="A9" i="31"/>
  <c r="B8" i="31"/>
  <c r="A8" i="31"/>
  <c r="C15" i="31" s="1"/>
  <c r="B7" i="31"/>
  <c r="A7" i="31"/>
  <c r="B6" i="31"/>
  <c r="A6" i="31"/>
  <c r="B5" i="31"/>
  <c r="A5" i="31"/>
  <c r="B4" i="31"/>
  <c r="A4" i="31"/>
  <c r="B3" i="31"/>
  <c r="A3" i="31"/>
  <c r="F8" i="30"/>
  <c r="K8" i="30" s="1"/>
  <c r="F6" i="30"/>
  <c r="K6" i="30" s="1"/>
  <c r="B6" i="46" s="1"/>
  <c r="I6" i="46" s="1"/>
  <c r="F5" i="30"/>
  <c r="K5" i="30" s="1"/>
  <c r="B5" i="46" s="1"/>
  <c r="I5" i="46" s="1"/>
  <c r="E7" i="28"/>
  <c r="B3" i="28"/>
  <c r="B2" i="28"/>
  <c r="C16" i="27"/>
  <c r="B15" i="27"/>
  <c r="A15" i="27"/>
  <c r="B12" i="27"/>
  <c r="A12" i="27"/>
  <c r="B11" i="27"/>
  <c r="A11" i="27"/>
  <c r="B10" i="27"/>
  <c r="A10" i="27"/>
  <c r="B9" i="27"/>
  <c r="A9" i="27"/>
  <c r="B8" i="27"/>
  <c r="A8" i="27"/>
  <c r="C15" i="27" s="1"/>
  <c r="B7" i="27"/>
  <c r="A7" i="27"/>
  <c r="B6" i="27"/>
  <c r="A6" i="27"/>
  <c r="B5" i="27"/>
  <c r="A5" i="27"/>
  <c r="B4" i="27"/>
  <c r="A4" i="27"/>
  <c r="B3" i="27"/>
  <c r="A3" i="27"/>
  <c r="D5" i="26"/>
  <c r="C6" i="66" s="1"/>
  <c r="D4" i="26"/>
  <c r="C4" i="66" s="1"/>
  <c r="D8" i="25"/>
  <c r="D7" i="25"/>
  <c r="B3" i="25"/>
  <c r="B2" i="25"/>
  <c r="D9" i="25" s="1"/>
  <c r="B3" i="24"/>
  <c r="B2" i="24"/>
  <c r="B8" i="23"/>
  <c r="A8" i="23"/>
  <c r="B5" i="23"/>
  <c r="A5" i="23"/>
  <c r="B4" i="23"/>
  <c r="A4" i="23"/>
  <c r="B3" i="23"/>
  <c r="A3" i="23"/>
  <c r="C7" i="22"/>
  <c r="C6" i="22"/>
  <c r="C5" i="22"/>
  <c r="F7" i="30" s="1"/>
  <c r="K7" i="30" s="1"/>
  <c r="C4" i="22"/>
  <c r="F4" i="30" s="1"/>
  <c r="K4" i="30" s="1"/>
  <c r="B4" i="46" s="1"/>
  <c r="B3" i="21"/>
  <c r="B2" i="21"/>
  <c r="D8" i="21" s="1"/>
  <c r="B3" i="20"/>
  <c r="B2" i="20"/>
  <c r="B7" i="19"/>
  <c r="A7" i="19"/>
  <c r="B4" i="19"/>
  <c r="A4" i="19"/>
  <c r="B3" i="19"/>
  <c r="A3" i="19"/>
  <c r="D11" i="17"/>
  <c r="D10" i="17"/>
  <c r="D9" i="17"/>
  <c r="G8" i="17"/>
  <c r="G7" i="17"/>
  <c r="D7" i="17"/>
  <c r="B3" i="17"/>
  <c r="B2" i="17"/>
  <c r="D8" i="17" s="1"/>
  <c r="B3" i="16"/>
  <c r="B2" i="16"/>
  <c r="B12" i="15"/>
  <c r="A12" i="15"/>
  <c r="B11" i="15"/>
  <c r="A11" i="15"/>
  <c r="B10" i="15"/>
  <c r="A10" i="15"/>
  <c r="B9" i="15"/>
  <c r="A9" i="15"/>
  <c r="B8" i="15"/>
  <c r="A8" i="15"/>
  <c r="B7" i="15"/>
  <c r="A7" i="15"/>
  <c r="B6" i="15"/>
  <c r="A6" i="15"/>
  <c r="B5" i="15"/>
  <c r="A5" i="15"/>
  <c r="B4" i="15"/>
  <c r="A4" i="15"/>
  <c r="B3" i="15"/>
  <c r="A3" i="15"/>
  <c r="F7" i="14"/>
  <c r="F6" i="14"/>
  <c r="F5" i="14"/>
  <c r="F4" i="14"/>
  <c r="G15" i="13"/>
  <c r="D15" i="13"/>
  <c r="D13" i="13"/>
  <c r="D12" i="13"/>
  <c r="G11" i="13"/>
  <c r="G10" i="13"/>
  <c r="G9" i="13"/>
  <c r="G8" i="13"/>
  <c r="G7" i="13"/>
  <c r="B3" i="13"/>
  <c r="B2" i="13"/>
  <c r="D9" i="13" s="1"/>
  <c r="B3" i="12"/>
  <c r="B2" i="12"/>
  <c r="B10" i="11"/>
  <c r="A10" i="11"/>
  <c r="B7" i="11"/>
  <c r="A7" i="11"/>
  <c r="B6" i="11"/>
  <c r="A6" i="11"/>
  <c r="B5" i="11"/>
  <c r="A5" i="11"/>
  <c r="B4" i="11"/>
  <c r="A4" i="11"/>
  <c r="C10" i="11" s="1"/>
  <c r="B3" i="11"/>
  <c r="A3" i="11"/>
  <c r="D11" i="10"/>
  <c r="D10" i="10"/>
  <c r="E10" i="58" s="1"/>
  <c r="D9" i="10"/>
  <c r="E8" i="58" s="1"/>
  <c r="D8" i="10"/>
  <c r="E6" i="58" s="1"/>
  <c r="D7" i="10"/>
  <c r="D6" i="10"/>
  <c r="D5" i="10"/>
  <c r="E13" i="58" s="1"/>
  <c r="D4" i="10"/>
  <c r="E4" i="58" s="1"/>
  <c r="G10" i="9"/>
  <c r="D9" i="9"/>
  <c r="B3" i="9"/>
  <c r="B2" i="9"/>
  <c r="D10" i="9" s="1"/>
  <c r="B3" i="8"/>
  <c r="B2" i="8"/>
  <c r="B8" i="7"/>
  <c r="A8" i="7"/>
  <c r="B5" i="7"/>
  <c r="A5" i="7"/>
  <c r="B4" i="7"/>
  <c r="A4" i="7"/>
  <c r="B3" i="7"/>
  <c r="A3" i="7"/>
  <c r="C11" i="6"/>
  <c r="B10" i="38" s="1"/>
  <c r="H10" i="38" s="1"/>
  <c r="C8" i="46" s="1"/>
  <c r="C10" i="6"/>
  <c r="C9" i="6"/>
  <c r="C8" i="6"/>
  <c r="B8" i="38" s="1"/>
  <c r="H8" i="38" s="1"/>
  <c r="C7" i="6"/>
  <c r="B7" i="38" s="1"/>
  <c r="H7" i="38" s="1"/>
  <c r="C6" i="46" s="1"/>
  <c r="C6" i="6"/>
  <c r="C5" i="6"/>
  <c r="C4" i="6"/>
  <c r="B4" i="38" s="1"/>
  <c r="H4" i="38" s="1"/>
  <c r="C4" i="46" s="1"/>
  <c r="D8" i="5"/>
  <c r="D7" i="5"/>
  <c r="B3" i="5"/>
  <c r="B2" i="5"/>
  <c r="B3" i="4"/>
  <c r="B2" i="4"/>
  <c r="B7" i="3"/>
  <c r="A7" i="3"/>
  <c r="B4" i="3"/>
  <c r="A4" i="3"/>
  <c r="B3" i="3"/>
  <c r="A3" i="3"/>
  <c r="G12" i="29"/>
  <c r="D12" i="29"/>
  <c r="G10" i="29"/>
  <c r="D10" i="29"/>
  <c r="G9" i="29"/>
  <c r="G8" i="29"/>
  <c r="G7" i="29"/>
  <c r="B3" i="29"/>
  <c r="B2" i="29"/>
  <c r="D9" i="29" s="1"/>
  <c r="C9" i="62" l="1"/>
  <c r="C7" i="62"/>
  <c r="B11" i="50"/>
  <c r="E11" i="50" s="1"/>
  <c r="B5" i="50"/>
  <c r="E5" i="50" s="1"/>
  <c r="B13" i="58"/>
  <c r="B5" i="58"/>
  <c r="C8" i="62"/>
  <c r="C14" i="62"/>
  <c r="C4" i="62"/>
  <c r="C10" i="62"/>
  <c r="B8" i="46"/>
  <c r="I8" i="46" s="1"/>
  <c r="B7" i="50" s="1"/>
  <c r="E7" i="50" s="1"/>
  <c r="B7" i="46"/>
  <c r="I7" i="46" s="1"/>
  <c r="B8" i="50" s="1"/>
  <c r="E8" i="50" s="1"/>
  <c r="B7" i="58"/>
  <c r="B8" i="58"/>
  <c r="C11" i="62"/>
  <c r="C5" i="62"/>
  <c r="I4" i="46"/>
  <c r="B9" i="58"/>
  <c r="B4" i="58"/>
  <c r="B9" i="50"/>
  <c r="E9" i="50" s="1"/>
  <c r="B12" i="50"/>
  <c r="E12" i="50" s="1"/>
  <c r="B6" i="50"/>
  <c r="E6" i="50" s="1"/>
  <c r="D12" i="37"/>
  <c r="D9" i="33"/>
  <c r="E7" i="58"/>
  <c r="D7" i="61"/>
  <c r="D7" i="9"/>
  <c r="D11" i="13"/>
  <c r="D11" i="29"/>
  <c r="D8" i="9"/>
  <c r="D7" i="45"/>
  <c r="D8" i="61"/>
  <c r="C12" i="62"/>
  <c r="D9" i="41"/>
  <c r="D10" i="53"/>
  <c r="D15" i="57"/>
  <c r="E5" i="58"/>
  <c r="D9" i="61"/>
  <c r="C7" i="66"/>
  <c r="D11" i="33"/>
  <c r="D14" i="13"/>
  <c r="D7" i="21"/>
  <c r="D12" i="33"/>
  <c r="D10" i="41"/>
  <c r="D9" i="45"/>
  <c r="B12" i="58"/>
  <c r="C5" i="66"/>
  <c r="D7" i="37"/>
  <c r="D10" i="45"/>
  <c r="B11" i="58"/>
  <c r="D7" i="29"/>
  <c r="D7" i="13"/>
  <c r="D7" i="65"/>
  <c r="E12" i="58"/>
  <c r="C6" i="62"/>
  <c r="C8" i="66"/>
  <c r="D9" i="37"/>
  <c r="E11" i="58"/>
  <c r="C8" i="58" l="1"/>
  <c r="R8" i="58" s="1"/>
  <c r="B9" i="54"/>
  <c r="F9" i="54" s="1"/>
  <c r="B6" i="54"/>
  <c r="F6" i="54" s="1"/>
  <c r="C13" i="58"/>
  <c r="R13" i="58" s="1"/>
  <c r="C6" i="58"/>
  <c r="R6" i="58" s="1"/>
  <c r="B10" i="50"/>
  <c r="E10" i="50" s="1"/>
  <c r="B4" i="50"/>
  <c r="E4" i="50" s="1"/>
  <c r="B12" i="54"/>
  <c r="F12" i="54" s="1"/>
  <c r="C12" i="58"/>
  <c r="R12" i="58" s="1"/>
  <c r="C7" i="58"/>
  <c r="R7" i="58" s="1"/>
  <c r="B8" i="54"/>
  <c r="F8" i="54" s="1"/>
  <c r="B5" i="54"/>
  <c r="F5" i="54" s="1"/>
  <c r="C5" i="58"/>
  <c r="R5" i="58" s="1"/>
  <c r="B7" i="54"/>
  <c r="F7" i="54" s="1"/>
  <c r="C9" i="58"/>
  <c r="R9" i="58" s="1"/>
  <c r="C11" i="58"/>
  <c r="R11" i="58" s="1"/>
  <c r="B11" i="54"/>
  <c r="F11" i="54" s="1"/>
  <c r="B8" i="66" l="1"/>
  <c r="H8" i="66" s="1"/>
  <c r="B12" i="62"/>
  <c r="H12" i="62" s="1"/>
  <c r="B4" i="54"/>
  <c r="F4" i="54" s="1"/>
  <c r="C4" i="58"/>
  <c r="R4" i="58" s="1"/>
  <c r="B4" i="66"/>
  <c r="H4" i="66" s="1"/>
  <c r="B6" i="62"/>
  <c r="H6" i="62" s="1"/>
  <c r="B5" i="66"/>
  <c r="H5" i="66" s="1"/>
  <c r="B7" i="62"/>
  <c r="H7" i="62" s="1"/>
  <c r="B11" i="62"/>
  <c r="H11" i="62" s="1"/>
  <c r="B7" i="66"/>
  <c r="H7" i="66" s="1"/>
  <c r="B13" i="62"/>
  <c r="H13" i="62" s="1"/>
  <c r="B14" i="62"/>
  <c r="H14" i="62" s="1"/>
  <c r="B9" i="62"/>
  <c r="H9" i="62" s="1"/>
  <c r="C10" i="58"/>
  <c r="R10" i="58" s="1"/>
  <c r="B10" i="54"/>
  <c r="F10" i="54" s="1"/>
  <c r="B5" i="62"/>
  <c r="H5" i="62" s="1"/>
  <c r="B8" i="62"/>
  <c r="H8" i="62" s="1"/>
  <c r="B10" i="62" l="1"/>
  <c r="H10" i="62" s="1"/>
  <c r="B6" i="66"/>
  <c r="H6" i="66" s="1"/>
  <c r="B4" i="62"/>
  <c r="H4" i="62" l="1"/>
  <c r="M12" i="58"/>
  <c r="G12" i="58" s="1"/>
  <c r="E8" i="66" s="1"/>
  <c r="L12" i="58"/>
  <c r="Q9" i="58"/>
  <c r="M7" i="58"/>
  <c r="G7" i="58" s="1"/>
  <c r="E5" i="66" s="1"/>
  <c r="Q13" i="58"/>
  <c r="Q8" i="58"/>
  <c r="L7" i="58"/>
  <c r="M8" i="58"/>
  <c r="G8" i="58" s="1"/>
  <c r="Q12" i="58"/>
  <c r="D8" i="66" s="1"/>
  <c r="L8" i="58"/>
  <c r="M9" i="58"/>
  <c r="G9" i="58" s="1"/>
  <c r="L11" i="58"/>
  <c r="L9" i="58"/>
  <c r="Q6" i="58"/>
  <c r="Q11" i="58"/>
  <c r="D7" i="66" s="1"/>
  <c r="M11" i="58"/>
  <c r="G11" i="58" s="1"/>
  <c r="E7" i="66" s="1"/>
  <c r="Q5" i="58"/>
  <c r="M5" i="58"/>
  <c r="G5" i="58" s="1"/>
  <c r="M6" i="58"/>
  <c r="G6" i="58" s="1"/>
  <c r="M13" i="58"/>
  <c r="G13" i="58" s="1"/>
  <c r="Q7" i="58"/>
  <c r="D5" i="66" s="1"/>
  <c r="L6" i="58"/>
  <c r="L13" i="58"/>
  <c r="L5" i="58"/>
  <c r="L10" i="58"/>
  <c r="M10" i="58"/>
  <c r="G10" i="58" s="1"/>
  <c r="E6" i="66" s="1"/>
  <c r="L4" i="58"/>
  <c r="Q10" i="58"/>
  <c r="D6" i="66" s="1"/>
  <c r="Q4" i="58"/>
  <c r="M4" i="58"/>
  <c r="G4" i="58" s="1"/>
</calcChain>
</file>

<file path=xl/sharedStrings.xml><?xml version="1.0" encoding="utf-8"?>
<sst xmlns="http://schemas.openxmlformats.org/spreadsheetml/2006/main" count="3922" uniqueCount="672">
  <si>
    <t>Ir a objetos de dominio &gt;&gt;&gt;&gt;</t>
  </si>
  <si>
    <t>&lt;&lt;&lt;&lt; Ir al modulo de dominio</t>
  </si>
  <si>
    <t>Nombre</t>
  </si>
  <si>
    <t>Descripcion</t>
  </si>
  <si>
    <t>Linea de vida</t>
  </si>
  <si>
    <t>Muestreo</t>
  </si>
  <si>
    <t>Caracterización</t>
  </si>
  <si>
    <t>Event Storming</t>
  </si>
  <si>
    <t>Politicas</t>
  </si>
  <si>
    <t>DiaSemana</t>
  </si>
  <si>
    <t>Representa cada uno de los días de la semana, incluyendo festivo, que se usa como catálogo para definir los horarios de la barbería y de cada barbero</t>
  </si>
  <si>
    <t>Ir al muestreo</t>
  </si>
  <si>
    <t>Ir a la caracterización</t>
  </si>
  <si>
    <t>Ir al Event Storming</t>
  </si>
  <si>
    <t>Ir a las políticas</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</si>
  <si>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</si>
  <si>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</si>
  <si>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</si>
  <si>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</si>
  <si>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Regla</t>
  </si>
  <si>
    <t>Representa las políticas de la barbería frente al incumplimiento de clientes y barberos: tolerancias de tardanza, monto de la multa fija, número máximo de multas sin pagar antes del veto, y el descuento que se da cuando el barbero se demora</t>
  </si>
  <si>
    <t>PrefijoCelular</t>
  </si>
  <si>
    <t>Representa el catálogo de prefijos telefónicos de país disponibles para el número de celular de barberos y clientes</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</si>
  <si>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</si>
  <si>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</si>
  <si>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</si>
  <si>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t>
  </si>
  <si>
    <t>Cliente</t>
  </si>
  <si>
    <t>Representa a la persona que solicita citas en la barbería con un barbero. Guarda su historial de multas sin pagar para saber si está o no vetado</t>
  </si>
  <si>
    <t>HorarioBarberia</t>
  </si>
  <si>
    <t>Representa, día por día, a qué hora abre y cierra el negocio; es el límite dentro del cual debe caber el horario de cualquier barbero</t>
  </si>
  <si>
    <t>BarberoServicio</t>
  </si>
  <si>
    <t>Representa qué servicios sabe hacer cada barbero, cuánto se demora en realizarlos y cuánto tiempo extra usa de colchón, ya que no todos los barberos ofrecen los mismos servicios</t>
  </si>
  <si>
    <t>HorarioBarbero</t>
  </si>
  <si>
    <t>Representa el día de la semana en que trabaja un barbero, junto con la hora en la que empieza y termina su jornada</t>
  </si>
  <si>
    <t>Agenda</t>
  </si>
  <si>
    <t>Representa un día puntual del calendario en el que un barbero, según su horario de trabajo, va a recibir citas. Es donde se agrupan todas las citas de ese barbero para ese día</t>
  </si>
  <si>
    <t>Bloqueo</t>
  </si>
  <si>
    <t>Representa una parte de la agenda, en donde el barbero no puede trabajar en un momento dado, debido algún compromiso o inveniente que se le presento</t>
  </si>
  <si>
    <t>Cita</t>
  </si>
  <si>
    <t>Representa la reserva de un cliente con un barbero para un día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</si>
  <si>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</si>
  <si>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</si>
  <si>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</si>
  <si>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</si>
  <si>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</si>
  <si>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</si>
  <si>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</si>
  <si>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</si>
  <si>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</si>
  <si>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</si>
  <si>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</si>
  <si>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</si>
  <si>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</si>
  <si>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</si>
  <si>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</si>
  <si>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</si>
  <si>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</si>
  <si>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</si>
  <si>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</si>
  <si>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</si>
  <si>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</si>
  <si>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</si>
  <si>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</si>
  <si>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</si>
  <si>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</si>
  <si>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</si>
  <si>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</si>
  <si>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</si>
  <si>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</si>
  <si>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</si>
  <si>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</si>
  <si>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Alfanumérico</t>
  </si>
  <si>
    <t>Solo pueden ser los dias de la semana como Lunes, Martes, Miércoles, Jueves, Viernes, Sábado, Domingo y Festivo</t>
  </si>
  <si>
    <t>Vacio</t>
  </si>
  <si>
    <t>Nombre combinación única</t>
  </si>
  <si>
    <t>Descripción</t>
  </si>
  <si>
    <t>Atributos involucrados</t>
  </si>
  <si>
    <t>nombre</t>
  </si>
  <si>
    <t>&lt;&lt; Ir al modelo de dominio</t>
  </si>
  <si>
    <t>&lt;&lt; Ir al listado de objetos de dominio</t>
  </si>
  <si>
    <t>&lt;&lt; Ir a la caracterización del objeto de dominio</t>
  </si>
  <si>
    <t>Ir al muestreo de datos del objeto de dominio &gt;&gt;</t>
  </si>
  <si>
    <t>Objeto de Dominio:</t>
  </si>
  <si>
    <t>Descripción:</t>
  </si>
  <si>
    <t>Numero politica</t>
  </si>
  <si>
    <t>Descripcion politica</t>
  </si>
  <si>
    <t>Objeto responsable</t>
  </si>
  <si>
    <t>Regla responsable</t>
  </si>
  <si>
    <t>No aplica: es un catálogo de solo lectura, sin comandos que impliquen políticas de negocio propias</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</si>
  <si>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</si>
  <si>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</si>
  <si>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</si>
  <si>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</si>
  <si>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</si>
  <si>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</si>
  <si>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</si>
  <si>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</si>
  <si>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</si>
  <si>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</si>
  <si>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</si>
  <si>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</si>
  <si>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</si>
  <si>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</si>
  <si>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</si>
  <si>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</si>
  <si>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</si>
  <si>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Dueño</t>
  </si>
  <si>
    <t>Ver los días de las semanas</t>
  </si>
  <si>
    <t>Permite consultar el catálogo de días de la semana, incluyendo festivo, disponibles para definir horarios</t>
  </si>
  <si>
    <t>Días de la semana consultados</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</si>
  <si>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</si>
  <si>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</si>
  <si>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</si>
  <si>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</si>
  <si>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</si>
  <si>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</si>
  <si>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</si>
  <si>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</si>
  <si>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</si>
  <si>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</si>
  <si>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</si>
  <si>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</si>
  <si>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</si>
  <si>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</si>
  <si>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</si>
  <si>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de tipo alfanumerico</t>
  </si>
  <si>
    <t>Corresponde a la combinacion única</t>
  </si>
  <si>
    <t>Solo se aceptan caracteres de letras de la 'a' a la 'z' y caracteres con tilde</t>
  </si>
  <si>
    <t>Solo se aceptan caracteres de letras de la 'a' a la 'z', caracteres con tilde y espacios en blanco</t>
  </si>
  <si>
    <t>P-EST-0001</t>
  </si>
  <si>
    <t>Asegurar que los datos requeridos (descripción) sean válidos en tipo de dato, longitud, obligatoriedad, formato y rango</t>
  </si>
  <si>
    <t>Ver estados creados</t>
  </si>
  <si>
    <t>Permite consultar los estados posibles que puede tener una cita</t>
  </si>
  <si>
    <t>Estados consultados</t>
  </si>
  <si>
    <t>Editar descripción del estado</t>
  </si>
  <si>
    <t>Permite ajustar el texto descriptivo de un estado ya creado, sin cambiar su significado en el flujo de la cita</t>
  </si>
  <si>
    <t>Descripción de estado actualizada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</si>
  <si>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</si>
  <si>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</si>
  <si>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</si>
  <si>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</si>
  <si>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</si>
  <si>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</si>
  <si>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</si>
  <si>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</si>
  <si>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</si>
  <si>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</si>
  <si>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</si>
  <si>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</si>
  <si>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la toleranciaTardanzaCliente definida en Regla, lo que genera una multa.</t>
  </si>
  <si>
    <t>El barbero se demoro</t>
  </si>
  <si>
    <t>El barbero se demoró más de lo previsto en una cita anterior y no pudo atender al cliente a la hora acordada, dándole un descuento en compensación según Regla.</t>
  </si>
  <si>
    <t>Inasistencia del cliente</t>
  </si>
  <si>
    <t>El cliente nunca llegó a la cita: se alcanzó la hora estimada de finalización sin registrar su llegada, lo que genera una multa por el valor total de los servicios pedidos.</t>
  </si>
  <si>
    <t>Inasistencia del barbero</t>
  </si>
  <si>
    <t>El barbero nunca inició la atención de la cita: se alcanzó la hora estimada de finalización sin que el barbero hubiera atendido al cliente, lo que da lugar a un descuento en la próxima cita del cliente como compensación.</t>
  </si>
  <si>
    <t>Entero</t>
  </si>
  <si>
    <t>Lógico</t>
  </si>
  <si>
    <t>P-SER-0001</t>
  </si>
  <si>
    <t>Asegurar que los datos requeridos del servicio (nombre, descripción, precio) sean válidos en tipo de dato, longitud, obligatoriedad, formato y rango</t>
  </si>
  <si>
    <t>P-SER-0002</t>
  </si>
  <si>
    <t>Asegurar que no exista otro servicio registrado con el mismo nombre en la barbería</t>
  </si>
  <si>
    <t>P-SER-0003</t>
  </si>
  <si>
    <t>Asegurar que el servicio a retirar no esté siendo ofrecido actualmente por ningún barbero</t>
  </si>
  <si>
    <t>Ofrecer un servicio nuevo a la barbería</t>
  </si>
  <si>
    <t>Comando que permite registrar un nuevo tipo de servicio que la barbería pondrá a disposición de los barberos</t>
  </si>
  <si>
    <t>Servicio ofrecido</t>
  </si>
  <si>
    <t>Ajustar el nombre y la descripción de un servicio</t>
  </si>
  <si>
    <t>Permite modificar el nombre y la descripción de un servicio ya existente</t>
  </si>
  <si>
    <t>Nombre y descripción de servicio actualizados</t>
  </si>
  <si>
    <t>Ajustar precio de un servicio</t>
  </si>
  <si>
    <t>Permite modificar el precio que cobra la barbería por un servicio</t>
  </si>
  <si>
    <t>Precio de servicio actualizado</t>
  </si>
  <si>
    <t>Ver servicios disponibles de la barbería</t>
  </si>
  <si>
    <t>Permite consultar el catálogo de servicios que ofrece la barbería</t>
  </si>
  <si>
    <t>Servicios consultados</t>
  </si>
  <si>
    <t>Retirar un servicio de la barbería</t>
  </si>
  <si>
    <t>Permite dar de baja un servicio para que deje de ofrecerse a nuevos clientes</t>
  </si>
  <si>
    <t>Servicio retirado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</si>
  <si>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</si>
  <si>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</si>
  <si>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</si>
  <si>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</si>
  <si>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</si>
  <si>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</si>
  <si>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</si>
  <si>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</si>
  <si>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</si>
  <si>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</si>
  <si>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</si>
  <si>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</si>
  <si>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</si>
  <si>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</si>
  <si>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</si>
  <si>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</si>
  <si>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</si>
  <si>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</si>
  <si>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Corresponde a los datos de tipo entero</t>
  </si>
  <si>
    <t>Corresponde a los datos de tipo logico</t>
  </si>
  <si>
    <t>P-REG-0001</t>
  </si>
  <si>
    <t>Asegurar que los datos requeridos (tolerancias de tardanza, monto de multa, número máximo de multas, porcentaje de descuento, tiempos de anticipación) sean válidos en tipo de dato, obligatoriedad y rango</t>
  </si>
  <si>
    <t>Definir las políticas de la barbería</t>
  </si>
  <si>
    <t>Comando que permite registrar por primera vez los parámetros de negocio: tolerancias de tardanza, monto de multa, número máximo de multas y descuento por demora del barbero</t>
  </si>
  <si>
    <t>Políticas de la barbería definidas</t>
  </si>
  <si>
    <t>Modificar las políticas</t>
  </si>
  <si>
    <t>Permite ajustar los parámetros de negocio ya definidos</t>
  </si>
  <si>
    <t>Políticas de la barbería actualizadas</t>
  </si>
  <si>
    <t>Ver la regla definida</t>
  </si>
  <si>
    <t>Permite consultar los parámetros de negocio vigentes de la barbería</t>
  </si>
  <si>
    <t>Regla consultada</t>
  </si>
  <si>
    <t>Representa la cantidad de minutos maxima que un cliente puede llegar tarde</t>
  </si>
  <si>
    <t>Representa la cantidad de dinero que el cliente debe de pagar en pesos colombianos, por superar la toleranciaTardanza</t>
  </si>
  <si>
    <t>Representa la maxima de multas que pueda tener un cliente sin pagar, a partir de esta cantidad se le hace un veto al cliente</t>
  </si>
  <si>
    <t>Representa la cantidad de minutos que un barbero puede demorarse en atender a un cliente, en caso de que el barbero se demore mas de lo previsto en su cita anterior</t>
  </si>
  <si>
    <t>Representa la cantidad cuanto descuento va a tener un cliente en la cita con el barbero, como recompesa por esperar al barbero mas de la tolerancia permitida</t>
  </si>
  <si>
    <t>Representa la parte en horas del tiempo mínimo de anticipación con el que un barbero pueda cancelar una cita con el cliente. El barbero no podrá cancelar la cita cuando falte menos del tiempo indicado</t>
  </si>
  <si>
    <t>Representa la parte en minutos del tiempo mínimo de anticipación con el que un barbero puede cancelar una cita con el cliente. El barbero no podrá cancelar la cita cuando falte menos del tiempo indicado</t>
  </si>
  <si>
    <t>Representa la parte en horas del tiempo mínimo de anticipación con el que un cliente puede cancelar una cita con el barbero. El cliente no podrá cancelar la cita cuando falte menos del tiempo indicado</t>
  </si>
  <si>
    <t>Representa la parte en minutos del tiempo mínimo de anticipación con el que un cliente puede cancelar una cita con el barbero. El cliente no podrá cancelar la cita cuando falte menos del tiempo indicado</t>
  </si>
  <si>
    <t>toleranciaTardanzaCliente</t>
  </si>
  <si>
    <t>montoMultaTardanzaCliente</t>
  </si>
  <si>
    <t>numeroMultasMaxima</t>
  </si>
  <si>
    <t>toleranciaTardanzaBarbero</t>
  </si>
  <si>
    <t>porcentajeDescuentoCita</t>
  </si>
  <si>
    <t>tiempoEnHorasAnticipacionDelBarberoParaCancelarUnaCita</t>
  </si>
  <si>
    <t>tiempoEnMinutosAnticipacionDelBarberoParaCancelarUnaCita</t>
  </si>
  <si>
    <t>tiempoEnHorasAnticipacionDelClienteParaCancelarUnaCita</t>
  </si>
  <si>
    <t>tiempoEnMinutosAnticipacionDelClienteParaCancelarUnaCita</t>
  </si>
  <si>
    <t>Simbolo + seguido de un número. Por ejemplo +57. Tambien el anterior puede ser seguido de un - y un numero. Por ejemplo +1-809</t>
  </si>
  <si>
    <t>Solo se aceptan caracteres numericos del 0 al 9 y el carácter '+' y '-'</t>
  </si>
  <si>
    <t>+0</t>
  </si>
  <si>
    <t>prefijo</t>
  </si>
  <si>
    <t>Ver prefijos de celular</t>
  </si>
  <si>
    <t>Permite consultar el catálogo de prefijos telefónicos de país disponibles</t>
  </si>
  <si>
    <t>Prefijos de celular consultados</t>
  </si>
  <si>
    <t>Representa el primer nombre del barbero que trabaja en barbería</t>
  </si>
  <si>
    <t>Combinacion única que indica que no puede existir más un mismo prefijo</t>
  </si>
  <si>
    <t>+57</t>
  </si>
  <si>
    <t>+91</t>
  </si>
  <si>
    <t>+593</t>
  </si>
  <si>
    <t>+58</t>
  </si>
  <si>
    <t>Ver tipos de multa</t>
  </si>
  <si>
    <t>Permite consultar los tipos de multa que puede recibir un cliente</t>
  </si>
  <si>
    <t>Tipos de multa consultados</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</si>
  <si>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</si>
  <si>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</si>
  <si>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</si>
  <si>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</si>
  <si>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</si>
  <si>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toleranciaTardanzaCliente definidos en Regla.</t>
  </si>
  <si>
    <t>Inasistencia</t>
  </si>
  <si>
    <t>El cliente no se presentó a la cita agendada: se llegó a la hora estimada de finalización sin que hubiera registrado su llegada.</t>
  </si>
  <si>
    <t>Corresponde a los datos de tipo texto</t>
  </si>
  <si>
    <t xml:space="preserve">Solo se aceptan caracteres de letras de la 'a' a la 'z', caracteres con tilde y numeros del 0 al 9 </t>
  </si>
  <si>
    <t>vacío</t>
  </si>
  <si>
    <t>Solo se aceptan caracteres de letras de la 'a' a la 'z', caracteres con tilde y numeros del 0 al 9</t>
  </si>
  <si>
    <t>Número telefónico, sin el prefijo de país</t>
  </si>
  <si>
    <t>0</t>
  </si>
  <si>
    <t>Horas</t>
  </si>
  <si>
    <t>Minutos</t>
  </si>
  <si>
    <t>P-BAR-0001</t>
  </si>
  <si>
    <t>Asegurar que los datos requeridos del barbero (nombre, apellido, número de identificación, celular, tiempos de anticipación) sean válidos en tipo de dato, longitud, obligatoriedad, formato y rango</t>
  </si>
  <si>
    <t>P-BAR-0002</t>
  </si>
  <si>
    <t>Asegurar que el número de identificación no esté siendo utilizado por otro barbero ni por ningún cliente</t>
  </si>
  <si>
    <t>P-BAR-0003</t>
  </si>
  <si>
    <t>Asegurar que el barbero no tenga citas futuras pendientes antes de dejar de trabajar en la barbería</t>
  </si>
  <si>
    <t>Registrar barbero a la barbería</t>
  </si>
  <si>
    <t>Comando que permite el ingreso de un nuevo barbero a trabajar en la barbería</t>
  </si>
  <si>
    <t>Barbero registrado</t>
  </si>
  <si>
    <t>Editar mi contacto</t>
  </si>
  <si>
    <t>Permite al barbero actualizar su número de celular y su prefijo</t>
  </si>
  <si>
    <t>Contacto de barbero actualizado</t>
  </si>
  <si>
    <t>Editar tiempos de anticipación de citas</t>
  </si>
  <si>
    <t>Permite al barbero ajustar cuánta anticipación mínima exige para que le agenden una cita</t>
  </si>
  <si>
    <t>Tiempos de anticipación de barbero actualizados</t>
  </si>
  <si>
    <t>Consultar la información de un barbero</t>
  </si>
  <si>
    <t>Permite a un cliente ver los datos públicos de un barbero</t>
  </si>
  <si>
    <t>Información de barbero consultada</t>
  </si>
  <si>
    <t>Dejar de trabajar en la barbería</t>
  </si>
  <si>
    <t>Permite desactivar a un barbero para que ya no pueda recibir nuevas citas, sin borrar su historial</t>
  </si>
  <si>
    <t>Barbero desactivado</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</si>
  <si>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</si>
  <si>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</si>
  <si>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</si>
  <si>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</si>
  <si>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</si>
  <si>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</si>
  <si>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</si>
  <si>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</si>
  <si>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</si>
  <si>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</si>
  <si>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</si>
  <si>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</si>
  <si>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</si>
  <si>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</si>
  <si>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</si>
  <si>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</si>
  <si>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</si>
  <si>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</si>
  <si>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</si>
  <si>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</si>
  <si>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</si>
  <si>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</si>
  <si>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</si>
  <si>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</si>
  <si>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</si>
  <si>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</si>
  <si>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</si>
  <si>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</si>
  <si>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</si>
  <si>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</si>
  <si>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</si>
  <si>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</si>
  <si>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</si>
  <si>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referencias de objetos de dominio</t>
  </si>
  <si>
    <t>Corresponde a los datos de tipo lógico</t>
  </si>
  <si>
    <t>Corresponde a la combinacion única 1</t>
  </si>
  <si>
    <t>El mismo formato del objeto referenciado</t>
  </si>
  <si>
    <t>Aplican las reglas del objeto referenciado</t>
  </si>
  <si>
    <t xml:space="preserve">Deben de ser solo números que cumplan un número de teléfono válido </t>
  </si>
  <si>
    <t>Se calcula contando las Multa del cliente donde pagada='no'</t>
  </si>
  <si>
    <t>Se calcula comparando multasSinPagar contra Regla.numeroMultasMaxima; si multasSinPagar alcanza ese máximo, el cliente queda vetado</t>
  </si>
  <si>
    <t>Se calcula contando cuántas citas con inasistencia del barbero ha tenido el cliente</t>
  </si>
  <si>
    <t>P-CLI-0001</t>
  </si>
  <si>
    <t>Asegurar que los datos requeridos del cliente (nombre, apellido, número de identificación, celular) sean válidos en tipo de dato, longitud, obligatoriedad, formato y rango</t>
  </si>
  <si>
    <t>P-CLI-0002</t>
  </si>
  <si>
    <t>Asegurar que el número de identificación no esté siendo utilizado por otro cliente ni por ningún barbero</t>
  </si>
  <si>
    <t>Registrar cliente a la barbería</t>
  </si>
  <si>
    <t>Comando que permite el registro de un nuevo cliente en la barbería</t>
  </si>
  <si>
    <t>Cliente registrado</t>
  </si>
  <si>
    <t>Permite al cliente actualizar su número de celular y su prefijo</t>
  </si>
  <si>
    <t>Contacto de cliente actualizado</t>
  </si>
  <si>
    <t>Consultar la información de un cliente</t>
  </si>
  <si>
    <t>Permite a un barbero ver los datos de un cliente que le va a pedir una cita</t>
  </si>
  <si>
    <t>Información de cliente consultada</t>
  </si>
  <si>
    <t>Ver si estoy vetado</t>
  </si>
  <si>
    <t>Permite al cliente consultar si tiene tantas multas sin pagar que ya no puede agendar nuevas citas</t>
  </si>
  <si>
    <t>Estado de veto de cliente consultado</t>
  </si>
  <si>
    <t>Ver cuántos descuentos tengo para mis futuras citas</t>
  </si>
  <si>
    <t>Permite al cliente consultar cuántos descuentos acumulados tiene disponibles por demoras del barbero</t>
  </si>
  <si>
    <t>Descuentos de cliente consultados</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</si>
  <si>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</si>
  <si>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</si>
  <si>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</si>
  <si>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</si>
  <si>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</si>
  <si>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</si>
  <si>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numero que ingreso el cliente es correcto o no</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</si>
  <si>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</si>
  <si>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</si>
  <si>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Representa la cantidad de citas que un cliente va a tener con descuento, cada inasistencia que un barbero le haga al cliente se le suma un descuento a la proxima cita</t>
  </si>
  <si>
    <t>Combinacion única que indica que no puede existir más de un cliente con el mismo prefijo de celular y número de celular</t>
  </si>
  <si>
    <t>prefijoCelular</t>
  </si>
  <si>
    <t>elNumeroCelularEsCorrecto</t>
  </si>
  <si>
    <t>multasSinPagar</t>
  </si>
  <si>
    <t>estaVetado</t>
  </si>
  <si>
    <t>cantidadDeDescuentoCitas</t>
  </si>
  <si>
    <t>Gómez</t>
  </si>
  <si>
    <t>Jose</t>
  </si>
  <si>
    <t>Miguel</t>
  </si>
  <si>
    <t>Simon</t>
  </si>
  <si>
    <t>Ochoa</t>
  </si>
  <si>
    <t>Alexis</t>
  </si>
  <si>
    <t>Gallego</t>
  </si>
  <si>
    <t>Kevin</t>
  </si>
  <si>
    <t>Andrés</t>
  </si>
  <si>
    <t>Muñoz</t>
  </si>
  <si>
    <t>Salazar</t>
  </si>
  <si>
    <t>Corresponde a los datos calculados por el sistema</t>
  </si>
  <si>
    <t>Hora</t>
  </si>
  <si>
    <t>00:00</t>
  </si>
  <si>
    <t>Debe ser mayor a horaApertura</t>
  </si>
  <si>
    <t>Fecha</t>
  </si>
  <si>
    <t>1/01/1000</t>
  </si>
  <si>
    <t>P-HBA-0001</t>
  </si>
  <si>
    <t>Asegurar que los datos requeridos (día de la semana, hora de apertura, hora de cierre) sean válidos en tipo de dato, obligatoriedad, formato y rango, y que la hora de cierre sea mayor a la hora de apertura</t>
  </si>
  <si>
    <t>P-HBA-0002</t>
  </si>
  <si>
    <t>Asegurar que no exista otro horario vigente definido para el mismo día de la semana</t>
  </si>
  <si>
    <t>P-HBA-0003</t>
  </si>
  <si>
    <t>Al desactivar un horario de barbería, desactivar en cascada los horarios de barbero que dependen de él y cancelar las citas futuras que queden fuera de horario</t>
  </si>
  <si>
    <t>Definir un horario de la barbería</t>
  </si>
  <si>
    <t>Comando que permite registrar la hora de apertura y cierre de la barbería para un día de la semana</t>
  </si>
  <si>
    <t>Horario de barbería definido</t>
  </si>
  <si>
    <t>Ver horarios de la barbería</t>
  </si>
  <si>
    <t>Permite consultar los horarios de apertura y cierre definidos para cada día de la semana</t>
  </si>
  <si>
    <t>Horarios de barbería consultados</t>
  </si>
  <si>
    <t>Desactivar horario de barbería</t>
  </si>
  <si>
    <t>Permite desactivar el horario de un día de la semana para que la barbería deje de operar ese día</t>
  </si>
  <si>
    <t>Horario de barbería desactivado</t>
  </si>
  <si>
    <t>Cascada de desactivación (HorarioBarbero y Cita futuras) propuesta pero aún no implementada</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</si>
  <si>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</si>
  <si>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</si>
  <si>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</si>
  <si>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</si>
  <si>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</si>
  <si>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</si>
  <si>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Combinacion única que indica que no puede existir más de un horario con la misma barberia, dia de la semana, hora de apertura y cierre</t>
  </si>
  <si>
    <t>diaDeLaSemana</t>
  </si>
  <si>
    <t>horaApertura</t>
  </si>
  <si>
    <t>horaCierre</t>
  </si>
  <si>
    <t>fechaCreacion</t>
  </si>
  <si>
    <t>fechaDesactivacion</t>
  </si>
  <si>
    <t>Corresponde a los datos de tipo hora</t>
  </si>
  <si>
    <t>Corresponde a los datos tipo logico</t>
  </si>
  <si>
    <t>barbero</t>
  </si>
  <si>
    <t>servicio</t>
  </si>
  <si>
    <t>P-BSE-0001</t>
  </si>
  <si>
    <t>Asegurar que los datos requeridos (duración en horas, duración en minutos, tiempo extra) sean válidos en tipo de dato, obligatoriedad y rango</t>
  </si>
  <si>
    <t>P-BSE-0002</t>
  </si>
  <si>
    <t>Asegurar que el barbero no tenga ya habilitado ese mismo servicio</t>
  </si>
  <si>
    <t>Habilitar un servicio para el barbero</t>
  </si>
  <si>
    <t>Comando que permite a un barbero indicar que sabe realizar un servicio del catálogo, con su duración y colchón</t>
  </si>
  <si>
    <t>Servicio habilitado para barbero</t>
  </si>
  <si>
    <t>Ajustar los tiempos de un servicio del barbero</t>
  </si>
  <si>
    <t>Permite modificar la duración y el tiempo extra que un barbero usa para un servicio ya habilitado</t>
  </si>
  <si>
    <t>Tiempos de servicio de barbero actualizados</t>
  </si>
  <si>
    <t>Ver mis servicios</t>
  </si>
  <si>
    <t>Permite a un barbero consultar los servicios que tiene habilitados</t>
  </si>
  <si>
    <t>Servicios de barbero consultados</t>
  </si>
  <si>
    <t>Ver servicios de un barbero</t>
  </si>
  <si>
    <t>Permite a un cliente consultar qué servicios ofrece un barbero en particular</t>
  </si>
  <si>
    <t>Dejar de prestar el servicio para el catálogo</t>
  </si>
  <si>
    <t>Permite a un barbero desactivar un servicio que ya no quiere seguir ofreciendo</t>
  </si>
  <si>
    <t>Servicio de barbero desactivado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</si>
  <si>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</si>
  <si>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</si>
  <si>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</si>
  <si>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</si>
  <si>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</si>
  <si>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</si>
  <si>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</si>
  <si>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</si>
  <si>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</si>
  <si>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</si>
  <si>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hh:mm</t>
  </si>
  <si>
    <t>Debe estar dentro del rango de horarioDeLaBarberia</t>
  </si>
  <si>
    <t>Debe ser mayor a horaInicio y estar dentro del rango de horarioDeLaBarberia</t>
  </si>
  <si>
    <t>dd/mm/aaaa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</si>
  <si>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</si>
  <si>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</si>
  <si>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</si>
  <si>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</si>
  <si>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P-HBO-0001</t>
  </si>
  <si>
    <t>Asegurar que los datos requeridos (día de la semana, hora de inicio, hora de fin) sean válidos en tipo de dato, obligatoriedad, formato y rango, y que la hora de fin sea mayor a la hora de inicio</t>
  </si>
  <si>
    <t>P-HBO-0002</t>
  </si>
  <si>
    <t>Asegurar que el horario de trabajo esté dentro del horario de apertura y cierre de la barbería para ese día</t>
  </si>
  <si>
    <t>P-HBO-0003</t>
  </si>
  <si>
    <t>Al desactivar un horario de barbero, cancelar las citas futuras que dependan de las agendas generadas por ese horario</t>
  </si>
  <si>
    <t>Definir mi horario de trabajo</t>
  </si>
  <si>
    <t>Comando que permite a un barbero registrar el día de la semana y las horas en que trabaja</t>
  </si>
  <si>
    <t>Horario de barbero definido</t>
  </si>
  <si>
    <t>Ver mis horarios definidos</t>
  </si>
  <si>
    <t>Permite a un barbero consultar los horarios de trabajo que ha definido</t>
  </si>
  <si>
    <t>Horarios de barbero consultados</t>
  </si>
  <si>
    <t>Desactivar horario de trabajo</t>
  </si>
  <si>
    <t>Permite a un barbero desactivar un horario para dejar de trabajar ese día de la semana</t>
  </si>
  <si>
    <t>Horario de barbero desactivado</t>
  </si>
  <si>
    <t>Ver horarios de trabajo de un barbero</t>
  </si>
  <si>
    <t>Permite a un cliente consultar en qué días y horas trabaja un barbero</t>
  </si>
  <si>
    <t>Referencia a que barbero va a ser dueño de esta agenda</t>
  </si>
  <si>
    <t>Hace referencia a la agenda del barbero en la que queda guardado este horario de trabajo</t>
  </si>
  <si>
    <t>Representa la hora en la que el barbero empieza a estar disponible ese dia</t>
  </si>
  <si>
    <t>Representa la hora en la que el barbero deja de estar disponible ese día, junto con horaInicio, es lo que la aplicación usa para saber si hay campo para agendar una cita nueva.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</si>
  <si>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</si>
  <si>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</si>
  <si>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</si>
  <si>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vigentes exactamente con el mismo día, hora de inicio y hora final. Un barbero sí puede tener varios horarios a lo largo del tiempo (por ejemplo cuando cambia de horario y el anterior queda no vigente)</t>
  </si>
  <si>
    <t>horarioDeLaBarberia</t>
  </si>
  <si>
    <t>horaInicio</t>
  </si>
  <si>
    <t>horaFinal</t>
  </si>
  <si>
    <t>Corresponde a los datos calculados</t>
  </si>
  <si>
    <t>P-AGE-0001</t>
  </si>
  <si>
    <t>Asegurar que no exista ya una agenda para ese mismo horario de barbero y esa misma fecha</t>
  </si>
  <si>
    <t>P-AGE-0002</t>
  </si>
  <si>
    <t>Asegurar que el barbero esté vigente antes de abrirle una nueva agenda</t>
  </si>
  <si>
    <t>Sistema</t>
  </si>
  <si>
    <t>Abrir la agenda de un barbero para una fecha</t>
  </si>
  <si>
    <t>Comando que crea la agenda del día para un barbero, a partir de su horario de trabajo vigente</t>
  </si>
  <si>
    <t>Agenda abierta</t>
  </si>
  <si>
    <t>Consultar la disponibilidad de un barbero para una fecha</t>
  </si>
  <si>
    <t>Permite a un cliente ver si un barbero tiene espacio disponible en una fecha puntual</t>
  </si>
  <si>
    <t>Disponibilidad de barbero consultada</t>
  </si>
  <si>
    <t>Consultar las citas de un barbero para una fecha</t>
  </si>
  <si>
    <t>Permite consultar todas las citas agrupadas en la agenda de un barbero para una fecha puntual</t>
  </si>
  <si>
    <t>Citas de agenda consultadas</t>
  </si>
  <si>
    <t>Hace referencia al horario de trabajo del barbero (día de la semana, hora de inicio y hora final) al que pertenece esta agenda</t>
  </si>
  <si>
    <t>Representa la fecha específica en el que la agenda va a guardar las citas de ese barbero</t>
  </si>
  <si>
    <t>Representa si en la agenda del barbero, el barbero puede o no trabajar en una fecha en especifico</t>
  </si>
  <si>
    <t>Combinación única que indica que un mismo horario de barbero no puede tener más de una agenda para el mismo día</t>
  </si>
  <si>
    <t>horarioDelBarbero</t>
  </si>
  <si>
    <t>fecha</t>
  </si>
  <si>
    <t>estaDisponible</t>
  </si>
  <si>
    <t>Corresponde a los datos de tipo fecha</t>
  </si>
  <si>
    <t>Debe de estar dentro del horario del barbero</t>
  </si>
  <si>
    <t>Debe de estar dentro del horario del barbero y debe de ser mayor a horaInicio</t>
  </si>
  <si>
    <t>Permite todos los caracteres</t>
  </si>
  <si>
    <t>P-BLO-0001</t>
  </si>
  <si>
    <t>Asegurar que los datos requeridos (hora de inicio, hora de fin) sean válidos en tipo de dato, obligatoriedad, formato y rango, y que la hora de fin sea mayor a la hora de inicio</t>
  </si>
  <si>
    <t>P-BLO-0002</t>
  </si>
  <si>
    <t>Asegurar que el bloqueo esté dentro del horario de trabajo del barbero para esa agenda</t>
  </si>
  <si>
    <t>P-BLO-0003</t>
  </si>
  <si>
    <t>Rechazar el bloqueo si ya existen citas agendadas dentro de ese mismo rango horario, en lugar de cancelarlas automáticamente</t>
  </si>
  <si>
    <t>Bloquear un espacio de la agenda</t>
  </si>
  <si>
    <t>Comando que permite a un barbero reservar para sí mismo un rango de horas de su agenda en el que no atenderá clientes</t>
  </si>
  <si>
    <t>Bloqueo registrado</t>
  </si>
  <si>
    <t>Cancelar un bloqueo de la agenda</t>
  </si>
  <si>
    <t>Permite a un barbero liberar un espacio de su agenda que había bloqueado previamente</t>
  </si>
  <si>
    <t>Bloqueo cancelado</t>
  </si>
  <si>
    <t>Consultar los bloqueos de una agenda</t>
  </si>
  <si>
    <t>Permite a un barbero ver los espacios que tiene bloqueados en una agenda</t>
  </si>
  <si>
    <t>Bloqueos consultados</t>
  </si>
  <si>
    <t>Referencia en cual agenda va a estar esta el bloqueo</t>
  </si>
  <si>
    <t>Representa la hora en el que el barbero empiza el bloqueo en su agenda</t>
  </si>
  <si>
    <t>Representa la hora en el que el barbero termina el bloqueo en su agenda</t>
  </si>
  <si>
    <t>Representa el motivo poe el cual el barbero no puede atender la agenda en ese momento</t>
  </si>
  <si>
    <t>Combinación única que indica que una misma agenda no puede tener dos bloqueos con la misma hora de inicio y hora de fin</t>
  </si>
  <si>
    <t>agenda</t>
  </si>
  <si>
    <t>horaFin</t>
  </si>
  <si>
    <t>motivo</t>
  </si>
  <si>
    <t>Se me presento un incomveniente, mas adelante estare disponible</t>
  </si>
  <si>
    <t>Almuerzo</t>
  </si>
  <si>
    <t>Descanso corto</t>
  </si>
  <si>
    <t>Cita médica</t>
  </si>
  <si>
    <t>Reunión familiar</t>
  </si>
  <si>
    <t>Mantenimiento de herramientas</t>
  </si>
  <si>
    <t>Imprevisto personal</t>
  </si>
  <si>
    <t>Se muestra el nombre completo del cliente, no una combinación única, únicamente para lectura humana en el muestreo</t>
  </si>
  <si>
    <t>Congela la Regla vigente al momento de agendar</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</si>
  <si>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</si>
  <si>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</si>
  <si>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</si>
  <si>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</si>
  <si>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</si>
  <si>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</si>
  <si>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Copia de Regla.porcentajeDescuentoCita, únicamente cuando minutosDemoraBarbero supera Regla.toleranciaTardanzaBarbero</t>
  </si>
  <si>
    <t>Suma de precioServicio de todos los CitaServicio de esta cita, menos el descuento (precioTotal * porcentajeDescuentoAplicado / 100)</t>
  </si>
  <si>
    <t>P-CIT-0001</t>
  </si>
  <si>
    <t>Asegurar que los datos requeridos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</si>
  <si>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</si>
  <si>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</si>
  <si>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</si>
  <si>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</si>
  <si>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</si>
  <si>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</si>
  <si>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</si>
  <si>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Asegurar que la cita se solicite con al menos la anticipación mínima definida por el barbero</t>
  </si>
  <si>
    <t>P-CIT-0006</t>
  </si>
  <si>
    <t>Congelar la Regla vigente en el momento de agendar la cita</t>
  </si>
  <si>
    <t>P-CIT-0007</t>
  </si>
  <si>
    <t>Al finalizar la atención, calcular minutosTardanzaCliente, minutosDemoraBarbero, duración y precioFinal a partir de los tiempos realmente registrados</t>
  </si>
  <si>
    <t>P-CIT-0008</t>
  </si>
  <si>
    <t>Si la inasistencia es del cliente, generar una Multa por el valor total de los servicios pedidos</t>
  </si>
  <si>
    <t>P-CIT-0009</t>
  </si>
  <si>
    <t>Si la demora del barbero supera la tolerancia definida en la Regla, aplicar el descuento correspondiente a la próxima cita del cliente</t>
  </si>
  <si>
    <t>Pedir cita</t>
  </si>
  <si>
    <t>Comando que permite a un cliente solicitar una cita con un barbero, en una fecha y hora puntual, con uno o más servicios</t>
  </si>
  <si>
    <t>Disponibilidad de la agenda y servicios habilitados del barbero</t>
  </si>
  <si>
    <t>Se consulta la agenda del barbero y los servicios que tiene habilitados, con su duración, para validar y armar la cita</t>
  </si>
  <si>
    <t>Cita agendada</t>
  </si>
  <si>
    <t>¿Cuántos servicios como máximo puede pedir un cliente en una misma cita? Aún no hay un límite definido, lo que deja sin techo real la duración total de una cita</t>
  </si>
  <si>
    <t>Reprogramar la cita</t>
  </si>
  <si>
    <t>Permite a un cliente cambiar la fecha, hora o barbero de una cita que aún no ha ocurrido</t>
  </si>
  <si>
    <t>Cita reprogramada</t>
  </si>
  <si>
    <t>Cancelar la cita por decisión del cliente</t>
  </si>
  <si>
    <t>Permite a un cliente cancelar una cita antes de que ocurra</t>
  </si>
  <si>
    <t>Cita cancelada por el cliente</t>
  </si>
  <si>
    <t>No está resuelto si cancelar por decisión del cliente debe generar una Multa cuando se hace fuera de un tiempo mínimo de anticipación</t>
  </si>
  <si>
    <t>Cancelar la cita por decisión del barbero</t>
  </si>
  <si>
    <t>Permite a un barbero cancelar una cita antes de que ocurra</t>
  </si>
  <si>
    <t>Cita cancelada por el barbero</t>
  </si>
  <si>
    <t>Registrar llegada del cliente</t>
  </si>
  <si>
    <t>Permite al barbero marcar la hora real en que el cliente llegó a su cita</t>
  </si>
  <si>
    <t>Llegada de cliente registrada</t>
  </si>
  <si>
    <t>Iniciar la atención del cliente</t>
  </si>
  <si>
    <t>Permite al barbero marcar el inicio real de la atención de la cita</t>
  </si>
  <si>
    <t>Atención de cliente iniciada</t>
  </si>
  <si>
    <t>Finalizar la atención del cliente</t>
  </si>
  <si>
    <t>Permite al barbero marcar el fin real de la atención y cerrar la cita</t>
  </si>
  <si>
    <t>Atención de cliente finalizada</t>
  </si>
  <si>
    <t>Registrar la inasistencia del cliente</t>
  </si>
  <si>
    <t>Permite al barbero indicar que el cliente nunca llegó a la cita</t>
  </si>
  <si>
    <t>Inasistencia de cliente registrada</t>
  </si>
  <si>
    <t>Registrar la inasistencia del barbero</t>
  </si>
  <si>
    <t>Marca automáticamente que el barbero nunca inició la atención de la cita</t>
  </si>
  <si>
    <t>Inasistencia de barbero registrada</t>
  </si>
  <si>
    <t>Representa a cuál cliente le pertenece esta cita</t>
  </si>
  <si>
    <t>Referencia en cual agenda va a estar esta cita</t>
  </si>
  <si>
    <t>Hace referencia a la Regla vigente de la barbería en el momento de agendar; de ahí salen las tolerancias, el monto de multa fija y el porcentaje de descuento que aplican a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</si>
  <si>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</si>
  <si>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</si>
  <si>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</si>
  <si>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</si>
  <si>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</si>
  <si>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</si>
  <si>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</si>
  <si>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</si>
  <si>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</si>
  <si>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</si>
  <si>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</si>
  <si>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porcentaje de descuento aplicado al cliente en esta cita, cuando minutosDemoraBarbero supera la toleranciaTardanzaBarbero de Regla. Su valor por defecto es 0 y es permitido. Es un dato auto generado: copia de Regla.porcentajeDescuentoCita</t>
  </si>
  <si>
    <t>Representa cuánto debe pagar el cliente por los servicios de esta cita: la suma de los precios de sus CitaServicio, menos el descuento si aplicó. Es un dato calculado</t>
  </si>
  <si>
    <t>Combinación única que indica que una misma agenda no puede tener dos citas que empiecen a la misma hora</t>
  </si>
  <si>
    <t>cliente</t>
  </si>
  <si>
    <t>regla</t>
  </si>
  <si>
    <t>estado</t>
  </si>
  <si>
    <t>horaFinEstimada</t>
  </si>
  <si>
    <t>horaLlegadaCliente</t>
  </si>
  <si>
    <t>horaDelBarberoPreparado</t>
  </si>
  <si>
    <t>horaInicioAtencion</t>
  </si>
  <si>
    <t>horaFinAtencion</t>
  </si>
  <si>
    <t>duracionHoras</t>
  </si>
  <si>
    <t>duracionMinutos</t>
  </si>
  <si>
    <t>minutosTardanzaCliente</t>
  </si>
  <si>
    <t>minutosDemoraBarbero</t>
  </si>
  <si>
    <t>porcentajeDescuentoAplicado</t>
  </si>
  <si>
    <t>precioFinal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</si>
  <si>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</si>
  <si>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</si>
  <si>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</si>
  <si>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</si>
  <si>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 los servicios de una cita</t>
  </si>
  <si>
    <t>Permite ver qué servicios fueron pedidos dentro de una cita puntual</t>
  </si>
  <si>
    <t>Servicios de cita consultados</t>
  </si>
  <si>
    <t>Ver precio de cada servicio</t>
  </si>
  <si>
    <t>Permite consultar el precio que quedó congelado para cada servicio de una cita en el momento en que se agendó</t>
  </si>
  <si>
    <t>Precio de servicio de cita consultado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</si>
  <si>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</si>
  <si>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</si>
  <si>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</si>
  <si>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</si>
  <si>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</si>
  <si>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</si>
  <si>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</si>
  <si>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</si>
  <si>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</si>
  <si>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</si>
  <si>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</si>
  <si>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</si>
  <si>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Regla.montoMultaTardanzaCliente; si tipo=Inasistencia copia Cita.precioFinal</t>
  </si>
  <si>
    <t>Si tipo=Tardanza copia Cita.horaLlegadaCliente; si tipo=Inasistencia copia Cita.horaFinEstimada</t>
  </si>
  <si>
    <t>Fecha y Hora</t>
  </si>
  <si>
    <t>01/01/1000 00:00</t>
  </si>
  <si>
    <t>P-MUL-0001</t>
  </si>
  <si>
    <t>Congelar el motivo (tipo de multa) y el monto en el momento de generarse, copiando desde Regla o desde el precioFinal de la Cita, sin recalcular después</t>
  </si>
  <si>
    <t>P-MUL-0002</t>
  </si>
  <si>
    <t>Asegurar que la multa no esté ya pagada antes de registrar un nuevo pago</t>
  </si>
  <si>
    <t>Imponer una multa al cliente</t>
  </si>
  <si>
    <t>Genera automáticamente una multa a un cliente cuando se registra una inasistencia o una tardanza fuera de tolerancia</t>
  </si>
  <si>
    <t>Multa impuesta</t>
  </si>
  <si>
    <t>Ver todas mis multas</t>
  </si>
  <si>
    <t>Permite a un cliente consultar el historial de multas que se le han impuesto</t>
  </si>
  <si>
    <t>Multas consultadas</t>
  </si>
  <si>
    <t>Registrar el pago de una multa</t>
  </si>
  <si>
    <t>Permite al barbero marcar que un cliente ya pagó una multa pendiente</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</si>
  <si>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</si>
  <si>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</si>
  <si>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</si>
  <si>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monto fijo de Regla.montoMultaTardanzaCliente; si el tipo es Inasistencia copia el precioFinal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</si>
  <si>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</si>
  <si>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</si>
  <si>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llega al número de multas sin pagar que activa el veto</t>
  </si>
  <si>
    <t>Combinación única que indica que una misma cita no puede generar más de una multa</t>
  </si>
  <si>
    <t>tipo</t>
  </si>
  <si>
    <t>monto</t>
  </si>
  <si>
    <t>horaGeneracion</t>
  </si>
  <si>
    <t>fechaHoraPago</t>
  </si>
  <si>
    <t>pagada</t>
  </si>
  <si>
    <t>1/01/1000 00:00</t>
  </si>
  <si>
    <t>Corresponde a los datos tipo entero</t>
  </si>
  <si>
    <t>Corresponde a los datos tipo hora</t>
  </si>
  <si>
    <t>Corresponde a los datos tipo fecha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</si>
</sst>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_(\$* #,##0_);_(\$* \(#,##0\);_(\$* \-??_);_(@_)"/>
    <numFmt numFmtId="168" formatCode="m/d/yyyy"/>
    <numFmt numFmtId="169" formatCode="dd/mm/yyyy"/>
    <numFmt numFmtId="170" formatCode="hh:mm"/>
    <numFmt numFmtId="171" formatCode="m/d/yyyy\ h:mm"/>
  </numFmts>
  <fonts count="26" x14ac:knownFonts="1">
    <font>
      <sz val="11"/>
      <color theme="1"/>
      <name val="Calibri"/>
      <family val="2"/>
      <charset val="1"/>
    </font>
    <font>
      <u/>
      <sz val="11"/>
      <color theme="10"/>
      <name val="Calibri"/>
      <family val="2"/>
      <charset val="1"/>
    </font>
    <font>
      <b/>
      <sz val="11"/>
      <color theme="1"/>
      <name val="Calibri"/>
      <family val="2"/>
      <charset val="1"/>
    </font>
    <font>
      <b/>
      <sz val="11"/>
      <name val="Calibri"/>
      <charset val="1"/>
    </font>
    <font>
      <u/>
      <sz val="11"/>
      <color rgb="FF0563C1"/>
      <name val="Calibri"/>
      <family val="2"/>
      <charset val="1"/>
    </font>
    <font>
      <u/>
      <sz val="11"/>
      <color rgb="FF0563C1"/>
      <name val="Calibri"/>
      <charset val="1"/>
    </font>
    <font>
      <b/>
      <sz val="11"/>
      <color theme="1"/>
      <name val="Aptos Narrow"/>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u/>
      <sz val="10"/>
      <color rgb="FF0563C1"/>
      <name val="Aptos Narrow"/>
      <charset val="1"/>
    </font>
    <font>
      <b/>
      <sz val="10"/>
      <name val="Aptos Narrow"/>
      <charset val="1"/>
    </font>
    <font>
      <sz val="10"/>
      <name val="Aptos Narrow"/>
      <charset val="1"/>
    </font>
    <font>
      <sz val="7"/>
      <name val="Calibri"/>
      <family val="2"/>
      <charset val="1"/>
    </font>
    <font>
      <sz val="7"/>
      <color rgb="FF000000"/>
      <name val="Calibri"/>
      <family val="2"/>
      <charset val="1"/>
    </font>
    <font>
      <b/>
      <sz val="11"/>
      <color rgb="FF000000"/>
      <name val="Calibri"/>
      <family val="2"/>
      <charset val="1"/>
    </font>
    <font>
      <b/>
      <sz val="11"/>
      <name val="Cambria"/>
      <family val="1"/>
      <charset val="1"/>
    </font>
    <font>
      <sz val="7"/>
      <color theme="1"/>
      <name val="Calibri"/>
      <family val="2"/>
      <charset val="1"/>
    </font>
    <font>
      <b/>
      <sz val="11"/>
      <name val="Calibri"/>
      <family val="2"/>
      <charset val="1"/>
    </font>
    <font>
      <sz val="11"/>
      <name val="Aptos Narrow"/>
      <family val="2"/>
      <charset val="1"/>
    </font>
    <font>
      <sz val="11"/>
      <name val="Calibri"/>
      <family val="2"/>
      <charset val="1"/>
    </font>
    <font>
      <u/>
      <sz val="11"/>
      <color rgb="FF0563C1"/>
      <name val="Aptos Narrow"/>
      <family val="2"/>
      <charset val="1"/>
    </font>
    <font>
      <b/>
      <sz val="11"/>
      <name val="Aptos Narrow"/>
      <family val="2"/>
      <charset val="1"/>
    </font>
    <font>
      <b/>
      <u/>
      <sz val="11"/>
      <color theme="10"/>
      <name val="Calibri"/>
      <family val="2"/>
      <charset val="1"/>
    </font>
    <font>
      <sz val="10"/>
      <name val="Arial"/>
      <charset val="1"/>
    </font>
    <font>
      <b/>
      <u/>
      <sz val="11"/>
      <color rgb="FF467886"/>
      <name val="Calibri"/>
      <family val="2"/>
      <charset val="1"/>
    </font>
  </fonts>
  <fills count="29">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rgb="FFC0E6F5"/>
        <bgColor rgb="FFDBDBDB"/>
      </patternFill>
    </fill>
    <fill>
      <patternFill patternType="solid">
        <fgColor rgb="FFF2CEEF"/>
        <bgColor rgb="FFDBDBDB"/>
      </patternFill>
    </fill>
    <fill>
      <patternFill patternType="solid">
        <fgColor rgb="FFFCFCAA"/>
        <bgColor rgb="FFFFE699"/>
      </patternFill>
    </fill>
    <fill>
      <patternFill patternType="solid">
        <fgColor rgb="FFFFFF00"/>
        <bgColor rgb="FFFFD966"/>
      </patternFill>
    </fill>
    <fill>
      <patternFill patternType="solid">
        <fgColor rgb="FF92D050"/>
        <bgColor rgb="FF70AD47"/>
      </patternFill>
    </fill>
    <fill>
      <patternFill patternType="solid">
        <fgColor rgb="FFCC99FF"/>
        <bgColor rgb="FFF1ABE9"/>
      </patternFill>
    </fill>
    <fill>
      <patternFill patternType="solid">
        <fgColor rgb="FFFFC000"/>
        <bgColor rgb="FFFFD966"/>
      </patternFill>
    </fill>
    <fill>
      <patternFill patternType="solid">
        <fgColor rgb="FF70AD47"/>
        <bgColor rgb="FF4EA72E"/>
      </patternFill>
    </fill>
    <fill>
      <patternFill patternType="solid">
        <fgColor rgb="FF2F75B5"/>
        <bgColor rgb="FF2E75B6"/>
      </patternFill>
    </fill>
    <fill>
      <patternFill patternType="solid">
        <fgColor rgb="FFFFD966"/>
        <bgColor rgb="FFFFE699"/>
      </patternFill>
    </fill>
    <fill>
      <patternFill patternType="solid">
        <fgColor rgb="FFD0CECE"/>
        <bgColor rgb="FFD0D0D0"/>
      </patternFill>
    </fill>
    <fill>
      <patternFill patternType="solid">
        <fgColor theme="4" tint="-0.249977111117893"/>
        <bgColor rgb="FF2F75B5"/>
      </patternFill>
    </fill>
    <fill>
      <patternFill patternType="solid">
        <fgColor rgb="FF7030A0"/>
        <bgColor rgb="FF993366"/>
      </patternFill>
    </fill>
    <fill>
      <patternFill patternType="solid">
        <fgColor rgb="FF00B0F0"/>
        <bgColor rgb="FF33CCCC"/>
      </patternFill>
    </fill>
    <fill>
      <patternFill patternType="solid">
        <fgColor theme="7" tint="0.59959715567491678"/>
        <bgColor rgb="FFFCFCAA"/>
      </patternFill>
    </fill>
    <fill>
      <patternFill patternType="solid">
        <fgColor theme="5" tint="0.59959715567491678"/>
        <bgColor rgb="FFF7C7AC"/>
      </patternFill>
    </fill>
    <fill>
      <patternFill patternType="solid">
        <fgColor theme="4" tint="0.39948728904080327"/>
        <bgColor rgb="FFADB9CA"/>
      </patternFill>
    </fill>
    <fill>
      <patternFill patternType="solid">
        <fgColor rgb="FFF1ABE9"/>
        <bgColor rgb="FFCC99FF"/>
      </patternFill>
    </fill>
    <fill>
      <patternFill patternType="solid">
        <fgColor theme="6" tint="0.59959715567491678"/>
        <bgColor rgb="FFD9D9D9"/>
      </patternFill>
    </fill>
    <fill>
      <patternFill patternType="solid">
        <fgColor theme="3" tint="0.59959715567491678"/>
        <bgColor rgb="FF9DC3E6"/>
      </patternFill>
    </fill>
    <fill>
      <patternFill patternType="solid">
        <fgColor theme="3" tint="0.39957884456923126"/>
        <bgColor rgb="FFADB9CA"/>
      </patternFill>
    </fill>
    <fill>
      <patternFill patternType="solid">
        <fgColor rgb="FFD0D0D0"/>
        <bgColor rgb="FFD0CECE"/>
      </patternFill>
    </fill>
    <fill>
      <patternFill patternType="solid">
        <fgColor rgb="FF4EA72E"/>
        <bgColor rgb="FF70AD47"/>
      </patternFill>
    </fill>
    <fill>
      <patternFill patternType="solid">
        <fgColor theme="5" tint="-0.249977111117893"/>
        <bgColor rgb="FF993300"/>
      </patternFill>
    </fill>
    <fill>
      <patternFill patternType="solid">
        <fgColor rgb="FFF7C7AC"/>
        <bgColor rgb="FFF8CBAD"/>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8">
    <xf numFmtId="0" fontId="0" fillId="0" borderId="0" xfId="0"/>
    <xf numFmtId="0" fontId="11" fillId="0" borderId="1" xfId="0" applyFont="1" applyBorder="1" applyAlignment="1">
      <alignment horizontal="center"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1" fillId="10"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0" xfId="0" applyFont="1" applyAlignment="1">
      <alignment horizontal="left" vertical="center" wrapText="1"/>
    </xf>
    <xf numFmtId="0" fontId="12" fillId="0" borderId="0" xfId="0" applyFont="1"/>
    <xf numFmtId="0" fontId="10" fillId="0" borderId="0" xfId="0" applyFont="1"/>
    <xf numFmtId="0" fontId="1" fillId="0" borderId="0" xfId="0" applyFont="1"/>
    <xf numFmtId="0" fontId="0" fillId="2" borderId="0" xfId="0" applyFill="1"/>
    <xf numFmtId="0" fontId="2" fillId="0" borderId="1" xfId="0" applyFont="1" applyBorder="1" applyAlignment="1">
      <alignment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xf numFmtId="0" fontId="5" fillId="0" borderId="1" xfId="0" applyFont="1" applyBorder="1"/>
    <xf numFmtId="0" fontId="0" fillId="0" borderId="1" xfId="0" applyBorder="1" applyAlignment="1">
      <alignment wrapText="1"/>
    </xf>
    <xf numFmtId="0" fontId="1" fillId="0" borderId="1" xfId="0" applyFont="1" applyBorder="1"/>
    <xf numFmtId="0" fontId="6" fillId="3" borderId="1" xfId="0" applyFont="1" applyFill="1" applyBorder="1" applyAlignment="1">
      <alignment vertical="center"/>
    </xf>
    <xf numFmtId="0" fontId="6" fillId="3" borderId="1" xfId="0" applyFont="1" applyFill="1" applyBorder="1" applyAlignment="1">
      <alignment vertical="center" wrapText="1"/>
    </xf>
    <xf numFmtId="0" fontId="2" fillId="0" borderId="0" xfId="0" applyFont="1"/>
    <xf numFmtId="0" fontId="7" fillId="3" borderId="1" xfId="0" applyFont="1" applyFill="1" applyBorder="1" applyAlignment="1">
      <alignment vertical="center"/>
    </xf>
    <xf numFmtId="0" fontId="7" fillId="3" borderId="1" xfId="0" applyFont="1" applyFill="1" applyBorder="1" applyAlignment="1">
      <alignmen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9" fillId="5" borderId="1" xfId="0" applyFont="1" applyFill="1" applyBorder="1" applyAlignment="1">
      <alignment vertical="center"/>
    </xf>
    <xf numFmtId="0" fontId="10" fillId="0" borderId="0" xfId="0" applyFont="1"/>
    <xf numFmtId="0" fontId="11" fillId="0" borderId="0" xfId="0" applyFont="1"/>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xf numFmtId="0" fontId="13" fillId="3" borderId="1" xfId="0" applyFont="1" applyFill="1" applyBorder="1" applyAlignment="1">
      <alignment horizontal="center" wrapText="1"/>
    </xf>
    <xf numFmtId="0" fontId="14" fillId="3" borderId="1" xfId="0" applyFont="1" applyFill="1" applyBorder="1" applyAlignment="1">
      <alignment horizontal="center" wrapText="1"/>
    </xf>
    <xf numFmtId="0" fontId="15" fillId="11" borderId="1" xfId="0" applyFont="1" applyFill="1" applyBorder="1" applyAlignment="1">
      <alignment horizontal="center"/>
    </xf>
    <xf numFmtId="0" fontId="15" fillId="12" borderId="1" xfId="0" applyFont="1" applyFill="1" applyBorder="1" applyAlignment="1">
      <alignment horizontal="center"/>
    </xf>
    <xf numFmtId="0" fontId="15" fillId="13"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14" borderId="0" xfId="0" applyFill="1"/>
    <xf numFmtId="0" fontId="0" fillId="0" borderId="0" xfId="0" applyAlignment="1">
      <alignment wrapText="1"/>
    </xf>
    <xf numFmtId="0" fontId="0" fillId="11" borderId="0" xfId="0" applyFill="1"/>
    <xf numFmtId="0" fontId="0" fillId="12" borderId="0" xfId="0" applyFill="1"/>
    <xf numFmtId="0" fontId="0" fillId="13" borderId="0" xfId="0" applyFill="1"/>
    <xf numFmtId="0" fontId="12" fillId="0" borderId="1" xfId="0" applyFont="1" applyBorder="1" applyAlignment="1">
      <alignment horizontal="center" vertical="center"/>
    </xf>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8" fillId="3" borderId="1" xfId="0" applyFont="1" applyFill="1" applyBorder="1" applyAlignment="1">
      <alignment horizontal="center" vertical="center"/>
    </xf>
    <xf numFmtId="165" fontId="7" fillId="3" borderId="1" xfId="0" applyNumberFormat="1" applyFont="1" applyFill="1" applyBorder="1" applyAlignment="1">
      <alignment vertical="center"/>
    </xf>
    <xf numFmtId="0" fontId="8" fillId="2" borderId="0" xfId="0" applyFont="1" applyFill="1" applyAlignment="1">
      <alignment horizontal="center" vertical="center"/>
    </xf>
    <xf numFmtId="0" fontId="16" fillId="0" borderId="0" xfId="0" applyFont="1" applyAlignment="1">
      <alignment vertical="top" wrapText="1"/>
    </xf>
    <xf numFmtId="0" fontId="16" fillId="0" borderId="0" xfId="0" applyFont="1"/>
    <xf numFmtId="0" fontId="1" fillId="0" borderId="0" xfId="0" applyFont="1" applyAlignment="1">
      <alignment horizontal="center" vertical="top"/>
    </xf>
    <xf numFmtId="0" fontId="0" fillId="0" borderId="0" xfId="0" applyAlignment="1">
      <alignment horizontal="center" vertical="top"/>
    </xf>
    <xf numFmtId="0" fontId="13" fillId="14" borderId="1" xfId="0" applyFont="1" applyFill="1" applyBorder="1" applyAlignment="1">
      <alignment horizontal="center" wrapText="1"/>
    </xf>
    <xf numFmtId="0" fontId="17" fillId="14" borderId="1" xfId="0" applyFont="1" applyFill="1" applyBorder="1" applyAlignment="1">
      <alignment horizontal="center" wrapText="1"/>
    </xf>
    <xf numFmtId="0" fontId="18" fillId="11" borderId="1" xfId="0" applyFont="1" applyFill="1" applyBorder="1" applyAlignment="1">
      <alignment horizontal="center" vertical="top"/>
    </xf>
    <xf numFmtId="0" fontId="18" fillId="15" borderId="1" xfId="0" applyFont="1" applyFill="1" applyBorder="1" applyAlignment="1">
      <alignment horizontal="center" vertical="top"/>
    </xf>
    <xf numFmtId="0" fontId="18" fillId="16" borderId="1" xfId="0" applyFont="1" applyFill="1" applyBorder="1" applyAlignment="1">
      <alignment horizontal="center" vertical="top"/>
    </xf>
    <xf numFmtId="0" fontId="18" fillId="17" borderId="1" xfId="0" applyFont="1" applyFill="1" applyBorder="1" applyAlignment="1">
      <alignment horizontal="center" vertical="top"/>
    </xf>
    <xf numFmtId="0" fontId="2" fillId="18"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0" fillId="19" borderId="0" xfId="0" applyFill="1"/>
    <xf numFmtId="0" fontId="0" fillId="15" borderId="0" xfId="0" applyFill="1"/>
    <xf numFmtId="0" fontId="0" fillId="16" borderId="0" xfId="0" applyFill="1"/>
    <xf numFmtId="0" fontId="0" fillId="17" borderId="0" xfId="0" applyFill="1"/>
    <xf numFmtId="0" fontId="0" fillId="18" borderId="0" xfId="0" applyFill="1"/>
    <xf numFmtId="167" fontId="0" fillId="3" borderId="0" xfId="0" applyNumberFormat="1" applyFill="1" applyAlignment="1">
      <alignment vertical="center"/>
    </xf>
    <xf numFmtId="0" fontId="19" fillId="3" borderId="1" xfId="0" applyFont="1" applyFill="1" applyBorder="1" applyAlignment="1">
      <alignment horizontal="left" vertical="center"/>
    </xf>
    <xf numFmtId="0" fontId="19" fillId="3" borderId="1" xfId="0" applyFont="1" applyFill="1" applyBorder="1" applyAlignment="1">
      <alignment wrapText="1"/>
    </xf>
    <xf numFmtId="0" fontId="19" fillId="3" borderId="1" xfId="0" applyFont="1" applyFill="1" applyBorder="1" applyAlignment="1">
      <alignment horizontal="right" vertical="center"/>
    </xf>
    <xf numFmtId="0" fontId="19" fillId="0" borderId="0" xfId="0" applyFont="1"/>
    <xf numFmtId="0" fontId="20" fillId="0" borderId="0" xfId="0" applyFont="1"/>
    <xf numFmtId="0" fontId="19" fillId="3" borderId="1" xfId="0" applyFont="1" applyFill="1" applyBorder="1" applyAlignment="1">
      <alignment horizontal="left" vertical="center" wrapText="1"/>
    </xf>
    <xf numFmtId="0" fontId="19" fillId="3" borderId="1" xfId="0" applyFont="1" applyFill="1" applyBorder="1" applyAlignment="1">
      <alignment vertical="top" wrapText="1"/>
    </xf>
    <xf numFmtId="0" fontId="21" fillId="0" borderId="0" xfId="0" applyFont="1"/>
    <xf numFmtId="0" fontId="7" fillId="0" borderId="0" xfId="0" applyFont="1"/>
    <xf numFmtId="0" fontId="22" fillId="0" borderId="0" xfId="0" applyFont="1"/>
    <xf numFmtId="0" fontId="2" fillId="11" borderId="1" xfId="0" applyFont="1" applyFill="1" applyBorder="1" applyAlignment="1">
      <alignment horizontal="center"/>
    </xf>
    <xf numFmtId="0" fontId="2" fillId="16" borderId="1" xfId="0" applyFont="1" applyFill="1" applyBorder="1" applyAlignment="1">
      <alignment horizontal="center"/>
    </xf>
    <xf numFmtId="166" fontId="0" fillId="0" borderId="1" xfId="0" applyNumberFormat="1" applyBorder="1" applyAlignment="1">
      <alignment horizontal="center"/>
    </xf>
    <xf numFmtId="0" fontId="20" fillId="16" borderId="0" xfId="0" applyFont="1" applyFill="1"/>
    <xf numFmtId="0" fontId="15" fillId="20" borderId="1" xfId="0" applyFont="1" applyFill="1" applyBorder="1" applyAlignment="1">
      <alignment horizontal="center"/>
    </xf>
    <xf numFmtId="0" fontId="15" fillId="15" borderId="1" xfId="0" applyFont="1" applyFill="1" applyBorder="1" applyAlignment="1">
      <alignment horizontal="center"/>
    </xf>
    <xf numFmtId="0" fontId="0" fillId="20" borderId="0" xfId="0" applyFill="1"/>
    <xf numFmtId="0" fontId="1" fillId="3" borderId="1" xfId="0" applyFont="1" applyFill="1" applyBorder="1" applyAlignment="1">
      <alignment vertical="center"/>
    </xf>
    <xf numFmtId="0" fontId="7" fillId="3" borderId="1" xfId="0" applyFont="1" applyFill="1" applyBorder="1" applyAlignment="1">
      <alignment horizontal="left"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5" fillId="19" borderId="1" xfId="0" applyFont="1" applyFill="1" applyBorder="1" applyAlignment="1">
      <alignment horizontal="center"/>
    </xf>
    <xf numFmtId="0" fontId="15" fillId="17" borderId="1" xfId="0" applyFont="1" applyFill="1" applyBorder="1" applyAlignment="1">
      <alignment horizontal="center"/>
    </xf>
    <xf numFmtId="0" fontId="15" fillId="16" borderId="1" xfId="0" applyFont="1" applyFill="1" applyBorder="1" applyAlignment="1">
      <alignment horizontal="center"/>
    </xf>
    <xf numFmtId="0" fontId="4" fillId="0" borderId="1" xfId="0" applyFont="1" applyBorder="1" applyAlignment="1">
      <alignment horizontal="center"/>
    </xf>
    <xf numFmtId="0" fontId="14" fillId="14" borderId="1" xfId="0" applyFont="1" applyFill="1" applyBorder="1" applyAlignment="1">
      <alignment horizontal="center" wrapText="1"/>
    </xf>
    <xf numFmtId="0" fontId="14" fillId="14" borderId="1" xfId="0" applyFont="1" applyFill="1" applyBorder="1" applyAlignment="1">
      <alignment wrapText="1"/>
    </xf>
    <xf numFmtId="0" fontId="23" fillId="19" borderId="0" xfId="0" applyFont="1" applyFill="1" applyAlignment="1">
      <alignment horizontal="center"/>
    </xf>
    <xf numFmtId="0" fontId="18" fillId="17" borderId="1" xfId="0" applyFont="1" applyFill="1" applyBorder="1" applyAlignment="1">
      <alignment horizontal="center"/>
    </xf>
    <xf numFmtId="0" fontId="15" fillId="21" borderId="1" xfId="0" applyFont="1" applyFill="1" applyBorder="1" applyAlignment="1">
      <alignment horizontal="center"/>
    </xf>
    <xf numFmtId="0" fontId="0" fillId="21" borderId="0" xfId="0" applyFill="1"/>
    <xf numFmtId="0" fontId="0" fillId="22" borderId="1" xfId="0" applyFill="1" applyBorder="1" applyAlignment="1">
      <alignment vertical="center"/>
    </xf>
    <xf numFmtId="0" fontId="15" fillId="7" borderId="1" xfId="0" applyFont="1" applyFill="1" applyBorder="1" applyAlignment="1">
      <alignment horizontal="center" wrapText="1"/>
    </xf>
    <xf numFmtId="0" fontId="15" fillId="7" borderId="1" xfId="0" applyFont="1" applyFill="1" applyBorder="1" applyAlignment="1">
      <alignment horizontal="center"/>
    </xf>
    <xf numFmtId="0" fontId="18" fillId="21" borderId="1" xfId="0" applyFont="1" applyFill="1" applyBorder="1" applyAlignment="1">
      <alignment horizontal="center"/>
    </xf>
    <xf numFmtId="0" fontId="18" fillId="13" borderId="1" xfId="0" applyFont="1" applyFill="1" applyBorder="1" applyAlignment="1">
      <alignment horizontal="center"/>
    </xf>
    <xf numFmtId="164" fontId="4" fillId="0" borderId="1" xfId="0" applyNumberFormat="1" applyFont="1" applyBorder="1" applyAlignment="1">
      <alignment horizontal="center"/>
    </xf>
    <xf numFmtId="20" fontId="0" fillId="0" borderId="1" xfId="0" applyNumberFormat="1" applyBorder="1" applyAlignment="1">
      <alignment horizontal="center"/>
    </xf>
    <xf numFmtId="168" fontId="0" fillId="0" borderId="1" xfId="0" applyNumberFormat="1" applyBorder="1" applyAlignment="1">
      <alignment horizontal="center"/>
    </xf>
    <xf numFmtId="20" fontId="0" fillId="0" borderId="1" xfId="0" applyNumberFormat="1" applyBorder="1" applyAlignment="1">
      <alignment horizontal="center" vertical="top"/>
    </xf>
    <xf numFmtId="0" fontId="0" fillId="7" borderId="0" xfId="0" applyFill="1"/>
    <xf numFmtId="0" fontId="18" fillId="21" borderId="0" xfId="0" applyFont="1" applyFill="1" applyAlignment="1">
      <alignment horizontal="center"/>
    </xf>
    <xf numFmtId="0" fontId="18" fillId="17" borderId="0" xfId="0" applyFont="1" applyFill="1" applyAlignment="1">
      <alignment horizontal="center"/>
    </xf>
    <xf numFmtId="0" fontId="18" fillId="22" borderId="1" xfId="0" applyFont="1" applyFill="1" applyBorder="1" applyAlignment="1">
      <alignment vertical="top" wrapText="1"/>
    </xf>
    <xf numFmtId="0" fontId="0" fillId="22" borderId="1" xfId="0" applyFill="1" applyBorder="1"/>
    <xf numFmtId="0" fontId="0" fillId="22" borderId="1" xfId="0" applyFill="1" applyBorder="1" applyAlignment="1">
      <alignment wrapText="1"/>
    </xf>
    <xf numFmtId="0" fontId="1" fillId="22" borderId="1" xfId="0" applyFont="1" applyFill="1" applyBorder="1"/>
    <xf numFmtId="0" fontId="20" fillId="22" borderId="1" xfId="0" applyFont="1" applyFill="1" applyBorder="1"/>
    <xf numFmtId="0" fontId="0" fillId="22" borderId="1" xfId="0" applyFill="1" applyBorder="1" applyAlignment="1">
      <alignment horizontal="left"/>
    </xf>
    <xf numFmtId="0" fontId="13" fillId="14" borderId="1" xfId="0" applyFont="1" applyFill="1" applyBorder="1" applyAlignment="1">
      <alignment horizontal="center"/>
    </xf>
    <xf numFmtId="0" fontId="23" fillId="19" borderId="1" xfId="0" applyFont="1" applyFill="1" applyBorder="1" applyAlignment="1">
      <alignment horizontal="center"/>
    </xf>
    <xf numFmtId="0" fontId="18" fillId="16" borderId="1" xfId="0" applyFont="1" applyFill="1" applyBorder="1" applyAlignment="1">
      <alignment horizontal="center"/>
    </xf>
    <xf numFmtId="0" fontId="18" fillId="18" borderId="1" xfId="0" applyFont="1" applyFill="1" applyBorder="1" applyAlignment="1">
      <alignment horizontal="center"/>
    </xf>
    <xf numFmtId="0" fontId="20" fillId="0" borderId="1" xfId="0" applyFont="1" applyBorder="1" applyAlignment="1">
      <alignment horizontal="center"/>
    </xf>
    <xf numFmtId="0" fontId="20" fillId="22" borderId="1" xfId="0" applyFont="1" applyFill="1" applyBorder="1" applyAlignment="1">
      <alignment wrapText="1"/>
    </xf>
    <xf numFmtId="0" fontId="18" fillId="7" borderId="1" xfId="0" applyFont="1" applyFill="1" applyBorder="1" applyAlignment="1">
      <alignment horizontal="center"/>
    </xf>
    <xf numFmtId="0" fontId="4" fillId="0" borderId="1" xfId="0" applyFont="1" applyBorder="1" applyAlignment="1">
      <alignment wrapText="1"/>
    </xf>
    <xf numFmtId="168" fontId="0" fillId="0" borderId="2" xfId="0" applyNumberFormat="1" applyBorder="1" applyAlignment="1">
      <alignment horizontal="center"/>
    </xf>
    <xf numFmtId="168" fontId="0" fillId="0" borderId="3" xfId="0" applyNumberFormat="1" applyBorder="1" applyAlignment="1">
      <alignment horizontal="center"/>
    </xf>
    <xf numFmtId="20" fontId="0" fillId="0" borderId="4" xfId="0" applyNumberFormat="1" applyBorder="1" applyAlignment="1">
      <alignment horizontal="center"/>
    </xf>
    <xf numFmtId="168" fontId="0" fillId="0" borderId="0" xfId="0" applyNumberFormat="1" applyAlignment="1">
      <alignment horizontal="center"/>
    </xf>
    <xf numFmtId="0" fontId="18" fillId="23" borderId="1" xfId="0" applyFont="1" applyFill="1" applyBorder="1" applyAlignment="1">
      <alignment horizontal="center"/>
    </xf>
    <xf numFmtId="169" fontId="20" fillId="0" borderId="1" xfId="0" applyNumberFormat="1" applyFont="1" applyBorder="1" applyAlignment="1">
      <alignment horizontal="center"/>
    </xf>
    <xf numFmtId="0" fontId="0" fillId="24" borderId="0" xfId="0" applyFill="1"/>
    <xf numFmtId="20" fontId="0" fillId="22" borderId="1" xfId="0" applyNumberFormat="1" applyFill="1" applyBorder="1" applyAlignment="1">
      <alignment horizontal="left"/>
    </xf>
    <xf numFmtId="0" fontId="13" fillId="25" borderId="1" xfId="0" applyFont="1" applyFill="1" applyBorder="1" applyAlignment="1">
      <alignment horizontal="center" wrapText="1"/>
    </xf>
    <xf numFmtId="0" fontId="18" fillId="19" borderId="1" xfId="0" applyFont="1" applyFill="1" applyBorder="1" applyAlignment="1">
      <alignment horizontal="center"/>
    </xf>
    <xf numFmtId="0" fontId="18" fillId="15" borderId="1" xfId="0" applyFont="1" applyFill="1" applyBorder="1" applyAlignment="1">
      <alignment horizontal="center"/>
    </xf>
    <xf numFmtId="0" fontId="4" fillId="0" borderId="1" xfId="0" applyFont="1" applyBorder="1" applyAlignment="1">
      <alignment horizontal="center" wrapText="1"/>
    </xf>
    <xf numFmtId="20" fontId="20" fillId="0" borderId="1" xfId="0" applyNumberFormat="1" applyFont="1" applyBorder="1" applyAlignment="1">
      <alignment horizontal="center"/>
    </xf>
    <xf numFmtId="21" fontId="20" fillId="0" borderId="0" xfId="0" applyNumberFormat="1" applyFont="1" applyAlignment="1">
      <alignment horizontal="center"/>
    </xf>
    <xf numFmtId="0" fontId="7" fillId="3" borderId="1" xfId="0" applyFont="1" applyFill="1" applyBorder="1" applyAlignment="1">
      <alignment wrapText="1"/>
    </xf>
    <xf numFmtId="0" fontId="1" fillId="22" borderId="1" xfId="0" applyFont="1" applyFill="1" applyBorder="1" applyAlignment="1">
      <alignment wrapText="1"/>
    </xf>
    <xf numFmtId="165" fontId="24" fillId="3" borderId="1" xfId="0" applyNumberFormat="1" applyFont="1" applyFill="1" applyBorder="1"/>
    <xf numFmtId="0" fontId="8" fillId="4" borderId="1" xfId="0" applyFont="1" applyFill="1" applyBorder="1" applyAlignment="1">
      <alignment vertical="center"/>
    </xf>
    <xf numFmtId="0" fontId="15" fillId="26" borderId="1" xfId="0" applyFont="1" applyFill="1" applyBorder="1" applyAlignment="1">
      <alignment horizontal="center"/>
    </xf>
    <xf numFmtId="0" fontId="18" fillId="21" borderId="2" xfId="0" applyFont="1" applyFill="1" applyBorder="1" applyAlignment="1">
      <alignment horizontal="center"/>
    </xf>
    <xf numFmtId="0" fontId="15" fillId="18" borderId="1" xfId="0" applyFont="1" applyFill="1" applyBorder="1" applyAlignment="1">
      <alignment horizontal="center"/>
    </xf>
    <xf numFmtId="170" fontId="0" fillId="0" borderId="1" xfId="0" applyNumberFormat="1" applyBorder="1" applyAlignment="1">
      <alignment horizontal="center"/>
    </xf>
    <xf numFmtId="0" fontId="0" fillId="0" borderId="3" xfId="0" applyBorder="1" applyAlignment="1">
      <alignment horizontal="center"/>
    </xf>
    <xf numFmtId="1" fontId="0" fillId="0" borderId="4"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20" fillId="22" borderId="1" xfId="0" applyFont="1" applyFill="1" applyBorder="1" applyAlignment="1">
      <alignment horizontal="left" wrapText="1"/>
    </xf>
    <xf numFmtId="0" fontId="17" fillId="22" borderId="1" xfId="0" applyFont="1" applyFill="1" applyBorder="1" applyAlignment="1">
      <alignment horizontal="center"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165" fontId="20" fillId="22" borderId="1" xfId="0" applyNumberFormat="1" applyFont="1" applyFill="1" applyBorder="1" applyAlignment="1">
      <alignment wrapText="1"/>
    </xf>
    <xf numFmtId="0" fontId="15" fillId="27" borderId="1" xfId="0" applyFont="1" applyFill="1" applyBorder="1" applyAlignment="1">
      <alignment horizontal="center"/>
    </xf>
    <xf numFmtId="170" fontId="4" fillId="0" borderId="1" xfId="0" applyNumberFormat="1" applyFont="1" applyBorder="1" applyAlignment="1">
      <alignment horizontal="center"/>
    </xf>
    <xf numFmtId="171" fontId="0" fillId="0" borderId="0" xfId="0" applyNumberFormat="1" applyAlignment="1">
      <alignment horizontal="center"/>
    </xf>
    <xf numFmtId="0" fontId="13" fillId="25" borderId="0" xfId="0" applyFont="1" applyFill="1" applyAlignment="1">
      <alignment horizontal="center" wrapText="1"/>
    </xf>
    <xf numFmtId="0" fontId="15" fillId="26" borderId="0" xfId="0" applyFont="1" applyFill="1" applyAlignment="1">
      <alignment horizontal="center"/>
    </xf>
    <xf numFmtId="0" fontId="25" fillId="28" borderId="0" xfId="0" applyFont="1" applyFill="1" applyAlignment="1">
      <alignment horizontal="center"/>
    </xf>
    <xf numFmtId="0" fontId="15" fillId="16" borderId="0" xfId="0" applyFont="1" applyFill="1" applyAlignment="1">
      <alignment horizontal="center"/>
    </xf>
    <xf numFmtId="0" fontId="15" fillId="7" borderId="0" xfId="0" applyFont="1" applyFill="1" applyAlignment="1">
      <alignment horizontal="center"/>
    </xf>
    <xf numFmtId="0" fontId="15" fillId="27" borderId="0" xfId="0" applyFont="1" applyFill="1" applyAlignment="1">
      <alignment horizontal="center"/>
    </xf>
    <xf numFmtId="0" fontId="15" fillId="17" borderId="0" xfId="0" applyFont="1" applyFill="1" applyAlignment="1">
      <alignment horizontal="center"/>
    </xf>
    <xf numFmtId="0" fontId="15" fillId="13" borderId="0" xfId="0" applyFont="1" applyFill="1" applyAlignment="1">
      <alignment horizont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9" fillId="5" borderId="1" xfId="0" applyFont="1" applyFill="1" applyBorder="1" applyAlignment="1">
      <alignment horizontal="center" vertical="center"/>
    </xf>
    <xf numFmtId="0" fontId="3"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75B5"/>
      <rgbColor rgb="FFADB9CA"/>
      <rgbColor rgb="FF70AD47"/>
      <rgbColor rgb="FFD0CECE"/>
      <rgbColor rgb="FF7030A0"/>
      <rgbColor rgb="FFFFE699"/>
      <rgbColor rgb="FFC0E6F5"/>
      <rgbColor rgb="FF660066"/>
      <rgbColor rgb="FFF7C7AC"/>
      <rgbColor rgb="FF0563C1"/>
      <rgbColor rgb="FFD0D0D0"/>
      <rgbColor rgb="FF000080"/>
      <rgbColor rgb="FFFF00FF"/>
      <rgbColor rgb="FFFFD966"/>
      <rgbColor rgb="FF00FFFF"/>
      <rgbColor rgb="FF800080"/>
      <rgbColor rgb="FF800000"/>
      <rgbColor rgb="FF008080"/>
      <rgbColor rgb="FF0000FF"/>
      <rgbColor rgb="FF00B0F0"/>
      <rgbColor rgb="FFD9D9D9"/>
      <rgbColor rgb="FFDBDBDB"/>
      <rgbColor rgb="FFFCFCAA"/>
      <rgbColor rgb="FF9DC3E6"/>
      <rgbColor rgb="FFF1ABE9"/>
      <rgbColor rgb="FFCC99FF"/>
      <rgbColor rgb="FFF8CBAD"/>
      <rgbColor rgb="FF2E75B6"/>
      <rgbColor rgb="FF33CCCC"/>
      <rgbColor rgb="FF92D050"/>
      <rgbColor rgb="FFFFC000"/>
      <rgbColor rgb="FFF2CEEF"/>
      <rgbColor rgb="FFC55A11"/>
      <rgbColor rgb="FF467886"/>
      <rgbColor rgb="FF8497B0"/>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16</xdr:col>
      <xdr:colOff>455760</xdr:colOff>
      <xdr:row>37</xdr:row>
      <xdr:rowOff>161280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81080"/>
          <a:ext cx="11967120" cy="66762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odelo_enriquesido_2.xlsx" TargetMode="External"/><Relationship Id="rId13" Type="http://schemas.openxmlformats.org/officeDocument/2006/relationships/hyperlink" Target="Modelo_enriquesido_2.xlsx" TargetMode="External"/><Relationship Id="rId18" Type="http://schemas.openxmlformats.org/officeDocument/2006/relationships/hyperlink" Target="Modelo_enriquesido_2.xlsx" TargetMode="External"/><Relationship Id="rId26" Type="http://schemas.openxmlformats.org/officeDocument/2006/relationships/hyperlink" Target="Modelo_enriquesido_2.xlsx" TargetMode="External"/><Relationship Id="rId3" Type="http://schemas.openxmlformats.org/officeDocument/2006/relationships/hyperlink" Target="Modelo_enriquesido_2.xlsx" TargetMode="External"/><Relationship Id="rId21" Type="http://schemas.openxmlformats.org/officeDocument/2006/relationships/hyperlink" Target="Modelo_enriquesido_2.xlsx" TargetMode="External"/><Relationship Id="rId7" Type="http://schemas.openxmlformats.org/officeDocument/2006/relationships/hyperlink" Target="Modelo_enriquesido_2.xlsx" TargetMode="External"/><Relationship Id="rId12" Type="http://schemas.openxmlformats.org/officeDocument/2006/relationships/hyperlink" Target="Modelo_enriquesido_2.xlsx" TargetMode="External"/><Relationship Id="rId17" Type="http://schemas.openxmlformats.org/officeDocument/2006/relationships/hyperlink" Target="Modelo_enriquesido_2.xlsx" TargetMode="External"/><Relationship Id="rId25"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6" Type="http://schemas.openxmlformats.org/officeDocument/2006/relationships/hyperlink" Target="Modelo_enriquesido_2.xlsx" TargetMode="External"/><Relationship Id="rId20" Type="http://schemas.openxmlformats.org/officeDocument/2006/relationships/hyperlink" Target="Modelo_enriquesido_2.xlsx" TargetMode="External"/><Relationship Id="rId29"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6" Type="http://schemas.openxmlformats.org/officeDocument/2006/relationships/hyperlink" Target="Modelo_enriquesido_2.xlsx" TargetMode="External"/><Relationship Id="rId11" Type="http://schemas.openxmlformats.org/officeDocument/2006/relationships/hyperlink" Target="Modelo_enriquesido_2.xlsx" TargetMode="External"/><Relationship Id="rId24" Type="http://schemas.openxmlformats.org/officeDocument/2006/relationships/hyperlink" Target="Modelo_enriquesido_2.xlsx" TargetMode="External"/><Relationship Id="rId32" Type="http://schemas.openxmlformats.org/officeDocument/2006/relationships/hyperlink" Target="Modelo_enriquesido_2.xlsx" TargetMode="External"/><Relationship Id="rId5" Type="http://schemas.openxmlformats.org/officeDocument/2006/relationships/hyperlink" Target="Modelo_enriquesido_2.xlsx" TargetMode="External"/><Relationship Id="rId15" Type="http://schemas.openxmlformats.org/officeDocument/2006/relationships/hyperlink" Target="Modelo_enriquesido_2.xlsx" TargetMode="External"/><Relationship Id="rId23" Type="http://schemas.openxmlformats.org/officeDocument/2006/relationships/hyperlink" Target="Modelo_enriquesido_2.xlsx" TargetMode="External"/><Relationship Id="rId28" Type="http://schemas.openxmlformats.org/officeDocument/2006/relationships/hyperlink" Target="Modelo_enriquesido_2.xlsx" TargetMode="External"/><Relationship Id="rId10" Type="http://schemas.openxmlformats.org/officeDocument/2006/relationships/hyperlink" Target="Modelo_enriquesido_2.xlsx" TargetMode="External"/><Relationship Id="rId19" Type="http://schemas.openxmlformats.org/officeDocument/2006/relationships/hyperlink" Target="Modelo_enriquesido_2.xlsx" TargetMode="External"/><Relationship Id="rId31" Type="http://schemas.openxmlformats.org/officeDocument/2006/relationships/hyperlink" Target="Modelo_enriquesido_2.xlsx" TargetMode="External"/><Relationship Id="rId4" Type="http://schemas.openxmlformats.org/officeDocument/2006/relationships/hyperlink" Target="Modelo_enriquesido_2.xlsx" TargetMode="External"/><Relationship Id="rId9" Type="http://schemas.openxmlformats.org/officeDocument/2006/relationships/hyperlink" Target="Modelo_enriquesido_2.xlsx" TargetMode="External"/><Relationship Id="rId14" Type="http://schemas.openxmlformats.org/officeDocument/2006/relationships/hyperlink" Target="Modelo_enriquesido_2.xlsx" TargetMode="External"/><Relationship Id="rId22" Type="http://schemas.openxmlformats.org/officeDocument/2006/relationships/hyperlink" Target="Modelo_enriquesido_2.xlsx" TargetMode="External"/><Relationship Id="rId27" Type="http://schemas.openxmlformats.org/officeDocument/2006/relationships/hyperlink" Target="Modelo_enriquesido_2.xlsx" TargetMode="External"/><Relationship Id="rId30" Type="http://schemas.openxmlformats.org/officeDocument/2006/relationships/hyperlink" Target="Modelo_enriquesido_2.xlsx"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49.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61.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odelo_enriquesido_2.xlsx" TargetMode="External"/><Relationship Id="rId2" Type="http://schemas.openxmlformats.org/officeDocument/2006/relationships/hyperlink" Target="Modelo_enriquesido_2.xlsx" TargetMode="External"/><Relationship Id="rId1" Type="http://schemas.openxmlformats.org/officeDocument/2006/relationships/hyperlink" Target="Modelo_enriquesido_2.xlsx" TargetMode="External"/><Relationship Id="rId4" Type="http://schemas.openxmlformats.org/officeDocument/2006/relationships/hyperlink" Target="Modelo_enriquesido_2.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heetViews>
  <sheetFormatPr baseColWidth="10" defaultColWidth="9.140625" defaultRowHeight="15" x14ac:dyDescent="0.25"/>
  <cols>
    <col min="1" max="1" width="26.140625" customWidth="1"/>
  </cols>
  <sheetData>
    <row r="1" spans="1:30" ht="14.25" customHeight="1" x14ac:dyDescent="0.25">
      <c r="A1" s="13"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30" ht="14.25" customHeight="1" x14ac:dyDescent="0.25">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spans="1:30" ht="14.25" customHeight="1"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spans="1:30" ht="14.25" customHeight="1"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spans="1:30" ht="14.25" customHeight="1"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spans="1:30" ht="14.25" customHeight="1"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row>
    <row r="7" spans="1:30" ht="14.25" customHeight="1"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row>
    <row r="8" spans="1:30" ht="14.25" customHeight="1"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spans="1:30" ht="14.25" customHeight="1"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row>
    <row r="10" spans="1:30" ht="14.25" customHeight="1"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spans="1:30" ht="14.25" customHeigh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spans="1:30" ht="14.25" customHeight="1"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spans="1:30" ht="14.25" customHeight="1"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spans="1:30" ht="14.25" customHeight="1"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spans="1:30" ht="14.25" customHeight="1"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spans="1:30" ht="14.25" customHeight="1"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spans="1:30" ht="14.25" customHeight="1"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spans="1:30" ht="14.25" customHeight="1"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spans="1:30" ht="14.25" customHeight="1"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spans="1:30" ht="14.25" customHeight="1"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spans="1:30" ht="14.2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spans="1:30" ht="14.2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spans="1:30" ht="14.2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spans="1:30" ht="14.2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1:30" ht="14.2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spans="1:30" ht="14.2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spans="1:30" ht="14.2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spans="1:30" ht="14.2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spans="1:30" ht="14.2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spans="1:30" ht="14.2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spans="1:30" ht="14.2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spans="1:30" ht="14.2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spans="1:30" ht="14.2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spans="1:30" ht="14.2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spans="1:30" ht="14.2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spans="1:30" ht="14.2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spans="1:30" ht="14.2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spans="1:30" ht="14.2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spans="1:30" ht="14.2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spans="1:30" ht="14.2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spans="1:30" ht="14.2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spans="1:30" ht="14.2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spans="1:30" ht="14.2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30" ht="14.2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spans="1:30" ht="14.2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spans="1:30" ht="14.2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30" ht="14.2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spans="1:30" ht="14.2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spans="1:30" ht="14.2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4.2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zoomScaleNormal="100" workbookViewId="0">
      <selection activeCell="C16" sqref="C16"/>
    </sheetView>
  </sheetViews>
  <sheetFormatPr baseColWidth="10" defaultColWidth="10.7109375" defaultRowHeight="15" x14ac:dyDescent="0.25"/>
  <cols>
    <col min="1" max="1" width="27" customWidth="1"/>
    <col min="2" max="2" width="48.28515625" customWidth="1"/>
    <col min="3" max="3" width="12.5703125" customWidth="1"/>
    <col min="4" max="4" width="13.28515625" customWidth="1"/>
    <col min="5" max="5" width="19.42578125" customWidth="1"/>
    <col min="6" max="6" width="18.28515625" bestFit="1" customWidth="1"/>
    <col min="7" max="7" width="14.28515625" bestFit="1" customWidth="1"/>
  </cols>
  <sheetData>
    <row r="1" spans="1:7" ht="14.25" customHeight="1" x14ac:dyDescent="0.25">
      <c r="A1" s="13" t="s">
        <v>1</v>
      </c>
    </row>
    <row r="2" spans="1:7" ht="14.25" customHeight="1" x14ac:dyDescent="0.25">
      <c r="A2" s="15" t="s">
        <v>2</v>
      </c>
      <c r="B2" s="15" t="s">
        <v>3</v>
      </c>
      <c r="C2" s="15" t="s">
        <v>4</v>
      </c>
      <c r="D2" s="15" t="s">
        <v>5</v>
      </c>
      <c r="E2" s="15" t="s">
        <v>6</v>
      </c>
      <c r="F2" s="15" t="s">
        <v>7</v>
      </c>
      <c r="G2" s="187" t="s">
        <v>8</v>
      </c>
    </row>
    <row r="3" spans="1:7" ht="45" customHeight="1" x14ac:dyDescent="0.25">
      <c r="A3" s="16" t="s">
        <v>9</v>
      </c>
      <c r="B3" s="17" t="s">
        <v>10</v>
      </c>
      <c r="C3" s="18">
        <v>1</v>
      </c>
      <c r="D3" s="19" t="s">
        <v>11</v>
      </c>
      <c r="E3" s="19" t="s">
        <v>12</v>
      </c>
      <c r="F3" s="20" t="s">
        <v>13</v>
      </c>
      <c r="G3" s="20" t="s">
        <v>14</v>
      </c>
    </row>
    <row r="4" spans="1:7" ht="60" customHeight="1" x14ac:dyDescent="0.25">
      <c r="A4" s="16" t="s">
        <v>15</v>
      </c>
      <c r="B4" s="21" t="s">
        <v>16</v>
      </c>
      <c r="C4" s="16">
        <v>1</v>
      </c>
      <c r="D4" s="19" t="s">
        <v>11</v>
      </c>
      <c r="E4" s="19" t="s">
        <v>12</v>
      </c>
      <c r="F4" s="20" t="s">
        <v>13</v>
      </c>
      <c r="G4" s="20" t="s">
        <v>14</v>
      </c>
    </row>
    <row r="5" spans="1:7" ht="45" customHeight="1" x14ac:dyDescent="0.25">
      <c r="A5" s="16" t="s">
        <v>17</v>
      </c>
      <c r="B5" s="21" t="s">
        <v>18</v>
      </c>
      <c r="C5" s="16">
        <v>1</v>
      </c>
      <c r="D5" s="19" t="s">
        <v>11</v>
      </c>
      <c r="E5" s="19" t="s">
        <v>12</v>
      </c>
      <c r="F5" s="20" t="s">
        <v>13</v>
      </c>
      <c r="G5" s="20" t="s">
        <v>14</v>
      </c>
    </row>
    <row r="6" spans="1:7" ht="75" customHeight="1" x14ac:dyDescent="0.25">
      <c r="A6" s="16" t="s">
        <v>19</v>
      </c>
      <c r="B6" s="21" t="s">
        <v>20</v>
      </c>
      <c r="C6" s="16">
        <v>1</v>
      </c>
      <c r="D6" s="19" t="s">
        <v>11</v>
      </c>
      <c r="E6" s="19" t="s">
        <v>12</v>
      </c>
      <c r="F6" s="20" t="s">
        <v>13</v>
      </c>
      <c r="G6" s="20" t="s">
        <v>14</v>
      </c>
    </row>
    <row r="7" spans="1:7" ht="45" customHeight="1" x14ac:dyDescent="0.25">
      <c r="A7" s="16" t="s">
        <v>21</v>
      </c>
      <c r="B7" s="21" t="s">
        <v>22</v>
      </c>
      <c r="C7" s="16">
        <v>1</v>
      </c>
      <c r="D7" s="19" t="s">
        <v>11</v>
      </c>
      <c r="E7" s="19" t="s">
        <v>12</v>
      </c>
      <c r="F7" s="20" t="s">
        <v>13</v>
      </c>
      <c r="G7" s="20" t="s">
        <v>14</v>
      </c>
    </row>
    <row r="8" spans="1:7" ht="30" customHeight="1" x14ac:dyDescent="0.25">
      <c r="A8" s="16" t="s">
        <v>23</v>
      </c>
      <c r="B8" s="21" t="s">
        <v>24</v>
      </c>
      <c r="C8" s="16">
        <v>1</v>
      </c>
      <c r="D8" s="19" t="s">
        <v>11</v>
      </c>
      <c r="E8" s="19" t="s">
        <v>12</v>
      </c>
      <c r="F8" s="20" t="s">
        <v>13</v>
      </c>
      <c r="G8" s="20" t="s">
        <v>14</v>
      </c>
    </row>
    <row r="9" spans="1:7" ht="49.5" customHeight="1" x14ac:dyDescent="0.25">
      <c r="A9" s="16" t="s">
        <v>25</v>
      </c>
      <c r="B9" s="21" t="s">
        <v>26</v>
      </c>
      <c r="C9" s="16">
        <v>2</v>
      </c>
      <c r="D9" s="19" t="s">
        <v>11</v>
      </c>
      <c r="E9" s="19" t="s">
        <v>12</v>
      </c>
      <c r="F9" s="20" t="s">
        <v>13</v>
      </c>
      <c r="G9" s="20" t="s">
        <v>14</v>
      </c>
    </row>
    <row r="10" spans="1:7" ht="45" customHeight="1" x14ac:dyDescent="0.25">
      <c r="A10" s="16" t="s">
        <v>27</v>
      </c>
      <c r="B10" s="21" t="s">
        <v>28</v>
      </c>
      <c r="C10" s="16">
        <v>2</v>
      </c>
      <c r="D10" s="19" t="s">
        <v>11</v>
      </c>
      <c r="E10" s="19" t="s">
        <v>12</v>
      </c>
      <c r="F10" s="20" t="s">
        <v>13</v>
      </c>
      <c r="G10" s="20" t="s">
        <v>14</v>
      </c>
    </row>
    <row r="11" spans="1:7" ht="45" customHeight="1" x14ac:dyDescent="0.25">
      <c r="A11" s="16" t="s">
        <v>29</v>
      </c>
      <c r="B11" s="21" t="s">
        <v>30</v>
      </c>
      <c r="C11" s="16">
        <v>2</v>
      </c>
      <c r="D11" s="19" t="s">
        <v>11</v>
      </c>
      <c r="E11" s="19" t="s">
        <v>12</v>
      </c>
      <c r="F11" s="20" t="s">
        <v>13</v>
      </c>
      <c r="G11" s="20" t="s">
        <v>14</v>
      </c>
    </row>
    <row r="12" spans="1:7" ht="60" customHeight="1" x14ac:dyDescent="0.25">
      <c r="A12" s="16" t="s">
        <v>31</v>
      </c>
      <c r="B12" s="21" t="s">
        <v>32</v>
      </c>
      <c r="C12" s="16">
        <v>3</v>
      </c>
      <c r="D12" s="19" t="s">
        <v>11</v>
      </c>
      <c r="E12" s="19" t="s">
        <v>12</v>
      </c>
      <c r="F12" s="20" t="s">
        <v>13</v>
      </c>
      <c r="G12" s="20" t="s">
        <v>14</v>
      </c>
    </row>
    <row r="13" spans="1:7" ht="45" customHeight="1" x14ac:dyDescent="0.25">
      <c r="A13" s="16" t="s">
        <v>33</v>
      </c>
      <c r="B13" s="21" t="s">
        <v>34</v>
      </c>
      <c r="C13" s="16">
        <v>3</v>
      </c>
      <c r="D13" s="19" t="s">
        <v>11</v>
      </c>
      <c r="E13" s="19" t="s">
        <v>12</v>
      </c>
      <c r="F13" s="20" t="s">
        <v>13</v>
      </c>
      <c r="G13" s="20" t="s">
        <v>14</v>
      </c>
    </row>
    <row r="14" spans="1:7" ht="60" customHeight="1" x14ac:dyDescent="0.25">
      <c r="A14" s="16" t="s">
        <v>35</v>
      </c>
      <c r="B14" s="21" t="s">
        <v>36</v>
      </c>
      <c r="C14" s="16">
        <v>4</v>
      </c>
      <c r="D14" s="19" t="s">
        <v>11</v>
      </c>
      <c r="E14" s="19" t="s">
        <v>12</v>
      </c>
      <c r="F14" s="20" t="s">
        <v>13</v>
      </c>
      <c r="G14" s="20" t="s">
        <v>14</v>
      </c>
    </row>
    <row r="15" spans="1:7" ht="60" customHeight="1" x14ac:dyDescent="0.25">
      <c r="A15" s="16" t="s">
        <v>37</v>
      </c>
      <c r="B15" s="21" t="s">
        <v>38</v>
      </c>
      <c r="C15" s="16">
        <v>5</v>
      </c>
      <c r="D15" s="22" t="s">
        <v>11</v>
      </c>
      <c r="E15" s="22" t="s">
        <v>12</v>
      </c>
      <c r="F15" s="20" t="s">
        <v>13</v>
      </c>
      <c r="G15" s="20" t="s">
        <v>14</v>
      </c>
    </row>
    <row r="16" spans="1:7" ht="60" customHeight="1" x14ac:dyDescent="0.25">
      <c r="A16" s="16" t="s">
        <v>39</v>
      </c>
      <c r="B16" s="21" t="s">
        <v>40</v>
      </c>
      <c r="C16" s="16">
        <v>5</v>
      </c>
      <c r="D16" s="19" t="s">
        <v>11</v>
      </c>
      <c r="E16" s="19" t="s">
        <v>12</v>
      </c>
      <c r="F16" s="20" t="s">
        <v>13</v>
      </c>
      <c r="G16" s="20" t="s">
        <v>14</v>
      </c>
    </row>
    <row r="17" spans="1:7" ht="75" customHeight="1" x14ac:dyDescent="0.25">
      <c r="A17" s="16" t="s">
        <v>41</v>
      </c>
      <c r="B17" s="21" t="s">
        <v>42</v>
      </c>
      <c r="C17" s="16">
        <v>6</v>
      </c>
      <c r="D17" s="19" t="s">
        <v>11</v>
      </c>
      <c r="E17" s="19" t="s">
        <v>12</v>
      </c>
      <c r="F17" s="20" t="s">
        <v>13</v>
      </c>
      <c r="G17" s="20" t="s">
        <v>14</v>
      </c>
    </row>
    <row r="18" spans="1:7" ht="60" customHeight="1" x14ac:dyDescent="0.25">
      <c r="A18" s="16" t="s">
        <v>43</v>
      </c>
      <c r="B18" s="21" t="s">
        <v>44</v>
      </c>
      <c r="C18" s="16">
        <v>6</v>
      </c>
      <c r="D18" s="19" t="s">
        <v>11</v>
      </c>
      <c r="E18" s="19" t="s">
        <v>12</v>
      </c>
      <c r="F18" s="20" t="s">
        <v>13</v>
      </c>
      <c r="G18" s="20" t="s">
        <v>14</v>
      </c>
    </row>
  </sheetData>
  <hyperlinks>
    <hyperlink ref="A1" location="'Modelo de Dominio'!A1" display="&lt;&lt;&lt;&lt; Ir al modulo de dominio" xr:uid="{00000000-0004-0000-0100-000000000000}"/>
    <hyperlink ref="D3" location="'M-DiaSemana'!A3" display="Ir al muestreo" xr:uid="{00000000-0004-0000-0100-000001000000}"/>
    <hyperlink ref="E3" location="'C-DiaSemana'!A3" display="Ir a la caracterización" xr:uid="{00000000-0004-0000-0100-000002000000}"/>
    <hyperlink ref="F3" r:id="rId1" location="'E-DiaSemana'!A1" xr:uid="{00000000-0004-0000-0100-000003000000}"/>
    <hyperlink ref="G3" r:id="rId2" location="'P-DiaSemana'!A1" xr:uid="{00000000-0004-0000-0100-000004000000}"/>
    <hyperlink ref="D4" location="'M-Estado'!A3" display="Ir al muestreo" xr:uid="{00000000-0004-0000-0100-000005000000}"/>
    <hyperlink ref="E4" location="'C-Estado'!A3" display="Ir a la caracterización" xr:uid="{00000000-0004-0000-0100-000006000000}"/>
    <hyperlink ref="F4" r:id="rId3" location="'E-Estado'!A1" xr:uid="{00000000-0004-0000-0100-000007000000}"/>
    <hyperlink ref="G4" r:id="rId4" location="'P-Estado'!A1" xr:uid="{00000000-0004-0000-0100-000008000000}"/>
    <hyperlink ref="D5" location="'M-Servicio'!A3" display="Ir al muestreo" xr:uid="{00000000-0004-0000-0100-000009000000}"/>
    <hyperlink ref="E5" location="'C-Servicio'!A3" display="Ir a la caracterización" xr:uid="{00000000-0004-0000-0100-00000A000000}"/>
    <hyperlink ref="F5" r:id="rId5" location="'E-Servicio'!A1" xr:uid="{00000000-0004-0000-0100-00000B000000}"/>
    <hyperlink ref="G5" r:id="rId6" location="'P-Servicio'!A1" xr:uid="{00000000-0004-0000-0100-00000C000000}"/>
    <hyperlink ref="D6" location="'M-Regla'!A3" display="Ir al muestreo" xr:uid="{00000000-0004-0000-0100-00000D000000}"/>
    <hyperlink ref="E6" location="'C-Regla'!A3" display="Ir a la caracterización" xr:uid="{00000000-0004-0000-0100-00000E000000}"/>
    <hyperlink ref="F6" r:id="rId7" location="'E-Regla'!A1" xr:uid="{00000000-0004-0000-0100-00000F000000}"/>
    <hyperlink ref="G6" r:id="rId8" location="'P-Regla'!A1" xr:uid="{00000000-0004-0000-0100-000010000000}"/>
    <hyperlink ref="D7" location="'M-PrefijoCelular'!A3" display="Ir al muestreo" xr:uid="{00000000-0004-0000-0100-000011000000}"/>
    <hyperlink ref="E7" location="'C-PrefijoCelular'!A3" display="Ir a la caracterización" xr:uid="{00000000-0004-0000-0100-000012000000}"/>
    <hyperlink ref="F7" r:id="rId9" location="'E-PrefijoCelular'!A1" xr:uid="{00000000-0004-0000-0100-000013000000}"/>
    <hyperlink ref="G7" r:id="rId10" location="'P-PrefijoCelular'!A1" xr:uid="{00000000-0004-0000-0100-000014000000}"/>
    <hyperlink ref="D8" location="'M-TipoMulta'!A3" display="Ir al muestreo" xr:uid="{00000000-0004-0000-0100-000015000000}"/>
    <hyperlink ref="E8" location="'C-TipoMulta'!A3" display="Ir a la caracterización" xr:uid="{00000000-0004-0000-0100-000016000000}"/>
    <hyperlink ref="F8" r:id="rId11" location="'E-TipoMulta'!A1" xr:uid="{00000000-0004-0000-0100-000017000000}"/>
    <hyperlink ref="G8" r:id="rId12" location="'P-TipoMulta'!A1" xr:uid="{00000000-0004-0000-0100-000018000000}"/>
    <hyperlink ref="D9" location="'M-Barbero'!A3" display="Ir al muestreo" xr:uid="{00000000-0004-0000-0100-000019000000}"/>
    <hyperlink ref="E9" location="'C-Barbero'!A3" display="Ir a la caracterización" xr:uid="{00000000-0004-0000-0100-00001A000000}"/>
    <hyperlink ref="F9" r:id="rId13" location="'E-Barbero'!A1" xr:uid="{00000000-0004-0000-0100-00001B000000}"/>
    <hyperlink ref="G9" r:id="rId14" location="'P-Barbero'!A1" xr:uid="{00000000-0004-0000-0100-00001C000000}"/>
    <hyperlink ref="D10" location="'M-Cliente'!A3" display="Ir al muestreo" xr:uid="{00000000-0004-0000-0100-00001D000000}"/>
    <hyperlink ref="E10" location="'C-Cliente'!A3" display="Ir a la caracterización" xr:uid="{00000000-0004-0000-0100-00001E000000}"/>
    <hyperlink ref="F10" r:id="rId15" location="'E-Cliente'!A1" xr:uid="{00000000-0004-0000-0100-00001F000000}"/>
    <hyperlink ref="G10" r:id="rId16" location="'P-Cliente'!A1" xr:uid="{00000000-0004-0000-0100-000020000000}"/>
    <hyperlink ref="D11" location="'M-HorarioBarberia'!A3" display="Ir al muestreo" xr:uid="{00000000-0004-0000-0100-000021000000}"/>
    <hyperlink ref="E11" location="'C-HorarioBarberia'!A3" display="Ir a la caracterización" xr:uid="{00000000-0004-0000-0100-000022000000}"/>
    <hyperlink ref="F11" r:id="rId17" location="'E-HorarioBarberia'!A1" xr:uid="{00000000-0004-0000-0100-000023000000}"/>
    <hyperlink ref="G11" r:id="rId18" location="'P-HorarioBarberia'!A1" xr:uid="{00000000-0004-0000-0100-000024000000}"/>
    <hyperlink ref="D12" location="'M-BarberoServicio'!A3" display="Ir al muestreo" xr:uid="{00000000-0004-0000-0100-000025000000}"/>
    <hyperlink ref="E12" location="'C-BarberoServicio'!A3" display="Ir a la caracterización" xr:uid="{00000000-0004-0000-0100-000026000000}"/>
    <hyperlink ref="F12" r:id="rId19" location="'E-BarberoServicio'!A1" xr:uid="{00000000-0004-0000-0100-000027000000}"/>
    <hyperlink ref="G12" r:id="rId20" location="'P-BarberoServicio'!A1" xr:uid="{00000000-0004-0000-0100-000028000000}"/>
    <hyperlink ref="D13" location="'M-HorarioBarbero'!A3" display="Ir al muestreo" xr:uid="{00000000-0004-0000-0100-000029000000}"/>
    <hyperlink ref="E13" location="'C-HorarioBarbero'!A3" display="Ir a la caracterización" xr:uid="{00000000-0004-0000-0100-00002A000000}"/>
    <hyperlink ref="F13" r:id="rId21" location="'E-HorarioBarbero'!A1" xr:uid="{00000000-0004-0000-0100-00002B000000}"/>
    <hyperlink ref="G13" r:id="rId22" location="'P-HorarioBarbero'!A1" xr:uid="{00000000-0004-0000-0100-00002C000000}"/>
    <hyperlink ref="D14" location="'M-Agenda'!A3" display="Ir al muestreo" xr:uid="{00000000-0004-0000-0100-00002D000000}"/>
    <hyperlink ref="E14" location="'C-Agenda'!A3" display="Ir a la caracterización" xr:uid="{00000000-0004-0000-0100-00002E000000}"/>
    <hyperlink ref="F14" r:id="rId23" location="'E-Agenda'!A1" xr:uid="{00000000-0004-0000-0100-00002F000000}"/>
    <hyperlink ref="G14" r:id="rId24" location="'P-Agenda'!A1" xr:uid="{00000000-0004-0000-0100-000030000000}"/>
    <hyperlink ref="D15" location="'M-Bloqueo'!A3" display="Ir al muestreo" xr:uid="{00000000-0004-0000-0100-000031000000}"/>
    <hyperlink ref="E15" location="'C-Bloqueo'!A3" display="Ir a la caracterización" xr:uid="{00000000-0004-0000-0100-000032000000}"/>
    <hyperlink ref="F15" r:id="rId25" location="'E-Bloqueo'!A1" xr:uid="{00000000-0004-0000-0100-000033000000}"/>
    <hyperlink ref="G15" r:id="rId26" location="'P-Bloqueo'!A1" xr:uid="{00000000-0004-0000-0100-000034000000}"/>
    <hyperlink ref="D16" location="'M-Cita'!A3" display="Ir al muestreo" xr:uid="{00000000-0004-0000-0100-000035000000}"/>
    <hyperlink ref="E16" location="'C-Cita'!A3" display="Ir a la caracterización" xr:uid="{00000000-0004-0000-0100-000036000000}"/>
    <hyperlink ref="F16" r:id="rId27" location="'E-Cita'!A1" xr:uid="{00000000-0004-0000-0100-000037000000}"/>
    <hyperlink ref="G16" r:id="rId28" location="'P-Cita'!A1" xr:uid="{00000000-0004-0000-0100-000038000000}"/>
    <hyperlink ref="D17" location="'M-CitaServicio'!A3" display="Ir al muestreo" xr:uid="{00000000-0004-0000-0100-000039000000}"/>
    <hyperlink ref="E17" location="'C-CitaServicio'!A3" display="Ir a la caracterización" xr:uid="{00000000-0004-0000-0100-00003A000000}"/>
    <hyperlink ref="F17" r:id="rId29" location="'E-CitaServicio'!A1" xr:uid="{00000000-0004-0000-0100-00003B000000}"/>
    <hyperlink ref="G17" r:id="rId30" location="'P-CitaServicio'!A1" xr:uid="{00000000-0004-0000-0100-00003C000000}"/>
    <hyperlink ref="D18" location="'M-Multa'!A3" display="Ir al muestreo" xr:uid="{00000000-0004-0000-0100-00003D000000}"/>
    <hyperlink ref="E18" location="'C-Multa'!A3" display="Ir a la caracterización" xr:uid="{00000000-0004-0000-0100-00003E000000}"/>
    <hyperlink ref="F18" r:id="rId31" location="'E-Multa'!A1" xr:uid="{00000000-0004-0000-0100-00003F000000}"/>
    <hyperlink ref="G18" r:id="rId32" location="'P-Multa'!A1" xr:uid="{00000000-0004-0000-0100-000040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Normal="100"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13" t="s">
        <v>1</v>
      </c>
      <c r="B1" s="13" t="s">
        <v>45</v>
      </c>
    </row>
    <row r="2" spans="1:21" s="25" customFormat="1" ht="15" customHeight="1" x14ac:dyDescent="0.25">
      <c r="A2" s="23" t="s">
        <v>46</v>
      </c>
      <c r="B2" s="24" t="s">
        <v>47</v>
      </c>
      <c r="C2" s="23" t="s">
        <v>48</v>
      </c>
      <c r="D2" s="23" t="s">
        <v>49</v>
      </c>
      <c r="E2" s="23" t="s">
        <v>50</v>
      </c>
      <c r="F2" s="23" t="s">
        <v>51</v>
      </c>
      <c r="G2" s="23" t="s">
        <v>52</v>
      </c>
      <c r="H2" s="23" t="s">
        <v>53</v>
      </c>
      <c r="I2" s="23" t="s">
        <v>54</v>
      </c>
      <c r="J2" s="23" t="s">
        <v>55</v>
      </c>
      <c r="K2" s="23" t="s">
        <v>56</v>
      </c>
      <c r="L2" s="23" t="s">
        <v>57</v>
      </c>
      <c r="M2" s="24" t="s">
        <v>58</v>
      </c>
      <c r="N2" s="23" t="s">
        <v>59</v>
      </c>
      <c r="O2" s="23" t="s">
        <v>60</v>
      </c>
      <c r="P2" s="23" t="s">
        <v>61</v>
      </c>
      <c r="Q2" s="23" t="s">
        <v>62</v>
      </c>
      <c r="R2" s="23" t="s">
        <v>63</v>
      </c>
      <c r="S2" s="23" t="s">
        <v>64</v>
      </c>
      <c r="T2" s="23" t="s">
        <v>65</v>
      </c>
      <c r="U2" s="23" t="s">
        <v>66</v>
      </c>
    </row>
    <row r="3" spans="1:21" ht="45" customHeight="1" x14ac:dyDescent="0.25">
      <c r="A3" s="26" t="str">
        <f>'M-DiaSemana'!A3</f>
        <v>id</v>
      </c>
      <c r="B3" s="27" t="str">
        <f>'M-DiaSemana'!A2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6" t="s">
        <v>69</v>
      </c>
      <c r="N3" s="26" t="s">
        <v>70</v>
      </c>
      <c r="O3" s="26" t="s">
        <v>69</v>
      </c>
      <c r="P3" s="26" t="s">
        <v>69</v>
      </c>
      <c r="Q3" s="26" t="s">
        <v>69</v>
      </c>
      <c r="R3" s="26" t="s">
        <v>69</v>
      </c>
      <c r="S3" s="26" t="s">
        <v>70</v>
      </c>
      <c r="T3" s="26" t="s">
        <v>71</v>
      </c>
      <c r="U3" s="26" t="s">
        <v>67</v>
      </c>
    </row>
    <row r="4" spans="1:21" ht="45" customHeight="1" x14ac:dyDescent="0.25">
      <c r="A4" s="26" t="str">
        <f>'M-DiaSemana'!B3</f>
        <v>nombre</v>
      </c>
      <c r="B4" s="27" t="str">
        <f>'M-DiaSemana'!B2</f>
        <v>Representa como se llama el dia de la semana, para los horarios</v>
      </c>
      <c r="C4" s="26" t="s">
        <v>70</v>
      </c>
      <c r="D4" s="26" t="s">
        <v>72</v>
      </c>
      <c r="E4" s="26" t="s">
        <v>67</v>
      </c>
      <c r="F4" s="26">
        <v>5</v>
      </c>
      <c r="G4" s="26">
        <v>9</v>
      </c>
      <c r="H4" s="26" t="s">
        <v>69</v>
      </c>
      <c r="I4" s="26" t="s">
        <v>69</v>
      </c>
      <c r="J4" s="26" t="s">
        <v>69</v>
      </c>
      <c r="K4" s="26" t="s">
        <v>69</v>
      </c>
      <c r="L4" s="26" t="s">
        <v>69</v>
      </c>
      <c r="M4" s="27" t="s">
        <v>73</v>
      </c>
      <c r="N4" s="26" t="s">
        <v>70</v>
      </c>
      <c r="O4" s="26" t="s">
        <v>69</v>
      </c>
      <c r="P4" s="26" t="s">
        <v>69</v>
      </c>
      <c r="Q4" s="26" t="s">
        <v>67</v>
      </c>
      <c r="R4" s="26" t="s">
        <v>67</v>
      </c>
      <c r="S4" s="26" t="s">
        <v>70</v>
      </c>
      <c r="T4" s="26" t="s">
        <v>74</v>
      </c>
      <c r="U4" s="26" t="s">
        <v>70</v>
      </c>
    </row>
    <row r="6" spans="1:21" ht="15" customHeight="1" x14ac:dyDescent="0.25">
      <c r="A6" s="28" t="s">
        <v>75</v>
      </c>
      <c r="B6" s="28" t="s">
        <v>76</v>
      </c>
      <c r="C6" s="28" t="s">
        <v>77</v>
      </c>
    </row>
    <row r="7" spans="1:21" ht="45" customHeight="1" x14ac:dyDescent="0.25">
      <c r="A7" s="29" t="str">
        <f>'M-DiaSemana'!C3</f>
        <v xml:space="preserve">Combinación única </v>
      </c>
      <c r="B7" s="30" t="str">
        <f>'M-DiaSemana'!C2</f>
        <v>Combinacion única que indica que no puede existir más un dia de la semana con el mismo nombre</v>
      </c>
      <c r="C7" s="31" t="s">
        <v>78</v>
      </c>
    </row>
  </sheetData>
  <hyperlinks>
    <hyperlink ref="A1" location="'Modelo de Dominio'!A1" display="&lt;&lt;&lt;&lt; Ir al modulo de dominio" xr:uid="{00000000-0004-0000-0200-000000000000}"/>
    <hyperlink ref="B1" location="'Objetos de Dominio'!A1" display="&lt;&lt;&lt;&lt; Ir a objetos de dominio" xr:uid="{00000000-0004-0000-0200-000001000000}"/>
    <hyperlink ref="A3" location="'M-DiaSemana'!A3" display="#'M-DiaSemana'.A3" xr:uid="{00000000-0004-0000-0200-000002000000}"/>
    <hyperlink ref="B3" location="'M-DiaSemana'!A2" display="#'M-DiaSemana'.A2" xr:uid="{00000000-0004-0000-0200-000003000000}"/>
    <hyperlink ref="A4" location="'M-DiaSemana'!A3" display="#'M-DiaSemana'.A3" xr:uid="{00000000-0004-0000-0200-000004000000}"/>
    <hyperlink ref="B4" location="'M-DiaSemana'!A2" display="#'M-DiaSemana'.A2" xr:uid="{00000000-0004-0000-0200-000005000000}"/>
    <hyperlink ref="A7" location="'M-DiaSemana'!A3" display="#'M-DiaSemana'.A3" xr:uid="{00000000-0004-0000-0200-000006000000}"/>
    <hyperlink ref="B7" location="'M-DiaSemana'!A2" display="#'M-DiaSemana'.A2" xr:uid="{00000000-0004-0000-0200-000007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Dominio'!A3</f>
        <v>DiaSemana</v>
      </c>
      <c r="C2" s="11"/>
      <c r="D2" s="11"/>
      <c r="E2" s="11"/>
    </row>
    <row r="3" spans="1:5" ht="30" customHeight="1" x14ac:dyDescent="0.25">
      <c r="A3" s="33" t="s">
        <v>84</v>
      </c>
      <c r="B3" s="10" t="str">
        <f>'Objetos de Dominio'!B3</f>
        <v>Representa cada uno de los días de la semana, incluyendo festivo, que se usa como catálogo para definir los horarios de la barbería y de cada barbero</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2" t="s">
        <v>89</v>
      </c>
      <c r="B6" s="2"/>
      <c r="C6" s="2"/>
      <c r="D6" s="2"/>
      <c r="E6" s="2"/>
    </row>
  </sheetData>
  <mergeCells count="7">
    <mergeCell ref="A6:E6"/>
    <mergeCell ref="B2:E2"/>
    <mergeCell ref="B3:E3"/>
    <mergeCell ref="A4:A5"/>
    <mergeCell ref="B4:C5"/>
    <mergeCell ref="D4:D5"/>
    <mergeCell ref="E4:E5"/>
  </mergeCells>
  <hyperlinks>
    <hyperlink ref="A1" r:id="rId1" location="'Modelo%20de%20Dominio'!A1" xr:uid="{00000000-0004-0000-0300-000000000000}"/>
    <hyperlink ref="B1" r:id="rId2" location="'Objetos%20de%20Dominio'!A1" xr:uid="{00000000-0004-0000-0300-000001000000}"/>
    <hyperlink ref="C1" r:id="rId3" location="'C-DiaSemana'!A1" xr:uid="{00000000-0004-0000-0300-000002000000}"/>
    <hyperlink ref="D1" r:id="rId4" location="'M-DiaSemana'!A1" xr:uid="{00000000-0004-0000-0300-000003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
  <sheetViews>
    <sheetView showGridLines="0" tabSelected="1" zoomScaleNormal="100" workbookViewId="0">
      <selection activeCell="A9" sqref="A9"/>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Dominio'!A3</f>
        <v>DiaSemana</v>
      </c>
      <c r="C2" s="11"/>
      <c r="D2" s="11"/>
      <c r="E2" s="11"/>
      <c r="F2" s="11"/>
      <c r="G2" s="11"/>
      <c r="H2" s="11"/>
      <c r="I2" s="11"/>
      <c r="J2" s="11"/>
      <c r="K2" s="11"/>
    </row>
    <row r="3" spans="1:11" ht="30" customHeight="1" x14ac:dyDescent="0.25">
      <c r="A3" s="33" t="s">
        <v>84</v>
      </c>
      <c r="B3" s="10" t="str">
        <f>'Objetos de Dominio'!B3</f>
        <v>Representa cada uno de los días de la semana, incluyendo festivo, que se usa como catálogo para definir los horarios de la barbería y de cada barbero</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107</v>
      </c>
      <c r="B7" s="35" t="s">
        <v>108</v>
      </c>
      <c r="C7" s="35" t="s">
        <v>109</v>
      </c>
      <c r="D7" s="40" t="str">
        <f>$B$2</f>
        <v>DiaSemana</v>
      </c>
      <c r="E7" s="35"/>
      <c r="F7" s="35"/>
      <c r="G7" s="40"/>
      <c r="H7" s="41"/>
      <c r="I7" s="40"/>
      <c r="J7" s="35" t="s">
        <v>110</v>
      </c>
      <c r="K7" s="35"/>
    </row>
    <row r="8" spans="1:11" ht="30" customHeight="1" x14ac:dyDescent="0.25">
      <c r="A8" s="40" t="s">
        <v>25</v>
      </c>
      <c r="B8" s="35" t="s">
        <v>108</v>
      </c>
      <c r="C8" s="35" t="s">
        <v>109</v>
      </c>
      <c r="D8" s="40" t="str">
        <f>$B$2</f>
        <v>DiaSemana</v>
      </c>
      <c r="E8" s="35"/>
      <c r="F8" s="35"/>
      <c r="G8" s="40"/>
      <c r="H8" s="41"/>
      <c r="I8" s="40"/>
      <c r="J8" s="35" t="s">
        <v>110</v>
      </c>
      <c r="K8"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0400-000000000000}"/>
    <hyperlink ref="C1" r:id="rId2" location="'Objetos%20de%20Dominio'!A1" xr:uid="{00000000-0004-0000-0400-000001000000}"/>
    <hyperlink ref="F1" r:id="rId3" location="'C-DiaSemana'!A1" xr:uid="{00000000-0004-0000-0400-000002000000}"/>
    <hyperlink ref="J1" r:id="rId4" location="'M-DiaSemana'!A1" xr:uid="{00000000-0004-0000-0400-000003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21.7109375" customWidth="1"/>
  </cols>
  <sheetData>
    <row r="1" spans="1:3" ht="14.25" customHeight="1" x14ac:dyDescent="0.25">
      <c r="A1" s="13" t="s">
        <v>1</v>
      </c>
      <c r="B1" s="13" t="s">
        <v>45</v>
      </c>
    </row>
    <row r="2" spans="1:3" ht="32.25" customHeight="1" x14ac:dyDescent="0.25">
      <c r="A2" s="42" t="s">
        <v>111</v>
      </c>
      <c r="B2" s="42" t="s">
        <v>112</v>
      </c>
      <c r="C2" s="43" t="s">
        <v>113</v>
      </c>
    </row>
    <row r="3" spans="1:3" ht="14.25" customHeight="1" x14ac:dyDescent="0.25">
      <c r="A3" s="44" t="s">
        <v>114</v>
      </c>
      <c r="B3" s="45" t="s">
        <v>78</v>
      </c>
      <c r="C3" s="46" t="s">
        <v>115</v>
      </c>
    </row>
    <row r="4" spans="1:3" ht="14.25" customHeight="1" x14ac:dyDescent="0.25">
      <c r="A4" s="47">
        <v>1</v>
      </c>
      <c r="B4" s="48" t="s">
        <v>116</v>
      </c>
      <c r="C4" s="48" t="str">
        <f t="shared" ref="C4:C11" si="0">B4</f>
        <v>Lunes</v>
      </c>
    </row>
    <row r="5" spans="1:3" ht="14.25" customHeight="1" x14ac:dyDescent="0.25">
      <c r="A5" s="47">
        <v>2</v>
      </c>
      <c r="B5" s="47" t="s">
        <v>117</v>
      </c>
      <c r="C5" s="48" t="str">
        <f t="shared" si="0"/>
        <v>Martes</v>
      </c>
    </row>
    <row r="6" spans="1:3" ht="14.25" customHeight="1" x14ac:dyDescent="0.25">
      <c r="A6" s="47">
        <v>3</v>
      </c>
      <c r="B6" s="48" t="s">
        <v>118</v>
      </c>
      <c r="C6" s="48" t="str">
        <f t="shared" si="0"/>
        <v>Miércoles</v>
      </c>
    </row>
    <row r="7" spans="1:3" ht="14.25" customHeight="1" x14ac:dyDescent="0.25">
      <c r="A7" s="47">
        <v>4</v>
      </c>
      <c r="B7" s="47" t="s">
        <v>119</v>
      </c>
      <c r="C7" s="48" t="str">
        <f t="shared" si="0"/>
        <v>Jueves</v>
      </c>
    </row>
    <row r="8" spans="1:3" ht="14.25" customHeight="1" x14ac:dyDescent="0.25">
      <c r="A8" s="47">
        <v>5</v>
      </c>
      <c r="B8" s="48" t="s">
        <v>120</v>
      </c>
      <c r="C8" s="48" t="str">
        <f t="shared" si="0"/>
        <v>Viernes</v>
      </c>
    </row>
    <row r="9" spans="1:3" ht="14.25" customHeight="1" x14ac:dyDescent="0.25">
      <c r="A9" s="47">
        <v>6</v>
      </c>
      <c r="B9" s="47" t="s">
        <v>121</v>
      </c>
      <c r="C9" s="48" t="str">
        <f t="shared" si="0"/>
        <v>Sábado</v>
      </c>
    </row>
    <row r="10" spans="1:3" ht="14.25" customHeight="1" x14ac:dyDescent="0.25">
      <c r="A10" s="47">
        <v>7</v>
      </c>
      <c r="B10" s="48" t="s">
        <v>122</v>
      </c>
      <c r="C10" s="48" t="str">
        <f t="shared" si="0"/>
        <v>Domingo</v>
      </c>
    </row>
    <row r="11" spans="1:3" ht="14.25" customHeight="1" x14ac:dyDescent="0.25">
      <c r="A11" s="47">
        <v>8</v>
      </c>
      <c r="B11" s="47" t="s">
        <v>123</v>
      </c>
      <c r="C11" s="48" t="str">
        <f t="shared" si="0"/>
        <v>Festivo</v>
      </c>
    </row>
    <row r="12" spans="1:3" ht="14.25" customHeight="1" x14ac:dyDescent="0.25">
      <c r="A12" s="49"/>
      <c r="B12" s="49"/>
    </row>
    <row r="13" spans="1:3" ht="14.25" customHeight="1" x14ac:dyDescent="0.25">
      <c r="A13" s="49"/>
      <c r="B13" s="49"/>
    </row>
    <row r="14" spans="1:3" ht="14.25" customHeight="1" x14ac:dyDescent="0.25">
      <c r="A14" s="49"/>
      <c r="B14" s="49"/>
    </row>
    <row r="15" spans="1:3" ht="14.25" customHeight="1" x14ac:dyDescent="0.25">
      <c r="A15" s="49"/>
      <c r="B15" s="49"/>
    </row>
    <row r="17" spans="1:2" ht="28.5" customHeight="1" x14ac:dyDescent="0.25">
      <c r="A17" s="50"/>
      <c r="B17" s="51" t="s">
        <v>124</v>
      </c>
    </row>
    <row r="18" spans="1:2" ht="28.5" customHeight="1" x14ac:dyDescent="0.25">
      <c r="A18" s="52"/>
      <c r="B18" s="51" t="s">
        <v>125</v>
      </c>
    </row>
    <row r="19" spans="1:2" ht="28.5" customHeight="1" x14ac:dyDescent="0.25">
      <c r="A19" s="53"/>
      <c r="B19" s="51" t="s">
        <v>126</v>
      </c>
    </row>
    <row r="20" spans="1:2" ht="28.5" customHeight="1" x14ac:dyDescent="0.25">
      <c r="A20" s="54"/>
      <c r="B20" s="51" t="s">
        <v>127</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
  <sheetViews>
    <sheetView topLeftCell="D1" zoomScaleNormal="100" workbookViewId="0">
      <selection activeCell="G25" sqref="G25"/>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13" t="s">
        <v>1</v>
      </c>
      <c r="B1" s="13" t="s">
        <v>45</v>
      </c>
    </row>
    <row r="2" spans="1:21" s="25" customFormat="1" ht="15" customHeight="1" x14ac:dyDescent="0.25">
      <c r="A2" s="23" t="s">
        <v>46</v>
      </c>
      <c r="B2" s="24" t="s">
        <v>47</v>
      </c>
      <c r="C2" s="23" t="s">
        <v>48</v>
      </c>
      <c r="D2" s="23" t="s">
        <v>49</v>
      </c>
      <c r="E2" s="23" t="s">
        <v>50</v>
      </c>
      <c r="F2" s="23" t="s">
        <v>51</v>
      </c>
      <c r="G2" s="23" t="s">
        <v>52</v>
      </c>
      <c r="H2" s="23" t="s">
        <v>53</v>
      </c>
      <c r="I2" s="23" t="s">
        <v>54</v>
      </c>
      <c r="J2" s="23" t="s">
        <v>55</v>
      </c>
      <c r="K2" s="23" t="s">
        <v>56</v>
      </c>
      <c r="L2" s="23" t="s">
        <v>57</v>
      </c>
      <c r="M2" s="24" t="s">
        <v>58</v>
      </c>
      <c r="N2" s="23" t="s">
        <v>59</v>
      </c>
      <c r="O2" s="23" t="s">
        <v>60</v>
      </c>
      <c r="P2" s="23" t="s">
        <v>61</v>
      </c>
      <c r="Q2" s="23" t="s">
        <v>62</v>
      </c>
      <c r="R2" s="23" t="s">
        <v>63</v>
      </c>
      <c r="S2" s="23" t="s">
        <v>64</v>
      </c>
      <c r="T2" s="23" t="s">
        <v>65</v>
      </c>
      <c r="U2" s="23" t="s">
        <v>66</v>
      </c>
    </row>
    <row r="3" spans="1:21" ht="45" customHeight="1" x14ac:dyDescent="0.25">
      <c r="A3" s="26" t="str">
        <f>'M-Estado'!A3</f>
        <v>id</v>
      </c>
      <c r="B3" s="27" t="str">
        <f>'M-Estado'!A2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6" t="s">
        <v>69</v>
      </c>
      <c r="N3" s="26" t="s">
        <v>70</v>
      </c>
      <c r="O3" s="26" t="s">
        <v>69</v>
      </c>
      <c r="P3" s="26" t="s">
        <v>69</v>
      </c>
      <c r="Q3" s="26" t="s">
        <v>69</v>
      </c>
      <c r="R3" s="26" t="s">
        <v>69</v>
      </c>
      <c r="S3" s="26" t="s">
        <v>69</v>
      </c>
      <c r="T3" s="26" t="s">
        <v>71</v>
      </c>
      <c r="U3" s="26" t="s">
        <v>67</v>
      </c>
    </row>
    <row r="4" spans="1:21" ht="45" customHeight="1" x14ac:dyDescent="0.25">
      <c r="A4" s="26" t="str">
        <f>'M-Estado'!B3</f>
        <v>nombre</v>
      </c>
      <c r="B4" s="27" t="str">
        <f>'M-Estado'!B2</f>
        <v>Representa como se llama el estado en el que se encuentra una cita puntual</v>
      </c>
      <c r="C4" s="26" t="s">
        <v>70</v>
      </c>
      <c r="D4" s="26" t="s">
        <v>72</v>
      </c>
      <c r="E4" s="26" t="s">
        <v>67</v>
      </c>
      <c r="F4" s="26">
        <v>4</v>
      </c>
      <c r="G4" s="26">
        <v>50</v>
      </c>
      <c r="H4" s="26" t="s">
        <v>69</v>
      </c>
      <c r="I4" s="26" t="s">
        <v>69</v>
      </c>
      <c r="J4" s="26" t="s">
        <v>69</v>
      </c>
      <c r="K4" s="26" t="s">
        <v>69</v>
      </c>
      <c r="L4" s="26" t="s">
        <v>69</v>
      </c>
      <c r="M4" s="27" t="s">
        <v>128</v>
      </c>
      <c r="N4" s="26" t="s">
        <v>70</v>
      </c>
      <c r="O4" s="26" t="s">
        <v>69</v>
      </c>
      <c r="P4" s="26" t="s">
        <v>69</v>
      </c>
      <c r="Q4" s="26" t="s">
        <v>67</v>
      </c>
      <c r="R4" s="26" t="s">
        <v>67</v>
      </c>
      <c r="S4" s="26" t="s">
        <v>70</v>
      </c>
      <c r="T4" s="26" t="s">
        <v>74</v>
      </c>
      <c r="U4" s="26" t="s">
        <v>70</v>
      </c>
    </row>
    <row r="5" spans="1:21" ht="60" customHeight="1" x14ac:dyDescent="0.25">
      <c r="A5" s="26" t="str">
        <f>'M-Estado'!C3</f>
        <v>descripcion</v>
      </c>
      <c r="B5" s="27" t="str">
        <f>'M-Estado'!C2</f>
        <v>Representa el significado de que representa cada estado para la cita</v>
      </c>
      <c r="C5" s="26" t="s">
        <v>70</v>
      </c>
      <c r="D5" s="26" t="s">
        <v>72</v>
      </c>
      <c r="E5" s="26" t="s">
        <v>67</v>
      </c>
      <c r="F5" s="26">
        <v>10</v>
      </c>
      <c r="G5" s="26">
        <v>300</v>
      </c>
      <c r="H5" s="26" t="s">
        <v>69</v>
      </c>
      <c r="I5" s="26" t="s">
        <v>69</v>
      </c>
      <c r="J5" s="26" t="s">
        <v>69</v>
      </c>
      <c r="K5" s="26" t="s">
        <v>69</v>
      </c>
      <c r="L5" s="26" t="s">
        <v>69</v>
      </c>
      <c r="M5" s="27" t="s">
        <v>129</v>
      </c>
      <c r="N5" s="26" t="s">
        <v>70</v>
      </c>
      <c r="O5" s="26" t="s">
        <v>69</v>
      </c>
      <c r="P5" s="26" t="s">
        <v>69</v>
      </c>
      <c r="Q5" s="26" t="s">
        <v>67</v>
      </c>
      <c r="R5" s="26" t="s">
        <v>67</v>
      </c>
      <c r="S5" s="26" t="s">
        <v>70</v>
      </c>
      <c r="T5" s="26" t="s">
        <v>74</v>
      </c>
      <c r="U5" s="26" t="s">
        <v>70</v>
      </c>
    </row>
    <row r="7" spans="1:21" ht="15" customHeight="1" x14ac:dyDescent="0.25">
      <c r="A7" s="28" t="s">
        <v>75</v>
      </c>
      <c r="B7" s="28" t="s">
        <v>76</v>
      </c>
      <c r="C7" s="28" t="s">
        <v>77</v>
      </c>
    </row>
    <row r="8" spans="1:21" ht="45" customHeight="1" x14ac:dyDescent="0.25">
      <c r="A8" s="29" t="str">
        <f>'M-Estado'!D3</f>
        <v xml:space="preserve">Combinación única </v>
      </c>
      <c r="B8" s="30" t="str">
        <f>'M-Estado'!D2</f>
        <v>Combinacion única que indica que no puede existir más un dia de la semana con el mismo nombre</v>
      </c>
      <c r="C8" s="31" t="s">
        <v>78</v>
      </c>
    </row>
  </sheetData>
  <hyperlinks>
    <hyperlink ref="A1" location="'Modelo de Dominio'!A1" display="&lt;&lt;&lt;&lt; Ir al modulo de dominio" xr:uid="{00000000-0004-0000-0600-000000000000}"/>
    <hyperlink ref="B1" location="'Objetos de Dominio'!A1" display="&lt;&lt;&lt;&lt; Ir a objetos de dominio" xr:uid="{00000000-0004-0000-0600-000001000000}"/>
    <hyperlink ref="A3" location="'M-Estado'!A3" display="#'M-Estado'.A3" xr:uid="{00000000-0004-0000-0600-000002000000}"/>
    <hyperlink ref="B3" location="'M-Estado'!A2" display="#'M-Estado'.A2" xr:uid="{00000000-0004-0000-0600-000003000000}"/>
    <hyperlink ref="A4" location="'M-Estado'!A3" display="#'M-Estado'.A3" xr:uid="{00000000-0004-0000-0600-000004000000}"/>
    <hyperlink ref="B4" location="'M-Estado'!A2" display="#'M-Estado'.A2" xr:uid="{00000000-0004-0000-0600-000005000000}"/>
    <hyperlink ref="A5" location="'M-Estado'!A3" display="#'M-Estado'.A3" xr:uid="{00000000-0004-0000-0600-000006000000}"/>
    <hyperlink ref="B5" location="'M-Estado'!A2" display="#'M-Estado'.A2" xr:uid="{00000000-0004-0000-0600-000007000000}"/>
    <hyperlink ref="A8" location="'M-Estado'!A3" display="#'M-Estado'.A3" xr:uid="{00000000-0004-0000-0600-000008000000}"/>
    <hyperlink ref="B8" location="'M-Estado'!A2" display="#'M-Estado'.A2" xr:uid="{00000000-0004-0000-0600-000009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Dominio'!A4</f>
        <v>Estado</v>
      </c>
      <c r="C2" s="11"/>
      <c r="D2" s="11"/>
      <c r="E2" s="11"/>
    </row>
    <row r="3" spans="1:5" ht="30" customHeight="1" x14ac:dyDescent="0.25">
      <c r="A3" s="33" t="s">
        <v>84</v>
      </c>
      <c r="B3" s="10" t="str">
        <f>'Objetos de Dominio'!B4</f>
        <v>Representa en qué situación puntual se encuentra una cita: agendada, finalizada, cancelada por alguna de las partes, con tardanza del cliente o del barbero, o con inasistencia del cliente</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130</v>
      </c>
      <c r="B6" s="2" t="s">
        <v>131</v>
      </c>
      <c r="C6" s="2"/>
      <c r="D6" s="55" t="s">
        <v>15</v>
      </c>
      <c r="E6" s="55"/>
    </row>
  </sheetData>
  <mergeCells count="7">
    <mergeCell ref="B6:C6"/>
    <mergeCell ref="B2:E2"/>
    <mergeCell ref="B3:E3"/>
    <mergeCell ref="A4:A5"/>
    <mergeCell ref="B4:C5"/>
    <mergeCell ref="D4:D5"/>
    <mergeCell ref="E4:E5"/>
  </mergeCells>
  <hyperlinks>
    <hyperlink ref="A1" r:id="rId1" location="'Modelo%20de%20Dominio'!A1" xr:uid="{00000000-0004-0000-0700-000000000000}"/>
    <hyperlink ref="B1" r:id="rId2" location="'Objetos%20de%20Dominio'!A1" xr:uid="{00000000-0004-0000-0700-000001000000}"/>
    <hyperlink ref="C1" r:id="rId3" location="'C-Estado'!A1" xr:uid="{00000000-0004-0000-0700-000002000000}"/>
    <hyperlink ref="D1" r:id="rId4" location="'M-Estado'!A1" xr:uid="{00000000-0004-0000-0700-000003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Dominio'!A4</f>
        <v>Estado</v>
      </c>
      <c r="C2" s="11"/>
      <c r="D2" s="11"/>
      <c r="E2" s="11"/>
      <c r="F2" s="11"/>
      <c r="G2" s="11"/>
      <c r="H2" s="11"/>
      <c r="I2" s="11"/>
      <c r="J2" s="11"/>
      <c r="K2" s="11"/>
    </row>
    <row r="3" spans="1:11" ht="30" customHeight="1" x14ac:dyDescent="0.25">
      <c r="A3" s="33" t="s">
        <v>84</v>
      </c>
      <c r="B3" s="10" t="str">
        <f>'Objetos de Dominio'!B4</f>
        <v>Representa en qué situación puntual se encuentra una cita: agendada, finalizada, cancelada por alguna de las partes, con tardanza del cliente o del barbero, o con inasistencia del cliente</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107</v>
      </c>
      <c r="B7" s="35" t="s">
        <v>132</v>
      </c>
      <c r="C7" s="35" t="s">
        <v>133</v>
      </c>
      <c r="D7" s="40" t="str">
        <f>$B$2</f>
        <v>Estado</v>
      </c>
      <c r="E7" s="35"/>
      <c r="F7" s="35"/>
      <c r="G7" s="40"/>
      <c r="H7" s="41"/>
      <c r="I7" s="40"/>
      <c r="J7" s="35" t="s">
        <v>134</v>
      </c>
      <c r="K7" s="35"/>
    </row>
    <row r="8" spans="1:11" ht="30" customHeight="1" x14ac:dyDescent="0.25">
      <c r="A8" s="40" t="s">
        <v>25</v>
      </c>
      <c r="B8" s="35" t="s">
        <v>132</v>
      </c>
      <c r="C8" s="35" t="s">
        <v>133</v>
      </c>
      <c r="D8" s="40" t="str">
        <f>$B$2</f>
        <v>Estado</v>
      </c>
      <c r="E8" s="35"/>
      <c r="F8" s="35"/>
      <c r="G8" s="40"/>
      <c r="H8" s="41"/>
      <c r="I8" s="40"/>
      <c r="J8" s="35" t="s">
        <v>134</v>
      </c>
      <c r="K8" s="35"/>
    </row>
    <row r="9" spans="1:11" ht="30" customHeight="1" x14ac:dyDescent="0.25">
      <c r="A9" s="40" t="s">
        <v>27</v>
      </c>
      <c r="B9" s="35" t="s">
        <v>132</v>
      </c>
      <c r="C9" s="35" t="s">
        <v>133</v>
      </c>
      <c r="D9" s="40" t="str">
        <f>$B$2</f>
        <v>Estado</v>
      </c>
      <c r="E9" s="35"/>
      <c r="F9" s="35"/>
      <c r="G9" s="40"/>
      <c r="H9" s="41"/>
      <c r="I9" s="40"/>
      <c r="J9" s="35" t="s">
        <v>134</v>
      </c>
      <c r="K9" s="35"/>
    </row>
    <row r="10" spans="1:11" ht="30" customHeight="1" x14ac:dyDescent="0.25">
      <c r="A10" s="40" t="s">
        <v>107</v>
      </c>
      <c r="B10" s="35" t="s">
        <v>135</v>
      </c>
      <c r="C10" s="35" t="s">
        <v>136</v>
      </c>
      <c r="D10" s="40" t="str">
        <f>$B$2</f>
        <v>Estado</v>
      </c>
      <c r="E10" s="35"/>
      <c r="F10" s="35"/>
      <c r="G10" s="40" t="str">
        <f>'P-Estado'!A6</f>
        <v>P-EST-0001</v>
      </c>
      <c r="H10" s="41"/>
      <c r="I10" s="40"/>
      <c r="J10" s="35" t="s">
        <v>137</v>
      </c>
      <c r="K10"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0800-000000000000}"/>
    <hyperlink ref="C1" r:id="rId2" location="'Objetos%20de%20Dominio'!A1" xr:uid="{00000000-0004-0000-0800-000001000000}"/>
    <hyperlink ref="F1" r:id="rId3" location="'C-Estado'!A1" xr:uid="{00000000-0004-0000-0800-000002000000}"/>
    <hyperlink ref="J1" r:id="rId4" location="'M-Estado'!A1" xr:uid="{00000000-0004-0000-0800-000003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49.140625" customWidth="1"/>
    <col min="4" max="4" width="23.28515625" customWidth="1"/>
  </cols>
  <sheetData>
    <row r="1" spans="1:4" ht="14.25" customHeight="1" x14ac:dyDescent="0.25">
      <c r="A1" s="13" t="s">
        <v>1</v>
      </c>
      <c r="B1" s="13" t="s">
        <v>45</v>
      </c>
      <c r="C1" s="56"/>
    </row>
    <row r="2" spans="1:4" ht="39" customHeight="1" x14ac:dyDescent="0.25">
      <c r="A2" s="42" t="s">
        <v>111</v>
      </c>
      <c r="B2" s="42" t="s">
        <v>138</v>
      </c>
      <c r="C2" s="42" t="s">
        <v>139</v>
      </c>
      <c r="D2" s="43" t="s">
        <v>113</v>
      </c>
    </row>
    <row r="3" spans="1:4" ht="14.25" customHeight="1" x14ac:dyDescent="0.25">
      <c r="A3" s="44" t="s">
        <v>114</v>
      </c>
      <c r="B3" s="45" t="s">
        <v>78</v>
      </c>
      <c r="C3" s="45" t="s">
        <v>140</v>
      </c>
      <c r="D3" s="46" t="s">
        <v>115</v>
      </c>
    </row>
    <row r="4" spans="1:4" ht="28.5" customHeight="1" x14ac:dyDescent="0.25">
      <c r="A4" s="47">
        <v>1</v>
      </c>
      <c r="B4" s="48" t="s">
        <v>141</v>
      </c>
      <c r="C4" s="57" t="s">
        <v>142</v>
      </c>
      <c r="D4" s="48" t="str">
        <f t="shared" ref="D4:D11" si="0">B4</f>
        <v>Agendada</v>
      </c>
    </row>
    <row r="5" spans="1:4" ht="28.5" customHeight="1" x14ac:dyDescent="0.25">
      <c r="A5" s="47">
        <v>2</v>
      </c>
      <c r="B5" s="47" t="s">
        <v>143</v>
      </c>
      <c r="C5" s="58" t="s">
        <v>144</v>
      </c>
      <c r="D5" s="48" t="str">
        <f t="shared" si="0"/>
        <v>Finalizada</v>
      </c>
    </row>
    <row r="6" spans="1:4" ht="28.5" customHeight="1" x14ac:dyDescent="0.25">
      <c r="A6" s="47">
        <v>3</v>
      </c>
      <c r="B6" s="47" t="s">
        <v>145</v>
      </c>
      <c r="C6" s="58" t="s">
        <v>146</v>
      </c>
      <c r="D6" s="48" t="str">
        <f t="shared" si="0"/>
        <v>Cancelada por el cliente</v>
      </c>
    </row>
    <row r="7" spans="1:4" ht="28.5" customHeight="1" x14ac:dyDescent="0.25">
      <c r="A7" s="47">
        <v>4</v>
      </c>
      <c r="B7" s="47" t="s">
        <v>147</v>
      </c>
      <c r="C7" s="58" t="s">
        <v>148</v>
      </c>
      <c r="D7" s="48" t="str">
        <f t="shared" si="0"/>
        <v>Cancelada por el barbero</v>
      </c>
    </row>
    <row r="8" spans="1:4" ht="42.75" customHeight="1" x14ac:dyDescent="0.25">
      <c r="A8" s="47">
        <v>5</v>
      </c>
      <c r="B8" s="47" t="s">
        <v>149</v>
      </c>
      <c r="C8" s="58" t="s">
        <v>150</v>
      </c>
      <c r="D8" s="48" t="str">
        <f t="shared" si="0"/>
        <v>El cliente se demoro</v>
      </c>
    </row>
    <row r="9" spans="1:4" ht="42.75" customHeight="1" x14ac:dyDescent="0.25">
      <c r="A9" s="47">
        <v>6</v>
      </c>
      <c r="B9" s="47" t="s">
        <v>151</v>
      </c>
      <c r="C9" s="58" t="s">
        <v>152</v>
      </c>
      <c r="D9" s="48" t="str">
        <f t="shared" si="0"/>
        <v>El barbero se demoro</v>
      </c>
    </row>
    <row r="10" spans="1:4" ht="48" customHeight="1" x14ac:dyDescent="0.25">
      <c r="A10" s="47">
        <v>7</v>
      </c>
      <c r="B10" s="47" t="s">
        <v>153</v>
      </c>
      <c r="C10" s="58" t="s">
        <v>154</v>
      </c>
      <c r="D10" s="48" t="str">
        <f t="shared" si="0"/>
        <v>Inasistencia del cliente</v>
      </c>
    </row>
    <row r="11" spans="1:4" ht="63.75" customHeight="1" x14ac:dyDescent="0.25">
      <c r="A11" s="47">
        <v>8</v>
      </c>
      <c r="B11" s="47" t="s">
        <v>155</v>
      </c>
      <c r="C11" s="21" t="s">
        <v>156</v>
      </c>
      <c r="D11" s="48" t="str">
        <f t="shared" si="0"/>
        <v>Inasistencia del barbero</v>
      </c>
    </row>
    <row r="13" spans="1:4" ht="15" customHeight="1" x14ac:dyDescent="0.25">
      <c r="C13" s="59"/>
    </row>
    <row r="17" spans="1:2" ht="28.5" customHeight="1" x14ac:dyDescent="0.25">
      <c r="A17" s="50"/>
      <c r="B17" s="51" t="s">
        <v>124</v>
      </c>
    </row>
    <row r="18" spans="1:2" ht="28.5" customHeight="1" x14ac:dyDescent="0.25">
      <c r="A18" s="52"/>
      <c r="B18" s="51" t="s">
        <v>125</v>
      </c>
    </row>
    <row r="19" spans="1:2" ht="28.5" customHeight="1" x14ac:dyDescent="0.25">
      <c r="A19" s="53"/>
      <c r="B19" s="51" t="s">
        <v>126</v>
      </c>
    </row>
    <row r="20" spans="1:2" ht="28.5" customHeight="1" x14ac:dyDescent="0.25">
      <c r="A20" s="54"/>
      <c r="B20" s="51" t="s">
        <v>127</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9"/>
  <sheetViews>
    <sheetView topLeftCell="B1" zoomScaleNormal="100" workbookViewId="0">
      <selection activeCell="M4" sqref="M4"/>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13" t="s">
        <v>1</v>
      </c>
      <c r="B1" s="13" t="s">
        <v>45</v>
      </c>
    </row>
    <row r="2" spans="1:21" ht="15" customHeight="1" x14ac:dyDescent="0.25">
      <c r="A2" s="60" t="s">
        <v>46</v>
      </c>
      <c r="B2" s="60" t="s">
        <v>47</v>
      </c>
      <c r="C2" s="60" t="s">
        <v>48</v>
      </c>
      <c r="D2" s="60" t="s">
        <v>49</v>
      </c>
      <c r="E2" s="60" t="s">
        <v>50</v>
      </c>
      <c r="F2" s="60" t="s">
        <v>51</v>
      </c>
      <c r="G2" s="60" t="s">
        <v>52</v>
      </c>
      <c r="H2" s="60" t="s">
        <v>53</v>
      </c>
      <c r="I2" s="60" t="s">
        <v>54</v>
      </c>
      <c r="J2" s="60" t="s">
        <v>55</v>
      </c>
      <c r="K2" s="60" t="s">
        <v>56</v>
      </c>
      <c r="L2" s="60" t="s">
        <v>57</v>
      </c>
      <c r="M2" s="60" t="s">
        <v>58</v>
      </c>
      <c r="N2" s="60" t="s">
        <v>59</v>
      </c>
      <c r="O2" s="60" t="s">
        <v>60</v>
      </c>
      <c r="P2" s="60" t="s">
        <v>61</v>
      </c>
      <c r="Q2" s="60" t="s">
        <v>62</v>
      </c>
      <c r="R2" s="60" t="s">
        <v>63</v>
      </c>
      <c r="S2" s="60" t="s">
        <v>64</v>
      </c>
      <c r="T2" s="60" t="s">
        <v>65</v>
      </c>
      <c r="U2" s="60" t="s">
        <v>66</v>
      </c>
    </row>
    <row r="3" spans="1:21" ht="45" customHeight="1" x14ac:dyDescent="0.25">
      <c r="A3" s="26" t="str">
        <f>'M-Servicio'!A3</f>
        <v>id</v>
      </c>
      <c r="B3" s="27" t="str">
        <f>'M-Servicio'!A2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6" t="s">
        <v>69</v>
      </c>
      <c r="N3" s="26" t="s">
        <v>70</v>
      </c>
      <c r="O3" s="26" t="s">
        <v>69</v>
      </c>
      <c r="P3" s="26" t="s">
        <v>69</v>
      </c>
      <c r="Q3" s="26" t="s">
        <v>69</v>
      </c>
      <c r="R3" s="26" t="s">
        <v>69</v>
      </c>
      <c r="S3" s="26" t="s">
        <v>70</v>
      </c>
      <c r="T3" s="26" t="s">
        <v>71</v>
      </c>
      <c r="U3" s="26" t="s">
        <v>67</v>
      </c>
    </row>
    <row r="4" spans="1:21" ht="45" customHeight="1" x14ac:dyDescent="0.25">
      <c r="A4" s="26" t="str">
        <f>'M-Servicio'!B3</f>
        <v>nombre</v>
      </c>
      <c r="B4" s="27" t="str">
        <f>'M-Servicio'!B2</f>
        <v>Representa el nombre del servicio que va estar en la barberia, para que el barbero elija los servicios que el sabe hacer</v>
      </c>
      <c r="C4" s="26" t="s">
        <v>70</v>
      </c>
      <c r="D4" s="26" t="s">
        <v>72</v>
      </c>
      <c r="E4" s="26" t="s">
        <v>67</v>
      </c>
      <c r="F4" s="26">
        <v>3</v>
      </c>
      <c r="G4" s="26">
        <v>50</v>
      </c>
      <c r="H4" s="26" t="s">
        <v>69</v>
      </c>
      <c r="I4" s="26" t="s">
        <v>69</v>
      </c>
      <c r="J4" s="26" t="s">
        <v>69</v>
      </c>
      <c r="K4" s="26" t="s">
        <v>69</v>
      </c>
      <c r="L4" s="26" t="s">
        <v>69</v>
      </c>
      <c r="M4" s="27" t="s">
        <v>128</v>
      </c>
      <c r="N4" s="26" t="s">
        <v>70</v>
      </c>
      <c r="O4" s="26" t="s">
        <v>69</v>
      </c>
      <c r="P4" s="26" t="s">
        <v>69</v>
      </c>
      <c r="Q4" s="26" t="s">
        <v>67</v>
      </c>
      <c r="R4" s="26" t="s">
        <v>67</v>
      </c>
      <c r="S4" s="26" t="s">
        <v>70</v>
      </c>
      <c r="T4" s="26" t="s">
        <v>74</v>
      </c>
      <c r="U4" s="26" t="s">
        <v>70</v>
      </c>
    </row>
    <row r="5" spans="1:21" ht="45" customHeight="1" x14ac:dyDescent="0.25">
      <c r="A5" s="26" t="str">
        <f>'M-Servicio'!C3</f>
        <v>descripcion</v>
      </c>
      <c r="B5" s="27" t="str">
        <f>'M-Servicio'!C2</f>
        <v>Representa una descripcion de que va a hacer cada servicio en la barberia, para que el barbero sepa que hace el servicio</v>
      </c>
      <c r="C5" s="26" t="s">
        <v>70</v>
      </c>
      <c r="D5" s="26" t="s">
        <v>72</v>
      </c>
      <c r="E5" s="26" t="s">
        <v>67</v>
      </c>
      <c r="F5" s="26">
        <v>10</v>
      </c>
      <c r="G5" s="26">
        <v>200</v>
      </c>
      <c r="H5" s="26" t="s">
        <v>69</v>
      </c>
      <c r="I5" s="26" t="s">
        <v>69</v>
      </c>
      <c r="J5" s="26" t="s">
        <v>69</v>
      </c>
      <c r="K5" s="26" t="s">
        <v>69</v>
      </c>
      <c r="L5" s="26" t="s">
        <v>69</v>
      </c>
      <c r="M5" s="27" t="s">
        <v>129</v>
      </c>
      <c r="N5" s="26" t="s">
        <v>70</v>
      </c>
      <c r="O5" s="26" t="s">
        <v>69</v>
      </c>
      <c r="P5" s="26" t="s">
        <v>69</v>
      </c>
      <c r="Q5" s="26" t="s">
        <v>67</v>
      </c>
      <c r="R5" s="26" t="s">
        <v>67</v>
      </c>
      <c r="S5" s="26" t="s">
        <v>70</v>
      </c>
      <c r="T5" s="26" t="s">
        <v>74</v>
      </c>
      <c r="U5" s="26" t="s">
        <v>70</v>
      </c>
    </row>
    <row r="6" spans="1:21" ht="30" customHeight="1" x14ac:dyDescent="0.25">
      <c r="A6" s="26" t="str">
        <f>'M-Servicio'!D3</f>
        <v>precio</v>
      </c>
      <c r="B6" s="27" t="str">
        <f>'M-Servicio'!D2</f>
        <v>Representa cuanto va a valer el servicio en pesos colombianos</v>
      </c>
      <c r="C6" s="26" t="s">
        <v>70</v>
      </c>
      <c r="D6" s="26" t="s">
        <v>157</v>
      </c>
      <c r="E6" s="26" t="s">
        <v>67</v>
      </c>
      <c r="F6" s="26" t="s">
        <v>69</v>
      </c>
      <c r="G6" s="26" t="s">
        <v>69</v>
      </c>
      <c r="H6" s="26" t="s">
        <v>69</v>
      </c>
      <c r="I6" s="26" t="s">
        <v>69</v>
      </c>
      <c r="J6" s="26">
        <v>0</v>
      </c>
      <c r="K6" s="61">
        <v>2000000</v>
      </c>
      <c r="L6" s="26" t="s">
        <v>69</v>
      </c>
      <c r="M6" s="26" t="s">
        <v>69</v>
      </c>
      <c r="N6" s="26" t="s">
        <v>70</v>
      </c>
      <c r="O6" s="26" t="s">
        <v>69</v>
      </c>
      <c r="P6" s="26" t="s">
        <v>69</v>
      </c>
      <c r="Q6" s="26" t="s">
        <v>69</v>
      </c>
      <c r="R6" s="26" t="s">
        <v>69</v>
      </c>
      <c r="S6" s="26" t="s">
        <v>70</v>
      </c>
      <c r="T6" s="26">
        <v>0</v>
      </c>
      <c r="U6" s="26" t="s">
        <v>70</v>
      </c>
    </row>
    <row r="7" spans="1:21" ht="30" customHeight="1" x14ac:dyDescent="0.25">
      <c r="A7" s="26" t="str">
        <f>'M-Servicio'!E3</f>
        <v>disponible</v>
      </c>
      <c r="B7" s="27" t="str">
        <f>'M-Servicio'!E2</f>
        <v>Representa si el servicio sigue o no disponible en la barberia</v>
      </c>
      <c r="C7" s="26" t="s">
        <v>70</v>
      </c>
      <c r="D7" s="26" t="s">
        <v>158</v>
      </c>
      <c r="E7" s="26" t="s">
        <v>70</v>
      </c>
      <c r="F7" s="26" t="s">
        <v>69</v>
      </c>
      <c r="G7" s="26" t="s">
        <v>69</v>
      </c>
      <c r="H7" s="26" t="s">
        <v>69</v>
      </c>
      <c r="I7" s="26" t="s">
        <v>69</v>
      </c>
      <c r="J7" s="26" t="s">
        <v>69</v>
      </c>
      <c r="K7" s="26" t="s">
        <v>69</v>
      </c>
      <c r="L7" s="26" t="s">
        <v>69</v>
      </c>
      <c r="M7" s="26" t="s">
        <v>69</v>
      </c>
      <c r="N7" s="26" t="s">
        <v>70</v>
      </c>
      <c r="O7" s="26" t="s">
        <v>69</v>
      </c>
      <c r="P7" s="26" t="s">
        <v>69</v>
      </c>
      <c r="Q7" s="26" t="s">
        <v>69</v>
      </c>
      <c r="R7" s="26" t="s">
        <v>69</v>
      </c>
      <c r="S7" s="26" t="s">
        <v>70</v>
      </c>
      <c r="T7" s="26" t="s">
        <v>67</v>
      </c>
      <c r="U7" s="26" t="s">
        <v>70</v>
      </c>
    </row>
    <row r="8" spans="1:21" ht="15" customHeight="1" x14ac:dyDescent="0.25">
      <c r="A8" s="14"/>
      <c r="B8" s="14"/>
      <c r="C8" s="14"/>
      <c r="D8" s="14"/>
      <c r="E8" s="14"/>
      <c r="F8" s="14"/>
      <c r="G8" s="14"/>
      <c r="H8" s="14"/>
      <c r="I8" s="14"/>
      <c r="J8" s="14"/>
      <c r="K8" s="14"/>
      <c r="L8" s="14"/>
      <c r="M8" s="14"/>
      <c r="N8" s="14"/>
      <c r="O8" s="14"/>
      <c r="P8" s="14"/>
      <c r="Q8" s="14"/>
      <c r="R8" s="14"/>
      <c r="S8" s="14"/>
      <c r="T8" s="14"/>
      <c r="U8" s="14"/>
    </row>
    <row r="9" spans="1:21" ht="15" customHeight="1" x14ac:dyDescent="0.25">
      <c r="A9" s="28" t="s">
        <v>75</v>
      </c>
      <c r="B9" s="28" t="s">
        <v>76</v>
      </c>
      <c r="C9" s="28" t="s">
        <v>77</v>
      </c>
      <c r="D9" s="62"/>
      <c r="E9" s="62"/>
      <c r="F9" s="62"/>
      <c r="G9" s="62"/>
      <c r="H9" s="62"/>
      <c r="I9" s="62"/>
      <c r="J9" s="62"/>
      <c r="K9" s="62"/>
      <c r="L9" s="62"/>
      <c r="M9" s="62"/>
      <c r="N9" s="62"/>
      <c r="O9" s="62"/>
      <c r="P9" s="62"/>
      <c r="Q9" s="62"/>
      <c r="R9" s="62"/>
      <c r="S9" s="62"/>
      <c r="T9" s="62"/>
      <c r="U9" s="62"/>
    </row>
    <row r="10" spans="1:21" ht="30" customHeight="1" x14ac:dyDescent="0.25">
      <c r="A10" s="29" t="str">
        <f>'M-Servicio'!F3</f>
        <v xml:space="preserve">Combinacion única </v>
      </c>
      <c r="B10" s="30" t="str">
        <f>'M-Servicio'!F2</f>
        <v>Combinacion única que indica que no puede existir más de un servicio con el mismo nombre</v>
      </c>
      <c r="C10" s="31" t="str">
        <f>A4</f>
        <v>nombre</v>
      </c>
      <c r="D10" s="14"/>
      <c r="E10" s="14"/>
      <c r="F10" s="14"/>
      <c r="G10" s="14"/>
      <c r="H10" s="14"/>
      <c r="I10" s="14"/>
      <c r="J10" s="14"/>
      <c r="K10" s="14"/>
      <c r="L10" s="14"/>
      <c r="M10" s="14"/>
      <c r="N10" s="14"/>
      <c r="O10" s="14"/>
      <c r="P10" s="14"/>
      <c r="Q10" s="14"/>
      <c r="R10" s="14"/>
      <c r="S10" s="14"/>
      <c r="T10" s="14"/>
      <c r="U10" s="14"/>
    </row>
    <row r="11" spans="1:21" ht="15" customHeight="1" x14ac:dyDescent="0.25">
      <c r="A11" s="63"/>
      <c r="B11" s="63"/>
      <c r="C11" s="63"/>
      <c r="D11" s="63"/>
      <c r="E11" s="63"/>
      <c r="F11" s="63"/>
      <c r="G11" s="63"/>
      <c r="H11" s="63"/>
      <c r="I11" s="63"/>
      <c r="J11" s="63"/>
      <c r="K11" s="63"/>
      <c r="L11" s="63"/>
      <c r="M11" s="63"/>
      <c r="N11" s="63"/>
      <c r="O11" s="63"/>
      <c r="P11" s="63"/>
      <c r="Q11" s="63"/>
      <c r="R11" s="63"/>
      <c r="S11" s="63"/>
      <c r="T11" s="63"/>
      <c r="U11" s="63"/>
    </row>
    <row r="12" spans="1:21" ht="15" customHeight="1" x14ac:dyDescent="0.25">
      <c r="A12" s="56"/>
      <c r="B12" s="56"/>
    </row>
    <row r="13" spans="1:21" ht="15" customHeight="1" x14ac:dyDescent="0.25">
      <c r="A13" s="56"/>
      <c r="B13" s="56"/>
    </row>
    <row r="14" spans="1:21" ht="15" customHeight="1" x14ac:dyDescent="0.25">
      <c r="A14" s="56"/>
      <c r="B14" s="56"/>
    </row>
    <row r="15" spans="1:21" ht="15" customHeight="1" x14ac:dyDescent="0.25">
      <c r="A15" s="56"/>
      <c r="B15" s="56"/>
    </row>
    <row r="16" spans="1:21" ht="15" customHeight="1" x14ac:dyDescent="0.25">
      <c r="A16" s="56"/>
      <c r="B16" s="56"/>
    </row>
    <row r="18" spans="1:3" ht="15" customHeight="1" x14ac:dyDescent="0.25">
      <c r="A18" s="64"/>
      <c r="B18" s="64"/>
      <c r="C18" s="64"/>
    </row>
    <row r="19" spans="1:3" ht="15" customHeight="1" x14ac:dyDescent="0.25">
      <c r="A19" s="56"/>
      <c r="B19" s="56"/>
    </row>
  </sheetData>
  <hyperlinks>
    <hyperlink ref="A1" location="'Modelo de Dominio'!A1" display="&lt;&lt;&lt;&lt; Ir al modulo de dominio" xr:uid="{00000000-0004-0000-0A00-000000000000}"/>
    <hyperlink ref="B1" location="'Objetos de Dominio'!A1" display="&lt;&lt;&lt;&lt; Ir a objetos de dominio" xr:uid="{00000000-0004-0000-0A00-000001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Dominio'!A5</f>
        <v>Servicio</v>
      </c>
      <c r="C2" s="11"/>
      <c r="D2" s="11"/>
      <c r="E2" s="11"/>
    </row>
    <row r="3" spans="1:5" ht="30" customHeight="1" x14ac:dyDescent="0.25">
      <c r="A3" s="33" t="s">
        <v>84</v>
      </c>
      <c r="B3" s="10" t="str">
        <f>'Objetos de Dominio'!B5</f>
        <v>Representa cada tipo de corte o arreglo que ofrece la barbería, definido por el dueño, para que luego cada barbero decida cuáles sabe hacer</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159</v>
      </c>
      <c r="B6" s="2" t="s">
        <v>160</v>
      </c>
      <c r="C6" s="2"/>
      <c r="D6" s="55" t="s">
        <v>17</v>
      </c>
      <c r="E6" s="55"/>
    </row>
    <row r="7" spans="1:5" ht="30" customHeight="1" x14ac:dyDescent="0.25">
      <c r="A7" s="55" t="s">
        <v>161</v>
      </c>
      <c r="B7" s="2" t="s">
        <v>162</v>
      </c>
      <c r="C7" s="2"/>
      <c r="D7" s="55" t="s">
        <v>17</v>
      </c>
      <c r="E7" s="55"/>
    </row>
    <row r="8" spans="1:5" ht="30" customHeight="1" x14ac:dyDescent="0.25">
      <c r="A8" s="55" t="s">
        <v>163</v>
      </c>
      <c r="B8" s="2" t="s">
        <v>164</v>
      </c>
      <c r="C8" s="2"/>
      <c r="D8" s="55" t="s">
        <v>31</v>
      </c>
      <c r="E8" s="55"/>
    </row>
  </sheetData>
  <mergeCells count="9">
    <mergeCell ref="B6:C6"/>
    <mergeCell ref="B7:C7"/>
    <mergeCell ref="B8:C8"/>
    <mergeCell ref="B2:E2"/>
    <mergeCell ref="B3:E3"/>
    <mergeCell ref="A4:A5"/>
    <mergeCell ref="B4:C5"/>
    <mergeCell ref="D4:D5"/>
    <mergeCell ref="E4:E5"/>
  </mergeCells>
  <hyperlinks>
    <hyperlink ref="A1" r:id="rId1" location="'Modelo%20de%20Dominio'!A1" xr:uid="{00000000-0004-0000-0B00-000000000000}"/>
    <hyperlink ref="B1" r:id="rId2" location="'Objetos%20de%20Dominio'!A1" xr:uid="{00000000-0004-0000-0B00-000001000000}"/>
    <hyperlink ref="C1" r:id="rId3" location="'C-Servicio'!A1" xr:uid="{00000000-0004-0000-0B00-000002000000}"/>
    <hyperlink ref="D1" r:id="rId4" location="'M-Servicio'!A1" xr:uid="{00000000-0004-0000-0B00-000003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Dominio'!A5</f>
        <v>Servicio</v>
      </c>
      <c r="C2" s="11"/>
      <c r="D2" s="11"/>
      <c r="E2" s="11"/>
      <c r="F2" s="11"/>
      <c r="G2" s="11"/>
      <c r="H2" s="11"/>
      <c r="I2" s="11"/>
      <c r="J2" s="11"/>
      <c r="K2" s="11"/>
    </row>
    <row r="3" spans="1:11" ht="30" customHeight="1" x14ac:dyDescent="0.25">
      <c r="A3" s="33" t="s">
        <v>84</v>
      </c>
      <c r="B3" s="10" t="str">
        <f>'Objetos de Dominio'!B5</f>
        <v>Representa cada tipo de corte o arreglo que ofrece la barbería, definido por el dueño, para que luego cada barbero decida cuáles sabe hacer</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107</v>
      </c>
      <c r="B7" s="2" t="s">
        <v>165</v>
      </c>
      <c r="C7" s="2" t="s">
        <v>166</v>
      </c>
      <c r="D7" s="3" t="str">
        <f>$B$2</f>
        <v>Servicio</v>
      </c>
      <c r="E7" s="2"/>
      <c r="F7" s="2"/>
      <c r="G7" s="40" t="str">
        <f>'P-Servicio'!A6</f>
        <v>P-SER-0001</v>
      </c>
      <c r="H7" s="41"/>
      <c r="I7" s="3"/>
      <c r="J7" s="2" t="s">
        <v>167</v>
      </c>
      <c r="K7" s="2"/>
    </row>
    <row r="8" spans="1:11" ht="30" customHeight="1" x14ac:dyDescent="0.25">
      <c r="A8" s="3"/>
      <c r="B8" s="3"/>
      <c r="C8" s="3"/>
      <c r="D8" s="3"/>
      <c r="E8" s="3"/>
      <c r="F8" s="3"/>
      <c r="G8" s="40" t="str">
        <f>'P-Servicio'!A7</f>
        <v>P-SER-0002</v>
      </c>
      <c r="H8" s="41"/>
      <c r="I8" s="3"/>
      <c r="J8" s="3"/>
      <c r="K8" s="3"/>
    </row>
    <row r="9" spans="1:11" ht="30" customHeight="1" x14ac:dyDescent="0.25">
      <c r="A9" s="3" t="s">
        <v>107</v>
      </c>
      <c r="B9" s="2" t="s">
        <v>168</v>
      </c>
      <c r="C9" s="2" t="s">
        <v>169</v>
      </c>
      <c r="D9" s="3" t="str">
        <f>$B$2</f>
        <v>Servicio</v>
      </c>
      <c r="E9" s="2"/>
      <c r="F9" s="2"/>
      <c r="G9" s="40" t="str">
        <f>'P-Servicio'!A6</f>
        <v>P-SER-0001</v>
      </c>
      <c r="H9" s="41"/>
      <c r="I9" s="3"/>
      <c r="J9" s="2" t="s">
        <v>170</v>
      </c>
      <c r="K9" s="2"/>
    </row>
    <row r="10" spans="1:11" ht="30" customHeight="1" x14ac:dyDescent="0.25">
      <c r="A10" s="3"/>
      <c r="B10" s="3"/>
      <c r="C10" s="3"/>
      <c r="D10" s="3"/>
      <c r="E10" s="3"/>
      <c r="F10" s="3"/>
      <c r="G10" s="40" t="str">
        <f>'P-Servicio'!A7</f>
        <v>P-SER-0002</v>
      </c>
      <c r="H10" s="41"/>
      <c r="I10" s="3"/>
      <c r="J10" s="3"/>
      <c r="K10" s="3"/>
    </row>
    <row r="11" spans="1:11" ht="30" customHeight="1" x14ac:dyDescent="0.25">
      <c r="A11" s="40" t="s">
        <v>107</v>
      </c>
      <c r="B11" s="35" t="s">
        <v>171</v>
      </c>
      <c r="C11" s="35" t="s">
        <v>172</v>
      </c>
      <c r="D11" s="40" t="str">
        <f>$B$2</f>
        <v>Servicio</v>
      </c>
      <c r="E11" s="35"/>
      <c r="F11" s="35"/>
      <c r="G11" s="40" t="str">
        <f>'P-Servicio'!A6</f>
        <v>P-SER-0001</v>
      </c>
      <c r="H11" s="41"/>
      <c r="I11" s="40"/>
      <c r="J11" s="35" t="s">
        <v>173</v>
      </c>
      <c r="K11" s="35"/>
    </row>
    <row r="12" spans="1:11" ht="30" customHeight="1" x14ac:dyDescent="0.25">
      <c r="A12" s="40" t="s">
        <v>107</v>
      </c>
      <c r="B12" s="35" t="s">
        <v>174</v>
      </c>
      <c r="C12" s="35" t="s">
        <v>175</v>
      </c>
      <c r="D12" s="40" t="str">
        <f>$B$2</f>
        <v>Servicio</v>
      </c>
      <c r="E12" s="35"/>
      <c r="F12" s="35"/>
      <c r="G12" s="40"/>
      <c r="H12" s="41"/>
      <c r="I12" s="40"/>
      <c r="J12" s="35" t="s">
        <v>176</v>
      </c>
      <c r="K12" s="35"/>
    </row>
    <row r="13" spans="1:11" ht="30" customHeight="1" x14ac:dyDescent="0.25">
      <c r="A13" s="40" t="s">
        <v>25</v>
      </c>
      <c r="B13" s="35" t="s">
        <v>174</v>
      </c>
      <c r="C13" s="35" t="s">
        <v>175</v>
      </c>
      <c r="D13" s="40" t="str">
        <f>$B$2</f>
        <v>Servicio</v>
      </c>
      <c r="E13" s="35"/>
      <c r="F13" s="35"/>
      <c r="G13" s="40"/>
      <c r="H13" s="41"/>
      <c r="I13" s="40"/>
      <c r="J13" s="35" t="s">
        <v>176</v>
      </c>
      <c r="K13" s="35"/>
    </row>
    <row r="14" spans="1:11" ht="30" customHeight="1" x14ac:dyDescent="0.25">
      <c r="A14" s="40" t="s">
        <v>27</v>
      </c>
      <c r="B14" s="35" t="s">
        <v>174</v>
      </c>
      <c r="C14" s="35" t="s">
        <v>175</v>
      </c>
      <c r="D14" s="40" t="str">
        <f>$B$2</f>
        <v>Servicio</v>
      </c>
      <c r="E14" s="35"/>
      <c r="F14" s="35"/>
      <c r="G14" s="40"/>
      <c r="H14" s="41"/>
      <c r="I14" s="40"/>
      <c r="J14" s="35" t="s">
        <v>176</v>
      </c>
      <c r="K14" s="35"/>
    </row>
    <row r="15" spans="1:11" ht="30" customHeight="1" x14ac:dyDescent="0.25">
      <c r="A15" s="40" t="s">
        <v>107</v>
      </c>
      <c r="B15" s="35" t="s">
        <v>177</v>
      </c>
      <c r="C15" s="35" t="s">
        <v>178</v>
      </c>
      <c r="D15" s="40" t="str">
        <f>$B$2</f>
        <v>Servicio</v>
      </c>
      <c r="E15" s="35"/>
      <c r="F15" s="35"/>
      <c r="G15" s="40" t="str">
        <f>'P-Servicio'!A8</f>
        <v>P-SER-0003</v>
      </c>
      <c r="H15" s="41"/>
      <c r="I15" s="40"/>
      <c r="J15" s="35" t="s">
        <v>179</v>
      </c>
      <c r="K15" s="35"/>
    </row>
  </sheetData>
  <mergeCells count="37">
    <mergeCell ref="F7:F8"/>
    <mergeCell ref="I7:I8"/>
    <mergeCell ref="J7:J8"/>
    <mergeCell ref="K7:K8"/>
    <mergeCell ref="A9:A10"/>
    <mergeCell ref="B9:B10"/>
    <mergeCell ref="C9:C10"/>
    <mergeCell ref="D9:D10"/>
    <mergeCell ref="E9:E10"/>
    <mergeCell ref="F9:F10"/>
    <mergeCell ref="I9:I10"/>
    <mergeCell ref="J9:J10"/>
    <mergeCell ref="K9:K10"/>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0C00-000000000000}"/>
    <hyperlink ref="C1" r:id="rId2" location="'Objetos%20de%20Dominio'!A1" xr:uid="{00000000-0004-0000-0C00-000001000000}"/>
    <hyperlink ref="F1" r:id="rId3" location="'C-Servicio'!A1" xr:uid="{00000000-0004-0000-0C00-000002000000}"/>
    <hyperlink ref="J1" r:id="rId4" location="'M-Servicio'!A1" xr:uid="{00000000-0004-0000-0C00-000003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9"/>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20.85546875" customWidth="1"/>
    <col min="4" max="4" width="22.85546875" customWidth="1"/>
    <col min="6" max="6" width="18.28515625" customWidth="1"/>
  </cols>
  <sheetData>
    <row r="1" spans="1:6" ht="14.25" customHeight="1" x14ac:dyDescent="0.25">
      <c r="A1" s="13" t="s">
        <v>1</v>
      </c>
      <c r="B1" s="13" t="s">
        <v>45</v>
      </c>
      <c r="C1" s="65"/>
      <c r="D1" s="66"/>
      <c r="E1" s="66"/>
      <c r="F1" s="49"/>
    </row>
    <row r="2" spans="1:6" ht="42.75" customHeight="1" x14ac:dyDescent="0.25">
      <c r="A2" s="67" t="s">
        <v>111</v>
      </c>
      <c r="B2" s="67" t="s">
        <v>180</v>
      </c>
      <c r="C2" s="67" t="s">
        <v>181</v>
      </c>
      <c r="D2" s="67" t="s">
        <v>182</v>
      </c>
      <c r="E2" s="67" t="s">
        <v>183</v>
      </c>
      <c r="F2" s="68" t="s">
        <v>184</v>
      </c>
    </row>
    <row r="3" spans="1:6" ht="14.25" customHeight="1" x14ac:dyDescent="0.25">
      <c r="A3" s="69" t="s">
        <v>114</v>
      </c>
      <c r="B3" s="70" t="s">
        <v>78</v>
      </c>
      <c r="C3" s="70" t="s">
        <v>140</v>
      </c>
      <c r="D3" s="71" t="s">
        <v>185</v>
      </c>
      <c r="E3" s="72" t="s">
        <v>186</v>
      </c>
      <c r="F3" s="73" t="s">
        <v>187</v>
      </c>
    </row>
    <row r="4" spans="1:6" ht="57" customHeight="1" x14ac:dyDescent="0.25">
      <c r="A4" s="74">
        <v>1</v>
      </c>
      <c r="B4" s="74" t="s">
        <v>188</v>
      </c>
      <c r="C4" s="75" t="s">
        <v>189</v>
      </c>
      <c r="D4" s="76">
        <v>22000</v>
      </c>
      <c r="E4" s="76" t="s">
        <v>190</v>
      </c>
      <c r="F4" s="47" t="str">
        <f>B4</f>
        <v>Motilada</v>
      </c>
    </row>
    <row r="5" spans="1:6" ht="57" customHeight="1" x14ac:dyDescent="0.25">
      <c r="A5" s="74">
        <v>2</v>
      </c>
      <c r="B5" s="74" t="s">
        <v>191</v>
      </c>
      <c r="C5" s="75" t="s">
        <v>192</v>
      </c>
      <c r="D5" s="76">
        <v>12000</v>
      </c>
      <c r="E5" s="76" t="s">
        <v>190</v>
      </c>
      <c r="F5" s="47" t="str">
        <f>B5</f>
        <v>Corte de barba</v>
      </c>
    </row>
    <row r="6" spans="1:6" ht="57" customHeight="1" x14ac:dyDescent="0.25">
      <c r="A6" s="74">
        <v>3</v>
      </c>
      <c r="B6" s="74" t="s">
        <v>193</v>
      </c>
      <c r="C6" s="75" t="s">
        <v>194</v>
      </c>
      <c r="D6" s="76">
        <v>15000</v>
      </c>
      <c r="E6" s="76" t="s">
        <v>190</v>
      </c>
      <c r="F6" s="47" t="str">
        <f>B6</f>
        <v>Perfilada de barba</v>
      </c>
    </row>
    <row r="7" spans="1:6" ht="57" customHeight="1" x14ac:dyDescent="0.25">
      <c r="A7" s="74">
        <v>4</v>
      </c>
      <c r="B7" s="75" t="s">
        <v>195</v>
      </c>
      <c r="C7" s="75" t="s">
        <v>196</v>
      </c>
      <c r="D7" s="76">
        <v>35000</v>
      </c>
      <c r="E7" s="76" t="s">
        <v>190</v>
      </c>
      <c r="F7" s="58" t="str">
        <f>B7</f>
        <v>Arreglo completo de barba con toalla caliente</v>
      </c>
    </row>
    <row r="13" spans="1:6" ht="28.5" customHeight="1" x14ac:dyDescent="0.25">
      <c r="A13" s="50"/>
      <c r="B13" s="51" t="s">
        <v>124</v>
      </c>
    </row>
    <row r="14" spans="1:6" ht="28.5" customHeight="1" x14ac:dyDescent="0.25">
      <c r="A14" s="52"/>
      <c r="B14" s="51" t="s">
        <v>125</v>
      </c>
    </row>
    <row r="15" spans="1:6" ht="42.75" customHeight="1" x14ac:dyDescent="0.25">
      <c r="A15" s="77"/>
      <c r="B15" s="51" t="s">
        <v>197</v>
      </c>
    </row>
    <row r="16" spans="1:6" ht="28.5" customHeight="1" x14ac:dyDescent="0.25">
      <c r="A16" s="78"/>
      <c r="B16" s="51" t="s">
        <v>126</v>
      </c>
    </row>
    <row r="17" spans="1:2" ht="28.5" customHeight="1" x14ac:dyDescent="0.25">
      <c r="A17" s="79"/>
      <c r="B17" s="51" t="s">
        <v>198</v>
      </c>
    </row>
    <row r="18" spans="1:2" ht="28.5" customHeight="1" x14ac:dyDescent="0.25">
      <c r="A18" s="80"/>
      <c r="B18" s="51" t="s">
        <v>199</v>
      </c>
    </row>
    <row r="19" spans="1:2" ht="28.5" customHeight="1" x14ac:dyDescent="0.25">
      <c r="A19" s="81"/>
      <c r="B19" s="51" t="s">
        <v>127</v>
      </c>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9"/>
  <sheetViews>
    <sheetView zoomScaleNormal="100" workbookViewId="0">
      <selection activeCell="B1" sqref="B1"/>
    </sheetView>
  </sheetViews>
  <sheetFormatPr baseColWidth="10" defaultColWidth="8.7109375" defaultRowHeight="15" x14ac:dyDescent="0.25"/>
  <cols>
    <col min="1" max="1" width="57.7109375" customWidth="1"/>
    <col min="2" max="2" width="60.2851562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5" ht="15" customHeight="1" x14ac:dyDescent="0.25">
      <c r="A1" s="13" t="s">
        <v>1</v>
      </c>
      <c r="B1" s="13" t="s">
        <v>45</v>
      </c>
    </row>
    <row r="2" spans="1:25" ht="15" customHeight="1" x14ac:dyDescent="0.25">
      <c r="A2" s="60" t="s">
        <v>46</v>
      </c>
      <c r="B2" s="60" t="s">
        <v>47</v>
      </c>
      <c r="C2" s="60" t="s">
        <v>48</v>
      </c>
      <c r="D2" s="60" t="s">
        <v>49</v>
      </c>
      <c r="E2" s="60" t="s">
        <v>50</v>
      </c>
      <c r="F2" s="60" t="s">
        <v>51</v>
      </c>
      <c r="G2" s="60" t="s">
        <v>52</v>
      </c>
      <c r="H2" s="60" t="s">
        <v>53</v>
      </c>
      <c r="I2" s="60" t="s">
        <v>54</v>
      </c>
      <c r="J2" s="60" t="s">
        <v>55</v>
      </c>
      <c r="K2" s="60" t="s">
        <v>56</v>
      </c>
      <c r="L2" s="60" t="s">
        <v>57</v>
      </c>
      <c r="M2" s="60" t="s">
        <v>58</v>
      </c>
      <c r="N2" s="60" t="s">
        <v>59</v>
      </c>
      <c r="O2" s="60" t="s">
        <v>60</v>
      </c>
      <c r="P2" s="60" t="s">
        <v>61</v>
      </c>
      <c r="Q2" s="60" t="s">
        <v>62</v>
      </c>
      <c r="R2" s="60" t="s">
        <v>63</v>
      </c>
      <c r="S2" s="60" t="s">
        <v>64</v>
      </c>
      <c r="T2" s="60" t="s">
        <v>65</v>
      </c>
      <c r="U2" s="60" t="s">
        <v>66</v>
      </c>
    </row>
    <row r="3" spans="1:25" ht="45" customHeight="1" x14ac:dyDescent="0.25">
      <c r="A3" s="26" t="str">
        <f>'M-Regla'!A3</f>
        <v>id</v>
      </c>
      <c r="B3" s="27" t="str">
        <f>'M-Regla'!A2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7" t="s">
        <v>69</v>
      </c>
      <c r="N3" s="26" t="s">
        <v>70</v>
      </c>
      <c r="O3" s="26" t="s">
        <v>69</v>
      </c>
      <c r="P3" s="26" t="s">
        <v>69</v>
      </c>
      <c r="Q3" s="26" t="s">
        <v>70</v>
      </c>
      <c r="R3" s="26" t="s">
        <v>70</v>
      </c>
      <c r="S3" s="26" t="s">
        <v>70</v>
      </c>
      <c r="T3" s="26" t="s">
        <v>71</v>
      </c>
      <c r="U3" s="26" t="s">
        <v>67</v>
      </c>
    </row>
    <row r="4" spans="1:25" ht="30" customHeight="1" x14ac:dyDescent="0.25">
      <c r="A4" s="26" t="str">
        <f>'M-Regla'!B3</f>
        <v>toleranciaTardanzaCliente</v>
      </c>
      <c r="B4" s="27" t="str">
        <f>'M-Regla'!B2</f>
        <v>Representa la cantidad de minutos maxima que un cliente puede llegar tarde</v>
      </c>
      <c r="C4" s="26" t="s">
        <v>70</v>
      </c>
      <c r="D4" s="26" t="s">
        <v>157</v>
      </c>
      <c r="E4" s="26" t="s">
        <v>70</v>
      </c>
      <c r="F4" s="26" t="s">
        <v>69</v>
      </c>
      <c r="G4" s="26" t="s">
        <v>69</v>
      </c>
      <c r="H4" s="26" t="s">
        <v>69</v>
      </c>
      <c r="I4" s="26" t="s">
        <v>69</v>
      </c>
      <c r="J4" s="26">
        <v>0</v>
      </c>
      <c r="K4" s="26">
        <v>59</v>
      </c>
      <c r="L4" s="26" t="s">
        <v>69</v>
      </c>
      <c r="M4" s="27" t="s">
        <v>69</v>
      </c>
      <c r="N4" s="26" t="s">
        <v>70</v>
      </c>
      <c r="O4" s="26" t="s">
        <v>69</v>
      </c>
      <c r="P4" s="26" t="s">
        <v>69</v>
      </c>
      <c r="Q4" s="26" t="s">
        <v>69</v>
      </c>
      <c r="R4" s="26" t="s">
        <v>69</v>
      </c>
      <c r="S4" s="26" t="s">
        <v>70</v>
      </c>
      <c r="T4" s="26">
        <v>0</v>
      </c>
      <c r="U4" s="26" t="s">
        <v>70</v>
      </c>
    </row>
    <row r="5" spans="1:25" ht="45" customHeight="1" x14ac:dyDescent="0.25">
      <c r="A5" s="26" t="str">
        <f>'M-Regla'!C3</f>
        <v>montoMultaTardanzaCliente</v>
      </c>
      <c r="B5" s="27" t="str">
        <f>'M-Regla'!C2</f>
        <v>Representa la cantidad de dinero que el cliente debe de pagar en pesos colombianos, por superar la toleranciaTardanza</v>
      </c>
      <c r="C5" s="26" t="s">
        <v>70</v>
      </c>
      <c r="D5" s="26" t="s">
        <v>157</v>
      </c>
      <c r="E5" s="26" t="s">
        <v>70</v>
      </c>
      <c r="F5" s="26" t="s">
        <v>69</v>
      </c>
      <c r="G5" s="26" t="s">
        <v>69</v>
      </c>
      <c r="H5" s="26" t="s">
        <v>69</v>
      </c>
      <c r="I5" s="26" t="s">
        <v>69</v>
      </c>
      <c r="J5" s="26">
        <v>0</v>
      </c>
      <c r="K5" s="82">
        <v>1000000</v>
      </c>
      <c r="L5" s="26" t="s">
        <v>69</v>
      </c>
      <c r="M5" s="27" t="s">
        <v>69</v>
      </c>
      <c r="N5" s="26" t="s">
        <v>70</v>
      </c>
      <c r="O5" s="26" t="s">
        <v>69</v>
      </c>
      <c r="P5" s="26" t="s">
        <v>69</v>
      </c>
      <c r="Q5" s="26" t="s">
        <v>69</v>
      </c>
      <c r="R5" s="26" t="s">
        <v>69</v>
      </c>
      <c r="S5" s="26" t="s">
        <v>70</v>
      </c>
      <c r="T5" s="26">
        <v>0</v>
      </c>
      <c r="U5" s="26" t="s">
        <v>70</v>
      </c>
    </row>
    <row r="6" spans="1:25" ht="45" customHeight="1" x14ac:dyDescent="0.25">
      <c r="A6" s="26" t="str">
        <f>'M-Regla'!D3</f>
        <v>numeroMultasMaxima</v>
      </c>
      <c r="B6" s="27" t="str">
        <f>'M-Regla'!D2</f>
        <v>Representa la maxima de multas que pueda tener un cliente sin pagar, a partir de esta cantidad se le hace un veto al cliente</v>
      </c>
      <c r="C6" s="26" t="s">
        <v>70</v>
      </c>
      <c r="D6" s="26" t="s">
        <v>157</v>
      </c>
      <c r="E6" s="26" t="s">
        <v>70</v>
      </c>
      <c r="F6" s="26" t="s">
        <v>69</v>
      </c>
      <c r="G6" s="26" t="s">
        <v>69</v>
      </c>
      <c r="H6" s="26" t="s">
        <v>69</v>
      </c>
      <c r="I6" s="26" t="s">
        <v>69</v>
      </c>
      <c r="J6" s="26">
        <v>0</v>
      </c>
      <c r="K6" s="26">
        <v>100</v>
      </c>
      <c r="L6" s="26" t="s">
        <v>69</v>
      </c>
      <c r="M6" s="27" t="s">
        <v>69</v>
      </c>
      <c r="N6" s="26" t="s">
        <v>70</v>
      </c>
      <c r="O6" s="26" t="s">
        <v>69</v>
      </c>
      <c r="P6" s="26" t="s">
        <v>69</v>
      </c>
      <c r="Q6" s="26" t="s">
        <v>69</v>
      </c>
      <c r="R6" s="26" t="s">
        <v>69</v>
      </c>
      <c r="S6" s="26" t="s">
        <v>70</v>
      </c>
      <c r="T6" s="26">
        <v>0</v>
      </c>
      <c r="U6" s="26" t="s">
        <v>70</v>
      </c>
    </row>
    <row r="7" spans="1:25" ht="60" customHeight="1" x14ac:dyDescent="0.25">
      <c r="A7" s="26" t="str">
        <f>'M-Regla'!E3</f>
        <v>toleranciaTardanzaBarbero</v>
      </c>
      <c r="B7" s="27" t="str">
        <f>'M-Regla'!E2</f>
        <v>Representa la cantidad de minutos que un barbero puede demorarse en atender a un cliente, en caso de que el barbero se demore mas de lo previsto en su cita anterior</v>
      </c>
      <c r="C7" s="26" t="s">
        <v>70</v>
      </c>
      <c r="D7" s="26" t="s">
        <v>157</v>
      </c>
      <c r="E7" s="26" t="s">
        <v>70</v>
      </c>
      <c r="F7" s="26" t="s">
        <v>69</v>
      </c>
      <c r="G7" s="26" t="s">
        <v>69</v>
      </c>
      <c r="H7" s="26" t="s">
        <v>69</v>
      </c>
      <c r="I7" s="26" t="s">
        <v>69</v>
      </c>
      <c r="J7" s="26">
        <v>0</v>
      </c>
      <c r="K7" s="26">
        <v>59</v>
      </c>
      <c r="L7" s="26" t="s">
        <v>69</v>
      </c>
      <c r="M7" s="27" t="s">
        <v>69</v>
      </c>
      <c r="N7" s="26" t="s">
        <v>70</v>
      </c>
      <c r="O7" s="26" t="s">
        <v>69</v>
      </c>
      <c r="P7" s="26" t="s">
        <v>69</v>
      </c>
      <c r="Q7" s="26" t="s">
        <v>69</v>
      </c>
      <c r="R7" s="26" t="s">
        <v>69</v>
      </c>
      <c r="S7" s="26" t="s">
        <v>70</v>
      </c>
      <c r="T7" s="26">
        <v>0</v>
      </c>
      <c r="U7" s="26" t="s">
        <v>70</v>
      </c>
    </row>
    <row r="8" spans="1:25" ht="60" customHeight="1" x14ac:dyDescent="0.25">
      <c r="A8" s="26" t="str">
        <f>'M-Regla'!F3</f>
        <v>porcentajeDescuentoCita</v>
      </c>
      <c r="B8" s="27" t="str">
        <f>'M-Regla'!F2</f>
        <v>Representa la cantidad cuanto descuento va a tener un cliente en la cita con el barbero, como recompesa por esperar al barbero mas de la tolerancia permitida</v>
      </c>
      <c r="C8" s="26" t="s">
        <v>70</v>
      </c>
      <c r="D8" s="26" t="s">
        <v>157</v>
      </c>
      <c r="E8" s="26" t="s">
        <v>70</v>
      </c>
      <c r="F8" s="26" t="s">
        <v>69</v>
      </c>
      <c r="G8" s="26" t="s">
        <v>69</v>
      </c>
      <c r="H8" s="26" t="s">
        <v>69</v>
      </c>
      <c r="I8" s="26" t="s">
        <v>69</v>
      </c>
      <c r="J8" s="26">
        <v>0</v>
      </c>
      <c r="K8" s="26">
        <v>100</v>
      </c>
      <c r="L8" s="26" t="s">
        <v>69</v>
      </c>
      <c r="M8" s="27" t="s">
        <v>69</v>
      </c>
      <c r="N8" s="26" t="s">
        <v>70</v>
      </c>
      <c r="O8" s="26" t="s">
        <v>69</v>
      </c>
      <c r="P8" s="26" t="s">
        <v>69</v>
      </c>
      <c r="Q8" s="26" t="s">
        <v>69</v>
      </c>
      <c r="R8" s="26" t="s">
        <v>69</v>
      </c>
      <c r="S8" s="26" t="s">
        <v>70</v>
      </c>
      <c r="T8" s="26">
        <v>0</v>
      </c>
      <c r="U8" s="26" t="s">
        <v>70</v>
      </c>
    </row>
    <row r="9" spans="1:25" s="87" customFormat="1" ht="60" customHeight="1" x14ac:dyDescent="0.25">
      <c r="A9" s="83" t="str">
        <f>'M-Regla'!G3</f>
        <v>tiempoEnHorasAnticipacionDelBarberoParaCancelarUnaCita</v>
      </c>
      <c r="B9" s="84" t="str">
        <f>'M-Regla'!G2</f>
        <v>Representa la parte en horas del tiempo mínimo de anticipación con el que un barbero pueda cancelar una cita con el cliente. El barbero no podrá cancelar la cita cuando falte menos del tiempo indicado</v>
      </c>
      <c r="C9" s="26" t="s">
        <v>70</v>
      </c>
      <c r="D9" s="26" t="s">
        <v>157</v>
      </c>
      <c r="E9" s="26" t="s">
        <v>70</v>
      </c>
      <c r="F9" s="26" t="s">
        <v>69</v>
      </c>
      <c r="G9" s="26" t="s">
        <v>69</v>
      </c>
      <c r="H9" s="26" t="s">
        <v>69</v>
      </c>
      <c r="I9" s="26" t="s">
        <v>69</v>
      </c>
      <c r="J9" s="26">
        <v>0</v>
      </c>
      <c r="K9" s="85">
        <v>720</v>
      </c>
      <c r="L9" s="26" t="s">
        <v>69</v>
      </c>
      <c r="M9" s="27" t="s">
        <v>69</v>
      </c>
      <c r="N9" s="26" t="s">
        <v>70</v>
      </c>
      <c r="O9" s="26" t="s">
        <v>69</v>
      </c>
      <c r="P9" s="26" t="s">
        <v>69</v>
      </c>
      <c r="Q9" s="26" t="s">
        <v>69</v>
      </c>
      <c r="R9" s="26" t="s">
        <v>69</v>
      </c>
      <c r="S9" s="26" t="s">
        <v>70</v>
      </c>
      <c r="T9" s="26">
        <v>0</v>
      </c>
      <c r="U9" s="26" t="s">
        <v>70</v>
      </c>
      <c r="V9" s="86"/>
      <c r="W9" s="86"/>
      <c r="X9" s="86"/>
      <c r="Y9" s="86"/>
    </row>
    <row r="10" spans="1:25" s="87" customFormat="1" ht="60" customHeight="1" x14ac:dyDescent="0.25">
      <c r="A10" s="83" t="str">
        <f>'M-Regla'!H3</f>
        <v>tiempoEnMinutosAnticipacionDelBarberoParaCancelarUnaCita</v>
      </c>
      <c r="B10" s="84" t="str">
        <f>'M-Regla'!H2</f>
        <v>Representa la parte en minutos del tiempo mínimo de anticipación con el que un barbero puede cancelar una cita con el cliente. El barbero no podrá cancelar la cita cuando falte menos del tiempo indicado</v>
      </c>
      <c r="C10" s="26" t="s">
        <v>70</v>
      </c>
      <c r="D10" s="26" t="s">
        <v>157</v>
      </c>
      <c r="E10" s="26" t="s">
        <v>70</v>
      </c>
      <c r="F10" s="26" t="s">
        <v>69</v>
      </c>
      <c r="G10" s="26" t="s">
        <v>69</v>
      </c>
      <c r="H10" s="26" t="s">
        <v>69</v>
      </c>
      <c r="I10" s="26" t="s">
        <v>69</v>
      </c>
      <c r="J10" s="26">
        <v>0</v>
      </c>
      <c r="K10" s="85">
        <v>59</v>
      </c>
      <c r="L10" s="26" t="s">
        <v>69</v>
      </c>
      <c r="M10" s="27" t="s">
        <v>69</v>
      </c>
      <c r="N10" s="26" t="s">
        <v>70</v>
      </c>
      <c r="O10" s="26" t="s">
        <v>69</v>
      </c>
      <c r="P10" s="26" t="s">
        <v>69</v>
      </c>
      <c r="Q10" s="26" t="s">
        <v>69</v>
      </c>
      <c r="R10" s="26" t="s">
        <v>69</v>
      </c>
      <c r="S10" s="26" t="s">
        <v>70</v>
      </c>
      <c r="T10" s="26">
        <v>0</v>
      </c>
      <c r="U10" s="26" t="s">
        <v>70</v>
      </c>
      <c r="V10" s="86"/>
      <c r="W10" s="86"/>
      <c r="X10" s="86"/>
      <c r="Y10" s="86"/>
    </row>
    <row r="11" spans="1:25" s="87" customFormat="1" ht="60" customHeight="1" x14ac:dyDescent="0.25">
      <c r="A11" s="88" t="str">
        <f>'M-Regla'!I3</f>
        <v>tiempoEnHorasAnticipacionDelClienteParaCancelarUnaCita</v>
      </c>
      <c r="B11" s="89" t="str">
        <f>'M-Regla'!I2</f>
        <v>Representa la parte en horas del tiempo mínimo de anticipación con el que un cliente puede cancelar una cita con el barbero. El cliente no podrá cancelar la cita cuando falte menos del tiempo indicado</v>
      </c>
      <c r="C11" s="26" t="s">
        <v>70</v>
      </c>
      <c r="D11" s="26" t="s">
        <v>157</v>
      </c>
      <c r="E11" s="26" t="s">
        <v>70</v>
      </c>
      <c r="F11" s="26" t="s">
        <v>69</v>
      </c>
      <c r="G11" s="26" t="s">
        <v>69</v>
      </c>
      <c r="H11" s="26" t="s">
        <v>69</v>
      </c>
      <c r="I11" s="26" t="s">
        <v>69</v>
      </c>
      <c r="J11" s="26">
        <v>0</v>
      </c>
      <c r="K11" s="85">
        <v>720</v>
      </c>
      <c r="L11" s="26" t="s">
        <v>69</v>
      </c>
      <c r="M11" s="27" t="s">
        <v>69</v>
      </c>
      <c r="N11" s="26" t="s">
        <v>70</v>
      </c>
      <c r="O11" s="26" t="s">
        <v>69</v>
      </c>
      <c r="P11" s="26" t="s">
        <v>69</v>
      </c>
      <c r="Q11" s="26" t="s">
        <v>69</v>
      </c>
      <c r="R11" s="26" t="s">
        <v>69</v>
      </c>
      <c r="S11" s="26" t="s">
        <v>70</v>
      </c>
      <c r="T11" s="26">
        <v>0</v>
      </c>
      <c r="U11" s="26" t="s">
        <v>70</v>
      </c>
      <c r="V11" s="86"/>
      <c r="W11" s="86"/>
      <c r="X11" s="86"/>
      <c r="Y11" s="86"/>
    </row>
    <row r="12" spans="1:25" s="87" customFormat="1" ht="60" customHeight="1" x14ac:dyDescent="0.25">
      <c r="A12" s="83" t="str">
        <f>'M-Regla'!J3</f>
        <v>tiempoEnMinutosAnticipacionDelClienteParaCancelarUnaCita</v>
      </c>
      <c r="B12" s="84" t="str">
        <f>'M-Regla'!J2</f>
        <v>Representa la parte en minutos del tiempo mínimo de anticipación con el que un cliente puede cancelar una cita con el barbero. El cliente no podrá cancelar la cita cuando falte menos del tiempo indicado</v>
      </c>
      <c r="C12" s="26" t="s">
        <v>70</v>
      </c>
      <c r="D12" s="26" t="s">
        <v>157</v>
      </c>
      <c r="E12" s="26" t="s">
        <v>70</v>
      </c>
      <c r="F12" s="26" t="s">
        <v>69</v>
      </c>
      <c r="G12" s="26" t="s">
        <v>69</v>
      </c>
      <c r="H12" s="26" t="s">
        <v>69</v>
      </c>
      <c r="I12" s="26" t="s">
        <v>69</v>
      </c>
      <c r="J12" s="26">
        <v>0</v>
      </c>
      <c r="K12" s="85">
        <v>59</v>
      </c>
      <c r="L12" s="26" t="s">
        <v>69</v>
      </c>
      <c r="M12" s="27" t="s">
        <v>69</v>
      </c>
      <c r="N12" s="26" t="s">
        <v>70</v>
      </c>
      <c r="O12" s="26" t="s">
        <v>69</v>
      </c>
      <c r="P12" s="26" t="s">
        <v>69</v>
      </c>
      <c r="Q12" s="26" t="s">
        <v>69</v>
      </c>
      <c r="R12" s="26" t="s">
        <v>69</v>
      </c>
      <c r="S12" s="26" t="s">
        <v>70</v>
      </c>
      <c r="T12" s="26">
        <v>0</v>
      </c>
      <c r="U12" s="26" t="s">
        <v>70</v>
      </c>
      <c r="V12" s="86"/>
      <c r="W12" s="86"/>
      <c r="X12" s="86"/>
      <c r="Y12" s="86"/>
    </row>
    <row r="13" spans="1:25" ht="15" customHeight="1" x14ac:dyDescent="0.25">
      <c r="A13" s="90"/>
      <c r="B13" s="90"/>
      <c r="C13" s="91"/>
      <c r="D13" s="91"/>
      <c r="E13" s="91"/>
      <c r="F13" s="91"/>
      <c r="G13" s="91"/>
      <c r="H13" s="91"/>
      <c r="I13" s="91"/>
      <c r="J13" s="91"/>
      <c r="K13" s="91"/>
      <c r="L13" s="91"/>
      <c r="M13" s="91"/>
      <c r="N13" s="91"/>
      <c r="O13" s="91"/>
      <c r="P13" s="91"/>
      <c r="Q13" s="91"/>
      <c r="R13" s="91"/>
      <c r="S13" s="91"/>
      <c r="T13" s="91"/>
      <c r="U13" s="91"/>
      <c r="V13" s="91"/>
      <c r="W13" s="91"/>
      <c r="X13" s="91"/>
      <c r="Y13" s="91"/>
    </row>
    <row r="14" spans="1:25" ht="15" customHeight="1" x14ac:dyDescent="0.25">
      <c r="A14" s="90"/>
      <c r="B14" s="90"/>
      <c r="C14" s="91"/>
      <c r="D14" s="91"/>
      <c r="E14" s="91"/>
      <c r="F14" s="91"/>
      <c r="G14" s="91"/>
      <c r="H14" s="91"/>
      <c r="I14" s="91"/>
      <c r="J14" s="91"/>
      <c r="K14" s="91"/>
      <c r="L14" s="91"/>
      <c r="M14" s="91"/>
      <c r="N14" s="91"/>
      <c r="O14" s="91"/>
      <c r="P14" s="91"/>
      <c r="Q14" s="91"/>
      <c r="R14" s="91"/>
      <c r="S14" s="91"/>
      <c r="T14" s="91"/>
      <c r="U14" s="91"/>
      <c r="V14" s="91"/>
      <c r="W14" s="91"/>
      <c r="X14" s="91"/>
      <c r="Y14" s="91"/>
    </row>
    <row r="15" spans="1:25" ht="15" customHeight="1" x14ac:dyDescent="0.25">
      <c r="A15" s="90"/>
      <c r="B15" s="90"/>
      <c r="C15" s="91"/>
      <c r="D15" s="91"/>
      <c r="E15" s="91"/>
      <c r="F15" s="91"/>
      <c r="G15" s="91"/>
      <c r="H15" s="91"/>
      <c r="I15" s="91"/>
      <c r="J15" s="91"/>
      <c r="K15" s="91"/>
      <c r="L15" s="91"/>
      <c r="M15" s="91"/>
      <c r="N15" s="91"/>
      <c r="O15" s="91"/>
      <c r="P15" s="91"/>
      <c r="Q15" s="91"/>
      <c r="R15" s="91"/>
      <c r="S15" s="91"/>
      <c r="T15" s="91"/>
      <c r="U15" s="91"/>
      <c r="V15" s="91"/>
      <c r="W15" s="91"/>
      <c r="X15" s="91"/>
      <c r="Y15" s="91"/>
    </row>
    <row r="16" spans="1:25" ht="15" customHeight="1" x14ac:dyDescent="0.25">
      <c r="A16" s="90"/>
      <c r="B16" s="90"/>
      <c r="C16" s="91"/>
      <c r="D16" s="91"/>
      <c r="E16" s="91"/>
      <c r="F16" s="91"/>
      <c r="G16" s="91"/>
      <c r="H16" s="91"/>
      <c r="I16" s="91"/>
      <c r="J16" s="91"/>
      <c r="K16" s="91"/>
      <c r="L16" s="91"/>
      <c r="M16" s="91"/>
      <c r="N16" s="91"/>
      <c r="O16" s="91"/>
      <c r="P16" s="91"/>
      <c r="Q16" s="91"/>
      <c r="R16" s="91"/>
      <c r="S16" s="91"/>
      <c r="T16" s="91"/>
      <c r="U16" s="91"/>
      <c r="V16" s="91"/>
      <c r="W16" s="91"/>
      <c r="X16" s="91"/>
      <c r="Y16" s="91"/>
    </row>
    <row r="17" spans="1:25" ht="15" customHeight="1" x14ac:dyDescent="0.25">
      <c r="A17" s="91"/>
      <c r="B17" s="91"/>
      <c r="C17" s="91"/>
      <c r="D17" s="91"/>
      <c r="E17" s="91"/>
      <c r="F17" s="91"/>
      <c r="G17" s="91"/>
      <c r="H17" s="91"/>
      <c r="I17" s="91"/>
      <c r="J17" s="91"/>
      <c r="K17" s="91"/>
      <c r="L17" s="91"/>
      <c r="M17" s="91"/>
      <c r="N17" s="91"/>
      <c r="O17" s="91"/>
      <c r="P17" s="91"/>
      <c r="Q17" s="91"/>
      <c r="R17" s="91"/>
      <c r="S17" s="91"/>
      <c r="T17" s="91"/>
      <c r="U17" s="91"/>
      <c r="V17" s="91"/>
      <c r="W17" s="91"/>
      <c r="X17" s="91"/>
      <c r="Y17" s="91"/>
    </row>
    <row r="18" spans="1:25" ht="15" customHeight="1" x14ac:dyDescent="0.25">
      <c r="A18" s="92"/>
      <c r="B18" s="92"/>
      <c r="C18" s="92"/>
      <c r="D18" s="91"/>
      <c r="E18" s="91"/>
      <c r="F18" s="91"/>
      <c r="G18" s="91"/>
      <c r="H18" s="91"/>
      <c r="I18" s="91"/>
      <c r="J18" s="91"/>
      <c r="K18" s="91"/>
      <c r="L18" s="91"/>
      <c r="M18" s="91"/>
      <c r="N18" s="91"/>
      <c r="O18" s="91"/>
      <c r="P18" s="91"/>
      <c r="Q18" s="91"/>
      <c r="R18" s="91"/>
      <c r="S18" s="91"/>
      <c r="T18" s="91"/>
      <c r="U18" s="91"/>
      <c r="V18" s="91"/>
      <c r="W18" s="91"/>
      <c r="X18" s="91"/>
      <c r="Y18" s="91"/>
    </row>
    <row r="19" spans="1:25" ht="15" customHeight="1" x14ac:dyDescent="0.25">
      <c r="A19" s="91"/>
      <c r="B19" s="91"/>
      <c r="C19" s="91"/>
      <c r="D19" s="91"/>
      <c r="E19" s="91"/>
      <c r="F19" s="91"/>
      <c r="G19" s="91"/>
      <c r="H19" s="91"/>
      <c r="I19" s="91"/>
      <c r="J19" s="91"/>
      <c r="K19" s="91"/>
      <c r="L19" s="91"/>
      <c r="M19" s="91"/>
      <c r="N19" s="91"/>
      <c r="O19" s="91"/>
      <c r="P19" s="91"/>
      <c r="Q19" s="91"/>
      <c r="R19" s="91"/>
      <c r="S19" s="91"/>
      <c r="T19" s="91"/>
      <c r="U19" s="91"/>
      <c r="V19" s="91"/>
      <c r="W19" s="91"/>
      <c r="X19" s="91"/>
      <c r="Y19" s="91"/>
    </row>
  </sheetData>
  <hyperlinks>
    <hyperlink ref="A1" location="'Modelo de Dominio'!A1" display="&lt;&lt;&lt;&lt; Ir al modulo de dominio" xr:uid="{00000000-0004-0000-0E00-000000000000}"/>
    <hyperlink ref="B1" location="'Objetos de Dominio'!A1" display="&lt;&lt;&lt;&lt; Ir a objetos de dominio" xr:uid="{00000000-0004-0000-0E00-000001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Dominio'!A6</f>
        <v>Regla</v>
      </c>
      <c r="C2" s="11"/>
      <c r="D2" s="11"/>
      <c r="E2" s="11"/>
    </row>
    <row r="3" spans="1:5" ht="30" customHeight="1" x14ac:dyDescent="0.25">
      <c r="A3" s="33" t="s">
        <v>84</v>
      </c>
      <c r="B3" s="10" t="str">
        <f>'Objetos de Dominio'!B6</f>
        <v>Representa las políticas de la barbería frente al incumplimiento de clientes y barberos: tolerancias de tardanza, monto de la multa fija, número máximo de multas sin pagar antes del veto, y el descuento que se da cuando el barbero se demora</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200</v>
      </c>
      <c r="B6" s="2" t="s">
        <v>201</v>
      </c>
      <c r="C6" s="2"/>
      <c r="D6" s="55" t="s">
        <v>19</v>
      </c>
      <c r="E6" s="55"/>
    </row>
  </sheetData>
  <mergeCells count="7">
    <mergeCell ref="B6:C6"/>
    <mergeCell ref="B2:E2"/>
    <mergeCell ref="B3:E3"/>
    <mergeCell ref="A4:A5"/>
    <mergeCell ref="B4:C5"/>
    <mergeCell ref="D4:D5"/>
    <mergeCell ref="E4:E5"/>
  </mergeCells>
  <hyperlinks>
    <hyperlink ref="A1" r:id="rId1" location="'Modelo%20de%20Dominio'!A1" xr:uid="{00000000-0004-0000-0F00-000000000000}"/>
    <hyperlink ref="B1" r:id="rId2" location="'Objetos%20de%20Dominio'!A1" xr:uid="{00000000-0004-0000-0F00-000001000000}"/>
    <hyperlink ref="C1" r:id="rId3" location="'C-Regla'!A1" xr:uid="{00000000-0004-0000-0F00-000002000000}"/>
    <hyperlink ref="D1" r:id="rId4" location="'M-Regla'!A1" xr:uid="{00000000-0004-0000-0F00-000003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Dominio'!A6</f>
        <v>Regla</v>
      </c>
      <c r="C2" s="11"/>
      <c r="D2" s="11"/>
      <c r="E2" s="11"/>
      <c r="F2" s="11"/>
      <c r="G2" s="11"/>
      <c r="H2" s="11"/>
      <c r="I2" s="11"/>
      <c r="J2" s="11"/>
      <c r="K2" s="11"/>
    </row>
    <row r="3" spans="1:11" ht="30" customHeight="1" x14ac:dyDescent="0.25">
      <c r="A3" s="33" t="s">
        <v>84</v>
      </c>
      <c r="B3" s="10" t="str">
        <f>'Objetos de Dominio'!B6</f>
        <v>Representa las políticas de la barbería frente al incumplimiento de clientes y barberos: tolerancias de tardanza, monto de la multa fija, número máximo de multas sin pagar antes del veto, y el descuento que se da cuando el barbero se demora</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107</v>
      </c>
      <c r="B7" s="35" t="s">
        <v>202</v>
      </c>
      <c r="C7" s="35" t="s">
        <v>203</v>
      </c>
      <c r="D7" s="40" t="str">
        <f>$B$2</f>
        <v>Regla</v>
      </c>
      <c r="E7" s="35"/>
      <c r="F7" s="35"/>
      <c r="G7" s="40" t="str">
        <f>'P-Regla'!A6</f>
        <v>P-REG-0001</v>
      </c>
      <c r="H7" s="41"/>
      <c r="I7" s="40"/>
      <c r="J7" s="35" t="s">
        <v>204</v>
      </c>
      <c r="K7" s="35"/>
    </row>
    <row r="8" spans="1:11" ht="30" customHeight="1" x14ac:dyDescent="0.25">
      <c r="A8" s="40" t="s">
        <v>107</v>
      </c>
      <c r="B8" s="35" t="s">
        <v>205</v>
      </c>
      <c r="C8" s="35" t="s">
        <v>206</v>
      </c>
      <c r="D8" s="40" t="str">
        <f>$B$2</f>
        <v>Regla</v>
      </c>
      <c r="E8" s="35"/>
      <c r="F8" s="35"/>
      <c r="G8" s="40" t="str">
        <f>'P-Regla'!A6</f>
        <v>P-REG-0001</v>
      </c>
      <c r="H8" s="41"/>
      <c r="I8" s="40"/>
      <c r="J8" s="35" t="s">
        <v>207</v>
      </c>
      <c r="K8" s="35"/>
    </row>
    <row r="9" spans="1:11" ht="30" customHeight="1" x14ac:dyDescent="0.25">
      <c r="A9" s="40" t="s">
        <v>107</v>
      </c>
      <c r="B9" s="35" t="s">
        <v>208</v>
      </c>
      <c r="C9" s="35" t="s">
        <v>209</v>
      </c>
      <c r="D9" s="40" t="str">
        <f>$B$2</f>
        <v>Regla</v>
      </c>
      <c r="E9" s="35"/>
      <c r="F9" s="35"/>
      <c r="G9" s="40"/>
      <c r="H9" s="41"/>
      <c r="I9" s="40"/>
      <c r="J9" s="35" t="s">
        <v>210</v>
      </c>
      <c r="K9" s="35"/>
    </row>
    <row r="10" spans="1:11" ht="30" customHeight="1" x14ac:dyDescent="0.25">
      <c r="A10" s="40" t="s">
        <v>25</v>
      </c>
      <c r="B10" s="35" t="s">
        <v>208</v>
      </c>
      <c r="C10" s="35" t="s">
        <v>209</v>
      </c>
      <c r="D10" s="40" t="str">
        <f>$B$2</f>
        <v>Regla</v>
      </c>
      <c r="E10" s="35"/>
      <c r="F10" s="35"/>
      <c r="G10" s="40"/>
      <c r="H10" s="41"/>
      <c r="I10" s="40"/>
      <c r="J10" s="35" t="s">
        <v>210</v>
      </c>
      <c r="K10" s="35"/>
    </row>
    <row r="11" spans="1:11" ht="30" customHeight="1" x14ac:dyDescent="0.25">
      <c r="A11" s="40" t="s">
        <v>27</v>
      </c>
      <c r="B11" s="35" t="s">
        <v>208</v>
      </c>
      <c r="C11" s="35" t="s">
        <v>209</v>
      </c>
      <c r="D11" s="40" t="str">
        <f>$B$2</f>
        <v>Regla</v>
      </c>
      <c r="E11" s="35"/>
      <c r="F11" s="35"/>
      <c r="G11" s="40"/>
      <c r="H11" s="41"/>
      <c r="I11" s="40"/>
      <c r="J11" s="35" t="s">
        <v>210</v>
      </c>
      <c r="K11"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1000-000000000000}"/>
    <hyperlink ref="C1" r:id="rId2" location="'Objetos%20de%20Dominio'!A1" xr:uid="{00000000-0004-0000-1000-000001000000}"/>
    <hyperlink ref="F1" r:id="rId3" location="'C-Regla'!A1" xr:uid="{00000000-0004-0000-1000-000002000000}"/>
    <hyperlink ref="J1" r:id="rId4" location="'M-Regla'!A1" xr:uid="{00000000-0004-0000-1000-000003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2"/>
  <sheetViews>
    <sheetView zoomScale="130" zoomScaleNormal="130" workbookViewId="0">
      <selection activeCell="A4" sqref="A4"/>
    </sheetView>
  </sheetViews>
  <sheetFormatPr baseColWidth="10" defaultColWidth="10.7109375" defaultRowHeight="15" x14ac:dyDescent="0.25"/>
  <cols>
    <col min="1" max="1" width="25" customWidth="1"/>
    <col min="2" max="2" width="26.85546875" customWidth="1"/>
    <col min="3" max="3" width="31.42578125" customWidth="1"/>
    <col min="4" max="4" width="34.42578125" customWidth="1"/>
    <col min="5" max="5" width="28.42578125" customWidth="1"/>
    <col min="6" max="6" width="29.85546875" customWidth="1"/>
    <col min="7" max="7" width="55.140625" customWidth="1"/>
    <col min="8" max="8" width="57.7109375" customWidth="1"/>
    <col min="9" max="9" width="55.140625" customWidth="1"/>
    <col min="10" max="10" width="57.7109375" customWidth="1"/>
  </cols>
  <sheetData>
    <row r="1" spans="1:10" ht="14.25" customHeight="1" x14ac:dyDescent="0.25">
      <c r="A1" s="13" t="s">
        <v>1</v>
      </c>
      <c r="B1" s="13" t="s">
        <v>45</v>
      </c>
    </row>
    <row r="2" spans="1:10" ht="48.75" customHeight="1" x14ac:dyDescent="0.25">
      <c r="A2" s="67" t="s">
        <v>111</v>
      </c>
      <c r="B2" s="68" t="s">
        <v>211</v>
      </c>
      <c r="C2" s="68" t="s">
        <v>212</v>
      </c>
      <c r="D2" s="68" t="s">
        <v>213</v>
      </c>
      <c r="E2" s="68" t="s">
        <v>214</v>
      </c>
      <c r="F2" s="68" t="s">
        <v>215</v>
      </c>
      <c r="G2" s="68" t="s">
        <v>216</v>
      </c>
      <c r="H2" s="68" t="s">
        <v>217</v>
      </c>
      <c r="I2" s="68" t="s">
        <v>218</v>
      </c>
      <c r="J2" s="68" t="s">
        <v>219</v>
      </c>
    </row>
    <row r="3" spans="1:10" ht="14.25" customHeight="1" x14ac:dyDescent="0.25">
      <c r="A3" s="93" t="s">
        <v>114</v>
      </c>
      <c r="B3" s="94" t="s">
        <v>220</v>
      </c>
      <c r="C3" s="94" t="s">
        <v>221</v>
      </c>
      <c r="D3" s="94" t="s">
        <v>222</v>
      </c>
      <c r="E3" s="94" t="s">
        <v>223</v>
      </c>
      <c r="F3" s="94" t="s">
        <v>224</v>
      </c>
      <c r="G3" s="94" t="s">
        <v>225</v>
      </c>
      <c r="H3" s="94" t="s">
        <v>226</v>
      </c>
      <c r="I3" s="94" t="s">
        <v>227</v>
      </c>
      <c r="J3" s="94" t="s">
        <v>228</v>
      </c>
    </row>
    <row r="4" spans="1:10" ht="14.25" customHeight="1" x14ac:dyDescent="0.25">
      <c r="A4" s="47">
        <v>1</v>
      </c>
      <c r="B4" s="47">
        <v>10</v>
      </c>
      <c r="C4" s="95">
        <v>10000</v>
      </c>
      <c r="D4" s="47">
        <v>3</v>
      </c>
      <c r="E4" s="47">
        <v>15</v>
      </c>
      <c r="F4" s="47">
        <v>10</v>
      </c>
      <c r="G4" s="47">
        <v>1</v>
      </c>
      <c r="H4" s="47">
        <v>0</v>
      </c>
      <c r="I4" s="47">
        <v>1</v>
      </c>
      <c r="J4" s="47">
        <v>0</v>
      </c>
    </row>
    <row r="10" spans="1:10" ht="28.5" customHeight="1" x14ac:dyDescent="0.25">
      <c r="A10" s="50"/>
      <c r="B10" s="51" t="s">
        <v>124</v>
      </c>
    </row>
    <row r="11" spans="1:10" ht="28.5" customHeight="1" x14ac:dyDescent="0.25">
      <c r="A11" s="52"/>
      <c r="B11" s="51" t="s">
        <v>125</v>
      </c>
    </row>
    <row r="12" spans="1:10" ht="28.5" customHeight="1" x14ac:dyDescent="0.25">
      <c r="A12" s="96"/>
      <c r="B12" s="51" t="s">
        <v>198</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
  <sheetViews>
    <sheetView topLeftCell="L1" zoomScaleNormal="100" workbookViewId="0">
      <selection activeCell="T5" sqref="T5"/>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0.14062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13" t="s">
        <v>1</v>
      </c>
      <c r="B1" s="13" t="s">
        <v>45</v>
      </c>
    </row>
    <row r="2" spans="1:21" s="25" customFormat="1" ht="15" customHeight="1" x14ac:dyDescent="0.25">
      <c r="A2" s="23" t="s">
        <v>46</v>
      </c>
      <c r="B2" s="24" t="s">
        <v>47</v>
      </c>
      <c r="C2" s="23" t="s">
        <v>48</v>
      </c>
      <c r="D2" s="23" t="s">
        <v>49</v>
      </c>
      <c r="E2" s="23" t="s">
        <v>50</v>
      </c>
      <c r="F2" s="23" t="s">
        <v>51</v>
      </c>
      <c r="G2" s="23" t="s">
        <v>52</v>
      </c>
      <c r="H2" s="23" t="s">
        <v>53</v>
      </c>
      <c r="I2" s="23" t="s">
        <v>54</v>
      </c>
      <c r="J2" s="23" t="s">
        <v>55</v>
      </c>
      <c r="K2" s="23" t="s">
        <v>56</v>
      </c>
      <c r="L2" s="23" t="s">
        <v>57</v>
      </c>
      <c r="M2" s="24" t="s">
        <v>58</v>
      </c>
      <c r="N2" s="23" t="s">
        <v>59</v>
      </c>
      <c r="O2" s="23" t="s">
        <v>60</v>
      </c>
      <c r="P2" s="23" t="s">
        <v>61</v>
      </c>
      <c r="Q2" s="23" t="s">
        <v>62</v>
      </c>
      <c r="R2" s="23" t="s">
        <v>63</v>
      </c>
      <c r="S2" s="23" t="s">
        <v>64</v>
      </c>
      <c r="T2" s="23" t="s">
        <v>65</v>
      </c>
      <c r="U2" s="23" t="s">
        <v>66</v>
      </c>
    </row>
    <row r="3" spans="1:21" ht="45" customHeight="1" x14ac:dyDescent="0.25">
      <c r="A3" s="26" t="str">
        <f>'M-PrefijoCelular'!A3</f>
        <v>id</v>
      </c>
      <c r="B3" s="27" t="str">
        <f>'M-PrefijoCelular'!A2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7" t="s">
        <v>69</v>
      </c>
      <c r="N3" s="26" t="s">
        <v>70</v>
      </c>
      <c r="O3" s="26" t="s">
        <v>70</v>
      </c>
      <c r="P3" s="26" t="s">
        <v>69</v>
      </c>
      <c r="Q3" s="26" t="s">
        <v>70</v>
      </c>
      <c r="R3" s="26" t="s">
        <v>70</v>
      </c>
      <c r="S3" s="26" t="s">
        <v>70</v>
      </c>
      <c r="T3" s="26" t="s">
        <v>69</v>
      </c>
      <c r="U3" s="26" t="s">
        <v>67</v>
      </c>
    </row>
    <row r="4" spans="1:21" ht="75" customHeight="1" x14ac:dyDescent="0.25">
      <c r="A4" s="26" t="str">
        <f>'M-PrefijoCelular'!B3</f>
        <v>prefijo</v>
      </c>
      <c r="B4" s="27" t="str">
        <f>'M-PrefijoCelular'!B2</f>
        <v>Representa el primer nombre del barbero que trabaja en barbería</v>
      </c>
      <c r="C4" s="26" t="s">
        <v>70</v>
      </c>
      <c r="D4" s="26" t="s">
        <v>72</v>
      </c>
      <c r="E4" s="26" t="s">
        <v>67</v>
      </c>
      <c r="F4" s="26">
        <v>2</v>
      </c>
      <c r="G4" s="26">
        <v>6</v>
      </c>
      <c r="H4" s="26" t="s">
        <v>69</v>
      </c>
      <c r="I4" s="26" t="s">
        <v>69</v>
      </c>
      <c r="J4" s="26" t="s">
        <v>69</v>
      </c>
      <c r="K4" s="26" t="s">
        <v>69</v>
      </c>
      <c r="L4" s="27" t="s">
        <v>229</v>
      </c>
      <c r="M4" s="27" t="s">
        <v>230</v>
      </c>
      <c r="N4" s="26" t="s">
        <v>70</v>
      </c>
      <c r="O4" s="26" t="s">
        <v>70</v>
      </c>
      <c r="P4" s="26" t="s">
        <v>69</v>
      </c>
      <c r="Q4" s="26" t="s">
        <v>67</v>
      </c>
      <c r="R4" s="26" t="s">
        <v>67</v>
      </c>
      <c r="S4" s="26" t="s">
        <v>70</v>
      </c>
      <c r="T4" s="26" t="s">
        <v>231</v>
      </c>
      <c r="U4" s="26" t="s">
        <v>70</v>
      </c>
    </row>
    <row r="6" spans="1:21" ht="15" customHeight="1" x14ac:dyDescent="0.25">
      <c r="A6" s="28" t="s">
        <v>75</v>
      </c>
      <c r="B6" s="28" t="s">
        <v>76</v>
      </c>
      <c r="C6" s="28" t="s">
        <v>77</v>
      </c>
    </row>
    <row r="7" spans="1:21" ht="30" customHeight="1" x14ac:dyDescent="0.25">
      <c r="A7" s="29" t="str">
        <f>'M-PrefijoCelular'!C3</f>
        <v xml:space="preserve">Combinación única </v>
      </c>
      <c r="B7" s="30" t="str">
        <f>'M-PrefijoCelular'!C2</f>
        <v>Combinacion única que indica que no puede existir más un mismo prefijo</v>
      </c>
      <c r="C7" s="31" t="s">
        <v>232</v>
      </c>
    </row>
  </sheetData>
  <hyperlinks>
    <hyperlink ref="A1" location="'Modelo de Dominio'!A1" display="&lt;&lt;&lt;&lt; Ir al modulo de dominio" xr:uid="{00000000-0004-0000-1200-000000000000}"/>
    <hyperlink ref="B1" location="'Objetos de Dominio'!A1" display="&lt;&lt;&lt;&lt; Ir a objetos de dominio" xr:uid="{00000000-0004-0000-1200-000001000000}"/>
    <hyperlink ref="A3" location="'M-PrefijoCelular'!A3" display="#'M-PrefijoCelular'.A3" xr:uid="{00000000-0004-0000-1200-000002000000}"/>
    <hyperlink ref="B3" location="'M-PrefijoCelular'!A2" display="#'M-PrefijoCelular'.A2" xr:uid="{00000000-0004-0000-1200-000003000000}"/>
    <hyperlink ref="A4" location="'M-PrefijoCelular'!A3" display="#'M-PrefijoCelular'.A3" xr:uid="{00000000-0004-0000-1200-000004000000}"/>
    <hyperlink ref="B4" location="'M-PrefijoCelular'!A2" display="#'M-PrefijoCelular'.A2" xr:uid="{00000000-0004-0000-1200-000005000000}"/>
    <hyperlink ref="A7" location="'M-PrefijoCelular'!A3" display="#'M-PrefijoCelular'.A3" xr:uid="{00000000-0004-0000-1200-000006000000}"/>
    <hyperlink ref="B7" location="'M-PrefijoCelular'!A2" display="#'M-PrefijoCelular'.A2" xr:uid="{00000000-0004-0000-1200-000007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Dominio'!A7</f>
        <v>PrefijoCelular</v>
      </c>
      <c r="C2" s="11"/>
      <c r="D2" s="11"/>
      <c r="E2" s="11"/>
    </row>
    <row r="3" spans="1:5" ht="30" customHeight="1" x14ac:dyDescent="0.25">
      <c r="A3" s="33" t="s">
        <v>84</v>
      </c>
      <c r="B3" s="10" t="str">
        <f>'Objetos de Dominio'!B7</f>
        <v>Representa el catálogo de prefijos telefónicos de país disponibles para el número de celular de barberos y clientes</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2" t="s">
        <v>89</v>
      </c>
      <c r="B6" s="2"/>
      <c r="C6" s="2"/>
      <c r="D6" s="2"/>
      <c r="E6" s="2"/>
    </row>
  </sheetData>
  <mergeCells count="7">
    <mergeCell ref="A6:E6"/>
    <mergeCell ref="B2:E2"/>
    <mergeCell ref="B3:E3"/>
    <mergeCell ref="A4:A5"/>
    <mergeCell ref="B4:C5"/>
    <mergeCell ref="D4:D5"/>
    <mergeCell ref="E4:E5"/>
  </mergeCells>
  <hyperlinks>
    <hyperlink ref="A1" r:id="rId1" location="'Modelo%20de%20Dominio'!A1" xr:uid="{00000000-0004-0000-1300-000000000000}"/>
    <hyperlink ref="B1" r:id="rId2" location="'Objetos%20de%20Dominio'!A1" xr:uid="{00000000-0004-0000-1300-000001000000}"/>
    <hyperlink ref="C1" r:id="rId3" location="'C-PrefijoCelular'!A1" xr:uid="{00000000-0004-0000-1300-000002000000}"/>
    <hyperlink ref="D1" r:id="rId4" location="'M-PrefijoCelular'!A1" xr:uid="{00000000-0004-0000-1300-000003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8"/>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Dominio'!A7</f>
        <v>PrefijoCelular</v>
      </c>
      <c r="C2" s="11"/>
      <c r="D2" s="11"/>
      <c r="E2" s="11"/>
      <c r="F2" s="11"/>
      <c r="G2" s="11"/>
      <c r="H2" s="11"/>
      <c r="I2" s="11"/>
      <c r="J2" s="11"/>
      <c r="K2" s="11"/>
    </row>
    <row r="3" spans="1:11" ht="30" customHeight="1" x14ac:dyDescent="0.25">
      <c r="A3" s="33" t="s">
        <v>84</v>
      </c>
      <c r="B3" s="10" t="str">
        <f>'Objetos de Dominio'!B7</f>
        <v>Representa el catálogo de prefijos telefónicos de país disponibles para el número de celular de barberos y clientes</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25</v>
      </c>
      <c r="B7" s="35" t="s">
        <v>233</v>
      </c>
      <c r="C7" s="35" t="s">
        <v>234</v>
      </c>
      <c r="D7" s="40" t="str">
        <f>$B$2</f>
        <v>PrefijoCelular</v>
      </c>
      <c r="E7" s="35"/>
      <c r="F7" s="35"/>
      <c r="G7" s="40"/>
      <c r="H7" s="41"/>
      <c r="I7" s="40"/>
      <c r="J7" s="35" t="s">
        <v>235</v>
      </c>
      <c r="K7" s="35"/>
    </row>
    <row r="8" spans="1:11" ht="30" customHeight="1" x14ac:dyDescent="0.25">
      <c r="A8" s="40" t="s">
        <v>27</v>
      </c>
      <c r="B8" s="35" t="s">
        <v>233</v>
      </c>
      <c r="C8" s="35" t="s">
        <v>234</v>
      </c>
      <c r="D8" s="40" t="str">
        <f>$B$2</f>
        <v>PrefijoCelular</v>
      </c>
      <c r="E8" s="35"/>
      <c r="F8" s="35"/>
      <c r="G8" s="40"/>
      <c r="H8" s="41"/>
      <c r="I8" s="40"/>
      <c r="J8" s="35" t="s">
        <v>235</v>
      </c>
      <c r="K8"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1400-000000000000}"/>
    <hyperlink ref="C1" r:id="rId2" location="'Objetos%20de%20Dominio'!A1" xr:uid="{00000000-0004-0000-1400-000001000000}"/>
    <hyperlink ref="F1" r:id="rId3" location="'C-PrefijoCelular'!A1" xr:uid="{00000000-0004-0000-1400-000002000000}"/>
    <hyperlink ref="J1" r:id="rId4" location="'M-PrefijoCelular'!A1"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6"/>
  <sheetViews>
    <sheetView zoomScale="115" zoomScaleNormal="115" workbookViewId="0">
      <selection activeCell="B1" sqref="B1"/>
    </sheetView>
  </sheetViews>
  <sheetFormatPr baseColWidth="10" defaultColWidth="10.7109375" defaultRowHeight="15" x14ac:dyDescent="0.25"/>
  <cols>
    <col min="1" max="1" width="27" customWidth="1"/>
    <col min="2" max="2" width="26.140625" customWidth="1"/>
    <col min="3" max="3" width="19.7109375" customWidth="1"/>
  </cols>
  <sheetData>
    <row r="1" spans="1:3" ht="14.25" customHeight="1" x14ac:dyDescent="0.25">
      <c r="A1" s="13" t="s">
        <v>1</v>
      </c>
      <c r="B1" s="13" t="s">
        <v>45</v>
      </c>
    </row>
    <row r="2" spans="1:3" ht="31.5" customHeight="1" x14ac:dyDescent="0.25">
      <c r="A2" s="42" t="s">
        <v>111</v>
      </c>
      <c r="B2" s="42" t="s">
        <v>236</v>
      </c>
      <c r="C2" s="43" t="s">
        <v>237</v>
      </c>
    </row>
    <row r="3" spans="1:3" ht="14.25" customHeight="1" x14ac:dyDescent="0.25">
      <c r="A3" s="44" t="s">
        <v>114</v>
      </c>
      <c r="B3" s="45" t="s">
        <v>232</v>
      </c>
      <c r="C3" s="46" t="s">
        <v>115</v>
      </c>
    </row>
    <row r="4" spans="1:3" ht="14.25" customHeight="1" x14ac:dyDescent="0.25">
      <c r="A4" s="47">
        <v>1</v>
      </c>
      <c r="B4" s="47" t="s">
        <v>238</v>
      </c>
      <c r="C4" s="47" t="str">
        <f>B4</f>
        <v>+57</v>
      </c>
    </row>
    <row r="5" spans="1:3" ht="14.25" customHeight="1" x14ac:dyDescent="0.25">
      <c r="A5" s="47">
        <v>2</v>
      </c>
      <c r="B5" s="47" t="s">
        <v>239</v>
      </c>
      <c r="C5" s="47" t="str">
        <f>B5</f>
        <v>+91</v>
      </c>
    </row>
    <row r="6" spans="1:3" ht="14.25" customHeight="1" x14ac:dyDescent="0.25">
      <c r="A6" s="47">
        <v>3</v>
      </c>
      <c r="B6" s="47" t="s">
        <v>240</v>
      </c>
      <c r="C6" s="47" t="str">
        <f>B6</f>
        <v>+593</v>
      </c>
    </row>
    <row r="7" spans="1:3" ht="14.25" customHeight="1" x14ac:dyDescent="0.25">
      <c r="A7" s="47">
        <v>4</v>
      </c>
      <c r="B7" s="47" t="s">
        <v>241</v>
      </c>
      <c r="C7" s="47" t="str">
        <f>B7</f>
        <v>+58</v>
      </c>
    </row>
    <row r="8" spans="1:3" ht="14.25" customHeight="1" x14ac:dyDescent="0.25">
      <c r="A8" s="49"/>
      <c r="B8" s="49"/>
    </row>
    <row r="9" spans="1:3" ht="14.25" customHeight="1" x14ac:dyDescent="0.25">
      <c r="A9" s="49"/>
      <c r="B9" s="49"/>
    </row>
    <row r="13" spans="1:3" ht="28.5" customHeight="1" x14ac:dyDescent="0.25">
      <c r="A13" s="50"/>
      <c r="B13" s="51" t="s">
        <v>124</v>
      </c>
    </row>
    <row r="14" spans="1:3" ht="28.5" customHeight="1" x14ac:dyDescent="0.25">
      <c r="A14" s="52"/>
      <c r="B14" s="51" t="s">
        <v>125</v>
      </c>
    </row>
    <row r="15" spans="1:3" ht="28.5" customHeight="1" x14ac:dyDescent="0.25">
      <c r="A15" s="53"/>
      <c r="B15" s="51" t="s">
        <v>126</v>
      </c>
    </row>
    <row r="16" spans="1:3" ht="28.5" customHeight="1" x14ac:dyDescent="0.25">
      <c r="A16" s="54"/>
      <c r="B16" s="51" t="s">
        <v>127</v>
      </c>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8"/>
  <sheetViews>
    <sheetView zoomScaleNormal="100" workbookViewId="0">
      <selection activeCell="T5" sqref="T5"/>
    </sheetView>
  </sheetViews>
  <sheetFormatPr baseColWidth="10" defaultColWidth="8.7109375" defaultRowHeight="15" x14ac:dyDescent="0.25"/>
  <cols>
    <col min="1" max="1" width="26.7109375" customWidth="1"/>
    <col min="2" max="2" width="45" customWidth="1"/>
    <col min="3" max="3" width="30.425781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13" t="s">
        <v>1</v>
      </c>
      <c r="B1" s="13" t="s">
        <v>45</v>
      </c>
    </row>
    <row r="2" spans="1:21" s="25" customFormat="1" ht="15" customHeight="1" x14ac:dyDescent="0.25">
      <c r="A2" s="23" t="s">
        <v>46</v>
      </c>
      <c r="B2" s="24" t="s">
        <v>47</v>
      </c>
      <c r="C2" s="23" t="s">
        <v>48</v>
      </c>
      <c r="D2" s="23" t="s">
        <v>49</v>
      </c>
      <c r="E2" s="23" t="s">
        <v>50</v>
      </c>
      <c r="F2" s="23" t="s">
        <v>51</v>
      </c>
      <c r="G2" s="23" t="s">
        <v>52</v>
      </c>
      <c r="H2" s="23" t="s">
        <v>53</v>
      </c>
      <c r="I2" s="23" t="s">
        <v>54</v>
      </c>
      <c r="J2" s="23" t="s">
        <v>55</v>
      </c>
      <c r="K2" s="23" t="s">
        <v>56</v>
      </c>
      <c r="L2" s="23" t="s">
        <v>57</v>
      </c>
      <c r="M2" s="24" t="s">
        <v>58</v>
      </c>
      <c r="N2" s="23" t="s">
        <v>59</v>
      </c>
      <c r="O2" s="23" t="s">
        <v>60</v>
      </c>
      <c r="P2" s="23" t="s">
        <v>61</v>
      </c>
      <c r="Q2" s="23" t="s">
        <v>62</v>
      </c>
      <c r="R2" s="23" t="s">
        <v>63</v>
      </c>
      <c r="S2" s="23" t="s">
        <v>64</v>
      </c>
      <c r="T2" s="23" t="s">
        <v>65</v>
      </c>
      <c r="U2" s="23" t="s">
        <v>66</v>
      </c>
    </row>
    <row r="3" spans="1:21" ht="45" customHeight="1" x14ac:dyDescent="0.25">
      <c r="A3" s="26" t="str">
        <f>'M-TipoMulta'!A3</f>
        <v>id</v>
      </c>
      <c r="B3" s="27" t="str">
        <f>'M-TipoMulta'!A2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6" t="s">
        <v>69</v>
      </c>
      <c r="N3" s="26" t="s">
        <v>70</v>
      </c>
      <c r="O3" s="26" t="s">
        <v>70</v>
      </c>
      <c r="P3" s="26" t="s">
        <v>69</v>
      </c>
      <c r="Q3" s="26" t="s">
        <v>70</v>
      </c>
      <c r="R3" s="26" t="s">
        <v>70</v>
      </c>
      <c r="S3" s="26" t="s">
        <v>70</v>
      </c>
      <c r="T3" s="26" t="s">
        <v>71</v>
      </c>
      <c r="U3" s="26" t="s">
        <v>67</v>
      </c>
    </row>
    <row r="4" spans="1:21" ht="15" customHeight="1" x14ac:dyDescent="0.25">
      <c r="A4" s="26" t="str">
        <f>'M-TipoMulta'!B3</f>
        <v>nombre</v>
      </c>
      <c r="B4" s="27" t="str">
        <f>'M-TipoMulta'!B2</f>
        <v>Representa el nombre del tipo de multa</v>
      </c>
      <c r="C4" s="26" t="s">
        <v>70</v>
      </c>
      <c r="D4" s="26" t="s">
        <v>72</v>
      </c>
      <c r="E4" s="26" t="s">
        <v>67</v>
      </c>
      <c r="F4" s="26">
        <v>4</v>
      </c>
      <c r="G4" s="26">
        <v>50</v>
      </c>
      <c r="H4" s="26" t="s">
        <v>69</v>
      </c>
      <c r="I4" s="26" t="s">
        <v>69</v>
      </c>
      <c r="J4" s="26" t="s">
        <v>69</v>
      </c>
      <c r="K4" s="26" t="s">
        <v>69</v>
      </c>
      <c r="L4" s="26" t="s">
        <v>69</v>
      </c>
      <c r="M4" s="26" t="s">
        <v>69</v>
      </c>
      <c r="N4" s="26" t="s">
        <v>70</v>
      </c>
      <c r="O4" s="26" t="s">
        <v>70</v>
      </c>
      <c r="P4" s="26" t="s">
        <v>69</v>
      </c>
      <c r="Q4" s="26" t="s">
        <v>67</v>
      </c>
      <c r="R4" s="26" t="s">
        <v>67</v>
      </c>
      <c r="S4" s="26" t="s">
        <v>70</v>
      </c>
      <c r="T4" s="26" t="s">
        <v>74</v>
      </c>
      <c r="U4" s="26" t="s">
        <v>70</v>
      </c>
    </row>
    <row r="5" spans="1:21" ht="15" customHeight="1" x14ac:dyDescent="0.25">
      <c r="A5" s="26" t="str">
        <f>'M-TipoMulta'!C3</f>
        <v>descripcion</v>
      </c>
      <c r="B5" s="27" t="str">
        <f>'M-TipoMulta'!C2</f>
        <v>Representa que hace cada tipo de multa</v>
      </c>
      <c r="C5" s="26" t="s">
        <v>70</v>
      </c>
      <c r="D5" s="26" t="s">
        <v>72</v>
      </c>
      <c r="E5" s="26" t="s">
        <v>67</v>
      </c>
      <c r="F5" s="26">
        <v>10</v>
      </c>
      <c r="G5" s="26">
        <v>300</v>
      </c>
      <c r="H5" s="26" t="s">
        <v>69</v>
      </c>
      <c r="I5" s="26" t="s">
        <v>69</v>
      </c>
      <c r="J5" s="26" t="s">
        <v>69</v>
      </c>
      <c r="K5" s="26" t="s">
        <v>69</v>
      </c>
      <c r="L5" s="26" t="s">
        <v>69</v>
      </c>
      <c r="M5" s="26" t="s">
        <v>69</v>
      </c>
      <c r="N5" s="26" t="s">
        <v>70</v>
      </c>
      <c r="O5" s="26" t="s">
        <v>70</v>
      </c>
      <c r="P5" s="26" t="s">
        <v>69</v>
      </c>
      <c r="Q5" s="26" t="s">
        <v>67</v>
      </c>
      <c r="R5" s="26" t="s">
        <v>67</v>
      </c>
      <c r="S5" s="26" t="s">
        <v>70</v>
      </c>
      <c r="T5" s="26" t="s">
        <v>74</v>
      </c>
      <c r="U5" s="26" t="s">
        <v>70</v>
      </c>
    </row>
    <row r="7" spans="1:21" ht="15" customHeight="1" x14ac:dyDescent="0.25">
      <c r="A7" s="28" t="s">
        <v>75</v>
      </c>
      <c r="B7" s="28" t="s">
        <v>76</v>
      </c>
      <c r="C7" s="28" t="s">
        <v>77</v>
      </c>
    </row>
    <row r="8" spans="1:21" ht="30" customHeight="1" x14ac:dyDescent="0.25">
      <c r="A8" s="29" t="str">
        <f>'M-TipoMulta'!D3</f>
        <v>Combinación única</v>
      </c>
      <c r="B8" s="30" t="str">
        <f>'M-TipoMulta'!D2</f>
        <v xml:space="preserve">Combinación única indica que no puede existir más de un tipo de multa con el mismo nombre </v>
      </c>
      <c r="C8" s="31" t="s">
        <v>78</v>
      </c>
    </row>
  </sheetData>
  <hyperlinks>
    <hyperlink ref="A1" location="'Modelo de Dominio'!A1" display="&lt;&lt;&lt;&lt; Ir al modulo de dominio" xr:uid="{00000000-0004-0000-1600-000000000000}"/>
    <hyperlink ref="B1" location="'Objetos de Dominio'!A1" display="&lt;&lt;&lt;&lt; Ir a objetos de dominio" xr:uid="{00000000-0004-0000-1600-000001000000}"/>
    <hyperlink ref="A3" location="'M-TipoMulta'!A3" display="#'M-TipoMulta'.A3" xr:uid="{00000000-0004-0000-1600-000002000000}"/>
    <hyperlink ref="B3" location="'M-TipoMulta'!A2" display="#'M-TipoMulta'.A2" xr:uid="{00000000-0004-0000-1600-000003000000}"/>
    <hyperlink ref="A4" location="'M-TipoMulta'!A3" display="#'M-TipoMulta'.A3" xr:uid="{00000000-0004-0000-1600-000004000000}"/>
    <hyperlink ref="B4" location="'M-TipoMulta'!A2" display="#'M-TipoMulta'.A2" xr:uid="{00000000-0004-0000-1600-000005000000}"/>
    <hyperlink ref="A5" location="'M-TipoMulta'!A3" display="#'M-TipoMulta'.A3" xr:uid="{00000000-0004-0000-1600-000006000000}"/>
    <hyperlink ref="B5" location="'M-TipoMulta'!A2" display="#'M-TipoMulta'.A2" xr:uid="{00000000-0004-0000-1600-000007000000}"/>
    <hyperlink ref="A8" location="'M-TipoMulta'!A3" display="#'M-TipoMulta'.A3" xr:uid="{00000000-0004-0000-1600-000008000000}"/>
    <hyperlink ref="B8" location="'M-TipoMulta'!A2" display="#'M-TipoMulta'.A2" xr:uid="{00000000-0004-0000-1600-000009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Dominio'!A8</f>
        <v>TipoMulta</v>
      </c>
      <c r="C2" s="11"/>
      <c r="D2" s="11"/>
      <c r="E2" s="11"/>
    </row>
    <row r="3" spans="1:5" ht="30" customHeight="1" x14ac:dyDescent="0.25">
      <c r="A3" s="33" t="s">
        <v>84</v>
      </c>
      <c r="B3" s="10" t="str">
        <f>'Objetos de Dominio'!B8</f>
        <v>Representa los tipos de multa que puede recibir un cliente: por tardanza o por inasistencia</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2" t="s">
        <v>89</v>
      </c>
      <c r="B6" s="2"/>
      <c r="C6" s="2"/>
      <c r="D6" s="2"/>
      <c r="E6" s="2"/>
    </row>
  </sheetData>
  <mergeCells count="7">
    <mergeCell ref="A6:E6"/>
    <mergeCell ref="B2:E2"/>
    <mergeCell ref="B3:E3"/>
    <mergeCell ref="A4:A5"/>
    <mergeCell ref="B4:C5"/>
    <mergeCell ref="D4:D5"/>
    <mergeCell ref="E4:E5"/>
  </mergeCells>
  <hyperlinks>
    <hyperlink ref="A1" r:id="rId1" location="'Modelo%20de%20Dominio'!A1" xr:uid="{00000000-0004-0000-1700-000000000000}"/>
    <hyperlink ref="B1" r:id="rId2" location="'Objetos%20de%20Dominio'!A1" xr:uid="{00000000-0004-0000-1700-000001000000}"/>
    <hyperlink ref="C1" r:id="rId3" location="'C-TipoMulta'!A1" xr:uid="{00000000-0004-0000-1700-000002000000}"/>
    <hyperlink ref="D1" r:id="rId4" location="'M-TipoMulta'!A1" xr:uid="{00000000-0004-0000-1700-000003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9"/>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Dominio'!A8</f>
        <v>TipoMulta</v>
      </c>
      <c r="C2" s="11"/>
      <c r="D2" s="11"/>
      <c r="E2" s="11"/>
      <c r="F2" s="11"/>
      <c r="G2" s="11"/>
      <c r="H2" s="11"/>
      <c r="I2" s="11"/>
      <c r="J2" s="11"/>
      <c r="K2" s="11"/>
    </row>
    <row r="3" spans="1:11" ht="30" customHeight="1" x14ac:dyDescent="0.25">
      <c r="A3" s="33" t="s">
        <v>84</v>
      </c>
      <c r="B3" s="10" t="str">
        <f>'Objetos de Dominio'!B8</f>
        <v>Representa los tipos de multa que puede recibir un cliente: por tardanza o por inasistencia</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107</v>
      </c>
      <c r="B7" s="35" t="s">
        <v>242</v>
      </c>
      <c r="C7" s="35" t="s">
        <v>243</v>
      </c>
      <c r="D7" s="40" t="str">
        <f>$B$2</f>
        <v>TipoMulta</v>
      </c>
      <c r="E7" s="35"/>
      <c r="F7" s="35"/>
      <c r="G7" s="40"/>
      <c r="H7" s="41"/>
      <c r="I7" s="40"/>
      <c r="J7" s="35" t="s">
        <v>244</v>
      </c>
      <c r="K7" s="35"/>
    </row>
    <row r="8" spans="1:11" ht="30" customHeight="1" x14ac:dyDescent="0.25">
      <c r="A8" s="40" t="s">
        <v>25</v>
      </c>
      <c r="B8" s="35" t="s">
        <v>242</v>
      </c>
      <c r="C8" s="35" t="s">
        <v>243</v>
      </c>
      <c r="D8" s="40" t="str">
        <f>$B$2</f>
        <v>TipoMulta</v>
      </c>
      <c r="E8" s="35"/>
      <c r="F8" s="35"/>
      <c r="G8" s="40"/>
      <c r="H8" s="41"/>
      <c r="I8" s="40"/>
      <c r="J8" s="35" t="s">
        <v>244</v>
      </c>
      <c r="K8" s="35"/>
    </row>
    <row r="9" spans="1:11" ht="30" customHeight="1" x14ac:dyDescent="0.25">
      <c r="A9" s="40" t="s">
        <v>27</v>
      </c>
      <c r="B9" s="35" t="s">
        <v>242</v>
      </c>
      <c r="C9" s="35" t="s">
        <v>243</v>
      </c>
      <c r="D9" s="40" t="str">
        <f>$B$2</f>
        <v>TipoMulta</v>
      </c>
      <c r="E9" s="35"/>
      <c r="F9" s="35"/>
      <c r="G9" s="40"/>
      <c r="H9" s="41"/>
      <c r="I9" s="40"/>
      <c r="J9" s="35" t="s">
        <v>244</v>
      </c>
      <c r="K9"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1800-000000000000}"/>
    <hyperlink ref="C1" r:id="rId2" location="'Objetos%20de%20Dominio'!A1" xr:uid="{00000000-0004-0000-1800-000001000000}"/>
    <hyperlink ref="F1" r:id="rId3" location="'C-TipoMulta'!A1" xr:uid="{00000000-0004-0000-1800-000002000000}"/>
    <hyperlink ref="J1" r:id="rId4" location="'M-TipoMulta'!A1" xr:uid="{00000000-0004-0000-1800-000003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7"/>
  <sheetViews>
    <sheetView zoomScale="115" zoomScaleNormal="115" workbookViewId="0">
      <selection activeCell="C9" sqref="C9"/>
    </sheetView>
  </sheetViews>
  <sheetFormatPr baseColWidth="10" defaultColWidth="10.7109375" defaultRowHeight="15" x14ac:dyDescent="0.25"/>
  <cols>
    <col min="1" max="1" width="25" customWidth="1"/>
    <col min="2" max="2" width="24.42578125" customWidth="1"/>
    <col min="3" max="3" width="40.140625" customWidth="1"/>
    <col min="4" max="4" width="17.7109375" customWidth="1"/>
  </cols>
  <sheetData>
    <row r="1" spans="1:4" ht="14.25" customHeight="1" x14ac:dyDescent="0.25">
      <c r="A1" s="13" t="s">
        <v>1</v>
      </c>
      <c r="B1" s="13" t="s">
        <v>45</v>
      </c>
      <c r="C1" s="13"/>
    </row>
    <row r="2" spans="1:4" ht="39" customHeight="1" x14ac:dyDescent="0.25">
      <c r="A2" s="42" t="s">
        <v>111</v>
      </c>
      <c r="B2" s="42" t="s">
        <v>245</v>
      </c>
      <c r="C2" s="42" t="s">
        <v>246</v>
      </c>
      <c r="D2" s="43" t="s">
        <v>247</v>
      </c>
    </row>
    <row r="3" spans="1:4" ht="14.25" customHeight="1" x14ac:dyDescent="0.25">
      <c r="A3" s="44" t="s">
        <v>114</v>
      </c>
      <c r="B3" s="97" t="s">
        <v>78</v>
      </c>
      <c r="C3" s="98" t="s">
        <v>140</v>
      </c>
      <c r="D3" s="46" t="s">
        <v>248</v>
      </c>
    </row>
    <row r="4" spans="1:4" ht="60" customHeight="1" x14ac:dyDescent="0.25">
      <c r="A4" s="47">
        <v>1</v>
      </c>
      <c r="B4" s="47" t="s">
        <v>249</v>
      </c>
      <c r="C4" s="58" t="s">
        <v>250</v>
      </c>
      <c r="D4" s="47" t="str">
        <f>B4</f>
        <v>Tardanza</v>
      </c>
    </row>
    <row r="5" spans="1:4" ht="45" customHeight="1" x14ac:dyDescent="0.25">
      <c r="A5" s="47">
        <v>2</v>
      </c>
      <c r="B5" s="47" t="s">
        <v>251</v>
      </c>
      <c r="C5" s="58" t="s">
        <v>252</v>
      </c>
      <c r="D5" s="47" t="str">
        <f>B5</f>
        <v>Inasistencia</v>
      </c>
    </row>
    <row r="6" spans="1:4" ht="14.25" customHeight="1" x14ac:dyDescent="0.25">
      <c r="A6" s="49"/>
      <c r="B6" s="49"/>
      <c r="C6" s="49"/>
      <c r="D6" s="49"/>
    </row>
    <row r="7" spans="1:4" ht="14.25" customHeight="1" x14ac:dyDescent="0.25">
      <c r="A7" s="49"/>
      <c r="B7" s="49"/>
      <c r="C7" s="49"/>
      <c r="D7" s="49"/>
    </row>
    <row r="8" spans="1:4" ht="14.25" customHeight="1" x14ac:dyDescent="0.25">
      <c r="A8" s="49"/>
      <c r="B8" s="49"/>
      <c r="C8" s="49"/>
    </row>
    <row r="9" spans="1:4" ht="14.25" customHeight="1" x14ac:dyDescent="0.25">
      <c r="A9" s="49"/>
      <c r="B9" s="49"/>
      <c r="C9" s="49"/>
    </row>
    <row r="11" spans="1:4" ht="28.5" customHeight="1" x14ac:dyDescent="0.25">
      <c r="A11" s="50"/>
      <c r="B11" s="51" t="s">
        <v>124</v>
      </c>
    </row>
    <row r="12" spans="1:4" ht="28.5" customHeight="1" x14ac:dyDescent="0.25">
      <c r="A12" s="52"/>
      <c r="B12" s="51" t="s">
        <v>125</v>
      </c>
    </row>
    <row r="13" spans="1:4" ht="28.5" customHeight="1" x14ac:dyDescent="0.25">
      <c r="A13" s="99"/>
      <c r="B13" s="51" t="s">
        <v>253</v>
      </c>
      <c r="C13" s="51"/>
    </row>
    <row r="14" spans="1:4" ht="28.5" customHeight="1" x14ac:dyDescent="0.25">
      <c r="A14" s="53"/>
      <c r="B14" s="51" t="s">
        <v>126</v>
      </c>
      <c r="C14" s="51"/>
    </row>
    <row r="15" spans="1:4" ht="28.5" customHeight="1" x14ac:dyDescent="0.25">
      <c r="A15" s="54"/>
      <c r="B15" s="51" t="s">
        <v>127</v>
      </c>
      <c r="C15" s="51"/>
    </row>
    <row r="16" spans="1:4" ht="14.25" customHeight="1" x14ac:dyDescent="0.25">
      <c r="C16" s="51"/>
    </row>
    <row r="17" spans="3:3" ht="14.25" customHeight="1" x14ac:dyDescent="0.25">
      <c r="C17" s="51"/>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6"/>
  <sheetViews>
    <sheetView zoomScaleNormal="100" workbookViewId="0">
      <selection activeCell="B1" sqref="B1"/>
    </sheetView>
  </sheetViews>
  <sheetFormatPr baseColWidth="10" defaultColWidth="8.7109375" defaultRowHeight="15" x14ac:dyDescent="0.25"/>
  <cols>
    <col min="1" max="1" width="37" customWidth="1"/>
    <col min="2" max="2" width="45" customWidth="1"/>
    <col min="3" max="3" width="30.42578125" customWidth="1"/>
    <col min="4" max="4" width="26.7109375" customWidth="1"/>
    <col min="5" max="5" width="18" customWidth="1"/>
    <col min="6" max="6" width="23.7109375" customWidth="1"/>
    <col min="7" max="7" width="24.140625" customWidth="1"/>
    <col min="8" max="8" width="18"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13" t="s">
        <v>1</v>
      </c>
      <c r="B1" s="13" t="s">
        <v>45</v>
      </c>
    </row>
    <row r="2" spans="1:21" s="25" customFormat="1" ht="15" customHeight="1" x14ac:dyDescent="0.25">
      <c r="A2" s="23" t="s">
        <v>46</v>
      </c>
      <c r="B2" s="24" t="s">
        <v>47</v>
      </c>
      <c r="C2" s="23" t="s">
        <v>48</v>
      </c>
      <c r="D2" s="23" t="s">
        <v>49</v>
      </c>
      <c r="E2" s="23" t="s">
        <v>50</v>
      </c>
      <c r="F2" s="23" t="s">
        <v>51</v>
      </c>
      <c r="G2" s="23" t="s">
        <v>52</v>
      </c>
      <c r="H2" s="23" t="s">
        <v>53</v>
      </c>
      <c r="I2" s="23" t="s">
        <v>54</v>
      </c>
      <c r="J2" s="23" t="s">
        <v>55</v>
      </c>
      <c r="K2" s="23" t="s">
        <v>56</v>
      </c>
      <c r="L2" s="23" t="s">
        <v>57</v>
      </c>
      <c r="M2" s="24" t="s">
        <v>58</v>
      </c>
      <c r="N2" s="23" t="s">
        <v>59</v>
      </c>
      <c r="O2" s="23" t="s">
        <v>60</v>
      </c>
      <c r="P2" s="23" t="s">
        <v>61</v>
      </c>
      <c r="Q2" s="23" t="s">
        <v>62</v>
      </c>
      <c r="R2" s="23" t="s">
        <v>63</v>
      </c>
      <c r="S2" s="23" t="s">
        <v>64</v>
      </c>
      <c r="T2" s="23" t="s">
        <v>65</v>
      </c>
      <c r="U2" s="23" t="s">
        <v>66</v>
      </c>
    </row>
    <row r="3" spans="1:21" ht="45" customHeight="1" x14ac:dyDescent="0.25">
      <c r="A3" s="26" t="str">
        <f>'M-Barbero'!A3</f>
        <v>id</v>
      </c>
      <c r="B3" s="27" t="str">
        <f>'M-Barbero'!A2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6" t="s">
        <v>69</v>
      </c>
      <c r="N3" s="26" t="s">
        <v>70</v>
      </c>
      <c r="O3" s="26" t="s">
        <v>69</v>
      </c>
      <c r="P3" s="26" t="s">
        <v>69</v>
      </c>
      <c r="Q3" s="26" t="s">
        <v>70</v>
      </c>
      <c r="R3" s="26" t="s">
        <v>70</v>
      </c>
      <c r="S3" s="26" t="s">
        <v>70</v>
      </c>
      <c r="T3" s="26" t="s">
        <v>71</v>
      </c>
      <c r="U3" s="26" t="s">
        <v>67</v>
      </c>
    </row>
    <row r="4" spans="1:21" ht="45" customHeight="1" x14ac:dyDescent="0.25">
      <c r="A4" s="26" t="str">
        <f>'M-Barbero'!B3</f>
        <v>primerNombre</v>
      </c>
      <c r="B4" s="27" t="str">
        <f>'M-Barbero'!B2</f>
        <v>Representa el primer nombre del barbero que trabaja en barbería</v>
      </c>
      <c r="C4" s="26" t="s">
        <v>70</v>
      </c>
      <c r="D4" s="26" t="s">
        <v>72</v>
      </c>
      <c r="E4" s="26" t="s">
        <v>67</v>
      </c>
      <c r="F4" s="26">
        <v>3</v>
      </c>
      <c r="G4" s="26">
        <v>100</v>
      </c>
      <c r="H4" s="26" t="s">
        <v>69</v>
      </c>
      <c r="I4" s="26" t="s">
        <v>69</v>
      </c>
      <c r="J4" s="26" t="s">
        <v>69</v>
      </c>
      <c r="K4" s="26" t="s">
        <v>69</v>
      </c>
      <c r="L4" s="26" t="s">
        <v>69</v>
      </c>
      <c r="M4" s="27" t="s">
        <v>254</v>
      </c>
      <c r="N4" s="26" t="s">
        <v>70</v>
      </c>
      <c r="O4" s="26" t="s">
        <v>70</v>
      </c>
      <c r="P4" s="26" t="s">
        <v>70</v>
      </c>
      <c r="Q4" s="26" t="s">
        <v>67</v>
      </c>
      <c r="R4" s="26" t="s">
        <v>67</v>
      </c>
      <c r="S4" s="26" t="s">
        <v>70</v>
      </c>
      <c r="T4" s="26" t="s">
        <v>255</v>
      </c>
      <c r="U4" s="26" t="s">
        <v>70</v>
      </c>
    </row>
    <row r="5" spans="1:21" ht="45" customHeight="1" x14ac:dyDescent="0.25">
      <c r="A5" s="26" t="str">
        <f>'M-Barbero'!C3</f>
        <v>segundoNombre</v>
      </c>
      <c r="B5" s="27" t="str">
        <f>'M-Barbero'!C2</f>
        <v>Representa el segundo nombre del barbero que trabaja en barbería</v>
      </c>
      <c r="C5" s="26" t="s">
        <v>70</v>
      </c>
      <c r="D5" s="26" t="s">
        <v>72</v>
      </c>
      <c r="E5" s="26" t="s">
        <v>70</v>
      </c>
      <c r="F5" s="26">
        <v>3</v>
      </c>
      <c r="G5" s="26">
        <v>100</v>
      </c>
      <c r="H5" s="26" t="s">
        <v>69</v>
      </c>
      <c r="I5" s="26" t="s">
        <v>69</v>
      </c>
      <c r="J5" s="26" t="s">
        <v>69</v>
      </c>
      <c r="K5" s="26" t="s">
        <v>69</v>
      </c>
      <c r="L5" s="26" t="s">
        <v>69</v>
      </c>
      <c r="M5" s="27" t="s">
        <v>254</v>
      </c>
      <c r="N5" s="26" t="s">
        <v>70</v>
      </c>
      <c r="O5" s="26" t="s">
        <v>70</v>
      </c>
      <c r="P5" s="26" t="s">
        <v>70</v>
      </c>
      <c r="Q5" s="26" t="s">
        <v>67</v>
      </c>
      <c r="R5" s="26" t="s">
        <v>67</v>
      </c>
      <c r="S5" s="26" t="s">
        <v>70</v>
      </c>
      <c r="T5" s="26" t="s">
        <v>255</v>
      </c>
      <c r="U5" s="26" t="s">
        <v>70</v>
      </c>
    </row>
    <row r="6" spans="1:21" ht="45" customHeight="1" x14ac:dyDescent="0.25">
      <c r="A6" s="26" t="str">
        <f>'M-Barbero'!D3</f>
        <v>primerApellido</v>
      </c>
      <c r="B6" s="27" t="str">
        <f>'M-Barbero'!D2</f>
        <v>Representa el primer apellido del barbero que trabaja en la barbería</v>
      </c>
      <c r="C6" s="26" t="s">
        <v>70</v>
      </c>
      <c r="D6" s="26" t="s">
        <v>72</v>
      </c>
      <c r="E6" s="26" t="s">
        <v>67</v>
      </c>
      <c r="F6" s="26">
        <v>3</v>
      </c>
      <c r="G6" s="26">
        <v>100</v>
      </c>
      <c r="H6" s="26" t="s">
        <v>69</v>
      </c>
      <c r="I6" s="26" t="s">
        <v>69</v>
      </c>
      <c r="J6" s="26" t="s">
        <v>69</v>
      </c>
      <c r="K6" s="26" t="s">
        <v>69</v>
      </c>
      <c r="L6" s="26" t="s">
        <v>69</v>
      </c>
      <c r="M6" s="27" t="s">
        <v>256</v>
      </c>
      <c r="N6" s="26" t="s">
        <v>70</v>
      </c>
      <c r="O6" s="26" t="s">
        <v>70</v>
      </c>
      <c r="P6" s="26" t="s">
        <v>70</v>
      </c>
      <c r="Q6" s="26" t="s">
        <v>67</v>
      </c>
      <c r="R6" s="26" t="s">
        <v>67</v>
      </c>
      <c r="S6" s="26" t="s">
        <v>70</v>
      </c>
      <c r="T6" s="26" t="s">
        <v>255</v>
      </c>
      <c r="U6" s="26" t="s">
        <v>70</v>
      </c>
    </row>
    <row r="7" spans="1:21" ht="45" customHeight="1" x14ac:dyDescent="0.25">
      <c r="A7" s="26" t="str">
        <f>'M-Barbero'!E3</f>
        <v>segundoApellido</v>
      </c>
      <c r="B7" s="27" t="str">
        <f>'M-Barbero'!E2</f>
        <v>Representa el segundo apellido del barbero que trabaja en la barbería</v>
      </c>
      <c r="C7" s="26" t="s">
        <v>70</v>
      </c>
      <c r="D7" s="26" t="s">
        <v>72</v>
      </c>
      <c r="E7" s="26" t="s">
        <v>70</v>
      </c>
      <c r="F7" s="26">
        <v>3</v>
      </c>
      <c r="G7" s="26">
        <v>100</v>
      </c>
      <c r="H7" s="26" t="s">
        <v>69</v>
      </c>
      <c r="I7" s="26" t="s">
        <v>69</v>
      </c>
      <c r="J7" s="26" t="s">
        <v>69</v>
      </c>
      <c r="K7" s="26" t="s">
        <v>69</v>
      </c>
      <c r="L7" s="26" t="s">
        <v>69</v>
      </c>
      <c r="M7" s="27" t="s">
        <v>256</v>
      </c>
      <c r="N7" s="26" t="s">
        <v>70</v>
      </c>
      <c r="O7" s="26" t="s">
        <v>70</v>
      </c>
      <c r="P7" s="26" t="s">
        <v>70</v>
      </c>
      <c r="Q7" s="26" t="s">
        <v>67</v>
      </c>
      <c r="R7" s="26" t="s">
        <v>67</v>
      </c>
      <c r="S7" s="26" t="s">
        <v>70</v>
      </c>
      <c r="T7" s="26" t="s">
        <v>255</v>
      </c>
      <c r="U7" s="26" t="s">
        <v>70</v>
      </c>
    </row>
    <row r="8" spans="1:21" ht="30" customHeight="1" x14ac:dyDescent="0.25">
      <c r="A8" s="26" t="str">
        <f>'M-Barbero'!F3</f>
        <v>prefijo</v>
      </c>
      <c r="B8" s="27" t="str">
        <f>'M-Barbero'!F2</f>
        <v>Representa cual es el prefijo del numero de celular del barbero</v>
      </c>
      <c r="C8" s="26" t="s">
        <v>70</v>
      </c>
      <c r="D8" s="100" t="s">
        <v>21</v>
      </c>
      <c r="E8" s="26" t="s">
        <v>67</v>
      </c>
      <c r="F8" s="26" t="s">
        <v>69</v>
      </c>
      <c r="G8" s="26" t="s">
        <v>69</v>
      </c>
      <c r="H8" s="26" t="s">
        <v>69</v>
      </c>
      <c r="I8" s="26" t="s">
        <v>69</v>
      </c>
      <c r="J8" s="26" t="s">
        <v>69</v>
      </c>
      <c r="K8" s="26" t="s">
        <v>69</v>
      </c>
      <c r="L8" s="26" t="s">
        <v>69</v>
      </c>
      <c r="M8" s="26" t="s">
        <v>69</v>
      </c>
      <c r="N8" s="26" t="s">
        <v>70</v>
      </c>
      <c r="O8" s="26" t="s">
        <v>69</v>
      </c>
      <c r="P8" s="26" t="s">
        <v>69</v>
      </c>
      <c r="Q8" s="26" t="s">
        <v>69</v>
      </c>
      <c r="R8" s="26" t="s">
        <v>69</v>
      </c>
      <c r="S8" s="26" t="s">
        <v>70</v>
      </c>
      <c r="T8" s="26" t="s">
        <v>71</v>
      </c>
      <c r="U8" s="26" t="s">
        <v>70</v>
      </c>
    </row>
    <row r="9" spans="1:21" ht="45" customHeight="1" x14ac:dyDescent="0.25">
      <c r="A9" s="26" t="str">
        <f>'M-Barbero'!G3</f>
        <v>celular</v>
      </c>
      <c r="B9" s="27" t="str">
        <f>'M-Barbero'!G2</f>
        <v>Representa el número de celular del barbero, es el dato que el cliente necesita en caso de que tenga que contactarse con el</v>
      </c>
      <c r="C9" s="26" t="s">
        <v>70</v>
      </c>
      <c r="D9" s="26" t="s">
        <v>157</v>
      </c>
      <c r="E9" s="26" t="s">
        <v>67</v>
      </c>
      <c r="F9" s="26" t="s">
        <v>69</v>
      </c>
      <c r="G9" s="26" t="s">
        <v>69</v>
      </c>
      <c r="H9" s="26" t="s">
        <v>69</v>
      </c>
      <c r="I9" s="26" t="s">
        <v>69</v>
      </c>
      <c r="J9" s="26">
        <v>1000000</v>
      </c>
      <c r="K9" s="26">
        <v>9999999999</v>
      </c>
      <c r="L9" s="27" t="s">
        <v>257</v>
      </c>
      <c r="M9" s="26" t="s">
        <v>69</v>
      </c>
      <c r="N9" s="26" t="s">
        <v>70</v>
      </c>
      <c r="O9" s="26" t="s">
        <v>69</v>
      </c>
      <c r="P9" s="26" t="s">
        <v>69</v>
      </c>
      <c r="Q9" s="26" t="s">
        <v>69</v>
      </c>
      <c r="R9" s="26" t="s">
        <v>69</v>
      </c>
      <c r="S9" s="26" t="s">
        <v>67</v>
      </c>
      <c r="T9" s="26" t="s">
        <v>258</v>
      </c>
      <c r="U9" s="26" t="s">
        <v>70</v>
      </c>
    </row>
    <row r="10" spans="1:21" ht="60" customHeight="1" x14ac:dyDescent="0.25">
      <c r="A10" s="26" t="str">
        <f>'M-Barbero'!H3</f>
        <v>vigente</v>
      </c>
      <c r="B10" s="27" t="str">
        <f>'M-Barbero'!H2</f>
        <v>Representa si el barbero sigue o no trabajando en la barberia</v>
      </c>
      <c r="C10" s="26" t="s">
        <v>70</v>
      </c>
      <c r="D10" s="26" t="s">
        <v>158</v>
      </c>
      <c r="E10" s="26" t="s">
        <v>70</v>
      </c>
      <c r="F10" s="26" t="s">
        <v>69</v>
      </c>
      <c r="G10" s="26" t="s">
        <v>69</v>
      </c>
      <c r="H10" s="26" t="s">
        <v>69</v>
      </c>
      <c r="I10" s="26" t="s">
        <v>69</v>
      </c>
      <c r="J10" s="26" t="s">
        <v>69</v>
      </c>
      <c r="K10" s="26" t="s">
        <v>69</v>
      </c>
      <c r="L10" s="26" t="s">
        <v>69</v>
      </c>
      <c r="M10" s="27" t="s">
        <v>69</v>
      </c>
      <c r="N10" s="26" t="s">
        <v>67</v>
      </c>
      <c r="O10" s="26" t="s">
        <v>69</v>
      </c>
      <c r="P10" s="26" t="s">
        <v>69</v>
      </c>
      <c r="Q10" s="26" t="s">
        <v>69</v>
      </c>
      <c r="R10" s="26" t="s">
        <v>69</v>
      </c>
      <c r="S10" s="26" t="s">
        <v>70</v>
      </c>
      <c r="T10" s="26" t="s">
        <v>67</v>
      </c>
      <c r="U10" s="26" t="s">
        <v>70</v>
      </c>
    </row>
    <row r="11" spans="1:21" ht="75" customHeight="1" x14ac:dyDescent="0.25">
      <c r="A11" s="26" t="str">
        <f>'M-Barbero'!I3</f>
        <v>anticipacionEnHorasParaAgendarCita</v>
      </c>
      <c r="B11" s="27" t="str">
        <f>'M-Barbero'!I2</f>
        <v>Representa la parte en horas del tiempo mínimo de anticipación con el que un cliente debe pedirle una cita a este barbero. Junto con anticipacionEnMinutosParaAgendarCita forma el tiempo total de anticipación que exige el barbero</v>
      </c>
      <c r="C11" s="26" t="s">
        <v>70</v>
      </c>
      <c r="D11" s="26" t="s">
        <v>157</v>
      </c>
      <c r="E11" s="26" t="s">
        <v>70</v>
      </c>
      <c r="F11" s="26" t="s">
        <v>69</v>
      </c>
      <c r="G11" s="26" t="s">
        <v>69</v>
      </c>
      <c r="H11" s="26" t="s">
        <v>69</v>
      </c>
      <c r="I11" s="26" t="s">
        <v>69</v>
      </c>
      <c r="J11" s="26">
        <v>0</v>
      </c>
      <c r="K11" s="26">
        <v>720</v>
      </c>
      <c r="L11" s="26" t="s">
        <v>259</v>
      </c>
      <c r="M11" s="26" t="s">
        <v>69</v>
      </c>
      <c r="N11" s="26" t="s">
        <v>70</v>
      </c>
      <c r="O11" s="26" t="s">
        <v>69</v>
      </c>
      <c r="P11" s="26" t="s">
        <v>69</v>
      </c>
      <c r="Q11" s="26" t="s">
        <v>69</v>
      </c>
      <c r="R11" s="26" t="s">
        <v>69</v>
      </c>
      <c r="S11" s="26" t="s">
        <v>70</v>
      </c>
      <c r="T11" s="101">
        <v>0</v>
      </c>
      <c r="U11" s="26" t="s">
        <v>70</v>
      </c>
    </row>
    <row r="12" spans="1:21" ht="75" customHeight="1" x14ac:dyDescent="0.25">
      <c r="A12" s="26" t="str">
        <f>'M-Barbero'!J3</f>
        <v>anticipacionEnMinutosParaAgendarCita</v>
      </c>
      <c r="B12" s="27" t="str">
        <f>'M-Barbero'!J2</f>
        <v>Representa la parte en minutos del tiempo mínimo de anticipación con el que un cliente debe pedirle una cita a este barbero. Junto con anticipacionEnHorasParaAgendarCita forma el tiempo total de anticipación que exige el barbero</v>
      </c>
      <c r="C12" s="26" t="s">
        <v>70</v>
      </c>
      <c r="D12" s="26" t="s">
        <v>157</v>
      </c>
      <c r="E12" s="26" t="s">
        <v>70</v>
      </c>
      <c r="F12" s="26" t="s">
        <v>69</v>
      </c>
      <c r="G12" s="26" t="s">
        <v>69</v>
      </c>
      <c r="H12" s="26" t="s">
        <v>69</v>
      </c>
      <c r="I12" s="26" t="s">
        <v>69</v>
      </c>
      <c r="J12" s="26">
        <v>0</v>
      </c>
      <c r="K12" s="26">
        <v>59</v>
      </c>
      <c r="L12" s="26" t="s">
        <v>260</v>
      </c>
      <c r="M12" s="26" t="s">
        <v>69</v>
      </c>
      <c r="N12" s="26" t="s">
        <v>70</v>
      </c>
      <c r="O12" s="26" t="s">
        <v>69</v>
      </c>
      <c r="P12" s="26" t="s">
        <v>69</v>
      </c>
      <c r="Q12" s="26" t="s">
        <v>69</v>
      </c>
      <c r="R12" s="26" t="s">
        <v>69</v>
      </c>
      <c r="S12" s="26" t="s">
        <v>70</v>
      </c>
      <c r="T12" s="101">
        <v>0</v>
      </c>
      <c r="U12" s="26" t="s">
        <v>70</v>
      </c>
    </row>
    <row r="14" spans="1:21" ht="15" customHeight="1" x14ac:dyDescent="0.25">
      <c r="A14" s="28" t="s">
        <v>75</v>
      </c>
      <c r="B14" s="28" t="s">
        <v>76</v>
      </c>
      <c r="C14" s="28" t="s">
        <v>77</v>
      </c>
    </row>
    <row r="15" spans="1:21" ht="23.25" customHeight="1" x14ac:dyDescent="0.25">
      <c r="A15" s="182" t="str">
        <f>'M-Barbero'!K3</f>
        <v>Combinación única  1</v>
      </c>
      <c r="B15" s="183" t="str">
        <f>'M-Barbero'!K2</f>
        <v>Combinacion única que indica que no puede existir más de un barbero con el mismo prefijo de celular y número de celular</v>
      </c>
      <c r="C15" s="31" t="str">
        <f>A8</f>
        <v>prefijo</v>
      </c>
    </row>
    <row r="16" spans="1:21" ht="21" customHeight="1" x14ac:dyDescent="0.25">
      <c r="A16" s="182"/>
      <c r="B16" s="182"/>
      <c r="C16" s="31" t="str">
        <f>A9</f>
        <v>celular</v>
      </c>
    </row>
  </sheetData>
  <mergeCells count="2">
    <mergeCell ref="A15:A16"/>
    <mergeCell ref="B15:B16"/>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A3" location="'M-Barbero'!A3" display="#'M-Barbero'.A3" xr:uid="{00000000-0004-0000-1A00-000002000000}"/>
    <hyperlink ref="B3" location="'M-Barbero'!A2" display="#'M-Barbero'.A2" xr:uid="{00000000-0004-0000-1A00-000003000000}"/>
    <hyperlink ref="A4" location="'M-Barbero'!A3" display="#'M-Barbero'.A3" xr:uid="{00000000-0004-0000-1A00-000004000000}"/>
    <hyperlink ref="B4" location="'M-Barbero'!A2" display="#'M-Barbero'.A2" xr:uid="{00000000-0004-0000-1A00-000005000000}"/>
    <hyperlink ref="A5" location="'M-Barbero'!A3" display="#'M-Barbero'.A3" xr:uid="{00000000-0004-0000-1A00-000006000000}"/>
    <hyperlink ref="B5" location="'M-Barbero'!A2" display="#'M-Barbero'.A2" xr:uid="{00000000-0004-0000-1A00-000007000000}"/>
    <hyperlink ref="A6" location="'M-Barbero'!A3" display="#'M-Barbero'.A3" xr:uid="{00000000-0004-0000-1A00-000008000000}"/>
    <hyperlink ref="B6" location="'M-Barbero'!A2" display="#'M-Barbero'.A2" xr:uid="{00000000-0004-0000-1A00-000009000000}"/>
    <hyperlink ref="A7" location="'M-Barbero'!A3" display="#'M-Barbero'.A3" xr:uid="{00000000-0004-0000-1A00-00000A000000}"/>
    <hyperlink ref="B7" location="'M-Barbero'!A2" display="#'M-Barbero'.A2" xr:uid="{00000000-0004-0000-1A00-00000B000000}"/>
    <hyperlink ref="A8" location="'M-Barbero'!A3" display="#'M-Barbero'.A3" xr:uid="{00000000-0004-0000-1A00-00000C000000}"/>
    <hyperlink ref="B8" location="'M-Barbero'!A2" display="#'M-Barbero'.A2" xr:uid="{00000000-0004-0000-1A00-00000D000000}"/>
    <hyperlink ref="D8" location="'C-PrefijoCelular'!A1" display="PrefijoCelular" xr:uid="{00000000-0004-0000-1A00-00000E000000}"/>
    <hyperlink ref="A9" location="'M-Barbero'!A3" display="#'M-Barbero'.A3" xr:uid="{00000000-0004-0000-1A00-00000F000000}"/>
    <hyperlink ref="B9" location="'M-Barbero'!A2" display="#'M-Barbero'.A2" xr:uid="{00000000-0004-0000-1A00-000010000000}"/>
    <hyperlink ref="A10" location="'M-Barbero'!A3" display="#'M-Barbero'.A3" xr:uid="{00000000-0004-0000-1A00-000011000000}"/>
    <hyperlink ref="B10" location="'M-Barbero'!A2" display="#'M-Barbero'.A2" xr:uid="{00000000-0004-0000-1A00-000012000000}"/>
    <hyperlink ref="A15" location="'M-Barbero'!A3" display="#'M-Barbero'.A3" xr:uid="{00000000-0004-0000-1A00-000013000000}"/>
    <hyperlink ref="B15" location="'M-Barbero'!A2" display="#'M-Barbero'.A2" xr:uid="{00000000-0004-0000-1A00-000014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8"/>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Dominio'!A9</f>
        <v>Barbero</v>
      </c>
      <c r="C2" s="11"/>
      <c r="D2" s="11"/>
      <c r="E2" s="11"/>
    </row>
    <row r="3" spans="1:5" ht="30" customHeight="1" x14ac:dyDescent="0.25">
      <c r="A3" s="33" t="s">
        <v>84</v>
      </c>
      <c r="B3" s="10" t="str">
        <f>'Objetos de Dominio'!B9</f>
        <v>Representa a un trabajador de la barbería que atiende clientes según los servicios que sabe realizar, organiza su propio horario y tiene su agenda personal</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261</v>
      </c>
      <c r="B6" s="2" t="s">
        <v>262</v>
      </c>
      <c r="C6" s="2"/>
      <c r="D6" s="55" t="s">
        <v>25</v>
      </c>
      <c r="E6" s="55"/>
    </row>
    <row r="7" spans="1:5" ht="30" customHeight="1" x14ac:dyDescent="0.25">
      <c r="A7" s="55" t="s">
        <v>263</v>
      </c>
      <c r="B7" s="2" t="s">
        <v>264</v>
      </c>
      <c r="C7" s="2"/>
      <c r="D7" s="55" t="s">
        <v>25</v>
      </c>
      <c r="E7" s="55" t="str">
        <f>'P-Cliente'!A7</f>
        <v>P-CLI-0002</v>
      </c>
    </row>
    <row r="8" spans="1:5" ht="30" customHeight="1" x14ac:dyDescent="0.25">
      <c r="A8" s="55" t="s">
        <v>265</v>
      </c>
      <c r="B8" s="2" t="s">
        <v>266</v>
      </c>
      <c r="C8" s="2"/>
      <c r="D8" s="55" t="s">
        <v>39</v>
      </c>
      <c r="E8" s="55"/>
    </row>
  </sheetData>
  <mergeCells count="9">
    <mergeCell ref="B6:C6"/>
    <mergeCell ref="B7:C7"/>
    <mergeCell ref="B8:C8"/>
    <mergeCell ref="B2:E2"/>
    <mergeCell ref="B3:E3"/>
    <mergeCell ref="A4:A5"/>
    <mergeCell ref="B4:C5"/>
    <mergeCell ref="D4:D5"/>
    <mergeCell ref="E4:E5"/>
  </mergeCells>
  <hyperlinks>
    <hyperlink ref="A1" r:id="rId1" location="'Modelo%20de%20Dominio'!A1" xr:uid="{00000000-0004-0000-1B00-000000000000}"/>
    <hyperlink ref="B1" r:id="rId2" location="'Objetos%20de%20Dominio'!A1" xr:uid="{00000000-0004-0000-1B00-000001000000}"/>
    <hyperlink ref="C1" r:id="rId3" location="'C-Barbero'!A1" xr:uid="{00000000-0004-0000-1B00-000002000000}"/>
    <hyperlink ref="D1" r:id="rId4" location="'M-Barbero'!A1" xr:uid="{00000000-0004-0000-1B00-000003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2"/>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Dominio'!A9</f>
        <v>Barbero</v>
      </c>
      <c r="C2" s="11"/>
      <c r="D2" s="11"/>
      <c r="E2" s="11"/>
      <c r="F2" s="11"/>
      <c r="G2" s="11"/>
      <c r="H2" s="11"/>
      <c r="I2" s="11"/>
      <c r="J2" s="11"/>
      <c r="K2" s="11"/>
    </row>
    <row r="3" spans="1:11" ht="30" customHeight="1" x14ac:dyDescent="0.25">
      <c r="A3" s="33" t="s">
        <v>84</v>
      </c>
      <c r="B3" s="10" t="str">
        <f>'Objetos de Dominio'!B9</f>
        <v>Representa a un trabajador de la barbería que atiende clientes según los servicios que sabe realizar, organiza su propio horario y tiene su agenda personal</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25</v>
      </c>
      <c r="B7" s="2" t="s">
        <v>267</v>
      </c>
      <c r="C7" s="2" t="s">
        <v>268</v>
      </c>
      <c r="D7" s="3" t="str">
        <f>$B$2</f>
        <v>Barbero</v>
      </c>
      <c r="E7" s="2"/>
      <c r="F7" s="2"/>
      <c r="G7" s="40" t="str">
        <f>'P-Barbero'!A6</f>
        <v>P-BAR-0001</v>
      </c>
      <c r="H7" s="41"/>
      <c r="I7" s="3"/>
      <c r="J7" s="2" t="s">
        <v>269</v>
      </c>
      <c r="K7" s="2"/>
    </row>
    <row r="8" spans="1:11" ht="30" customHeight="1" x14ac:dyDescent="0.25">
      <c r="A8" s="3"/>
      <c r="B8" s="3"/>
      <c r="C8" s="3"/>
      <c r="D8" s="3"/>
      <c r="E8" s="3"/>
      <c r="F8" s="3"/>
      <c r="G8" s="40" t="str">
        <f>'P-Barbero'!A7</f>
        <v>P-BAR-0002</v>
      </c>
      <c r="H8" s="41"/>
      <c r="I8" s="3"/>
      <c r="J8" s="3"/>
      <c r="K8" s="3"/>
    </row>
    <row r="9" spans="1:11" ht="30" customHeight="1" x14ac:dyDescent="0.25">
      <c r="A9" s="40" t="s">
        <v>25</v>
      </c>
      <c r="B9" s="35" t="s">
        <v>270</v>
      </c>
      <c r="C9" s="35" t="s">
        <v>271</v>
      </c>
      <c r="D9" s="40" t="str">
        <f>$B$2</f>
        <v>Barbero</v>
      </c>
      <c r="E9" s="35"/>
      <c r="F9" s="35"/>
      <c r="G9" s="40" t="str">
        <f>'P-Barbero'!A6</f>
        <v>P-BAR-0001</v>
      </c>
      <c r="H9" s="41"/>
      <c r="I9" s="40"/>
      <c r="J9" s="35" t="s">
        <v>272</v>
      </c>
      <c r="K9" s="35"/>
    </row>
    <row r="10" spans="1:11" ht="30" customHeight="1" x14ac:dyDescent="0.25">
      <c r="A10" s="40" t="s">
        <v>25</v>
      </c>
      <c r="B10" s="35" t="s">
        <v>273</v>
      </c>
      <c r="C10" s="35" t="s">
        <v>274</v>
      </c>
      <c r="D10" s="40" t="str">
        <f>$B$2</f>
        <v>Barbero</v>
      </c>
      <c r="E10" s="35"/>
      <c r="F10" s="35"/>
      <c r="G10" s="40" t="str">
        <f>'P-Barbero'!A6</f>
        <v>P-BAR-0001</v>
      </c>
      <c r="H10" s="41"/>
      <c r="I10" s="40"/>
      <c r="J10" s="35" t="s">
        <v>275</v>
      </c>
      <c r="K10" s="35"/>
    </row>
    <row r="11" spans="1:11" ht="30" customHeight="1" x14ac:dyDescent="0.25">
      <c r="A11" s="40" t="s">
        <v>27</v>
      </c>
      <c r="B11" s="35" t="s">
        <v>276</v>
      </c>
      <c r="C11" s="35" t="s">
        <v>277</v>
      </c>
      <c r="D11" s="40" t="str">
        <f>$B$2</f>
        <v>Barbero</v>
      </c>
      <c r="E11" s="35"/>
      <c r="F11" s="35"/>
      <c r="G11" s="40"/>
      <c r="H11" s="41"/>
      <c r="I11" s="40"/>
      <c r="J11" s="35" t="s">
        <v>278</v>
      </c>
      <c r="K11" s="35"/>
    </row>
    <row r="12" spans="1:11" ht="30" customHeight="1" x14ac:dyDescent="0.25">
      <c r="A12" s="40" t="s">
        <v>25</v>
      </c>
      <c r="B12" s="35" t="s">
        <v>279</v>
      </c>
      <c r="C12" s="35" t="s">
        <v>280</v>
      </c>
      <c r="D12" s="40" t="str">
        <f>$B$2</f>
        <v>Barbero</v>
      </c>
      <c r="E12" s="35"/>
      <c r="F12" s="35"/>
      <c r="G12" s="40" t="str">
        <f>'P-Barbero'!A8</f>
        <v>P-BAR-0003</v>
      </c>
      <c r="H12" s="41"/>
      <c r="I12" s="40"/>
      <c r="J12" s="35" t="s">
        <v>281</v>
      </c>
      <c r="K12" s="35"/>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1C00-000000000000}"/>
    <hyperlink ref="C1" r:id="rId2" location="'Objetos%20de%20Dominio'!A1" xr:uid="{00000000-0004-0000-1C00-000001000000}"/>
    <hyperlink ref="F1" r:id="rId3" location="'C-Barbero'!A1" xr:uid="{00000000-0004-0000-1C00-000002000000}"/>
    <hyperlink ref="J1" r:id="rId4" location="'M-Barbero'!A1" xr:uid="{00000000-0004-0000-1C00-000003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20"/>
  <sheetViews>
    <sheetView zoomScale="115" zoomScaleNormal="115" workbookViewId="0">
      <selection activeCell="B1" sqref="B1"/>
    </sheetView>
  </sheetViews>
  <sheetFormatPr baseColWidth="10" defaultColWidth="10.7109375" defaultRowHeight="15" x14ac:dyDescent="0.25"/>
  <cols>
    <col min="1" max="1" width="27" customWidth="1"/>
    <col min="2" max="2" width="26.140625" customWidth="1"/>
    <col min="3" max="3" width="21.42578125" customWidth="1"/>
    <col min="4" max="4" width="19.42578125" customWidth="1"/>
    <col min="5" max="5" width="20.42578125" customWidth="1"/>
    <col min="6" max="6" width="20.5703125" customWidth="1"/>
    <col min="7" max="7" width="21" customWidth="1"/>
    <col min="8" max="8" width="33" customWidth="1"/>
    <col min="9" max="9" width="37.5703125" customWidth="1"/>
    <col min="10" max="10" width="36.7109375" customWidth="1"/>
    <col min="11" max="11" width="42" customWidth="1"/>
  </cols>
  <sheetData>
    <row r="1" spans="1:11" ht="14.25" customHeight="1" x14ac:dyDescent="0.25">
      <c r="A1" s="13" t="s">
        <v>1</v>
      </c>
      <c r="B1" s="13" t="s">
        <v>45</v>
      </c>
      <c r="C1" s="56"/>
      <c r="D1" s="56"/>
      <c r="E1" s="56"/>
      <c r="F1" s="56"/>
    </row>
    <row r="2" spans="1:11" ht="39" customHeight="1" x14ac:dyDescent="0.25">
      <c r="A2" s="42" t="s">
        <v>111</v>
      </c>
      <c r="B2" s="42" t="s">
        <v>236</v>
      </c>
      <c r="C2" s="42" t="s">
        <v>282</v>
      </c>
      <c r="D2" s="42" t="s">
        <v>283</v>
      </c>
      <c r="E2" s="42" t="s">
        <v>284</v>
      </c>
      <c r="F2" s="42" t="s">
        <v>285</v>
      </c>
      <c r="G2" s="42" t="s">
        <v>286</v>
      </c>
      <c r="H2" s="42" t="s">
        <v>287</v>
      </c>
      <c r="I2" s="42" t="s">
        <v>288</v>
      </c>
      <c r="J2" s="42" t="s">
        <v>289</v>
      </c>
      <c r="K2" s="43" t="s">
        <v>290</v>
      </c>
    </row>
    <row r="3" spans="1:11" ht="14.25" customHeight="1" x14ac:dyDescent="0.25">
      <c r="A3" s="44" t="s">
        <v>114</v>
      </c>
      <c r="B3" s="45" t="s">
        <v>291</v>
      </c>
      <c r="C3" s="45" t="s">
        <v>292</v>
      </c>
      <c r="D3" s="45" t="s">
        <v>293</v>
      </c>
      <c r="E3" s="45" t="s">
        <v>294</v>
      </c>
      <c r="F3" s="104" t="s">
        <v>232</v>
      </c>
      <c r="G3" s="45" t="s">
        <v>295</v>
      </c>
      <c r="H3" s="105" t="s">
        <v>296</v>
      </c>
      <c r="I3" s="106" t="s">
        <v>297</v>
      </c>
      <c r="J3" s="106" t="s">
        <v>298</v>
      </c>
      <c r="K3" s="46" t="s">
        <v>299</v>
      </c>
    </row>
    <row r="4" spans="1:11" ht="14.25" customHeight="1" x14ac:dyDescent="0.25">
      <c r="A4" s="47">
        <v>1</v>
      </c>
      <c r="B4" s="47" t="s">
        <v>300</v>
      </c>
      <c r="C4" s="47" t="s">
        <v>301</v>
      </c>
      <c r="D4" s="47" t="s">
        <v>302</v>
      </c>
      <c r="E4" s="47" t="s">
        <v>303</v>
      </c>
      <c r="F4" s="107" t="str">
        <f>'M-PrefijoCelular'!C4</f>
        <v>+57</v>
      </c>
      <c r="G4" s="47">
        <v>3245627890</v>
      </c>
      <c r="H4" s="47" t="s">
        <v>190</v>
      </c>
      <c r="I4" s="47">
        <v>24</v>
      </c>
      <c r="J4" s="47">
        <v>0</v>
      </c>
      <c r="K4" s="47" t="str">
        <f>_xlfn.CONCAT(F4,"-",G4)</f>
        <v>+57-3245627890</v>
      </c>
    </row>
    <row r="5" spans="1:11" ht="14.25" customHeight="1" x14ac:dyDescent="0.25">
      <c r="A5" s="47">
        <v>2</v>
      </c>
      <c r="B5" s="47" t="s">
        <v>300</v>
      </c>
      <c r="C5" s="47" t="s">
        <v>304</v>
      </c>
      <c r="D5" s="47" t="s">
        <v>305</v>
      </c>
      <c r="E5" s="47" t="s">
        <v>306</v>
      </c>
      <c r="F5" s="107" t="str">
        <f>'M-PrefijoCelular'!C4</f>
        <v>+57</v>
      </c>
      <c r="G5" s="47">
        <v>3124518923</v>
      </c>
      <c r="H5" s="47" t="s">
        <v>190</v>
      </c>
      <c r="I5" s="47">
        <v>0</v>
      </c>
      <c r="J5" s="47">
        <v>30</v>
      </c>
      <c r="K5" s="47" t="str">
        <f>_xlfn.CONCAT(F5,"-",G5)</f>
        <v>+57-3124518923</v>
      </c>
    </row>
    <row r="6" spans="1:11" ht="14.25" customHeight="1" x14ac:dyDescent="0.25">
      <c r="A6" s="47">
        <v>3</v>
      </c>
      <c r="B6" s="47" t="s">
        <v>307</v>
      </c>
      <c r="C6" s="47"/>
      <c r="D6" s="47" t="s">
        <v>308</v>
      </c>
      <c r="E6" s="47"/>
      <c r="F6" s="107" t="str">
        <f>'M-PrefijoCelular'!C4</f>
        <v>+57</v>
      </c>
      <c r="G6" s="47">
        <v>3214533321</v>
      </c>
      <c r="H6" s="47" t="s">
        <v>190</v>
      </c>
      <c r="I6" s="47">
        <v>1</v>
      </c>
      <c r="J6" s="47">
        <v>0</v>
      </c>
      <c r="K6" s="47" t="str">
        <f>_xlfn.CONCAT(F6,"-",G6)</f>
        <v>+57-3214533321</v>
      </c>
    </row>
    <row r="7" spans="1:11" ht="14.25" customHeight="1" x14ac:dyDescent="0.25">
      <c r="A7" s="47">
        <v>4</v>
      </c>
      <c r="B7" s="47" t="s">
        <v>309</v>
      </c>
      <c r="C7" s="47"/>
      <c r="D7" s="47" t="s">
        <v>310</v>
      </c>
      <c r="E7" s="47" t="s">
        <v>311</v>
      </c>
      <c r="F7" s="107" t="str">
        <f>'M-PrefijoCelular'!C5</f>
        <v>+91</v>
      </c>
      <c r="G7" s="47">
        <v>9876543210</v>
      </c>
      <c r="H7" s="47" t="s">
        <v>312</v>
      </c>
      <c r="I7" s="47">
        <v>0</v>
      </c>
      <c r="J7" s="47">
        <v>0</v>
      </c>
      <c r="K7" s="47" t="str">
        <f>_xlfn.CONCAT(F7,"-",G7)</f>
        <v>+91-9876543210</v>
      </c>
    </row>
    <row r="8" spans="1:11" ht="14.25" customHeight="1" x14ac:dyDescent="0.25">
      <c r="A8" s="47">
        <v>5</v>
      </c>
      <c r="B8" s="47" t="s">
        <v>300</v>
      </c>
      <c r="C8" s="47" t="s">
        <v>307</v>
      </c>
      <c r="D8" s="47" t="s">
        <v>313</v>
      </c>
      <c r="E8" s="47" t="s">
        <v>314</v>
      </c>
      <c r="F8" s="107" t="str">
        <f>'M-PrefijoCelular'!C6</f>
        <v>+593</v>
      </c>
      <c r="G8" s="47">
        <v>998765432</v>
      </c>
      <c r="H8" s="47" t="s">
        <v>312</v>
      </c>
      <c r="I8" s="47">
        <v>2</v>
      </c>
      <c r="J8" s="47">
        <v>0</v>
      </c>
      <c r="K8" s="47" t="str">
        <f>_xlfn.CONCAT(F8,"-",G8)</f>
        <v>+593-998765432</v>
      </c>
    </row>
    <row r="14" spans="1:11" ht="28.5" customHeight="1" x14ac:dyDescent="0.25">
      <c r="A14" s="50"/>
      <c r="B14" s="51" t="s">
        <v>124</v>
      </c>
    </row>
    <row r="15" spans="1:11" ht="28.5" customHeight="1" x14ac:dyDescent="0.25">
      <c r="A15" s="52"/>
      <c r="B15" s="51" t="s">
        <v>125</v>
      </c>
    </row>
    <row r="16" spans="1:11" ht="28.5" customHeight="1" x14ac:dyDescent="0.25">
      <c r="A16" s="53"/>
      <c r="B16" s="51" t="s">
        <v>126</v>
      </c>
    </row>
    <row r="17" spans="1:2" ht="28.5" customHeight="1" x14ac:dyDescent="0.25">
      <c r="A17" s="77"/>
      <c r="B17" s="51" t="s">
        <v>315</v>
      </c>
    </row>
    <row r="18" spans="1:2" ht="28.5" customHeight="1" x14ac:dyDescent="0.25">
      <c r="A18" s="79"/>
      <c r="B18" s="51" t="s">
        <v>198</v>
      </c>
    </row>
    <row r="19" spans="1:2" ht="28.5" customHeight="1" x14ac:dyDescent="0.25">
      <c r="A19" s="80"/>
      <c r="B19" s="51" t="s">
        <v>316</v>
      </c>
    </row>
    <row r="20" spans="1:2" ht="28.5" customHeight="1" x14ac:dyDescent="0.25">
      <c r="A20" s="54"/>
      <c r="B20" s="51" t="s">
        <v>317</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F4" location="'M-PrefijoCelular'!A4" display="#'M-PrefijoCelular'.A4" xr:uid="{00000000-0004-0000-1D00-000002000000}"/>
    <hyperlink ref="F5" location="'M-PrefijoCelular'!A4" display="#'M-PrefijoCelular'.A4" xr:uid="{00000000-0004-0000-1D00-000003000000}"/>
    <hyperlink ref="F6" location="'M-PrefijoCelular'!A4" display="#'M-PrefijoCelular'.A4" xr:uid="{00000000-0004-0000-1D00-000004000000}"/>
    <hyperlink ref="F7" location="'M-PrefijoCelular'!A5" display="#'M-PrefijoCelular'.A5" xr:uid="{00000000-0004-0000-1D00-000005000000}"/>
    <hyperlink ref="F8" location="'M-PrefijoCelular'!A6" display="#'M-PrefijoCelular'.A6" xr:uid="{00000000-0004-0000-1D00-000006000000}"/>
  </hyperlink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41"/>
  <sheetViews>
    <sheetView zoomScaleNormal="100" workbookViewId="0">
      <selection activeCell="B1" sqref="B1"/>
    </sheetView>
  </sheetViews>
  <sheetFormatPr baseColWidth="10" defaultColWidth="8.7109375" defaultRowHeight="15" x14ac:dyDescent="0.25"/>
  <cols>
    <col min="1" max="1" width="27" customWidth="1"/>
    <col min="2" max="2" width="45" customWidth="1"/>
    <col min="3" max="3" width="30.42578125" customWidth="1"/>
    <col min="4" max="4" width="24.2851562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5" customWidth="1"/>
    <col min="17" max="17" width="38.42578125" customWidth="1"/>
    <col min="18" max="18" width="35.7109375" customWidth="1"/>
    <col min="19" max="19" width="21" customWidth="1"/>
    <col min="20" max="20" width="24" customWidth="1"/>
    <col min="21" max="21" width="18" customWidth="1"/>
  </cols>
  <sheetData>
    <row r="1" spans="1:21" ht="15" customHeight="1" x14ac:dyDescent="0.25">
      <c r="A1" s="13" t="s">
        <v>1</v>
      </c>
      <c r="B1" s="13" t="s">
        <v>45</v>
      </c>
    </row>
    <row r="2" spans="1:21" ht="15" customHeight="1" x14ac:dyDescent="0.25">
      <c r="A2" s="60" t="s">
        <v>46</v>
      </c>
      <c r="B2" s="60" t="s">
        <v>47</v>
      </c>
      <c r="C2" s="60" t="s">
        <v>48</v>
      </c>
      <c r="D2" s="60" t="s">
        <v>49</v>
      </c>
      <c r="E2" s="60" t="s">
        <v>50</v>
      </c>
      <c r="F2" s="60" t="s">
        <v>51</v>
      </c>
      <c r="G2" s="60" t="s">
        <v>52</v>
      </c>
      <c r="H2" s="60" t="s">
        <v>53</v>
      </c>
      <c r="I2" s="60" t="s">
        <v>54</v>
      </c>
      <c r="J2" s="60" t="s">
        <v>55</v>
      </c>
      <c r="K2" s="60" t="s">
        <v>56</v>
      </c>
      <c r="L2" s="60" t="s">
        <v>57</v>
      </c>
      <c r="M2" s="60" t="s">
        <v>58</v>
      </c>
      <c r="N2" s="60" t="s">
        <v>59</v>
      </c>
      <c r="O2" s="60" t="s">
        <v>60</v>
      </c>
      <c r="P2" s="60" t="s">
        <v>61</v>
      </c>
      <c r="Q2" s="60" t="s">
        <v>62</v>
      </c>
      <c r="R2" s="60" t="s">
        <v>63</v>
      </c>
      <c r="S2" s="60" t="s">
        <v>64</v>
      </c>
      <c r="T2" s="60" t="s">
        <v>65</v>
      </c>
      <c r="U2" s="60" t="s">
        <v>66</v>
      </c>
    </row>
    <row r="3" spans="1:21" ht="45" customHeight="1" x14ac:dyDescent="0.25">
      <c r="A3" s="26" t="str">
        <f>'M-Cliente'!A3</f>
        <v>id</v>
      </c>
      <c r="B3" s="27" t="str">
        <f>'M-Cliente'!A2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7" t="s">
        <v>69</v>
      </c>
      <c r="N3" s="26" t="s">
        <v>67</v>
      </c>
      <c r="O3" s="26" t="s">
        <v>70</v>
      </c>
      <c r="P3" s="26" t="s">
        <v>69</v>
      </c>
      <c r="Q3" s="26" t="s">
        <v>69</v>
      </c>
      <c r="R3" s="26" t="s">
        <v>69</v>
      </c>
      <c r="S3" s="26" t="s">
        <v>70</v>
      </c>
      <c r="T3" s="26" t="s">
        <v>71</v>
      </c>
      <c r="U3" s="26" t="s">
        <v>67</v>
      </c>
    </row>
    <row r="4" spans="1:21" ht="45" customHeight="1" x14ac:dyDescent="0.25">
      <c r="A4" s="26" t="str">
        <f>'M-Cliente'!B3</f>
        <v>primerNombre</v>
      </c>
      <c r="B4" s="27" t="str">
        <f>'M-Cliente'!B2</f>
        <v>Representa el primer nombre de la persona, que va a estar llendo a la barberia para las citas</v>
      </c>
      <c r="C4" s="26" t="s">
        <v>70</v>
      </c>
      <c r="D4" s="26" t="s">
        <v>72</v>
      </c>
      <c r="E4" s="26" t="s">
        <v>67</v>
      </c>
      <c r="F4" s="26">
        <v>2</v>
      </c>
      <c r="G4" s="26">
        <v>50</v>
      </c>
      <c r="H4" s="26" t="s">
        <v>69</v>
      </c>
      <c r="I4" s="26" t="s">
        <v>69</v>
      </c>
      <c r="J4" s="26" t="s">
        <v>69</v>
      </c>
      <c r="K4" s="26" t="s">
        <v>69</v>
      </c>
      <c r="L4" s="26" t="s">
        <v>69</v>
      </c>
      <c r="M4" s="27" t="s">
        <v>254</v>
      </c>
      <c r="N4" s="26" t="s">
        <v>70</v>
      </c>
      <c r="O4" s="26" t="s">
        <v>70</v>
      </c>
      <c r="P4" s="26" t="s">
        <v>70</v>
      </c>
      <c r="Q4" s="26" t="s">
        <v>67</v>
      </c>
      <c r="R4" s="26" t="s">
        <v>67</v>
      </c>
      <c r="S4" s="26" t="s">
        <v>70</v>
      </c>
      <c r="T4" s="26" t="s">
        <v>74</v>
      </c>
      <c r="U4" s="26" t="s">
        <v>70</v>
      </c>
    </row>
    <row r="5" spans="1:21" ht="45" customHeight="1" x14ac:dyDescent="0.25">
      <c r="A5" s="26" t="str">
        <f>'M-Cliente'!C3</f>
        <v>segundoNombre</v>
      </c>
      <c r="B5" s="27" t="str">
        <f>'M-Cliente'!C2</f>
        <v>Representa el segundo nombre de la persona, que va a estar llendo a la barberia para las citas</v>
      </c>
      <c r="C5" s="26" t="s">
        <v>70</v>
      </c>
      <c r="D5" s="26" t="s">
        <v>72</v>
      </c>
      <c r="E5" s="26" t="s">
        <v>70</v>
      </c>
      <c r="F5" s="26">
        <v>2</v>
      </c>
      <c r="G5" s="26">
        <v>50</v>
      </c>
      <c r="H5" s="26" t="s">
        <v>69</v>
      </c>
      <c r="I5" s="26" t="s">
        <v>69</v>
      </c>
      <c r="J5" s="26" t="s">
        <v>69</v>
      </c>
      <c r="K5" s="26" t="s">
        <v>69</v>
      </c>
      <c r="L5" s="26" t="s">
        <v>69</v>
      </c>
      <c r="M5" s="27" t="s">
        <v>254</v>
      </c>
      <c r="N5" s="26" t="s">
        <v>70</v>
      </c>
      <c r="O5" s="26" t="s">
        <v>70</v>
      </c>
      <c r="P5" s="26" t="s">
        <v>70</v>
      </c>
      <c r="Q5" s="26" t="s">
        <v>67</v>
      </c>
      <c r="R5" s="26" t="s">
        <v>67</v>
      </c>
      <c r="S5" s="26" t="s">
        <v>70</v>
      </c>
      <c r="T5" s="26" t="s">
        <v>74</v>
      </c>
      <c r="U5" s="26" t="s">
        <v>70</v>
      </c>
    </row>
    <row r="6" spans="1:21" ht="45" customHeight="1" x14ac:dyDescent="0.25">
      <c r="A6" s="26" t="str">
        <f>'M-Cliente'!D3</f>
        <v>primerApellido</v>
      </c>
      <c r="B6" s="27" t="str">
        <f>'M-Cliente'!D2</f>
        <v>Representa el primer apellido de la persona, que va a estar llendo a la barberia para las citas</v>
      </c>
      <c r="C6" s="26" t="s">
        <v>70</v>
      </c>
      <c r="D6" s="26" t="s">
        <v>72</v>
      </c>
      <c r="E6" s="26" t="s">
        <v>67</v>
      </c>
      <c r="F6" s="26">
        <v>2</v>
      </c>
      <c r="G6" s="26">
        <v>50</v>
      </c>
      <c r="H6" s="26" t="s">
        <v>69</v>
      </c>
      <c r="I6" s="26" t="s">
        <v>69</v>
      </c>
      <c r="J6" s="26" t="s">
        <v>69</v>
      </c>
      <c r="K6" s="26" t="s">
        <v>69</v>
      </c>
      <c r="L6" s="26" t="s">
        <v>69</v>
      </c>
      <c r="M6" s="27" t="s">
        <v>254</v>
      </c>
      <c r="N6" s="26" t="s">
        <v>70</v>
      </c>
      <c r="O6" s="26" t="s">
        <v>70</v>
      </c>
      <c r="P6" s="26" t="s">
        <v>70</v>
      </c>
      <c r="Q6" s="26" t="s">
        <v>67</v>
      </c>
      <c r="R6" s="26" t="s">
        <v>67</v>
      </c>
      <c r="S6" s="26" t="s">
        <v>70</v>
      </c>
      <c r="T6" s="26" t="s">
        <v>74</v>
      </c>
      <c r="U6" s="26" t="s">
        <v>70</v>
      </c>
    </row>
    <row r="7" spans="1:21" ht="45" customHeight="1" x14ac:dyDescent="0.25">
      <c r="A7" s="26" t="str">
        <f>'M-Cliente'!E3</f>
        <v>segundoApellido</v>
      </c>
      <c r="B7" s="27" t="str">
        <f>'M-Cliente'!E2</f>
        <v>Representa el segundo apellido de la persona, que va a estar llendo a la barberia para las citas</v>
      </c>
      <c r="C7" s="26" t="s">
        <v>70</v>
      </c>
      <c r="D7" s="26" t="s">
        <v>72</v>
      </c>
      <c r="E7" s="26" t="s">
        <v>70</v>
      </c>
      <c r="F7" s="26">
        <v>2</v>
      </c>
      <c r="G7" s="26">
        <v>50</v>
      </c>
      <c r="H7" s="26" t="s">
        <v>69</v>
      </c>
      <c r="I7" s="26" t="s">
        <v>69</v>
      </c>
      <c r="J7" s="26" t="s">
        <v>69</v>
      </c>
      <c r="K7" s="26" t="s">
        <v>69</v>
      </c>
      <c r="L7" s="26" t="s">
        <v>69</v>
      </c>
      <c r="M7" s="27" t="s">
        <v>254</v>
      </c>
      <c r="N7" s="26" t="s">
        <v>70</v>
      </c>
      <c r="O7" s="26" t="s">
        <v>70</v>
      </c>
      <c r="P7" s="26" t="s">
        <v>70</v>
      </c>
      <c r="Q7" s="26" t="s">
        <v>67</v>
      </c>
      <c r="R7" s="26" t="s">
        <v>67</v>
      </c>
      <c r="S7" s="26" t="s">
        <v>70</v>
      </c>
      <c r="T7" s="26" t="s">
        <v>74</v>
      </c>
      <c r="U7" s="26" t="s">
        <v>70</v>
      </c>
    </row>
    <row r="8" spans="1:21" ht="45" customHeight="1" x14ac:dyDescent="0.25">
      <c r="A8" s="26" t="str">
        <f>'M-Cliente'!F3</f>
        <v>prefijoCelular</v>
      </c>
      <c r="B8" s="27" t="str">
        <f>'M-Cliente'!F2</f>
        <v>Representa cual es el prefijo del numero de celular del cliente</v>
      </c>
      <c r="C8" s="26" t="s">
        <v>70</v>
      </c>
      <c r="D8" s="100" t="s">
        <v>21</v>
      </c>
      <c r="E8" s="26" t="s">
        <v>67</v>
      </c>
      <c r="F8" s="26">
        <v>2</v>
      </c>
      <c r="G8" s="26">
        <v>4</v>
      </c>
      <c r="H8" s="26" t="s">
        <v>69</v>
      </c>
      <c r="I8" s="26" t="s">
        <v>69</v>
      </c>
      <c r="J8" s="26" t="s">
        <v>69</v>
      </c>
      <c r="K8" s="26" t="s">
        <v>69</v>
      </c>
      <c r="L8" s="27" t="s">
        <v>318</v>
      </c>
      <c r="M8" s="27" t="s">
        <v>319</v>
      </c>
      <c r="N8" s="26" t="s">
        <v>70</v>
      </c>
      <c r="O8" s="26" t="s">
        <v>70</v>
      </c>
      <c r="P8" s="26" t="s">
        <v>69</v>
      </c>
      <c r="Q8" s="26" t="s">
        <v>70</v>
      </c>
      <c r="R8" s="26" t="s">
        <v>70</v>
      </c>
      <c r="S8" s="26" t="s">
        <v>67</v>
      </c>
      <c r="T8" s="26" t="s">
        <v>71</v>
      </c>
      <c r="U8" s="26" t="s">
        <v>70</v>
      </c>
    </row>
    <row r="9" spans="1:21" ht="75" customHeight="1" x14ac:dyDescent="0.25">
      <c r="A9" s="26" t="str">
        <f>'M-Cliente'!G3</f>
        <v>celular</v>
      </c>
      <c r="B9" s="27" t="str">
        <f>'M-Cliente'!G2</f>
        <v>Representa el numero de celular del cliente, es el dato que el barbero necesita en caso de que tenga que contactarse con el</v>
      </c>
      <c r="C9" s="26" t="s">
        <v>70</v>
      </c>
      <c r="D9" s="26" t="s">
        <v>72</v>
      </c>
      <c r="E9" s="26" t="s">
        <v>67</v>
      </c>
      <c r="F9" s="26">
        <v>4</v>
      </c>
      <c r="G9" s="26">
        <v>15</v>
      </c>
      <c r="H9" s="26" t="s">
        <v>69</v>
      </c>
      <c r="I9" s="26" t="s">
        <v>69</v>
      </c>
      <c r="J9" s="26" t="s">
        <v>69</v>
      </c>
      <c r="K9" s="26" t="s">
        <v>69</v>
      </c>
      <c r="L9" s="27" t="s">
        <v>320</v>
      </c>
      <c r="M9" s="27" t="s">
        <v>69</v>
      </c>
      <c r="N9" s="26" t="s">
        <v>70</v>
      </c>
      <c r="O9" s="26" t="s">
        <v>70</v>
      </c>
      <c r="P9" s="26" t="s">
        <v>70</v>
      </c>
      <c r="Q9" s="26" t="s">
        <v>67</v>
      </c>
      <c r="R9" s="26" t="s">
        <v>67</v>
      </c>
      <c r="S9" s="26" t="s">
        <v>67</v>
      </c>
      <c r="T9" s="26">
        <v>0</v>
      </c>
      <c r="U9" s="26" t="s">
        <v>70</v>
      </c>
    </row>
    <row r="10" spans="1:21" ht="45" customHeight="1" x14ac:dyDescent="0.25">
      <c r="A10" s="26" t="str">
        <f>'M-Cliente'!I3</f>
        <v>multasSinPagar</v>
      </c>
      <c r="B10" s="27" t="str">
        <f>'M-Cliente'!I2</f>
        <v>Representa la cantidad de multas que tiene sin pagar en las citas que ha tenido, ya sea multa por tardanza o por no llegar</v>
      </c>
      <c r="C10" s="26" t="s">
        <v>70</v>
      </c>
      <c r="D10" s="26" t="s">
        <v>157</v>
      </c>
      <c r="E10" s="26" t="s">
        <v>67</v>
      </c>
      <c r="F10" s="26" t="s">
        <v>69</v>
      </c>
      <c r="G10" s="26" t="s">
        <v>69</v>
      </c>
      <c r="H10" s="26" t="s">
        <v>69</v>
      </c>
      <c r="I10" s="26" t="s">
        <v>69</v>
      </c>
      <c r="J10" s="26">
        <v>0</v>
      </c>
      <c r="K10" s="26">
        <v>3</v>
      </c>
      <c r="L10" s="26" t="s">
        <v>69</v>
      </c>
      <c r="M10" s="27" t="s">
        <v>321</v>
      </c>
      <c r="N10" s="26" t="s">
        <v>67</v>
      </c>
      <c r="O10" s="26" t="s">
        <v>70</v>
      </c>
      <c r="P10" s="26" t="s">
        <v>69</v>
      </c>
      <c r="Q10" s="26" t="s">
        <v>69</v>
      </c>
      <c r="R10" s="26" t="s">
        <v>69</v>
      </c>
      <c r="S10" s="26" t="s">
        <v>70</v>
      </c>
      <c r="T10" s="26">
        <v>0</v>
      </c>
      <c r="U10" s="26" t="s">
        <v>70</v>
      </c>
    </row>
    <row r="11" spans="1:21" ht="60" customHeight="1" x14ac:dyDescent="0.25">
      <c r="A11" s="26" t="str">
        <f>'M-Cliente'!J3</f>
        <v>estaVetado</v>
      </c>
      <c r="B11" s="27" t="str">
        <f>'M-Cliente'!J2</f>
        <v>Representa si el cliente esta en estado de veto o no, cuando el cliente esta vetado el sistema no va a permitir agendar citas con este cliente con ningun barbero</v>
      </c>
      <c r="C11" s="26" t="s">
        <v>70</v>
      </c>
      <c r="D11" s="26" t="s">
        <v>158</v>
      </c>
      <c r="E11" s="26" t="s">
        <v>67</v>
      </c>
      <c r="F11" s="26" t="s">
        <v>69</v>
      </c>
      <c r="G11" s="26" t="s">
        <v>69</v>
      </c>
      <c r="H11" s="26" t="s">
        <v>69</v>
      </c>
      <c r="I11" s="26" t="s">
        <v>69</v>
      </c>
      <c r="J11" s="26" t="s">
        <v>69</v>
      </c>
      <c r="K11" s="26" t="s">
        <v>69</v>
      </c>
      <c r="L11" s="26" t="s">
        <v>69</v>
      </c>
      <c r="M11" s="27" t="s">
        <v>322</v>
      </c>
      <c r="N11" s="26" t="s">
        <v>67</v>
      </c>
      <c r="O11" s="26" t="s">
        <v>70</v>
      </c>
      <c r="P11" s="26" t="s">
        <v>69</v>
      </c>
      <c r="Q11" s="26" t="s">
        <v>69</v>
      </c>
      <c r="R11" s="26" t="s">
        <v>69</v>
      </c>
      <c r="S11" s="26" t="s">
        <v>70</v>
      </c>
      <c r="T11" s="26" t="s">
        <v>70</v>
      </c>
      <c r="U11" s="26" t="s">
        <v>70</v>
      </c>
    </row>
    <row r="12" spans="1:21" ht="60" customHeight="1" x14ac:dyDescent="0.25">
      <c r="A12" s="26" t="str">
        <f>'M-Cliente'!K3</f>
        <v>cantidadDeDescuentoCitas</v>
      </c>
      <c r="B12" s="27" t="str">
        <f>'M-Cliente'!K2</f>
        <v>Representa la cantidad de citas que un cliente va a tener con descuento, cada inasistencia que un barbero le haga al cliente se le suma un descuento a la proxima cita</v>
      </c>
      <c r="C12" s="26" t="s">
        <v>70</v>
      </c>
      <c r="D12" s="26" t="s">
        <v>157</v>
      </c>
      <c r="E12" s="26" t="s">
        <v>67</v>
      </c>
      <c r="F12" s="26" t="s">
        <v>69</v>
      </c>
      <c r="G12" s="26" t="s">
        <v>69</v>
      </c>
      <c r="H12" s="26" t="s">
        <v>69</v>
      </c>
      <c r="I12" s="26" t="s">
        <v>69</v>
      </c>
      <c r="J12" s="26">
        <v>0</v>
      </c>
      <c r="K12" s="26">
        <v>10000</v>
      </c>
      <c r="L12" s="26" t="s">
        <v>69</v>
      </c>
      <c r="M12" s="27" t="s">
        <v>323</v>
      </c>
      <c r="N12" s="26" t="s">
        <v>67</v>
      </c>
      <c r="O12" s="26" t="s">
        <v>70</v>
      </c>
      <c r="P12" s="26" t="s">
        <v>69</v>
      </c>
      <c r="Q12" s="26" t="s">
        <v>69</v>
      </c>
      <c r="R12" s="26" t="s">
        <v>69</v>
      </c>
      <c r="S12" s="26" t="s">
        <v>70</v>
      </c>
      <c r="T12" s="26">
        <v>0</v>
      </c>
      <c r="U12" s="26" t="s">
        <v>70</v>
      </c>
    </row>
    <row r="13" spans="1:21" ht="15" customHeight="1" x14ac:dyDescent="0.25">
      <c r="A13" s="14"/>
      <c r="B13" s="14"/>
      <c r="C13" s="14"/>
      <c r="D13" s="14"/>
      <c r="E13" s="14"/>
      <c r="F13" s="14"/>
      <c r="G13" s="14"/>
      <c r="H13" s="14"/>
      <c r="I13" s="14"/>
      <c r="J13" s="14"/>
      <c r="K13" s="14"/>
      <c r="L13" s="14"/>
      <c r="M13" s="14"/>
      <c r="N13" s="14"/>
      <c r="O13" s="14"/>
      <c r="P13" s="14"/>
      <c r="Q13" s="14"/>
      <c r="R13" s="14"/>
      <c r="S13" s="14"/>
      <c r="T13" s="14"/>
      <c r="U13" s="14"/>
    </row>
    <row r="14" spans="1:21" ht="15" customHeight="1" x14ac:dyDescent="0.25">
      <c r="A14" s="28" t="s">
        <v>75</v>
      </c>
      <c r="B14" s="28" t="s">
        <v>76</v>
      </c>
      <c r="C14" s="28" t="s">
        <v>77</v>
      </c>
      <c r="D14" s="62"/>
      <c r="E14" s="62"/>
      <c r="F14" s="62"/>
      <c r="G14" s="62"/>
      <c r="H14" s="62"/>
      <c r="I14" s="62"/>
      <c r="J14" s="62"/>
      <c r="K14" s="62"/>
      <c r="L14" s="62"/>
      <c r="M14" s="62"/>
      <c r="N14" s="62"/>
      <c r="O14" s="62"/>
      <c r="P14" s="62"/>
      <c r="Q14" s="62"/>
      <c r="R14" s="62"/>
      <c r="S14" s="62"/>
      <c r="T14" s="62"/>
      <c r="U14" s="62"/>
    </row>
    <row r="15" spans="1:21" ht="15" customHeight="1" x14ac:dyDescent="0.25">
      <c r="A15" s="184" t="str">
        <f>'M-Cliente'!L3</f>
        <v>Combinación única  1</v>
      </c>
      <c r="B15" s="185" t="str">
        <f>'M-Cliente'!L2</f>
        <v>Combinacion única que indica que no puede existir más de un cliente con el mismo prefijo de celular y número de celular</v>
      </c>
      <c r="C15" s="186" t="str">
        <f>A8</f>
        <v>prefijoCelular</v>
      </c>
      <c r="D15" s="14"/>
      <c r="E15" s="14"/>
      <c r="F15" s="14"/>
      <c r="G15" s="14"/>
      <c r="H15" s="14"/>
      <c r="I15" s="14"/>
      <c r="J15" s="14"/>
      <c r="K15" s="14"/>
      <c r="L15" s="14"/>
      <c r="M15" s="14"/>
      <c r="N15" s="14"/>
      <c r="O15" s="14"/>
      <c r="P15" s="14"/>
      <c r="Q15" s="14"/>
      <c r="R15" s="14"/>
      <c r="S15" s="14"/>
      <c r="T15" s="14"/>
      <c r="U15" s="14"/>
    </row>
    <row r="16" spans="1:21" ht="15" customHeight="1" x14ac:dyDescent="0.25">
      <c r="A16" s="184"/>
      <c r="B16" s="184"/>
      <c r="C16" s="184"/>
      <c r="D16" s="14"/>
      <c r="E16" s="14"/>
      <c r="F16" s="14"/>
      <c r="G16" s="14"/>
      <c r="H16" s="14"/>
      <c r="I16" s="14"/>
      <c r="J16" s="14"/>
      <c r="K16" s="14"/>
      <c r="L16" s="14"/>
      <c r="M16" s="14"/>
      <c r="N16" s="14"/>
      <c r="O16" s="14"/>
      <c r="P16" s="14"/>
      <c r="Q16" s="14"/>
      <c r="R16" s="14"/>
      <c r="S16" s="14"/>
      <c r="T16" s="14"/>
      <c r="U16" s="14"/>
    </row>
    <row r="17" spans="1:21" ht="15" customHeight="1" x14ac:dyDescent="0.25">
      <c r="A17" s="184"/>
      <c r="B17" s="184"/>
      <c r="C17" s="186"/>
      <c r="D17" s="14"/>
      <c r="E17" s="14"/>
      <c r="F17" s="14"/>
      <c r="G17" s="14"/>
      <c r="H17" s="14"/>
      <c r="I17" s="14"/>
      <c r="J17" s="14"/>
      <c r="K17" s="14"/>
      <c r="L17" s="14"/>
      <c r="M17" s="14"/>
      <c r="N17" s="14"/>
      <c r="O17" s="14"/>
      <c r="P17" s="14"/>
      <c r="Q17" s="14"/>
      <c r="R17" s="14"/>
      <c r="S17" s="14"/>
      <c r="T17" s="14"/>
      <c r="U17" s="14"/>
    </row>
    <row r="18" spans="1:21" ht="15" customHeight="1" x14ac:dyDescent="0.25">
      <c r="A18" s="184"/>
      <c r="B18" s="184"/>
      <c r="C18" s="186" t="str">
        <f>A9</f>
        <v>celular</v>
      </c>
      <c r="D18" s="14"/>
      <c r="E18" s="14"/>
      <c r="F18" s="14"/>
      <c r="G18" s="14"/>
      <c r="H18" s="14"/>
      <c r="I18" s="14"/>
      <c r="J18" s="14"/>
      <c r="K18" s="14"/>
      <c r="L18" s="14"/>
      <c r="M18" s="14"/>
      <c r="N18" s="14"/>
      <c r="O18" s="14"/>
      <c r="P18" s="14"/>
      <c r="Q18" s="14"/>
      <c r="R18" s="14"/>
      <c r="S18" s="14"/>
      <c r="T18" s="14"/>
      <c r="U18" s="14"/>
    </row>
    <row r="19" spans="1:21" ht="15" customHeight="1" x14ac:dyDescent="0.25">
      <c r="A19" s="184"/>
      <c r="B19" s="184"/>
      <c r="C19" s="184"/>
      <c r="D19" s="14"/>
      <c r="E19" s="14"/>
      <c r="F19" s="14"/>
      <c r="G19" s="14"/>
      <c r="H19" s="14"/>
      <c r="I19" s="14"/>
      <c r="J19" s="14"/>
      <c r="K19" s="14"/>
      <c r="L19" s="14"/>
      <c r="M19" s="14"/>
      <c r="N19" s="14"/>
      <c r="O19" s="14"/>
      <c r="P19" s="14"/>
      <c r="Q19" s="14"/>
      <c r="R19" s="14"/>
      <c r="S19" s="14"/>
      <c r="T19" s="14"/>
      <c r="U19" s="14"/>
    </row>
    <row r="20" spans="1:21" ht="15" customHeight="1" x14ac:dyDescent="0.25">
      <c r="A20" s="184"/>
      <c r="B20" s="184"/>
      <c r="C20" s="184"/>
      <c r="D20" s="14"/>
      <c r="E20" s="14"/>
      <c r="F20" s="14"/>
      <c r="G20" s="14"/>
      <c r="H20" s="14"/>
      <c r="I20" s="14"/>
      <c r="J20" s="14"/>
      <c r="K20" s="14"/>
      <c r="L20" s="14"/>
      <c r="M20" s="14"/>
      <c r="N20" s="14"/>
      <c r="O20" s="14"/>
      <c r="P20" s="14"/>
      <c r="Q20" s="14"/>
      <c r="R20" s="14"/>
      <c r="S20" s="14"/>
      <c r="T20" s="14"/>
      <c r="U20" s="14"/>
    </row>
    <row r="21" spans="1:21" ht="15" customHeight="1" x14ac:dyDescent="0.25">
      <c r="A21" s="56"/>
      <c r="B21" s="56"/>
    </row>
    <row r="22" spans="1:21" ht="15" customHeight="1" x14ac:dyDescent="0.25">
      <c r="A22" s="56"/>
      <c r="B22" s="56"/>
    </row>
    <row r="23" spans="1:21" ht="15" customHeight="1" x14ac:dyDescent="0.25">
      <c r="A23" s="56"/>
      <c r="B23" s="56"/>
    </row>
    <row r="24" spans="1:21" ht="15" customHeight="1" x14ac:dyDescent="0.25">
      <c r="A24" s="56"/>
      <c r="B24" s="56"/>
    </row>
    <row r="25" spans="1:21" ht="15" customHeight="1" x14ac:dyDescent="0.25">
      <c r="A25" s="56"/>
      <c r="B25" s="56"/>
    </row>
    <row r="26" spans="1:21" ht="15" customHeight="1" x14ac:dyDescent="0.25">
      <c r="A26" s="63"/>
      <c r="B26" s="63"/>
      <c r="C26" s="63"/>
      <c r="D26" s="63"/>
      <c r="E26" s="63"/>
      <c r="F26" s="63"/>
      <c r="G26" s="63"/>
      <c r="H26" s="63"/>
      <c r="I26" s="63"/>
      <c r="J26" s="63"/>
      <c r="K26" s="63"/>
      <c r="L26" s="63"/>
      <c r="M26" s="63"/>
      <c r="N26" s="63"/>
      <c r="O26" s="63"/>
      <c r="P26" s="63"/>
      <c r="Q26" s="63"/>
      <c r="R26" s="63"/>
      <c r="S26" s="63"/>
      <c r="T26" s="63"/>
      <c r="U26" s="63"/>
    </row>
    <row r="27" spans="1:21" ht="15" customHeight="1" x14ac:dyDescent="0.25">
      <c r="A27" s="56"/>
      <c r="B27" s="56"/>
    </row>
    <row r="28" spans="1:21" ht="15" customHeight="1" x14ac:dyDescent="0.25">
      <c r="A28" s="56"/>
      <c r="B28" s="56"/>
    </row>
    <row r="29" spans="1:21" ht="15" customHeight="1" x14ac:dyDescent="0.25">
      <c r="A29" s="56"/>
      <c r="B29" s="56"/>
    </row>
    <row r="30" spans="1:21" ht="15" customHeight="1" x14ac:dyDescent="0.25">
      <c r="A30" s="56"/>
      <c r="B30" s="56"/>
    </row>
    <row r="31" spans="1:21" ht="15" customHeight="1" x14ac:dyDescent="0.25">
      <c r="A31" s="56"/>
      <c r="B31" s="56"/>
    </row>
    <row r="32" spans="1:21" ht="15" customHeight="1" x14ac:dyDescent="0.25">
      <c r="A32" s="56"/>
      <c r="B32" s="56"/>
    </row>
    <row r="33" spans="1:3" ht="15" customHeight="1" x14ac:dyDescent="0.25">
      <c r="A33" s="56"/>
      <c r="B33" s="56"/>
    </row>
    <row r="34" spans="1:3" ht="15" customHeight="1" x14ac:dyDescent="0.25">
      <c r="A34" s="56"/>
      <c r="B34" s="56"/>
    </row>
    <row r="35" spans="1:3" ht="15" customHeight="1" x14ac:dyDescent="0.25">
      <c r="A35" s="56"/>
      <c r="B35" s="56"/>
    </row>
    <row r="36" spans="1:3" ht="15" customHeight="1" x14ac:dyDescent="0.25">
      <c r="A36" s="56"/>
      <c r="B36" s="56"/>
    </row>
    <row r="37" spans="1:3" ht="15" customHeight="1" x14ac:dyDescent="0.25">
      <c r="A37" s="56"/>
      <c r="B37" s="56"/>
    </row>
    <row r="39" spans="1:3" ht="15" customHeight="1" x14ac:dyDescent="0.25">
      <c r="A39" s="64"/>
      <c r="B39" s="64"/>
      <c r="C39" s="64"/>
    </row>
    <row r="40" spans="1:3" ht="15" customHeight="1" x14ac:dyDescent="0.25">
      <c r="A40" s="56"/>
      <c r="B40" s="56"/>
    </row>
    <row r="41" spans="1:3" ht="15" customHeight="1" x14ac:dyDescent="0.25">
      <c r="A41" s="56"/>
      <c r="B41" s="56"/>
    </row>
  </sheetData>
  <mergeCells count="4">
    <mergeCell ref="A15:A20"/>
    <mergeCell ref="B15:B20"/>
    <mergeCell ref="C15:C17"/>
    <mergeCell ref="C18:C20"/>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D8" location="'C-PrefijoCelular'!A1" display="PrefijoCelular" xr:uid="{00000000-0004-0000-1E00-000002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7"/>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Dominio'!A10</f>
        <v>Cliente</v>
      </c>
      <c r="C2" s="11"/>
      <c r="D2" s="11"/>
      <c r="E2" s="11"/>
    </row>
    <row r="3" spans="1:5" ht="30" customHeight="1" x14ac:dyDescent="0.25">
      <c r="A3" s="33" t="s">
        <v>84</v>
      </c>
      <c r="B3" s="10" t="str">
        <f>'Objetos de Dominio'!B10</f>
        <v>Representa a la persona que solicita citas en la barbería con un barbero. Guarda su historial de multas sin pagar para saber si está o no vetado</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324</v>
      </c>
      <c r="B6" s="2" t="s">
        <v>325</v>
      </c>
      <c r="C6" s="2"/>
      <c r="D6" s="55" t="s">
        <v>27</v>
      </c>
      <c r="E6" s="55"/>
    </row>
    <row r="7" spans="1:5" ht="30" customHeight="1" x14ac:dyDescent="0.25">
      <c r="A7" s="55" t="s">
        <v>326</v>
      </c>
      <c r="B7" s="2" t="s">
        <v>327</v>
      </c>
      <c r="C7" s="2"/>
      <c r="D7" s="55" t="s">
        <v>27</v>
      </c>
      <c r="E7" s="55" t="str">
        <f>'P-Barbero'!A7</f>
        <v>P-BAR-0002</v>
      </c>
    </row>
  </sheetData>
  <mergeCells count="8">
    <mergeCell ref="B6:C6"/>
    <mergeCell ref="B7:C7"/>
    <mergeCell ref="B2:E2"/>
    <mergeCell ref="B3:E3"/>
    <mergeCell ref="A4:A5"/>
    <mergeCell ref="B4:C5"/>
    <mergeCell ref="D4:D5"/>
    <mergeCell ref="E4:E5"/>
  </mergeCells>
  <hyperlinks>
    <hyperlink ref="A1" r:id="rId1" location="'Modelo%20de%20Dominio'!A1" xr:uid="{00000000-0004-0000-1F00-000000000000}"/>
    <hyperlink ref="B1" r:id="rId2" location="'Objetos%20de%20Dominio'!A1" xr:uid="{00000000-0004-0000-1F00-000001000000}"/>
    <hyperlink ref="C1" r:id="rId3" location="'C-Cliente'!A1" xr:uid="{00000000-0004-0000-1F00-000002000000}"/>
    <hyperlink ref="D1" r:id="rId4" location="'M-Cliente'!A1" xr:uid="{00000000-0004-0000-1F00-000003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2"/>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Dominio'!A10</f>
        <v>Cliente</v>
      </c>
      <c r="C2" s="11"/>
      <c r="D2" s="11"/>
      <c r="E2" s="11"/>
      <c r="F2" s="11"/>
      <c r="G2" s="11"/>
      <c r="H2" s="11"/>
      <c r="I2" s="11"/>
      <c r="J2" s="11"/>
      <c r="K2" s="11"/>
    </row>
    <row r="3" spans="1:11" ht="30" customHeight="1" x14ac:dyDescent="0.25">
      <c r="A3" s="33" t="s">
        <v>84</v>
      </c>
      <c r="B3" s="10" t="str">
        <f>'Objetos de Dominio'!B10</f>
        <v>Representa a la persona que solicita citas en la barbería con un barbero. Guarda su historial de multas sin pagar para saber si está o no vetado</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27</v>
      </c>
      <c r="B7" s="2" t="s">
        <v>328</v>
      </c>
      <c r="C7" s="2" t="s">
        <v>329</v>
      </c>
      <c r="D7" s="3" t="str">
        <f>$B$2</f>
        <v>Cliente</v>
      </c>
      <c r="E7" s="2"/>
      <c r="F7" s="2"/>
      <c r="G7" s="40" t="str">
        <f>'P-Cliente'!A6</f>
        <v>P-CLI-0001</v>
      </c>
      <c r="H7" s="41"/>
      <c r="I7" s="3"/>
      <c r="J7" s="2" t="s">
        <v>330</v>
      </c>
      <c r="K7" s="2"/>
    </row>
    <row r="8" spans="1:11" ht="30" customHeight="1" x14ac:dyDescent="0.25">
      <c r="A8" s="3"/>
      <c r="B8" s="3"/>
      <c r="C8" s="3"/>
      <c r="D8" s="3"/>
      <c r="E8" s="3"/>
      <c r="F8" s="3"/>
      <c r="G8" s="40" t="str">
        <f>'P-Cliente'!A7</f>
        <v>P-CLI-0002</v>
      </c>
      <c r="H8" s="41"/>
      <c r="I8" s="3"/>
      <c r="J8" s="3"/>
      <c r="K8" s="3"/>
    </row>
    <row r="9" spans="1:11" ht="30" customHeight="1" x14ac:dyDescent="0.25">
      <c r="A9" s="40" t="s">
        <v>27</v>
      </c>
      <c r="B9" s="35" t="s">
        <v>270</v>
      </c>
      <c r="C9" s="35" t="s">
        <v>331</v>
      </c>
      <c r="D9" s="40" t="str">
        <f>$B$2</f>
        <v>Cliente</v>
      </c>
      <c r="E9" s="35"/>
      <c r="F9" s="35"/>
      <c r="G9" s="40" t="str">
        <f>'P-Cliente'!A6</f>
        <v>P-CLI-0001</v>
      </c>
      <c r="H9" s="41"/>
      <c r="I9" s="40"/>
      <c r="J9" s="35" t="s">
        <v>332</v>
      </c>
      <c r="K9" s="35"/>
    </row>
    <row r="10" spans="1:11" ht="30" customHeight="1" x14ac:dyDescent="0.25">
      <c r="A10" s="40" t="s">
        <v>25</v>
      </c>
      <c r="B10" s="35" t="s">
        <v>333</v>
      </c>
      <c r="C10" s="35" t="s">
        <v>334</v>
      </c>
      <c r="D10" s="40" t="str">
        <f>$B$2</f>
        <v>Cliente</v>
      </c>
      <c r="E10" s="35"/>
      <c r="F10" s="35"/>
      <c r="G10" s="40"/>
      <c r="H10" s="41"/>
      <c r="I10" s="40"/>
      <c r="J10" s="35" t="s">
        <v>335</v>
      </c>
      <c r="K10" s="35"/>
    </row>
    <row r="11" spans="1:11" ht="30" customHeight="1" x14ac:dyDescent="0.25">
      <c r="A11" s="40" t="s">
        <v>27</v>
      </c>
      <c r="B11" s="35" t="s">
        <v>336</v>
      </c>
      <c r="C11" s="35" t="s">
        <v>337</v>
      </c>
      <c r="D11" s="40" t="str">
        <f>$B$2</f>
        <v>Cliente</v>
      </c>
      <c r="E11" s="35"/>
      <c r="F11" s="35"/>
      <c r="G11" s="40"/>
      <c r="H11" s="41"/>
      <c r="I11" s="40"/>
      <c r="J11" s="35" t="s">
        <v>338</v>
      </c>
      <c r="K11" s="35"/>
    </row>
    <row r="12" spans="1:11" ht="30" customHeight="1" x14ac:dyDescent="0.25">
      <c r="A12" s="40" t="s">
        <v>27</v>
      </c>
      <c r="B12" s="35" t="s">
        <v>339</v>
      </c>
      <c r="C12" s="35" t="s">
        <v>340</v>
      </c>
      <c r="D12" s="40" t="str">
        <f>$B$2</f>
        <v>Cliente</v>
      </c>
      <c r="E12" s="35"/>
      <c r="F12" s="35"/>
      <c r="G12" s="40"/>
      <c r="H12" s="41"/>
      <c r="I12" s="40"/>
      <c r="J12" s="35" t="s">
        <v>341</v>
      </c>
      <c r="K12" s="35"/>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2000-000000000000}"/>
    <hyperlink ref="C1" r:id="rId2" location="'Objetos%20de%20Dominio'!A1" xr:uid="{00000000-0004-0000-2000-000001000000}"/>
    <hyperlink ref="F1" r:id="rId3" location="'C-Cliente'!A1" xr:uid="{00000000-0004-0000-2000-000002000000}"/>
    <hyperlink ref="J1" r:id="rId4" location="'M-Cliente'!A1" xr:uid="{00000000-0004-0000-2000-000003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9"/>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21.85546875" customWidth="1"/>
    <col min="4" max="4" width="22.140625" customWidth="1"/>
    <col min="5" max="5" width="22.42578125" customWidth="1"/>
    <col min="6" max="6" width="19.5703125" customWidth="1"/>
    <col min="7" max="7" width="28.28515625" customWidth="1"/>
    <col min="8" max="8" width="27.7109375" customWidth="1"/>
    <col min="9" max="9" width="41.85546875" customWidth="1"/>
    <col min="10" max="10" width="35.85546875" customWidth="1"/>
    <col min="11" max="11" width="40.7109375" customWidth="1"/>
    <col min="12" max="12" width="28.28515625" customWidth="1"/>
  </cols>
  <sheetData>
    <row r="1" spans="1:12" ht="14.25" customHeight="1" x14ac:dyDescent="0.25">
      <c r="A1" s="13" t="s">
        <v>1</v>
      </c>
      <c r="B1" s="13" t="s">
        <v>45</v>
      </c>
      <c r="C1" s="107"/>
      <c r="D1" s="107"/>
      <c r="E1" s="107"/>
      <c r="F1" s="107"/>
      <c r="G1" s="47"/>
      <c r="H1" s="47"/>
      <c r="I1" s="47"/>
      <c r="J1" s="47"/>
      <c r="K1" s="47"/>
      <c r="L1" s="47"/>
    </row>
    <row r="2" spans="1:12" ht="37.5" customHeight="1" x14ac:dyDescent="0.25">
      <c r="A2" s="67" t="s">
        <v>111</v>
      </c>
      <c r="B2" s="67" t="s">
        <v>342</v>
      </c>
      <c r="C2" s="67" t="s">
        <v>343</v>
      </c>
      <c r="D2" s="67" t="s">
        <v>344</v>
      </c>
      <c r="E2" s="67" t="s">
        <v>345</v>
      </c>
      <c r="F2" s="67" t="s">
        <v>346</v>
      </c>
      <c r="G2" s="108" t="s">
        <v>347</v>
      </c>
      <c r="H2" s="108" t="s">
        <v>348</v>
      </c>
      <c r="I2" s="108" t="s">
        <v>349</v>
      </c>
      <c r="J2" s="108" t="s">
        <v>350</v>
      </c>
      <c r="K2" s="108" t="s">
        <v>351</v>
      </c>
      <c r="L2" s="109" t="s">
        <v>352</v>
      </c>
    </row>
    <row r="3" spans="1:12" ht="14.25" customHeight="1" x14ac:dyDescent="0.25">
      <c r="A3" s="44" t="s">
        <v>114</v>
      </c>
      <c r="B3" s="45" t="s">
        <v>291</v>
      </c>
      <c r="C3" s="45" t="s">
        <v>292</v>
      </c>
      <c r="D3" s="45" t="s">
        <v>293</v>
      </c>
      <c r="E3" s="45" t="s">
        <v>294</v>
      </c>
      <c r="F3" s="110" t="s">
        <v>353</v>
      </c>
      <c r="G3" s="45" t="s">
        <v>295</v>
      </c>
      <c r="H3" s="111" t="s">
        <v>354</v>
      </c>
      <c r="I3" s="112" t="s">
        <v>355</v>
      </c>
      <c r="J3" s="112" t="s">
        <v>356</v>
      </c>
      <c r="K3" s="112" t="s">
        <v>357</v>
      </c>
      <c r="L3" s="46" t="s">
        <v>299</v>
      </c>
    </row>
    <row r="4" spans="1:12" ht="14.25" customHeight="1" x14ac:dyDescent="0.25">
      <c r="A4" s="47">
        <v>1</v>
      </c>
      <c r="B4" s="47" t="s">
        <v>300</v>
      </c>
      <c r="C4" s="47"/>
      <c r="D4" s="47" t="s">
        <v>358</v>
      </c>
      <c r="E4" s="47"/>
      <c r="F4" s="107" t="str">
        <f>'M-PrefijoCelular'!C4</f>
        <v>+57</v>
      </c>
      <c r="G4" s="47">
        <v>3234528921</v>
      </c>
      <c r="H4" s="47" t="s">
        <v>67</v>
      </c>
      <c r="I4" s="47">
        <v>0</v>
      </c>
      <c r="J4" s="47" t="s">
        <v>312</v>
      </c>
      <c r="K4" s="47">
        <v>0</v>
      </c>
      <c r="L4" s="47" t="str">
        <f>_xlfn.CONCAT(F4,"-",G4)</f>
        <v>+57-3234528921</v>
      </c>
    </row>
    <row r="5" spans="1:12" ht="14.25" customHeight="1" x14ac:dyDescent="0.25">
      <c r="A5" s="47">
        <v>2</v>
      </c>
      <c r="B5" s="47" t="s">
        <v>359</v>
      </c>
      <c r="C5" s="47" t="s">
        <v>360</v>
      </c>
      <c r="D5" s="47" t="s">
        <v>310</v>
      </c>
      <c r="E5" s="47" t="s">
        <v>314</v>
      </c>
      <c r="F5" s="107" t="str">
        <f>'M-PrefijoCelular'!C4</f>
        <v>+57</v>
      </c>
      <c r="G5" s="47">
        <v>3161657782</v>
      </c>
      <c r="H5" s="47" t="s">
        <v>67</v>
      </c>
      <c r="I5" s="47">
        <v>0</v>
      </c>
      <c r="J5" s="47" t="s">
        <v>312</v>
      </c>
      <c r="K5" s="47">
        <v>0</v>
      </c>
      <c r="L5" s="47" t="str">
        <f>_xlfn.CONCAT(F5,"-",G5)</f>
        <v>+57-3161657782</v>
      </c>
    </row>
    <row r="6" spans="1:12" ht="14.25" customHeight="1" x14ac:dyDescent="0.25">
      <c r="A6" s="47">
        <v>3</v>
      </c>
      <c r="B6" s="47" t="s">
        <v>361</v>
      </c>
      <c r="C6" s="47"/>
      <c r="D6" s="47" t="s">
        <v>362</v>
      </c>
      <c r="E6" s="47" t="s">
        <v>310</v>
      </c>
      <c r="F6" s="107" t="str">
        <f>'M-PrefijoCelular'!C4</f>
        <v>+57</v>
      </c>
      <c r="G6" s="47">
        <v>3119884321</v>
      </c>
      <c r="H6" s="47" t="s">
        <v>67</v>
      </c>
      <c r="I6" s="47">
        <v>0</v>
      </c>
      <c r="J6" s="47" t="s">
        <v>312</v>
      </c>
      <c r="K6" s="47">
        <v>0</v>
      </c>
      <c r="L6" s="47" t="str">
        <f>_xlfn.CONCAT(F6,"-",G6)</f>
        <v>+57-3119884321</v>
      </c>
    </row>
    <row r="7" spans="1:12" ht="14.25" customHeight="1" x14ac:dyDescent="0.25">
      <c r="A7" s="47">
        <v>4</v>
      </c>
      <c r="B7" s="47" t="s">
        <v>363</v>
      </c>
      <c r="C7" s="47"/>
      <c r="D7" s="47" t="s">
        <v>364</v>
      </c>
      <c r="E7" s="47"/>
      <c r="F7" s="107" t="str">
        <f>'M-PrefijoCelular'!C7</f>
        <v>+58</v>
      </c>
      <c r="G7" s="47">
        <v>4127359182</v>
      </c>
      <c r="H7" s="47" t="s">
        <v>67</v>
      </c>
      <c r="I7" s="47">
        <v>1</v>
      </c>
      <c r="J7" s="47" t="s">
        <v>312</v>
      </c>
      <c r="K7" s="47">
        <v>1</v>
      </c>
      <c r="L7" s="47" t="str">
        <f>_xlfn.CONCAT(F7,"-",G7)</f>
        <v>+58-4127359182</v>
      </c>
    </row>
    <row r="8" spans="1:12" ht="14.25" customHeight="1" x14ac:dyDescent="0.25">
      <c r="A8" s="47">
        <v>5</v>
      </c>
      <c r="B8" s="47" t="s">
        <v>365</v>
      </c>
      <c r="C8" s="47" t="s">
        <v>366</v>
      </c>
      <c r="D8" s="47" t="s">
        <v>367</v>
      </c>
      <c r="E8" s="47" t="s">
        <v>368</v>
      </c>
      <c r="F8" s="107" t="str">
        <f>'M-PrefijoCelular'!C4</f>
        <v>+57</v>
      </c>
      <c r="G8" s="47">
        <v>3005544332</v>
      </c>
      <c r="H8" s="47" t="s">
        <v>67</v>
      </c>
      <c r="I8" s="47">
        <v>3</v>
      </c>
      <c r="J8" s="47" t="s">
        <v>190</v>
      </c>
      <c r="K8" s="47">
        <v>0</v>
      </c>
      <c r="L8" s="47" t="str">
        <f>_xlfn.CONCAT(F8,"-",G8)</f>
        <v>+57-3005544332</v>
      </c>
    </row>
    <row r="13" spans="1:12" ht="14.25" customHeight="1" x14ac:dyDescent="0.25">
      <c r="B13" s="51"/>
    </row>
    <row r="14" spans="1:12" ht="28.5" customHeight="1" x14ac:dyDescent="0.25">
      <c r="A14" s="50"/>
      <c r="B14" s="51" t="s">
        <v>124</v>
      </c>
    </row>
    <row r="15" spans="1:12" ht="28.5" customHeight="1" x14ac:dyDescent="0.25">
      <c r="A15" s="52"/>
      <c r="B15" s="51" t="s">
        <v>125</v>
      </c>
    </row>
    <row r="16" spans="1:12" ht="28.5" customHeight="1" x14ac:dyDescent="0.25">
      <c r="A16" s="53"/>
      <c r="B16" s="51" t="s">
        <v>126</v>
      </c>
    </row>
    <row r="17" spans="1:2" ht="28.5" customHeight="1" x14ac:dyDescent="0.25">
      <c r="A17" s="77"/>
      <c r="B17" s="51" t="s">
        <v>315</v>
      </c>
    </row>
    <row r="18" spans="1:2" ht="28.5" customHeight="1" x14ac:dyDescent="0.25">
      <c r="A18" s="113"/>
      <c r="B18" s="51" t="s">
        <v>369</v>
      </c>
    </row>
    <row r="19" spans="1:2" ht="28.5" customHeight="1" x14ac:dyDescent="0.25">
      <c r="A19" s="54"/>
      <c r="B19" s="51" t="s">
        <v>127</v>
      </c>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F3" location="'M-PrefijoCelular'!A1" display="prefijoCelular" xr:uid="{00000000-0004-0000-2100-000002000000}"/>
    <hyperlink ref="F4" location="'M-PrefijoCelular'!A4" display="#'M-PrefijoCelular'.A4" xr:uid="{00000000-0004-0000-2100-000003000000}"/>
    <hyperlink ref="F5" location="'M-PrefijoCelular'!A4" display="#'M-PrefijoCelular'.A4" xr:uid="{00000000-0004-0000-2100-000004000000}"/>
    <hyperlink ref="F6" location="'M-PrefijoCelular'!A4" display="#'M-PrefijoCelular'.A4" xr:uid="{00000000-0004-0000-2100-000005000000}"/>
    <hyperlink ref="F7" location="'M-PrefijoCelular'!A7" display="#'M-PrefijoCelular'.A7" xr:uid="{00000000-0004-0000-2100-000006000000}"/>
    <hyperlink ref="F8" location="'M-PrefijoCelular'!A4" display="#'M-PrefijoCelular'.A4" xr:uid="{00000000-0004-0000-2100-000007000000}"/>
  </hyperlink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4"/>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35.7109375" customWidth="1"/>
    <col min="4" max="5" width="18" customWidth="1"/>
    <col min="6" max="6" width="25.42578125" customWidth="1"/>
    <col min="7" max="7" width="25.7109375" customWidth="1"/>
    <col min="8" max="12" width="18" customWidth="1"/>
    <col min="13" max="13" width="40" customWidth="1"/>
    <col min="14" max="14" width="18" customWidth="1"/>
    <col min="15" max="15" width="29.7109375" customWidth="1"/>
    <col min="16" max="16" width="27" customWidth="1"/>
    <col min="17" max="17" width="38.42578125" customWidth="1"/>
    <col min="18" max="18" width="38.85546875" customWidth="1"/>
    <col min="19" max="19" width="22.85546875" customWidth="1"/>
    <col min="20" max="20" width="25.85546875" customWidth="1"/>
    <col min="21" max="21" width="18" customWidth="1"/>
  </cols>
  <sheetData>
    <row r="1" spans="1:21" ht="15" customHeight="1" x14ac:dyDescent="0.25">
      <c r="A1" s="13" t="s">
        <v>1</v>
      </c>
      <c r="B1" s="13" t="s">
        <v>45</v>
      </c>
    </row>
    <row r="2" spans="1:21" ht="15" customHeight="1" x14ac:dyDescent="0.25">
      <c r="A2" s="60" t="s">
        <v>46</v>
      </c>
      <c r="B2" s="60" t="s">
        <v>47</v>
      </c>
      <c r="C2" s="60" t="s">
        <v>48</v>
      </c>
      <c r="D2" s="60" t="s">
        <v>49</v>
      </c>
      <c r="E2" s="60" t="s">
        <v>50</v>
      </c>
      <c r="F2" s="60" t="s">
        <v>51</v>
      </c>
      <c r="G2" s="60" t="s">
        <v>52</v>
      </c>
      <c r="H2" s="60" t="s">
        <v>53</v>
      </c>
      <c r="I2" s="60" t="s">
        <v>54</v>
      </c>
      <c r="J2" s="60" t="s">
        <v>55</v>
      </c>
      <c r="K2" s="60" t="s">
        <v>56</v>
      </c>
      <c r="L2" s="60" t="s">
        <v>57</v>
      </c>
      <c r="M2" s="60" t="s">
        <v>58</v>
      </c>
      <c r="N2" s="60" t="s">
        <v>59</v>
      </c>
      <c r="O2" s="60" t="s">
        <v>60</v>
      </c>
      <c r="P2" s="60" t="s">
        <v>61</v>
      </c>
      <c r="Q2" s="60" t="s">
        <v>62</v>
      </c>
      <c r="R2" s="60" t="s">
        <v>63</v>
      </c>
      <c r="S2" s="60" t="s">
        <v>64</v>
      </c>
      <c r="T2" s="60" t="s">
        <v>65</v>
      </c>
      <c r="U2" s="60" t="s">
        <v>66</v>
      </c>
    </row>
    <row r="3" spans="1:21" ht="45" customHeight="1" x14ac:dyDescent="0.25">
      <c r="A3" s="26" t="str">
        <f>'M-HorarioBarberia'!A3</f>
        <v>id</v>
      </c>
      <c r="B3" s="27" t="str">
        <f>'M-HorarioBarberia'!A2</f>
        <v>Representa un identificador que hará unico cada objeto de dominio de este tipo, no se puede repetir</v>
      </c>
      <c r="C3" s="26" t="s">
        <v>67</v>
      </c>
      <c r="D3" s="26" t="s">
        <v>68</v>
      </c>
      <c r="E3" s="26" t="s">
        <v>67</v>
      </c>
      <c r="F3" s="26" t="s">
        <v>69</v>
      </c>
      <c r="G3" s="26" t="s">
        <v>69</v>
      </c>
      <c r="H3" s="26" t="s">
        <v>69</v>
      </c>
      <c r="I3" s="26" t="s">
        <v>69</v>
      </c>
      <c r="J3" s="26" t="s">
        <v>69</v>
      </c>
      <c r="K3" s="26" t="s">
        <v>69</v>
      </c>
      <c r="L3" s="26" t="s">
        <v>69</v>
      </c>
      <c r="M3" s="27" t="s">
        <v>69</v>
      </c>
      <c r="N3" s="26" t="s">
        <v>70</v>
      </c>
      <c r="O3" s="26" t="s">
        <v>70</v>
      </c>
      <c r="P3" s="26" t="s">
        <v>69</v>
      </c>
      <c r="Q3" s="26" t="s">
        <v>69</v>
      </c>
      <c r="R3" s="26" t="s">
        <v>69</v>
      </c>
      <c r="S3" s="26" t="s">
        <v>70</v>
      </c>
      <c r="T3" s="26" t="s">
        <v>71</v>
      </c>
      <c r="U3" s="26" t="s">
        <v>67</v>
      </c>
    </row>
    <row r="4" spans="1:21" ht="30" customHeight="1" x14ac:dyDescent="0.25">
      <c r="A4" s="26" t="str">
        <f>'M-HorarioBarberia'!B3</f>
        <v>diaDeLaSemana</v>
      </c>
      <c r="B4" s="27" t="str">
        <f>'M-HorarioBarberia'!B2</f>
        <v>Representa el día de la semana en el que la barberia abre</v>
      </c>
      <c r="C4" s="26" t="s">
        <v>70</v>
      </c>
      <c r="D4" s="100" t="s">
        <v>9</v>
      </c>
      <c r="E4" s="26" t="s">
        <v>67</v>
      </c>
      <c r="F4" s="26" t="s">
        <v>69</v>
      </c>
      <c r="G4" s="26" t="s">
        <v>69</v>
      </c>
      <c r="H4" s="26" t="s">
        <v>69</v>
      </c>
      <c r="I4" s="26" t="s">
        <v>69</v>
      </c>
      <c r="J4" s="26" t="s">
        <v>69</v>
      </c>
      <c r="K4" s="26" t="s">
        <v>69</v>
      </c>
      <c r="L4" s="26" t="s">
        <v>69</v>
      </c>
      <c r="M4" s="27" t="s">
        <v>319</v>
      </c>
      <c r="N4" s="26" t="s">
        <v>70</v>
      </c>
      <c r="O4" s="26" t="s">
        <v>70</v>
      </c>
      <c r="P4" s="26" t="s">
        <v>69</v>
      </c>
      <c r="Q4" s="26" t="s">
        <v>69</v>
      </c>
      <c r="R4" s="26" t="s">
        <v>69</v>
      </c>
      <c r="S4" s="26" t="s">
        <v>70</v>
      </c>
      <c r="T4" s="26" t="s">
        <v>71</v>
      </c>
      <c r="U4" s="26" t="s">
        <v>70</v>
      </c>
    </row>
    <row r="5" spans="1:21" ht="27.75" customHeight="1" x14ac:dyDescent="0.25">
      <c r="A5" s="26" t="str">
        <f>'M-HorarioBarberia'!C3</f>
        <v>horaApertura</v>
      </c>
      <c r="B5" s="27" t="str">
        <f>'M-HorarioBarberia'!C2</f>
        <v>Representa la hora a la que abre la barbería</v>
      </c>
      <c r="C5" s="26" t="s">
        <v>70</v>
      </c>
      <c r="D5" s="26" t="s">
        <v>370</v>
      </c>
      <c r="E5" s="26" t="s">
        <v>70</v>
      </c>
      <c r="F5" s="26" t="s">
        <v>69</v>
      </c>
      <c r="G5" s="26" t="s">
        <v>69</v>
      </c>
      <c r="H5" s="26" t="s">
        <v>69</v>
      </c>
      <c r="I5" s="26" t="s">
        <v>69</v>
      </c>
      <c r="J5" s="26" t="s">
        <v>69</v>
      </c>
      <c r="K5" s="26" t="s">
        <v>69</v>
      </c>
      <c r="L5" s="26" t="s">
        <v>69</v>
      </c>
      <c r="M5" s="27" t="s">
        <v>69</v>
      </c>
      <c r="N5" s="26" t="s">
        <v>70</v>
      </c>
      <c r="O5" s="26" t="s">
        <v>70</v>
      </c>
      <c r="P5" s="26" t="s">
        <v>69</v>
      </c>
      <c r="Q5" s="26" t="s">
        <v>69</v>
      </c>
      <c r="R5" s="26" t="s">
        <v>69</v>
      </c>
      <c r="S5" s="26" t="s">
        <v>70</v>
      </c>
      <c r="T5" s="26" t="s">
        <v>371</v>
      </c>
      <c r="U5" s="26" t="s">
        <v>70</v>
      </c>
    </row>
    <row r="6" spans="1:21" ht="27.75" customHeight="1" x14ac:dyDescent="0.25">
      <c r="A6" s="26" t="str">
        <f>'M-HorarioBarberia'!D3</f>
        <v>horaCierre</v>
      </c>
      <c r="B6" s="27" t="str">
        <f>'M-HorarioBarberia'!D2</f>
        <v>Representa la hora a la que cierra la barbería</v>
      </c>
      <c r="C6" s="26" t="s">
        <v>70</v>
      </c>
      <c r="D6" s="26" t="s">
        <v>370</v>
      </c>
      <c r="E6" s="26" t="s">
        <v>67</v>
      </c>
      <c r="F6" s="26" t="s">
        <v>69</v>
      </c>
      <c r="G6" s="26" t="s">
        <v>69</v>
      </c>
      <c r="H6" s="26" t="s">
        <v>69</v>
      </c>
      <c r="I6" s="26" t="s">
        <v>69</v>
      </c>
      <c r="J6" s="26" t="s">
        <v>69</v>
      </c>
      <c r="K6" s="26" t="s">
        <v>69</v>
      </c>
      <c r="L6" s="26" t="s">
        <v>69</v>
      </c>
      <c r="M6" s="27" t="s">
        <v>372</v>
      </c>
      <c r="N6" s="26" t="s">
        <v>70</v>
      </c>
      <c r="O6" s="26" t="s">
        <v>70</v>
      </c>
      <c r="P6" s="26" t="s">
        <v>69</v>
      </c>
      <c r="Q6" s="26" t="s">
        <v>69</v>
      </c>
      <c r="R6" s="26" t="s">
        <v>69</v>
      </c>
      <c r="S6" s="26" t="s">
        <v>70</v>
      </c>
      <c r="T6" s="26" t="s">
        <v>371</v>
      </c>
      <c r="U6" s="26" t="s">
        <v>70</v>
      </c>
    </row>
    <row r="7" spans="1:21" ht="45" customHeight="1" x14ac:dyDescent="0.25">
      <c r="A7" s="26" t="str">
        <f>'M-HorarioBarberia'!E3</f>
        <v>fechaCreacion</v>
      </c>
      <c r="B7" s="27" t="str">
        <f>'M-HorarioBarberia'!E2</f>
        <v>Representa la fecha en el que el dueño definio el horario de la barberia. Es un dato calculado que toma la fecha del sistema en ese momento</v>
      </c>
      <c r="C7" s="26" t="s">
        <v>70</v>
      </c>
      <c r="D7" s="26" t="s">
        <v>373</v>
      </c>
      <c r="E7" s="26" t="s">
        <v>67</v>
      </c>
      <c r="F7" s="26" t="s">
        <v>69</v>
      </c>
      <c r="G7" s="26" t="s">
        <v>69</v>
      </c>
      <c r="H7" s="26" t="s">
        <v>69</v>
      </c>
      <c r="I7" s="26" t="s">
        <v>69</v>
      </c>
      <c r="J7" s="26" t="s">
        <v>69</v>
      </c>
      <c r="K7" s="26" t="s">
        <v>69</v>
      </c>
      <c r="L7" s="26" t="s">
        <v>69</v>
      </c>
      <c r="M7" s="27" t="s">
        <v>69</v>
      </c>
      <c r="N7" s="26" t="s">
        <v>67</v>
      </c>
      <c r="O7" s="26" t="s">
        <v>70</v>
      </c>
      <c r="P7" s="26" t="s">
        <v>69</v>
      </c>
      <c r="Q7" s="26" t="s">
        <v>69</v>
      </c>
      <c r="R7" s="26" t="s">
        <v>69</v>
      </c>
      <c r="S7" s="26" t="s">
        <v>70</v>
      </c>
      <c r="T7" s="26" t="s">
        <v>374</v>
      </c>
      <c r="U7" s="26" t="s">
        <v>70</v>
      </c>
    </row>
    <row r="8" spans="1:21" ht="45" customHeight="1" x14ac:dyDescent="0.25">
      <c r="A8" s="26" t="str">
        <f>'M-HorarioBarberia'!F3</f>
        <v>fechaDesactivacion</v>
      </c>
      <c r="B8" s="27" t="str">
        <f>'M-HorarioBarberia'!F2</f>
        <v>Representa la fecha en la que este horario dejó de estar vigente, dueño. Es un dato calculado que toma la fecha del sistema en ese momento</v>
      </c>
      <c r="C8" s="26" t="s">
        <v>70</v>
      </c>
      <c r="D8" s="26" t="s">
        <v>373</v>
      </c>
      <c r="E8" s="26" t="s">
        <v>70</v>
      </c>
      <c r="F8" s="26" t="s">
        <v>69</v>
      </c>
      <c r="G8" s="26" t="s">
        <v>69</v>
      </c>
      <c r="H8" s="26" t="s">
        <v>69</v>
      </c>
      <c r="I8" s="26" t="s">
        <v>69</v>
      </c>
      <c r="J8" s="26" t="s">
        <v>69</v>
      </c>
      <c r="K8" s="26" t="s">
        <v>69</v>
      </c>
      <c r="L8" s="26" t="s">
        <v>69</v>
      </c>
      <c r="M8" s="27" t="s">
        <v>69</v>
      </c>
      <c r="N8" s="26" t="s">
        <v>67</v>
      </c>
      <c r="O8" s="26" t="s">
        <v>70</v>
      </c>
      <c r="P8" s="26" t="s">
        <v>69</v>
      </c>
      <c r="Q8" s="26" t="s">
        <v>69</v>
      </c>
      <c r="R8" s="26" t="s">
        <v>69</v>
      </c>
      <c r="S8" s="26" t="s">
        <v>70</v>
      </c>
      <c r="T8" s="26" t="s">
        <v>374</v>
      </c>
      <c r="U8" s="26" t="s">
        <v>70</v>
      </c>
    </row>
    <row r="9" spans="1:21" ht="60" customHeight="1" x14ac:dyDescent="0.25">
      <c r="A9" s="26" t="str">
        <f>'M-HorarioBarberia'!G3</f>
        <v>vigente</v>
      </c>
      <c r="B9" s="27" t="str">
        <f>'M-HorarioBarberia'!G2</f>
        <v>Representa si este horario lo sigue o no vigente en la barberia. Una vez que el dueño desactive el horario de la barberia, no se puede volver a cambiar</v>
      </c>
      <c r="C9" s="26" t="s">
        <v>70</v>
      </c>
      <c r="D9" s="114" t="s">
        <v>158</v>
      </c>
      <c r="E9" s="26" t="s">
        <v>70</v>
      </c>
      <c r="F9" s="26" t="s">
        <v>69</v>
      </c>
      <c r="G9" s="26" t="s">
        <v>69</v>
      </c>
      <c r="H9" s="26" t="s">
        <v>69</v>
      </c>
      <c r="I9" s="26" t="s">
        <v>69</v>
      </c>
      <c r="J9" s="26" t="s">
        <v>69</v>
      </c>
      <c r="K9" s="26" t="s">
        <v>69</v>
      </c>
      <c r="L9" s="26" t="s">
        <v>69</v>
      </c>
      <c r="M9" s="27" t="s">
        <v>69</v>
      </c>
      <c r="N9" s="26" t="s">
        <v>70</v>
      </c>
      <c r="O9" s="26" t="s">
        <v>70</v>
      </c>
      <c r="P9" s="26" t="s">
        <v>69</v>
      </c>
      <c r="Q9" s="26" t="s">
        <v>69</v>
      </c>
      <c r="R9" s="26" t="s">
        <v>69</v>
      </c>
      <c r="S9" s="26" t="s">
        <v>70</v>
      </c>
      <c r="T9" s="26" t="s">
        <v>67</v>
      </c>
      <c r="U9" s="26" t="s">
        <v>70</v>
      </c>
    </row>
    <row r="10" spans="1:21" ht="15" customHeight="1" x14ac:dyDescent="0.25">
      <c r="A10" s="14"/>
      <c r="B10" s="14"/>
      <c r="C10" s="14"/>
      <c r="D10" s="14"/>
      <c r="E10" s="14"/>
      <c r="F10" s="14"/>
      <c r="G10" s="14"/>
      <c r="H10" s="14"/>
      <c r="I10" s="14"/>
      <c r="J10" s="14"/>
      <c r="K10" s="14"/>
      <c r="L10" s="14"/>
      <c r="M10" s="14"/>
      <c r="N10" s="14"/>
      <c r="O10" s="14"/>
      <c r="P10" s="14"/>
      <c r="Q10" s="14"/>
      <c r="R10" s="14"/>
      <c r="S10" s="14"/>
      <c r="T10" s="14"/>
      <c r="U10" s="14"/>
    </row>
    <row r="11" spans="1:21" ht="15" customHeight="1" x14ac:dyDescent="0.25">
      <c r="A11" s="28" t="s">
        <v>75</v>
      </c>
      <c r="B11" s="28" t="s">
        <v>76</v>
      </c>
      <c r="C11" s="28" t="s">
        <v>77</v>
      </c>
      <c r="D11" s="62"/>
      <c r="E11" s="62"/>
      <c r="F11" s="62"/>
      <c r="G11" s="62"/>
      <c r="H11" s="62"/>
      <c r="I11" s="62"/>
      <c r="J11" s="62"/>
      <c r="K11" s="62"/>
      <c r="L11" s="62"/>
      <c r="M11" s="62"/>
      <c r="N11" s="62"/>
      <c r="O11" s="62"/>
      <c r="P11" s="62"/>
      <c r="Q11" s="62"/>
      <c r="R11" s="62"/>
      <c r="S11" s="62"/>
      <c r="T11" s="62"/>
      <c r="U11" s="62"/>
    </row>
    <row r="12" spans="1:21" ht="15" customHeight="1" x14ac:dyDescent="0.25">
      <c r="A12" s="182" t="str">
        <f>'M-HorarioBarberia'!H3</f>
        <v>Combinación única</v>
      </c>
      <c r="B12" s="183" t="str">
        <f>'M-HorarioBarberia'!H2</f>
        <v>Combinacion única que indica que no puede existir más de un horario con la misma barberia, dia de la semana, hora de apertura y cierre</v>
      </c>
      <c r="C12" s="31" t="str">
        <f t="shared" ref="C12:C17" si="0">A4</f>
        <v>diaDeLaSemana</v>
      </c>
      <c r="D12" s="14"/>
      <c r="E12" s="14"/>
      <c r="F12" s="14"/>
      <c r="G12" s="14"/>
      <c r="H12" s="14"/>
      <c r="I12" s="14"/>
      <c r="J12" s="14"/>
      <c r="K12" s="14"/>
      <c r="L12" s="14"/>
      <c r="M12" s="14"/>
      <c r="N12" s="14"/>
      <c r="O12" s="14"/>
      <c r="P12" s="14"/>
      <c r="Q12" s="14"/>
      <c r="R12" s="14"/>
      <c r="S12" s="14"/>
      <c r="T12" s="14"/>
      <c r="U12" s="14"/>
    </row>
    <row r="13" spans="1:21" ht="15" customHeight="1" x14ac:dyDescent="0.25">
      <c r="A13" s="182"/>
      <c r="B13" s="182"/>
      <c r="C13" s="31" t="str">
        <f t="shared" si="0"/>
        <v>horaApertura</v>
      </c>
      <c r="D13" s="14"/>
      <c r="E13" s="14"/>
      <c r="F13" s="14"/>
      <c r="G13" s="14"/>
      <c r="H13" s="14"/>
      <c r="I13" s="14"/>
      <c r="J13" s="14"/>
      <c r="K13" s="14"/>
      <c r="L13" s="14"/>
      <c r="M13" s="14"/>
      <c r="N13" s="14"/>
      <c r="O13" s="14"/>
      <c r="P13" s="14"/>
      <c r="Q13" s="14"/>
      <c r="R13" s="14"/>
      <c r="S13" s="14"/>
      <c r="T13" s="14"/>
      <c r="U13" s="14"/>
    </row>
    <row r="14" spans="1:21" ht="15" customHeight="1" x14ac:dyDescent="0.25">
      <c r="A14" s="182"/>
      <c r="B14" s="182"/>
      <c r="C14" s="31" t="str">
        <f t="shared" si="0"/>
        <v>horaCierre</v>
      </c>
      <c r="D14" s="14"/>
      <c r="E14" s="14"/>
      <c r="F14" s="14"/>
      <c r="G14" s="14"/>
      <c r="H14" s="14"/>
      <c r="I14" s="14"/>
      <c r="J14" s="14"/>
      <c r="K14" s="14"/>
      <c r="L14" s="14"/>
      <c r="M14" s="14"/>
      <c r="N14" s="14"/>
      <c r="O14" s="14"/>
      <c r="P14" s="14"/>
      <c r="Q14" s="14"/>
      <c r="R14" s="14"/>
      <c r="S14" s="14"/>
      <c r="T14" s="14"/>
      <c r="U14" s="14"/>
    </row>
    <row r="15" spans="1:21" ht="15" customHeight="1" x14ac:dyDescent="0.25">
      <c r="A15" s="182"/>
      <c r="B15" s="182"/>
      <c r="C15" s="31" t="str">
        <f t="shared" si="0"/>
        <v>fechaCreacion</v>
      </c>
    </row>
    <row r="16" spans="1:21" ht="15" customHeight="1" x14ac:dyDescent="0.25">
      <c r="A16" s="182"/>
      <c r="B16" s="182"/>
      <c r="C16" s="31" t="str">
        <f t="shared" si="0"/>
        <v>fechaDesactivacion</v>
      </c>
    </row>
    <row r="17" spans="1:21" ht="15" customHeight="1" x14ac:dyDescent="0.25">
      <c r="A17" s="182"/>
      <c r="B17" s="182"/>
      <c r="C17" s="31" t="str">
        <f t="shared" si="0"/>
        <v>vigente</v>
      </c>
      <c r="D17" s="63"/>
      <c r="E17" s="63"/>
      <c r="F17" s="63"/>
      <c r="G17" s="63"/>
      <c r="H17" s="63"/>
      <c r="I17" s="63"/>
      <c r="J17" s="63"/>
      <c r="K17" s="63"/>
      <c r="L17" s="63"/>
      <c r="M17" s="63"/>
      <c r="N17" s="63"/>
      <c r="O17" s="63"/>
      <c r="P17" s="63"/>
      <c r="Q17" s="63"/>
      <c r="R17" s="63"/>
      <c r="S17" s="63"/>
      <c r="T17" s="63"/>
      <c r="U17" s="63"/>
    </row>
    <row r="18" spans="1:21" ht="15" customHeight="1" x14ac:dyDescent="0.25">
      <c r="A18" s="56"/>
      <c r="B18" s="56"/>
    </row>
    <row r="19" spans="1:21" ht="15" customHeight="1" x14ac:dyDescent="0.25">
      <c r="A19" s="56"/>
      <c r="B19" s="56"/>
    </row>
    <row r="20" spans="1:21" ht="15" customHeight="1" x14ac:dyDescent="0.25">
      <c r="A20" s="56"/>
      <c r="B20" s="56"/>
    </row>
    <row r="21" spans="1:21" ht="15" customHeight="1" x14ac:dyDescent="0.25">
      <c r="A21" s="56"/>
      <c r="B21" s="56"/>
    </row>
    <row r="23" spans="1:21" ht="15" customHeight="1" x14ac:dyDescent="0.25">
      <c r="A23" s="64"/>
      <c r="B23" s="64"/>
      <c r="C23" s="64"/>
    </row>
    <row r="24" spans="1:21" ht="15" customHeight="1" x14ac:dyDescent="0.25">
      <c r="A24" s="56"/>
      <c r="B24" s="56"/>
    </row>
  </sheetData>
  <mergeCells count="2">
    <mergeCell ref="A12:A17"/>
    <mergeCell ref="B12:B17"/>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D4" location="'C-DiaSemana'!A1" display="DiaSemana" xr:uid="{00000000-0004-0000-2200-000002000000}"/>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8"/>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Dominio'!A11</f>
        <v>HorarioBarberia</v>
      </c>
      <c r="C2" s="11"/>
      <c r="D2" s="11"/>
      <c r="E2" s="11"/>
    </row>
    <row r="3" spans="1:5" ht="30" customHeight="1" x14ac:dyDescent="0.25">
      <c r="A3" s="33" t="s">
        <v>84</v>
      </c>
      <c r="B3" s="10" t="str">
        <f>'Objetos de Dominio'!B11</f>
        <v>Representa, día por día, a qué hora abre y cierra el negocio; es el límite dentro del cual debe caber el horario de cualquier barbero</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375</v>
      </c>
      <c r="B6" s="2" t="s">
        <v>376</v>
      </c>
      <c r="C6" s="2"/>
      <c r="D6" s="55" t="s">
        <v>29</v>
      </c>
      <c r="E6" s="55"/>
    </row>
    <row r="7" spans="1:5" ht="30" customHeight="1" x14ac:dyDescent="0.25">
      <c r="A7" s="55" t="s">
        <v>377</v>
      </c>
      <c r="B7" s="2" t="s">
        <v>378</v>
      </c>
      <c r="C7" s="2"/>
      <c r="D7" s="55" t="s">
        <v>29</v>
      </c>
      <c r="E7" s="55"/>
    </row>
    <row r="8" spans="1:5" ht="30" customHeight="1" x14ac:dyDescent="0.25">
      <c r="A8" s="55" t="s">
        <v>379</v>
      </c>
      <c r="B8" s="2" t="s">
        <v>380</v>
      </c>
      <c r="C8" s="2"/>
      <c r="D8" s="55" t="s">
        <v>33</v>
      </c>
      <c r="E8" s="55"/>
    </row>
  </sheetData>
  <mergeCells count="9">
    <mergeCell ref="B6:C6"/>
    <mergeCell ref="B7:C7"/>
    <mergeCell ref="B8:C8"/>
    <mergeCell ref="B2:E2"/>
    <mergeCell ref="B3:E3"/>
    <mergeCell ref="A4:A5"/>
    <mergeCell ref="B4:C5"/>
    <mergeCell ref="D4:D5"/>
    <mergeCell ref="E4:E5"/>
  </mergeCells>
  <hyperlinks>
    <hyperlink ref="A1" r:id="rId1" location="'Modelo%20de%20Dominio'!A1" xr:uid="{00000000-0004-0000-2300-000000000000}"/>
    <hyperlink ref="B1" r:id="rId2" location="'Objetos%20de%20Dominio'!A1" xr:uid="{00000000-0004-0000-2300-000001000000}"/>
    <hyperlink ref="C1" r:id="rId3" location="'C-HorarioBarberia'!A1" xr:uid="{00000000-0004-0000-2300-000002000000}"/>
    <hyperlink ref="D1" r:id="rId4" location="'M-HorarioBarberia'!A1" xr:uid="{00000000-0004-0000-2300-000003000000}"/>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2"/>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Dominio'!A11</f>
        <v>HorarioBarberia</v>
      </c>
      <c r="C2" s="11"/>
      <c r="D2" s="11"/>
      <c r="E2" s="11"/>
      <c r="F2" s="11"/>
      <c r="G2" s="11"/>
      <c r="H2" s="11"/>
      <c r="I2" s="11"/>
      <c r="J2" s="11"/>
      <c r="K2" s="11"/>
    </row>
    <row r="3" spans="1:11" ht="30" customHeight="1" x14ac:dyDescent="0.25">
      <c r="A3" s="33" t="s">
        <v>84</v>
      </c>
      <c r="B3" s="10" t="str">
        <f>'Objetos de Dominio'!B11</f>
        <v>Representa, día por día, a qué hora abre y cierra el negocio; es el límite dentro del cual debe caber el horario de cualquier barbero</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107</v>
      </c>
      <c r="B7" s="2" t="s">
        <v>381</v>
      </c>
      <c r="C7" s="2" t="s">
        <v>382</v>
      </c>
      <c r="D7" s="3" t="str">
        <f>$B$2</f>
        <v>HorarioBarberia</v>
      </c>
      <c r="E7" s="2"/>
      <c r="F7" s="2"/>
      <c r="G7" s="40" t="str">
        <f>'P-HorarioBarberia'!A6</f>
        <v>P-HBA-0001</v>
      </c>
      <c r="H7" s="41"/>
      <c r="I7" s="3"/>
      <c r="J7" s="2" t="s">
        <v>383</v>
      </c>
      <c r="K7" s="2"/>
    </row>
    <row r="8" spans="1:11" ht="30" customHeight="1" x14ac:dyDescent="0.25">
      <c r="A8" s="3"/>
      <c r="B8" s="3"/>
      <c r="C8" s="3"/>
      <c r="D8" s="3"/>
      <c r="E8" s="3"/>
      <c r="F8" s="3"/>
      <c r="G8" s="40" t="str">
        <f>'P-HorarioBarberia'!A7</f>
        <v>P-HBA-0002</v>
      </c>
      <c r="H8" s="41"/>
      <c r="I8" s="3"/>
      <c r="J8" s="3"/>
      <c r="K8" s="3"/>
    </row>
    <row r="9" spans="1:11" ht="30" customHeight="1" x14ac:dyDescent="0.25">
      <c r="A9" s="40" t="s">
        <v>107</v>
      </c>
      <c r="B9" s="35" t="s">
        <v>384</v>
      </c>
      <c r="C9" s="35" t="s">
        <v>385</v>
      </c>
      <c r="D9" s="40" t="str">
        <f>$B$2</f>
        <v>HorarioBarberia</v>
      </c>
      <c r="E9" s="35"/>
      <c r="F9" s="35"/>
      <c r="G9" s="40"/>
      <c r="H9" s="41"/>
      <c r="I9" s="40"/>
      <c r="J9" s="35" t="s">
        <v>386</v>
      </c>
      <c r="K9" s="35"/>
    </row>
    <row r="10" spans="1:11" ht="30" customHeight="1" x14ac:dyDescent="0.25">
      <c r="A10" s="40" t="s">
        <v>25</v>
      </c>
      <c r="B10" s="35" t="s">
        <v>384</v>
      </c>
      <c r="C10" s="35" t="s">
        <v>385</v>
      </c>
      <c r="D10" s="40" t="str">
        <f>$B$2</f>
        <v>HorarioBarberia</v>
      </c>
      <c r="E10" s="35"/>
      <c r="F10" s="35"/>
      <c r="G10" s="40"/>
      <c r="H10" s="41"/>
      <c r="I10" s="40"/>
      <c r="J10" s="35" t="s">
        <v>386</v>
      </c>
      <c r="K10" s="35"/>
    </row>
    <row r="11" spans="1:11" ht="30" customHeight="1" x14ac:dyDescent="0.25">
      <c r="A11" s="40" t="s">
        <v>27</v>
      </c>
      <c r="B11" s="35" t="s">
        <v>384</v>
      </c>
      <c r="C11" s="35" t="s">
        <v>385</v>
      </c>
      <c r="D11" s="40" t="str">
        <f>$B$2</f>
        <v>HorarioBarberia</v>
      </c>
      <c r="E11" s="35"/>
      <c r="F11" s="35"/>
      <c r="G11" s="40"/>
      <c r="H11" s="41"/>
      <c r="I11" s="40"/>
      <c r="J11" s="35" t="s">
        <v>386</v>
      </c>
      <c r="K11" s="35"/>
    </row>
    <row r="12" spans="1:11" ht="30" customHeight="1" x14ac:dyDescent="0.25">
      <c r="A12" s="40" t="s">
        <v>107</v>
      </c>
      <c r="B12" s="35" t="s">
        <v>387</v>
      </c>
      <c r="C12" s="35" t="s">
        <v>388</v>
      </c>
      <c r="D12" s="40" t="str">
        <f>$B$2</f>
        <v>HorarioBarberia</v>
      </c>
      <c r="E12" s="35"/>
      <c r="F12" s="35"/>
      <c r="G12" s="40" t="str">
        <f>'P-HorarioBarberia'!A8</f>
        <v>P-HBA-0003</v>
      </c>
      <c r="H12" s="41"/>
      <c r="I12" s="40"/>
      <c r="J12" s="35" t="s">
        <v>389</v>
      </c>
      <c r="K12" s="35" t="s">
        <v>390</v>
      </c>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2400-000000000000}"/>
    <hyperlink ref="C1" r:id="rId2" location="'Objetos%20de%20Dominio'!A1" xr:uid="{00000000-0004-0000-2400-000001000000}"/>
    <hyperlink ref="F1" r:id="rId3" location="'C-HorarioBarberia'!A1" xr:uid="{00000000-0004-0000-2400-000002000000}"/>
    <hyperlink ref="J1" r:id="rId4" location="'M-HorarioBarberia'!A1" xr:uid="{00000000-0004-0000-2400-000003000000}"/>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2"/>
  <sheetViews>
    <sheetView zoomScale="130" zoomScaleNormal="130" workbookViewId="0">
      <selection activeCell="A3" sqref="A3"/>
    </sheetView>
  </sheetViews>
  <sheetFormatPr baseColWidth="10" defaultColWidth="10.7109375" defaultRowHeight="15" x14ac:dyDescent="0.25"/>
  <cols>
    <col min="1" max="1" width="27" customWidth="1"/>
    <col min="2" max="2" width="26.140625" customWidth="1"/>
    <col min="3" max="3" width="15.7109375" customWidth="1"/>
    <col min="4" max="4" width="17.42578125" customWidth="1"/>
    <col min="5" max="5" width="24.85546875" customWidth="1"/>
    <col min="6" max="6" width="38.7109375" customWidth="1"/>
    <col min="7" max="7" width="24.42578125" customWidth="1"/>
    <col min="8" max="8" width="38.42578125" customWidth="1"/>
  </cols>
  <sheetData>
    <row r="1" spans="1:8" ht="14.25" customHeight="1" x14ac:dyDescent="0.25">
      <c r="A1" s="13" t="s">
        <v>1</v>
      </c>
      <c r="B1" s="13" t="s">
        <v>45</v>
      </c>
    </row>
    <row r="2" spans="1:8" ht="42" customHeight="1" x14ac:dyDescent="0.25">
      <c r="A2" s="108" t="s">
        <v>111</v>
      </c>
      <c r="B2" s="108" t="s">
        <v>391</v>
      </c>
      <c r="C2" s="108" t="s">
        <v>392</v>
      </c>
      <c r="D2" s="108" t="s">
        <v>393</v>
      </c>
      <c r="E2" s="67" t="s">
        <v>394</v>
      </c>
      <c r="F2" s="67" t="s">
        <v>395</v>
      </c>
      <c r="G2" s="67" t="s">
        <v>396</v>
      </c>
      <c r="H2" s="108" t="s">
        <v>397</v>
      </c>
    </row>
    <row r="3" spans="1:8" ht="23.25" customHeight="1" x14ac:dyDescent="0.25">
      <c r="A3" s="44" t="s">
        <v>114</v>
      </c>
      <c r="B3" s="110" t="s">
        <v>398</v>
      </c>
      <c r="C3" s="115" t="s">
        <v>399</v>
      </c>
      <c r="D3" s="116" t="s">
        <v>400</v>
      </c>
      <c r="E3" s="117" t="s">
        <v>401</v>
      </c>
      <c r="F3" s="117" t="s">
        <v>402</v>
      </c>
      <c r="G3" s="111" t="s">
        <v>296</v>
      </c>
      <c r="H3" s="118" t="s">
        <v>248</v>
      </c>
    </row>
    <row r="4" spans="1:8" ht="14.25" customHeight="1" x14ac:dyDescent="0.25">
      <c r="A4" s="47">
        <v>1</v>
      </c>
      <c r="B4" s="119" t="str">
        <f>'M-DiaSemana'!C4</f>
        <v>Lunes</v>
      </c>
      <c r="C4" s="120">
        <v>0.375</v>
      </c>
      <c r="D4" s="120">
        <v>0.79166666666666696</v>
      </c>
      <c r="E4" s="121">
        <v>44996</v>
      </c>
      <c r="F4" s="120" t="s">
        <v>374</v>
      </c>
      <c r="G4" s="120" t="s">
        <v>67</v>
      </c>
      <c r="H4" s="47" t="str">
        <f>_xlfn.CONCAT(B4,"-",TEXT(C4,"hh:mm"),"-",TEXT(D4,"hh:mm"),"-",TEXT(E4,"dd/mm/yyyy"),"-",TEXT(F4,"dd/mm/yyyy"))</f>
        <v>Lunes-09:00-19:00-11/03/2023-1/01/1000</v>
      </c>
    </row>
    <row r="5" spans="1:8" ht="14.25" customHeight="1" x14ac:dyDescent="0.25">
      <c r="A5" s="47">
        <v>2</v>
      </c>
      <c r="B5" s="119" t="str">
        <f>'M-DiaSemana'!C5</f>
        <v>Martes</v>
      </c>
      <c r="C5" s="120">
        <v>0.375</v>
      </c>
      <c r="D5" s="120">
        <v>0.79166666666666696</v>
      </c>
      <c r="E5" s="120">
        <v>44996</v>
      </c>
      <c r="F5" s="120" t="s">
        <v>374</v>
      </c>
      <c r="G5" s="120" t="s">
        <v>67</v>
      </c>
      <c r="H5" s="47" t="str">
        <f t="shared" ref="H5:H10" si="0">_xlfn.CONCAT(B5,"-",TEXT(C5,"hh:mm"),"-",TEXT(D5,"hh:mm"))</f>
        <v>Martes-09:00-19:00</v>
      </c>
    </row>
    <row r="6" spans="1:8" ht="14.25" customHeight="1" x14ac:dyDescent="0.25">
      <c r="A6" s="47">
        <v>3</v>
      </c>
      <c r="B6" s="119" t="str">
        <f>'M-DiaSemana'!C6</f>
        <v>Miércoles</v>
      </c>
      <c r="C6" s="120">
        <v>0.375</v>
      </c>
      <c r="D6" s="120">
        <v>0.79166666666666696</v>
      </c>
      <c r="E6" s="120">
        <v>44996</v>
      </c>
      <c r="F6" s="120" t="s">
        <v>374</v>
      </c>
      <c r="G6" s="120" t="s">
        <v>67</v>
      </c>
      <c r="H6" s="47" t="str">
        <f t="shared" si="0"/>
        <v>Miércoles-09:00-19:00</v>
      </c>
    </row>
    <row r="7" spans="1:8" ht="14.25" customHeight="1" x14ac:dyDescent="0.25">
      <c r="A7" s="47">
        <v>4</v>
      </c>
      <c r="B7" s="119" t="str">
        <f>'M-DiaSemana'!C7</f>
        <v>Jueves</v>
      </c>
      <c r="C7" s="120">
        <v>0.375</v>
      </c>
      <c r="D7" s="120">
        <v>0.79166666666666696</v>
      </c>
      <c r="E7" s="120">
        <v>44996</v>
      </c>
      <c r="F7" s="120" t="s">
        <v>374</v>
      </c>
      <c r="G7" s="120" t="s">
        <v>67</v>
      </c>
      <c r="H7" s="47" t="str">
        <f t="shared" si="0"/>
        <v>Jueves-09:00-19:00</v>
      </c>
    </row>
    <row r="8" spans="1:8" ht="14.25" customHeight="1" x14ac:dyDescent="0.25">
      <c r="A8" s="47">
        <v>5</v>
      </c>
      <c r="B8" s="119" t="str">
        <f>'M-DiaSemana'!C8</f>
        <v>Viernes</v>
      </c>
      <c r="C8" s="120">
        <v>0.375</v>
      </c>
      <c r="D8" s="120">
        <v>0.79166666666666696</v>
      </c>
      <c r="E8" s="120">
        <v>44996</v>
      </c>
      <c r="F8" s="120" t="s">
        <v>374</v>
      </c>
      <c r="G8" s="120" t="s">
        <v>67</v>
      </c>
      <c r="H8" s="47" t="str">
        <f t="shared" si="0"/>
        <v>Viernes-09:00-19:00</v>
      </c>
    </row>
    <row r="9" spans="1:8" ht="14.25" customHeight="1" x14ac:dyDescent="0.25">
      <c r="A9" s="47">
        <v>6</v>
      </c>
      <c r="B9" s="119" t="str">
        <f>'M-DiaSemana'!C9</f>
        <v>Sábado</v>
      </c>
      <c r="C9" s="122">
        <v>0.33333333333333298</v>
      </c>
      <c r="D9" s="120">
        <v>0.875</v>
      </c>
      <c r="E9" s="120">
        <v>44996</v>
      </c>
      <c r="F9" s="120" t="s">
        <v>374</v>
      </c>
      <c r="G9" s="120" t="s">
        <v>67</v>
      </c>
      <c r="H9" s="47" t="str">
        <f t="shared" si="0"/>
        <v>Sábado-08:00-21:00</v>
      </c>
    </row>
    <row r="10" spans="1:8" ht="14.25" customHeight="1" x14ac:dyDescent="0.25">
      <c r="A10" s="47">
        <v>7</v>
      </c>
      <c r="B10" s="119" t="str">
        <f>'M-DiaSemana'!C11</f>
        <v>Festivo</v>
      </c>
      <c r="C10" s="120">
        <v>0.41666666666666702</v>
      </c>
      <c r="D10" s="120">
        <v>0.625</v>
      </c>
      <c r="E10" s="120">
        <v>45306</v>
      </c>
      <c r="F10" s="120" t="s">
        <v>374</v>
      </c>
      <c r="G10" s="120" t="s">
        <v>67</v>
      </c>
      <c r="H10" s="47" t="str">
        <f t="shared" si="0"/>
        <v>Festivo-10:00-15:00</v>
      </c>
    </row>
    <row r="16" spans="1:8" ht="28.5" customHeight="1" x14ac:dyDescent="0.25">
      <c r="A16" s="50"/>
      <c r="B16" s="51" t="s">
        <v>124</v>
      </c>
    </row>
    <row r="17" spans="1:2" ht="28.5" customHeight="1" x14ac:dyDescent="0.25">
      <c r="A17" s="52"/>
      <c r="B17" s="51" t="s">
        <v>125</v>
      </c>
    </row>
    <row r="18" spans="1:2" ht="28.5" customHeight="1" x14ac:dyDescent="0.25">
      <c r="A18" s="77"/>
      <c r="B18" s="51" t="s">
        <v>315</v>
      </c>
    </row>
    <row r="19" spans="1:2" ht="28.5" customHeight="1" x14ac:dyDescent="0.25">
      <c r="A19" s="123"/>
      <c r="B19" s="51" t="s">
        <v>403</v>
      </c>
    </row>
    <row r="20" spans="1:2" ht="28.5" customHeight="1" x14ac:dyDescent="0.25">
      <c r="A20" s="124"/>
      <c r="B20" s="51" t="s">
        <v>369</v>
      </c>
    </row>
    <row r="21" spans="1:2" ht="28.5" customHeight="1" x14ac:dyDescent="0.25">
      <c r="A21" s="125"/>
      <c r="B21" s="51" t="s">
        <v>404</v>
      </c>
    </row>
    <row r="22" spans="1:2" ht="28.5" customHeight="1" x14ac:dyDescent="0.25">
      <c r="A22" s="54"/>
      <c r="B22" s="51" t="s">
        <v>127</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B3" location="'M-DiaSemana'!A1" display="diaDeLaSemana" xr:uid="{00000000-0004-0000-2500-000002000000}"/>
    <hyperlink ref="B4" location="'M-DiaSemana'!A4" display="#'M-DiaSemana'.A4" xr:uid="{00000000-0004-0000-2500-000003000000}"/>
    <hyperlink ref="B5" location="'M-DiaSemana'!A5" display="#'M-DiaSemana'.A5" xr:uid="{00000000-0004-0000-2500-000004000000}"/>
    <hyperlink ref="B6" location="'M-DiaSemana'!A6" display="#'M-DiaSemana'.A6" xr:uid="{00000000-0004-0000-2500-000005000000}"/>
    <hyperlink ref="B7" location="'M-DiaSemana'!A7" display="#'M-DiaSemana'.A7" xr:uid="{00000000-0004-0000-2500-000006000000}"/>
    <hyperlink ref="B8" location="'M-DiaSemana'!A8" display="#'M-DiaSemana'.A8" xr:uid="{00000000-0004-0000-2500-000007000000}"/>
    <hyperlink ref="B9" location="'M-DiaSemana'!A9" display="#'M-DiaSemana'.A9" xr:uid="{00000000-0004-0000-2500-000008000000}"/>
    <hyperlink ref="B10" location="'M-DiaSemana'!A11" display="#'M-DiaSemana'.A11" xr:uid="{00000000-0004-0000-2500-000009000000}"/>
  </hyperlinks>
  <pageMargins left="0.7" right="0.7" top="0.75" bottom="0.75"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13"/>
  <sheetViews>
    <sheetView zoomScaleNormal="100" workbookViewId="0">
      <selection activeCell="E10" sqref="E10"/>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12" width="18" customWidth="1"/>
    <col min="13" max="13" width="40"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'M-BarberoServicio'!A3</f>
        <v>id</v>
      </c>
      <c r="B3" s="128" t="str">
        <f>'M-BarberoServicio'!A2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69</v>
      </c>
      <c r="P3" s="127" t="s">
        <v>69</v>
      </c>
      <c r="Q3" s="127" t="s">
        <v>69</v>
      </c>
      <c r="R3" s="127" t="s">
        <v>69</v>
      </c>
      <c r="S3" s="127" t="s">
        <v>70</v>
      </c>
      <c r="T3" s="127" t="s">
        <v>71</v>
      </c>
      <c r="U3" s="127" t="s">
        <v>67</v>
      </c>
    </row>
    <row r="4" spans="1:21" ht="27.75" customHeight="1" x14ac:dyDescent="0.25">
      <c r="A4" s="127" t="str">
        <f>'M-BarberoServicio'!B3</f>
        <v>barbero</v>
      </c>
      <c r="B4" s="128" t="str">
        <f>'M-BarberoServicio'!B2</f>
        <v>Representa el nombre y apellidos del barbero</v>
      </c>
      <c r="C4" s="127" t="s">
        <v>70</v>
      </c>
      <c r="D4" s="129" t="s">
        <v>25</v>
      </c>
      <c r="E4" s="127" t="s">
        <v>67</v>
      </c>
      <c r="F4" s="127" t="s">
        <v>69</v>
      </c>
      <c r="G4" s="127" t="s">
        <v>69</v>
      </c>
      <c r="H4" s="127" t="s">
        <v>69</v>
      </c>
      <c r="I4" s="127" t="s">
        <v>69</v>
      </c>
      <c r="J4" s="127" t="s">
        <v>69</v>
      </c>
      <c r="K4" s="127" t="s">
        <v>69</v>
      </c>
      <c r="L4" s="127" t="s">
        <v>69</v>
      </c>
      <c r="M4" s="27" t="s">
        <v>319</v>
      </c>
      <c r="N4" s="127" t="s">
        <v>70</v>
      </c>
      <c r="O4" s="127" t="s">
        <v>69</v>
      </c>
      <c r="P4" s="127" t="s">
        <v>69</v>
      </c>
      <c r="Q4" s="127" t="s">
        <v>69</v>
      </c>
      <c r="R4" s="127" t="s">
        <v>69</v>
      </c>
      <c r="S4" s="127" t="s">
        <v>70</v>
      </c>
      <c r="T4" s="127" t="s">
        <v>71</v>
      </c>
      <c r="U4" s="127" t="s">
        <v>70</v>
      </c>
    </row>
    <row r="5" spans="1:21" ht="27.75" customHeight="1" x14ac:dyDescent="0.25">
      <c r="A5" s="127" t="str">
        <f>'M-BarberoServicio'!C3</f>
        <v>servicio</v>
      </c>
      <c r="B5" s="128" t="str">
        <f>'M-BarberoServicio'!C2</f>
        <v xml:space="preserve">Representa el nombre del servicio de la barberia </v>
      </c>
      <c r="C5" s="127" t="s">
        <v>70</v>
      </c>
      <c r="D5" s="129" t="s">
        <v>17</v>
      </c>
      <c r="E5" s="127" t="s">
        <v>67</v>
      </c>
      <c r="F5" s="127" t="s">
        <v>69</v>
      </c>
      <c r="G5" s="127" t="s">
        <v>69</v>
      </c>
      <c r="H5" s="127" t="s">
        <v>69</v>
      </c>
      <c r="I5" s="127" t="s">
        <v>69</v>
      </c>
      <c r="J5" s="127" t="s">
        <v>69</v>
      </c>
      <c r="K5" s="127" t="s">
        <v>69</v>
      </c>
      <c r="L5" s="127" t="s">
        <v>69</v>
      </c>
      <c r="M5" s="27" t="s">
        <v>319</v>
      </c>
      <c r="N5" s="127" t="s">
        <v>70</v>
      </c>
      <c r="O5" s="127" t="s">
        <v>69</v>
      </c>
      <c r="P5" s="127" t="s">
        <v>69</v>
      </c>
      <c r="Q5" s="127" t="s">
        <v>69</v>
      </c>
      <c r="R5" s="127" t="s">
        <v>69</v>
      </c>
      <c r="S5" s="127" t="s">
        <v>70</v>
      </c>
      <c r="T5" s="127" t="s">
        <v>71</v>
      </c>
      <c r="U5" s="127" t="s">
        <v>70</v>
      </c>
    </row>
    <row r="6" spans="1:21" ht="60" customHeight="1" x14ac:dyDescent="0.25">
      <c r="A6" s="127" t="str">
        <f>'M-BarberoServicio'!D3</f>
        <v>duracionEnHoras</v>
      </c>
      <c r="B6" s="128" t="str">
        <f>'M-BarberoServicio'!D2</f>
        <v>Representa la cantidad de horas que un barbero tarda en realizar un servicio, esta duracion el barbero debe de ser consiente de cuanto se demora en realizarlo</v>
      </c>
      <c r="C6" s="127" t="s">
        <v>70</v>
      </c>
      <c r="D6" s="130" t="s">
        <v>157</v>
      </c>
      <c r="E6" s="127" t="s">
        <v>70</v>
      </c>
      <c r="F6" s="127" t="s">
        <v>69</v>
      </c>
      <c r="G6" s="127" t="s">
        <v>69</v>
      </c>
      <c r="H6" s="127" t="s">
        <v>69</v>
      </c>
      <c r="I6" s="127" t="s">
        <v>69</v>
      </c>
      <c r="J6" s="127">
        <v>0</v>
      </c>
      <c r="K6" s="127">
        <v>3</v>
      </c>
      <c r="L6" s="127" t="s">
        <v>69</v>
      </c>
      <c r="M6" s="127" t="s">
        <v>69</v>
      </c>
      <c r="N6" s="127" t="s">
        <v>70</v>
      </c>
      <c r="O6" s="127" t="s">
        <v>69</v>
      </c>
      <c r="P6" s="127" t="s">
        <v>69</v>
      </c>
      <c r="Q6" s="127" t="s">
        <v>69</v>
      </c>
      <c r="R6" s="127" t="s">
        <v>69</v>
      </c>
      <c r="S6" s="127" t="s">
        <v>70</v>
      </c>
      <c r="T6" s="131">
        <v>0</v>
      </c>
      <c r="U6" s="127" t="s">
        <v>70</v>
      </c>
    </row>
    <row r="7" spans="1:21" ht="60" customHeight="1" x14ac:dyDescent="0.25">
      <c r="A7" s="127" t="str">
        <f>'M-BarberoServicio'!E3</f>
        <v>duracionEnMinutos</v>
      </c>
      <c r="B7" s="128" t="str">
        <f>'M-BarberoServicio'!E2</f>
        <v>Representa la cantidad de minutos que un barbero tarda en realizar un servicio, esta duracion el barbero debe de ser consiente de cuanto se demora en realizarlo</v>
      </c>
      <c r="C7" s="127" t="s">
        <v>70</v>
      </c>
      <c r="D7" s="127" t="s">
        <v>157</v>
      </c>
      <c r="E7" s="127" t="s">
        <v>70</v>
      </c>
      <c r="F7" s="127" t="s">
        <v>69</v>
      </c>
      <c r="G7" s="127" t="s">
        <v>69</v>
      </c>
      <c r="H7" s="127" t="s">
        <v>69</v>
      </c>
      <c r="I7" s="127" t="s">
        <v>69</v>
      </c>
      <c r="J7" s="127">
        <v>0</v>
      </c>
      <c r="K7" s="127">
        <v>59</v>
      </c>
      <c r="L7" s="127" t="s">
        <v>69</v>
      </c>
      <c r="M7" s="127" t="s">
        <v>69</v>
      </c>
      <c r="N7" s="127" t="s">
        <v>70</v>
      </c>
      <c r="O7" s="127" t="s">
        <v>69</v>
      </c>
      <c r="P7" s="127" t="s">
        <v>69</v>
      </c>
      <c r="Q7" s="127" t="s">
        <v>69</v>
      </c>
      <c r="R7" s="127" t="s">
        <v>69</v>
      </c>
      <c r="S7" s="127" t="s">
        <v>70</v>
      </c>
      <c r="T7" s="127" t="s">
        <v>258</v>
      </c>
      <c r="U7" s="127" t="s">
        <v>70</v>
      </c>
    </row>
    <row r="8" spans="1:21" ht="90" customHeight="1" x14ac:dyDescent="0.25">
      <c r="A8" s="127" t="str">
        <f>'M-BarberoServicio'!F3</f>
        <v>tiempoExtra</v>
      </c>
      <c r="B8" s="128"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127" t="s">
        <v>70</v>
      </c>
      <c r="D8" s="127" t="s">
        <v>157</v>
      </c>
      <c r="E8" s="127" t="s">
        <v>70</v>
      </c>
      <c r="F8" s="127" t="s">
        <v>69</v>
      </c>
      <c r="G8" s="127" t="s">
        <v>69</v>
      </c>
      <c r="H8" s="127" t="s">
        <v>69</v>
      </c>
      <c r="I8" s="127" t="s">
        <v>69</v>
      </c>
      <c r="J8" s="127">
        <v>0</v>
      </c>
      <c r="K8" s="127">
        <v>59</v>
      </c>
      <c r="L8" s="127" t="s">
        <v>69</v>
      </c>
      <c r="M8" s="127" t="s">
        <v>69</v>
      </c>
      <c r="N8" s="127" t="s">
        <v>70</v>
      </c>
      <c r="O8" s="127" t="s">
        <v>69</v>
      </c>
      <c r="P8" s="127" t="s">
        <v>69</v>
      </c>
      <c r="Q8" s="127" t="s">
        <v>69</v>
      </c>
      <c r="R8" s="127" t="s">
        <v>69</v>
      </c>
      <c r="S8" s="127" t="s">
        <v>70</v>
      </c>
      <c r="T8" s="127" t="s">
        <v>258</v>
      </c>
      <c r="U8" s="127" t="s">
        <v>70</v>
      </c>
    </row>
    <row r="9" spans="1:21" ht="30" customHeight="1" x14ac:dyDescent="0.25">
      <c r="A9" s="127" t="str">
        <f>'M-BarberoServicio'!G3</f>
        <v>vigente</v>
      </c>
      <c r="B9" s="128" t="str">
        <f>'M-BarberoServicio'!G2</f>
        <v>Representa si el barbero sigue o no presentando el servicio en la barbería</v>
      </c>
      <c r="C9" s="127" t="s">
        <v>70</v>
      </c>
      <c r="D9" s="127" t="s">
        <v>158</v>
      </c>
      <c r="E9" s="127" t="s">
        <v>70</v>
      </c>
      <c r="F9" s="127" t="s">
        <v>69</v>
      </c>
      <c r="G9" s="127" t="s">
        <v>69</v>
      </c>
      <c r="H9" s="127" t="s">
        <v>69</v>
      </c>
      <c r="I9" s="127" t="s">
        <v>69</v>
      </c>
      <c r="J9" s="127" t="s">
        <v>69</v>
      </c>
      <c r="K9" s="127" t="s">
        <v>69</v>
      </c>
      <c r="L9" s="127" t="s">
        <v>69</v>
      </c>
      <c r="M9" s="127" t="s">
        <v>69</v>
      </c>
      <c r="N9" s="127" t="s">
        <v>70</v>
      </c>
      <c r="O9" s="127" t="s">
        <v>69</v>
      </c>
      <c r="P9" s="127" t="s">
        <v>69</v>
      </c>
      <c r="Q9" s="127" t="s">
        <v>69</v>
      </c>
      <c r="R9" s="127" t="s">
        <v>69</v>
      </c>
      <c r="S9" s="127" t="s">
        <v>70</v>
      </c>
      <c r="T9" s="127" t="s">
        <v>67</v>
      </c>
      <c r="U9" s="127" t="s">
        <v>70</v>
      </c>
    </row>
    <row r="10" spans="1:21" ht="15" customHeight="1" x14ac:dyDescent="0.25"/>
    <row r="11" spans="1:21" ht="15" customHeight="1" x14ac:dyDescent="0.25">
      <c r="A11" s="28" t="s">
        <v>75</v>
      </c>
      <c r="B11" s="28" t="s">
        <v>76</v>
      </c>
      <c r="C11" s="28" t="s">
        <v>77</v>
      </c>
    </row>
    <row r="12" spans="1:21" ht="15" customHeight="1" x14ac:dyDescent="0.25">
      <c r="A12" s="182" t="str">
        <f>'M-BarberoServicio'!H3</f>
        <v>Combinación única</v>
      </c>
      <c r="B12" s="183" t="str">
        <f>'M-BarberoServicio'!H2</f>
        <v>Combinación única que indica que un mismo barbero no puede aparecer dos veces ofreciendo el mismo servicio</v>
      </c>
      <c r="C12" s="29" t="s">
        <v>405</v>
      </c>
    </row>
    <row r="13" spans="1:21" ht="15" customHeight="1" x14ac:dyDescent="0.25">
      <c r="A13" s="182"/>
      <c r="B13" s="182"/>
      <c r="C13" s="29" t="s">
        <v>406</v>
      </c>
    </row>
  </sheetData>
  <mergeCells count="2">
    <mergeCell ref="A12:A13"/>
    <mergeCell ref="B12:B13"/>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D4" location="'C-Barbero'!A1" display="Barbero" xr:uid="{00000000-0004-0000-2600-000002000000}"/>
    <hyperlink ref="D5" location="'C-Servicio'!A1" display="Servicio" xr:uid="{00000000-0004-0000-2600-000003000000}"/>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7"/>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Dominio'!A12</f>
        <v>BarberoServicio</v>
      </c>
      <c r="C2" s="11"/>
      <c r="D2" s="11"/>
      <c r="E2" s="11"/>
    </row>
    <row r="3" spans="1:5" ht="30" customHeight="1" x14ac:dyDescent="0.25">
      <c r="A3" s="33" t="s">
        <v>84</v>
      </c>
      <c r="B3" s="10" t="str">
        <f>'Objetos de Dominio'!B12</f>
        <v>Representa qué servicios sabe hacer cada barbero, cuánto se demora en realizarlos y cuánto tiempo extra usa de colchón, ya que no todos los barberos ofrecen los mismos servicios</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407</v>
      </c>
      <c r="B6" s="2" t="s">
        <v>408</v>
      </c>
      <c r="C6" s="2"/>
      <c r="D6" s="55" t="s">
        <v>31</v>
      </c>
      <c r="E6" s="55"/>
    </row>
    <row r="7" spans="1:5" ht="30" customHeight="1" x14ac:dyDescent="0.25">
      <c r="A7" s="55" t="s">
        <v>409</v>
      </c>
      <c r="B7" s="2" t="s">
        <v>410</v>
      </c>
      <c r="C7" s="2"/>
      <c r="D7" s="55" t="s">
        <v>31</v>
      </c>
      <c r="E7" s="55"/>
    </row>
  </sheetData>
  <mergeCells count="8">
    <mergeCell ref="B6:C6"/>
    <mergeCell ref="B7:C7"/>
    <mergeCell ref="B2:E2"/>
    <mergeCell ref="B3:E3"/>
    <mergeCell ref="A4:A5"/>
    <mergeCell ref="B4:C5"/>
    <mergeCell ref="D4:D5"/>
    <mergeCell ref="E4:E5"/>
  </mergeCells>
  <hyperlinks>
    <hyperlink ref="A1" r:id="rId1" location="'Modelo%20de%20Dominio'!A1" xr:uid="{00000000-0004-0000-2700-000000000000}"/>
    <hyperlink ref="B1" r:id="rId2" location="'Objetos%20de%20Dominio'!A1" xr:uid="{00000000-0004-0000-2700-000001000000}"/>
    <hyperlink ref="C1" r:id="rId3" location="'C-BarberoServicio'!A1" xr:uid="{00000000-0004-0000-2700-000002000000}"/>
    <hyperlink ref="D1" r:id="rId4" location="'M-BarberoServicio'!A1" xr:uid="{00000000-0004-0000-2700-000003000000}"/>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2"/>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Dominio'!A12</f>
        <v>BarberoServicio</v>
      </c>
      <c r="C2" s="11"/>
      <c r="D2" s="11"/>
      <c r="E2" s="11"/>
      <c r="F2" s="11"/>
      <c r="G2" s="11"/>
      <c r="H2" s="11"/>
      <c r="I2" s="11"/>
      <c r="J2" s="11"/>
      <c r="K2" s="11"/>
    </row>
    <row r="3" spans="1:11" ht="30" customHeight="1" x14ac:dyDescent="0.25">
      <c r="A3" s="33" t="s">
        <v>84</v>
      </c>
      <c r="B3" s="10" t="str">
        <f>'Objetos de Dominio'!B12</f>
        <v>Representa qué servicios sabe hacer cada barbero, cuánto se demora en realizarlos y cuánto tiempo extra usa de colchón, ya que no todos los barberos ofrecen los mismos servicios</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25</v>
      </c>
      <c r="B7" s="2" t="s">
        <v>411</v>
      </c>
      <c r="C7" s="2" t="s">
        <v>412</v>
      </c>
      <c r="D7" s="3" t="str">
        <f>$B$2</f>
        <v>BarberoServicio</v>
      </c>
      <c r="E7" s="2"/>
      <c r="F7" s="2"/>
      <c r="G7" s="40" t="str">
        <f>'P-BarberoServicio'!A6</f>
        <v>P-BSE-0001</v>
      </c>
      <c r="H7" s="41"/>
      <c r="I7" s="3"/>
      <c r="J7" s="2" t="s">
        <v>413</v>
      </c>
      <c r="K7" s="2"/>
    </row>
    <row r="8" spans="1:11" ht="30" customHeight="1" x14ac:dyDescent="0.25">
      <c r="A8" s="3"/>
      <c r="B8" s="3"/>
      <c r="C8" s="3"/>
      <c r="D8" s="3"/>
      <c r="E8" s="3"/>
      <c r="F8" s="3"/>
      <c r="G8" s="40" t="str">
        <f>'P-BarberoServicio'!A7</f>
        <v>P-BSE-0002</v>
      </c>
      <c r="H8" s="41"/>
      <c r="I8" s="3"/>
      <c r="J8" s="3"/>
      <c r="K8" s="3"/>
    </row>
    <row r="9" spans="1:11" ht="30" customHeight="1" x14ac:dyDescent="0.25">
      <c r="A9" s="40" t="s">
        <v>25</v>
      </c>
      <c r="B9" s="35" t="s">
        <v>414</v>
      </c>
      <c r="C9" s="35" t="s">
        <v>415</v>
      </c>
      <c r="D9" s="40" t="str">
        <f>$B$2</f>
        <v>BarberoServicio</v>
      </c>
      <c r="E9" s="35"/>
      <c r="F9" s="35"/>
      <c r="G9" s="40" t="str">
        <f>'P-BarberoServicio'!A6</f>
        <v>P-BSE-0001</v>
      </c>
      <c r="H9" s="41"/>
      <c r="I9" s="40"/>
      <c r="J9" s="35" t="s">
        <v>416</v>
      </c>
      <c r="K9" s="35"/>
    </row>
    <row r="10" spans="1:11" ht="30" customHeight="1" x14ac:dyDescent="0.25">
      <c r="A10" s="40" t="s">
        <v>25</v>
      </c>
      <c r="B10" s="35" t="s">
        <v>417</v>
      </c>
      <c r="C10" s="35" t="s">
        <v>418</v>
      </c>
      <c r="D10" s="40" t="str">
        <f>$B$2</f>
        <v>BarberoServicio</v>
      </c>
      <c r="E10" s="35"/>
      <c r="F10" s="35"/>
      <c r="G10" s="40"/>
      <c r="H10" s="41"/>
      <c r="I10" s="40"/>
      <c r="J10" s="35" t="s">
        <v>419</v>
      </c>
      <c r="K10" s="35"/>
    </row>
    <row r="11" spans="1:11" ht="30" customHeight="1" x14ac:dyDescent="0.25">
      <c r="A11" s="40" t="s">
        <v>27</v>
      </c>
      <c r="B11" s="35" t="s">
        <v>420</v>
      </c>
      <c r="C11" s="35" t="s">
        <v>421</v>
      </c>
      <c r="D11" s="40" t="str">
        <f>$B$2</f>
        <v>BarberoServicio</v>
      </c>
      <c r="E11" s="35"/>
      <c r="F11" s="35"/>
      <c r="G11" s="40"/>
      <c r="H11" s="41"/>
      <c r="I11" s="40"/>
      <c r="J11" s="35" t="s">
        <v>419</v>
      </c>
      <c r="K11" s="35"/>
    </row>
    <row r="12" spans="1:11" ht="30" customHeight="1" x14ac:dyDescent="0.25">
      <c r="A12" s="40" t="s">
        <v>25</v>
      </c>
      <c r="B12" s="35" t="s">
        <v>422</v>
      </c>
      <c r="C12" s="35" t="s">
        <v>423</v>
      </c>
      <c r="D12" s="40" t="str">
        <f>$B$2</f>
        <v>BarberoServicio</v>
      </c>
      <c r="E12" s="35"/>
      <c r="F12" s="35"/>
      <c r="G12" s="40"/>
      <c r="H12" s="41"/>
      <c r="I12" s="40"/>
      <c r="J12" s="35" t="s">
        <v>424</v>
      </c>
      <c r="K12" s="35"/>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2800-000000000000}"/>
    <hyperlink ref="C1" r:id="rId2" location="'Objetos%20de%20Dominio'!A1" xr:uid="{00000000-0004-0000-2800-000001000000}"/>
    <hyperlink ref="F1" r:id="rId3" location="'C-BarberoServicio'!A1" xr:uid="{00000000-0004-0000-2800-000002000000}"/>
    <hyperlink ref="J1" r:id="rId4" location="'M-BarberoServicio'!A1" xr:uid="{00000000-0004-0000-2800-000003000000}"/>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2"/>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42" customWidth="1"/>
    <col min="4" max="4" width="42" style="87" customWidth="1"/>
    <col min="5" max="5" width="40.28515625" customWidth="1"/>
    <col min="6" max="7" width="35.7109375" customWidth="1"/>
    <col min="8" max="8" width="56.85546875" customWidth="1"/>
  </cols>
  <sheetData>
    <row r="1" spans="1:8" ht="14.25" customHeight="1" x14ac:dyDescent="0.25">
      <c r="A1" s="13" t="s">
        <v>1</v>
      </c>
      <c r="B1" s="13" t="s">
        <v>45</v>
      </c>
    </row>
    <row r="2" spans="1:8" ht="51.75" customHeight="1" x14ac:dyDescent="0.25">
      <c r="A2" s="67" t="s">
        <v>111</v>
      </c>
      <c r="B2" s="132" t="s">
        <v>425</v>
      </c>
      <c r="C2" s="67" t="s">
        <v>426</v>
      </c>
      <c r="D2" s="67" t="s">
        <v>427</v>
      </c>
      <c r="E2" s="67" t="s">
        <v>428</v>
      </c>
      <c r="F2" s="67" t="s">
        <v>429</v>
      </c>
      <c r="G2" s="67" t="s">
        <v>430</v>
      </c>
      <c r="H2" s="68" t="s">
        <v>431</v>
      </c>
    </row>
    <row r="3" spans="1:8" ht="14.25" customHeight="1" x14ac:dyDescent="0.25">
      <c r="A3" s="93" t="s">
        <v>114</v>
      </c>
      <c r="B3" s="133" t="s">
        <v>405</v>
      </c>
      <c r="C3" s="133" t="s">
        <v>406</v>
      </c>
      <c r="D3" s="134" t="s">
        <v>432</v>
      </c>
      <c r="E3" s="134" t="s">
        <v>433</v>
      </c>
      <c r="F3" s="134" t="s">
        <v>434</v>
      </c>
      <c r="G3" s="111" t="s">
        <v>296</v>
      </c>
      <c r="H3" s="135" t="s">
        <v>248</v>
      </c>
    </row>
    <row r="4" spans="1:8" ht="14.25" customHeight="1" x14ac:dyDescent="0.25">
      <c r="A4" s="47">
        <v>1</v>
      </c>
      <c r="B4" s="107" t="str">
        <f>_xlfn.CONCAT('M-Barbero'!B4," ",'M-Barbero'!D4)</f>
        <v>Juan García</v>
      </c>
      <c r="C4" s="107" t="str">
        <f>'M-Servicio'!B4</f>
        <v>Motilada</v>
      </c>
      <c r="D4" s="136">
        <v>0</v>
      </c>
      <c r="E4" s="136">
        <v>45</v>
      </c>
      <c r="F4" s="136">
        <v>15</v>
      </c>
      <c r="G4" s="136" t="s">
        <v>190</v>
      </c>
      <c r="H4" s="47" t="str">
        <f t="shared" ref="H4:H12" si="0">_xlfn.CONCAT(B4,"-",C4)</f>
        <v>Juan García-Motilada</v>
      </c>
    </row>
    <row r="5" spans="1:8" ht="14.25" customHeight="1" x14ac:dyDescent="0.25">
      <c r="A5" s="47">
        <v>2</v>
      </c>
      <c r="B5" s="107" t="str">
        <f>_xlfn.CONCAT('M-Barbero'!B5," ",'M-Barbero'!D5)</f>
        <v>Juan Ortiz</v>
      </c>
      <c r="C5" s="107" t="str">
        <f>'M-Servicio'!B5</f>
        <v>Corte de barba</v>
      </c>
      <c r="D5" s="136">
        <v>0</v>
      </c>
      <c r="E5" s="136">
        <v>10</v>
      </c>
      <c r="F5" s="136">
        <v>5</v>
      </c>
      <c r="G5" s="136" t="s">
        <v>190</v>
      </c>
      <c r="H5" s="47" t="str">
        <f t="shared" si="0"/>
        <v>Juan Ortiz-Corte de barba</v>
      </c>
    </row>
    <row r="6" spans="1:8" ht="14.25" customHeight="1" x14ac:dyDescent="0.25">
      <c r="A6" s="47">
        <v>3</v>
      </c>
      <c r="B6" s="107" t="str">
        <f>_xlfn.CONCAT('M-Barbero'!B6," ",'M-Barbero'!D6)</f>
        <v>Carlos Arbeladez</v>
      </c>
      <c r="C6" s="107" t="str">
        <f>'M-Servicio'!B6</f>
        <v>Perfilada de barba</v>
      </c>
      <c r="D6" s="136">
        <v>0</v>
      </c>
      <c r="E6" s="136">
        <v>15</v>
      </c>
      <c r="F6" s="136">
        <v>5</v>
      </c>
      <c r="G6" s="136" t="s">
        <v>190</v>
      </c>
      <c r="H6" s="47" t="str">
        <f t="shared" si="0"/>
        <v>Carlos Arbeladez-Perfilada de barba</v>
      </c>
    </row>
    <row r="7" spans="1:8" ht="14.25" customHeight="1" x14ac:dyDescent="0.25">
      <c r="A7" s="47">
        <v>4</v>
      </c>
      <c r="B7" s="107" t="str">
        <f>_xlfn.CONCAT('M-Barbero'!B7," ",'M-Barbero'!D7)</f>
        <v>Andres Ramirez</v>
      </c>
      <c r="C7" s="107" t="str">
        <f>'M-Servicio'!B7</f>
        <v>Arreglo completo de barba con toalla caliente</v>
      </c>
      <c r="D7" s="136">
        <v>0</v>
      </c>
      <c r="E7" s="136">
        <v>40</v>
      </c>
      <c r="F7" s="136">
        <v>10</v>
      </c>
      <c r="G7" s="136" t="s">
        <v>190</v>
      </c>
      <c r="H7" s="47" t="str">
        <f t="shared" si="0"/>
        <v>Andres Ramirez-Arreglo completo de barba con toalla caliente</v>
      </c>
    </row>
    <row r="8" spans="1:8" ht="14.25" customHeight="1" x14ac:dyDescent="0.25">
      <c r="A8" s="47">
        <v>5</v>
      </c>
      <c r="B8" s="107" t="str">
        <f>_xlfn.CONCAT('M-Barbero'!B5," ",'M-Barbero'!D5)</f>
        <v>Juan Ortiz</v>
      </c>
      <c r="C8" s="107" t="str">
        <f>'M-Servicio'!B4</f>
        <v>Motilada</v>
      </c>
      <c r="D8" s="136">
        <v>0</v>
      </c>
      <c r="E8" s="136">
        <v>40</v>
      </c>
      <c r="F8" s="136">
        <v>10</v>
      </c>
      <c r="G8" s="136" t="s">
        <v>190</v>
      </c>
      <c r="H8" s="47" t="str">
        <f t="shared" si="0"/>
        <v>Juan Ortiz-Motilada</v>
      </c>
    </row>
    <row r="9" spans="1:8" ht="14.25" customHeight="1" x14ac:dyDescent="0.25">
      <c r="A9" s="47">
        <v>6</v>
      </c>
      <c r="B9" s="107" t="str">
        <f>_xlfn.CONCAT('M-Barbero'!B6," ",'M-Barbero'!D6)</f>
        <v>Carlos Arbeladez</v>
      </c>
      <c r="C9" s="107" t="str">
        <f>'M-Servicio'!B5</f>
        <v>Corte de barba</v>
      </c>
      <c r="D9" s="136">
        <v>0</v>
      </c>
      <c r="E9" s="136">
        <v>15</v>
      </c>
      <c r="F9" s="136">
        <v>5</v>
      </c>
      <c r="G9" s="136" t="s">
        <v>190</v>
      </c>
      <c r="H9" s="47" t="str">
        <f t="shared" si="0"/>
        <v>Carlos Arbeladez-Corte de barba</v>
      </c>
    </row>
    <row r="10" spans="1:8" ht="14.25" customHeight="1" x14ac:dyDescent="0.25">
      <c r="A10" s="47">
        <v>7</v>
      </c>
      <c r="B10" s="107" t="str">
        <f>_xlfn.CONCAT('M-Barbero'!B4," ",'M-Barbero'!D4)</f>
        <v>Juan García</v>
      </c>
      <c r="C10" s="107" t="str">
        <f>'M-Servicio'!B6</f>
        <v>Perfilada de barba</v>
      </c>
      <c r="D10" s="136">
        <v>0</v>
      </c>
      <c r="E10" s="136">
        <v>20</v>
      </c>
      <c r="F10" s="136">
        <v>5</v>
      </c>
      <c r="G10" s="136" t="s">
        <v>190</v>
      </c>
      <c r="H10" s="47" t="str">
        <f t="shared" si="0"/>
        <v>Juan García-Perfilada de barba</v>
      </c>
    </row>
    <row r="11" spans="1:8" ht="14.25" customHeight="1" x14ac:dyDescent="0.25">
      <c r="A11" s="47">
        <v>8</v>
      </c>
      <c r="B11" s="107" t="str">
        <f>_xlfn.CONCAT('M-Barbero'!B7," ",'M-Barbero'!D7)</f>
        <v>Andres Ramirez</v>
      </c>
      <c r="C11" s="107" t="str">
        <f>'M-Servicio'!B4</f>
        <v>Motilada</v>
      </c>
      <c r="D11" s="136">
        <v>0</v>
      </c>
      <c r="E11" s="136">
        <v>50</v>
      </c>
      <c r="F11" s="136">
        <v>15</v>
      </c>
      <c r="G11" s="136" t="s">
        <v>190</v>
      </c>
      <c r="H11" s="47" t="str">
        <f t="shared" si="0"/>
        <v>Andres Ramirez-Motilada</v>
      </c>
    </row>
    <row r="12" spans="1:8" ht="14.25" customHeight="1" x14ac:dyDescent="0.25">
      <c r="A12" s="47">
        <v>9</v>
      </c>
      <c r="B12" s="107" t="str">
        <f>_xlfn.CONCAT('M-Barbero'!B8," ",'M-Barbero'!D8)</f>
        <v>Juan Zambrano</v>
      </c>
      <c r="C12" s="107" t="str">
        <f>'M-Servicio'!B5</f>
        <v>Corte de barba</v>
      </c>
      <c r="D12" s="136">
        <v>0</v>
      </c>
      <c r="E12" s="136">
        <v>12</v>
      </c>
      <c r="F12" s="136">
        <v>5</v>
      </c>
      <c r="G12" s="136" t="s">
        <v>190</v>
      </c>
      <c r="H12" s="47" t="str">
        <f t="shared" si="0"/>
        <v>Juan Zambrano-Corte de barba</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3" location="'M-Barbero'!A1" display="barbero" xr:uid="{00000000-0004-0000-2900-000002000000}"/>
    <hyperlink ref="C3" location="'M-Servicio'!A1" display="servicio" xr:uid="{00000000-0004-0000-2900-000003000000}"/>
    <hyperlink ref="B4" location="'M-Barbero'!A4" display="#'M-Barbero'.A4" xr:uid="{00000000-0004-0000-2900-000004000000}"/>
    <hyperlink ref="C4" location="'M-Servicio'!A4" display="#'M-Servicio'.A4" xr:uid="{00000000-0004-0000-2900-000005000000}"/>
    <hyperlink ref="B5" location="'M-Barbero'!A5" display="#'M-Barbero'.A5" xr:uid="{00000000-0004-0000-2900-000006000000}"/>
    <hyperlink ref="C5" location="'M-Servicio'!A5" display="#'M-Servicio'.A5" xr:uid="{00000000-0004-0000-2900-000007000000}"/>
    <hyperlink ref="B6" location="'M-Barbero'!A6" display="#'M-Barbero'.A6" xr:uid="{00000000-0004-0000-2900-000008000000}"/>
    <hyperlink ref="C6" location="'M-Servicio'!A6" display="#'M-Servicio'.A6" xr:uid="{00000000-0004-0000-2900-000009000000}"/>
    <hyperlink ref="B7" location="'M-Barbero'!A7" display="#'M-Barbero'.A7" xr:uid="{00000000-0004-0000-2900-00000A000000}"/>
    <hyperlink ref="C7" location="'M-Servicio'!A7" display="#'M-Servicio'.A7" xr:uid="{00000000-0004-0000-2900-00000B000000}"/>
    <hyperlink ref="B8" location="'M-Barbero'!A5" display="#'M-Barbero'.A5" xr:uid="{00000000-0004-0000-2900-00000C000000}"/>
    <hyperlink ref="C8" location="'M-Servicio'!A4" display="#'M-Servicio'.A4" xr:uid="{00000000-0004-0000-2900-00000D000000}"/>
    <hyperlink ref="B9" location="'M-Barbero'!A6" display="#'M-Barbero'.A6" xr:uid="{00000000-0004-0000-2900-00000E000000}"/>
    <hyperlink ref="C9" location="'M-Servicio'!A5" display="#'M-Servicio'.A5" xr:uid="{00000000-0004-0000-2900-00000F000000}"/>
    <hyperlink ref="B10" location="'M-Barbero'!A4" display="#'M-Barbero'.A4" xr:uid="{00000000-0004-0000-2900-000010000000}"/>
    <hyperlink ref="C10" location="'M-Servicio'!A6" display="#'M-Servicio'.A6" xr:uid="{00000000-0004-0000-2900-000011000000}"/>
    <hyperlink ref="B11" location="'M-Barbero'!A7" display="#'M-Barbero'.A7" xr:uid="{00000000-0004-0000-2900-000012000000}"/>
    <hyperlink ref="C11" location="'M-Servicio'!A4" display="#'M-Servicio'.A4" xr:uid="{00000000-0004-0000-2900-000013000000}"/>
    <hyperlink ref="B12" location="'M-Barbero'!A8" display="#'M-Barbero'.A8" xr:uid="{00000000-0004-0000-2900-000014000000}"/>
    <hyperlink ref="C12" location="'M-Servicio'!A5" display="#'M-Servicio'.A5" xr:uid="{00000000-0004-0000-2900-000015000000}"/>
  </hyperlinks>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17"/>
  <sheetViews>
    <sheetView zoomScaleNormal="100" workbookViewId="0">
      <selection activeCell="B1" sqref="B1"/>
    </sheetView>
  </sheetViews>
  <sheetFormatPr baseColWidth="10" defaultColWidth="8.7109375" defaultRowHeight="15" x14ac:dyDescent="0.25"/>
  <cols>
    <col min="1" max="1" width="26.7109375" customWidth="1"/>
    <col min="2" max="2" width="51.85546875" customWidth="1"/>
    <col min="3" max="3" width="43" customWidth="1"/>
    <col min="4" max="4" width="25" customWidth="1"/>
    <col min="5" max="12" width="18" customWidth="1"/>
    <col min="13" max="13" width="40"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30" customHeight="1" x14ac:dyDescent="0.25">
      <c r="A3" s="127" t="str">
        <f>'M-HorarioBarbero'!A3</f>
        <v>id</v>
      </c>
      <c r="B3" s="128" t="str">
        <f>'M-HorarioBarbero'!A2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70</v>
      </c>
      <c r="P3" s="127" t="s">
        <v>69</v>
      </c>
      <c r="Q3" s="127" t="s">
        <v>70</v>
      </c>
      <c r="R3" s="127" t="s">
        <v>70</v>
      </c>
      <c r="S3" s="127" t="s">
        <v>70</v>
      </c>
      <c r="T3" s="127" t="s">
        <v>71</v>
      </c>
      <c r="U3" s="127" t="s">
        <v>67</v>
      </c>
    </row>
    <row r="4" spans="1:21" ht="27.75" customHeight="1" x14ac:dyDescent="0.25">
      <c r="A4" s="127" t="str">
        <f>'M-HorarioBarbero'!B3</f>
        <v>barbero</v>
      </c>
      <c r="B4" s="128" t="str">
        <f>'M-HorarioBarbero'!B2</f>
        <v>Referencia a que barbero va a ser dueño de esta agenda</v>
      </c>
      <c r="C4" s="127" t="s">
        <v>70</v>
      </c>
      <c r="D4" s="129" t="s">
        <v>25</v>
      </c>
      <c r="E4" s="127" t="s">
        <v>67</v>
      </c>
      <c r="F4" s="127" t="s">
        <v>69</v>
      </c>
      <c r="G4" s="127" t="s">
        <v>69</v>
      </c>
      <c r="H4" s="127" t="s">
        <v>69</v>
      </c>
      <c r="I4" s="127" t="s">
        <v>69</v>
      </c>
      <c r="J4" s="127" t="s">
        <v>69</v>
      </c>
      <c r="K4" s="127" t="s">
        <v>69</v>
      </c>
      <c r="L4" s="127" t="s">
        <v>69</v>
      </c>
      <c r="M4" s="27" t="s">
        <v>319</v>
      </c>
      <c r="N4" s="127" t="s">
        <v>70</v>
      </c>
      <c r="O4" s="127" t="s">
        <v>69</v>
      </c>
      <c r="P4" s="127" t="s">
        <v>69</v>
      </c>
      <c r="Q4" s="127" t="s">
        <v>69</v>
      </c>
      <c r="R4" s="127" t="s">
        <v>69</v>
      </c>
      <c r="S4" s="127" t="s">
        <v>70</v>
      </c>
      <c r="T4" s="127" t="s">
        <v>71</v>
      </c>
      <c r="U4" s="127" t="s">
        <v>70</v>
      </c>
    </row>
    <row r="5" spans="1:21" ht="30" customHeight="1" x14ac:dyDescent="0.25">
      <c r="A5" s="127" t="str">
        <f>'M-HorarioBarbero'!C3</f>
        <v>horarioDeLaBarberia</v>
      </c>
      <c r="B5" s="128" t="str">
        <f>'M-HorarioBarbero'!C2</f>
        <v>Hace referencia a la agenda del barbero en la que queda guardado este horario de trabajo</v>
      </c>
      <c r="C5" s="127" t="s">
        <v>70</v>
      </c>
      <c r="D5" s="129" t="s">
        <v>29</v>
      </c>
      <c r="E5" s="127" t="s">
        <v>67</v>
      </c>
      <c r="F5" s="127" t="s">
        <v>69</v>
      </c>
      <c r="G5" s="127" t="s">
        <v>69</v>
      </c>
      <c r="H5" s="127" t="s">
        <v>69</v>
      </c>
      <c r="I5" s="127" t="s">
        <v>69</v>
      </c>
      <c r="J5" s="127" t="s">
        <v>69</v>
      </c>
      <c r="K5" s="127" t="s">
        <v>69</v>
      </c>
      <c r="L5" s="127" t="s">
        <v>69</v>
      </c>
      <c r="M5" s="27" t="s">
        <v>319</v>
      </c>
      <c r="N5" s="127" t="s">
        <v>70</v>
      </c>
      <c r="O5" s="127" t="s">
        <v>69</v>
      </c>
      <c r="P5" s="127" t="s">
        <v>69</v>
      </c>
      <c r="Q5" s="127" t="s">
        <v>69</v>
      </c>
      <c r="R5" s="127" t="s">
        <v>69</v>
      </c>
      <c r="S5" s="127" t="s">
        <v>70</v>
      </c>
      <c r="T5" s="127" t="s">
        <v>71</v>
      </c>
      <c r="U5" s="127" t="s">
        <v>70</v>
      </c>
    </row>
    <row r="6" spans="1:21" ht="30" customHeight="1" x14ac:dyDescent="0.25">
      <c r="A6" s="127" t="str">
        <f>'M-HorarioBarbero'!D3</f>
        <v>horaInicio</v>
      </c>
      <c r="B6" s="128" t="str">
        <f>'M-HorarioBarbero'!D2</f>
        <v>Representa la hora en la que el barbero empieza a estar disponible ese dia</v>
      </c>
      <c r="C6" s="127" t="s">
        <v>70</v>
      </c>
      <c r="D6" s="127" t="s">
        <v>370</v>
      </c>
      <c r="E6" s="127" t="s">
        <v>70</v>
      </c>
      <c r="F6" s="127" t="s">
        <v>69</v>
      </c>
      <c r="G6" s="127" t="s">
        <v>69</v>
      </c>
      <c r="H6" s="127" t="s">
        <v>69</v>
      </c>
      <c r="I6" s="127" t="s">
        <v>69</v>
      </c>
      <c r="J6" s="127" t="s">
        <v>69</v>
      </c>
      <c r="K6" s="127" t="s">
        <v>69</v>
      </c>
      <c r="L6" s="127" t="s">
        <v>435</v>
      </c>
      <c r="M6" s="128" t="s">
        <v>436</v>
      </c>
      <c r="N6" s="127" t="s">
        <v>70</v>
      </c>
      <c r="O6" s="127" t="s">
        <v>69</v>
      </c>
      <c r="P6" s="127" t="s">
        <v>69</v>
      </c>
      <c r="Q6" s="127" t="s">
        <v>69</v>
      </c>
      <c r="R6" s="127" t="s">
        <v>69</v>
      </c>
      <c r="S6" s="127" t="s">
        <v>70</v>
      </c>
      <c r="T6" s="127" t="s">
        <v>371</v>
      </c>
      <c r="U6" s="127" t="s">
        <v>70</v>
      </c>
    </row>
    <row r="7" spans="1:21" ht="60" customHeight="1" x14ac:dyDescent="0.25">
      <c r="A7" s="127" t="str">
        <f>'M-HorarioBarbero'!E3</f>
        <v>horaFinal</v>
      </c>
      <c r="B7" s="128" t="str">
        <f>'M-HorarioBarbero'!E2</f>
        <v>Representa la hora en la que el barbero deja de estar disponible ese día, junto con horaInicio, es lo que la aplicación usa para saber si hay campo para agendar una cita nueva.</v>
      </c>
      <c r="C7" s="127" t="s">
        <v>70</v>
      </c>
      <c r="D7" s="127" t="s">
        <v>370</v>
      </c>
      <c r="E7" s="127" t="s">
        <v>67</v>
      </c>
      <c r="F7" s="127" t="s">
        <v>69</v>
      </c>
      <c r="G7" s="127" t="s">
        <v>69</v>
      </c>
      <c r="H7" s="127" t="s">
        <v>69</v>
      </c>
      <c r="I7" s="127" t="s">
        <v>69</v>
      </c>
      <c r="J7" s="127" t="s">
        <v>69</v>
      </c>
      <c r="K7" s="127" t="s">
        <v>69</v>
      </c>
      <c r="L7" s="127" t="s">
        <v>435</v>
      </c>
      <c r="M7" s="128" t="s">
        <v>437</v>
      </c>
      <c r="N7" s="127" t="s">
        <v>70</v>
      </c>
      <c r="O7" s="127" t="s">
        <v>69</v>
      </c>
      <c r="P7" s="127" t="s">
        <v>69</v>
      </c>
      <c r="Q7" s="127" t="s">
        <v>69</v>
      </c>
      <c r="R7" s="127" t="s">
        <v>69</v>
      </c>
      <c r="S7" s="127" t="s">
        <v>70</v>
      </c>
      <c r="T7" s="127" t="s">
        <v>371</v>
      </c>
      <c r="U7" s="127" t="s">
        <v>70</v>
      </c>
    </row>
    <row r="8" spans="1:21" ht="45" customHeight="1" x14ac:dyDescent="0.25">
      <c r="A8" s="127" t="str">
        <f>'M-HorarioBarbero'!F3</f>
        <v>fechaCreacion</v>
      </c>
      <c r="B8" s="128" t="str">
        <f>'M-HorarioBarbero'!F2</f>
        <v>Representa la fecha en el que el barbero creo su horario. Es un dato calculado que toma la fecha de hoy cuando el barbero la crea</v>
      </c>
      <c r="C8" s="127" t="s">
        <v>70</v>
      </c>
      <c r="D8" s="127" t="s">
        <v>373</v>
      </c>
      <c r="E8" s="127" t="s">
        <v>67</v>
      </c>
      <c r="F8" s="127" t="s">
        <v>69</v>
      </c>
      <c r="G8" s="127" t="s">
        <v>69</v>
      </c>
      <c r="H8" s="127" t="s">
        <v>69</v>
      </c>
      <c r="I8" s="127" t="s">
        <v>69</v>
      </c>
      <c r="J8" s="127" t="s">
        <v>69</v>
      </c>
      <c r="K8" s="127" t="s">
        <v>69</v>
      </c>
      <c r="L8" s="127" t="s">
        <v>438</v>
      </c>
      <c r="M8" s="128" t="s">
        <v>439</v>
      </c>
      <c r="N8" s="127" t="s">
        <v>67</v>
      </c>
      <c r="O8" s="127" t="s">
        <v>69</v>
      </c>
      <c r="P8" s="127" t="s">
        <v>69</v>
      </c>
      <c r="Q8" s="127" t="s">
        <v>69</v>
      </c>
      <c r="R8" s="127" t="s">
        <v>69</v>
      </c>
      <c r="S8" s="127" t="s">
        <v>70</v>
      </c>
      <c r="T8" s="127" t="s">
        <v>440</v>
      </c>
      <c r="U8" s="127" t="s">
        <v>70</v>
      </c>
    </row>
    <row r="9" spans="1:21" ht="60" customHeight="1" x14ac:dyDescent="0.25">
      <c r="A9" s="127" t="str">
        <f>'M-HorarioBarbero'!G3</f>
        <v>fechaDesactivacion</v>
      </c>
      <c r="B9" s="128" t="str">
        <f>'M-HorarioBarbero'!G2</f>
        <v>Representa la fecha en la que este horario dejó de estar vigente, ya sea porque el barbero lo retiró o porque se desactivó el horario de la barbería del que depende. Es un dato calculado que toma la fecha del sistema en ese momento.</v>
      </c>
      <c r="C9" s="137" t="s">
        <v>70</v>
      </c>
      <c r="D9" s="137" t="s">
        <v>373</v>
      </c>
      <c r="E9" s="137" t="s">
        <v>70</v>
      </c>
      <c r="F9" s="137" t="s">
        <v>69</v>
      </c>
      <c r="G9" s="137" t="s">
        <v>69</v>
      </c>
      <c r="H9" s="137" t="s">
        <v>69</v>
      </c>
      <c r="I9" s="137" t="s">
        <v>69</v>
      </c>
      <c r="J9" s="137" t="s">
        <v>69</v>
      </c>
      <c r="K9" s="137" t="s">
        <v>69</v>
      </c>
      <c r="L9" s="137" t="s">
        <v>438</v>
      </c>
      <c r="M9" s="137" t="s">
        <v>441</v>
      </c>
      <c r="N9" s="137" t="s">
        <v>67</v>
      </c>
      <c r="O9" s="137" t="s">
        <v>69</v>
      </c>
      <c r="P9" s="137" t="s">
        <v>69</v>
      </c>
      <c r="Q9" s="137" t="s">
        <v>69</v>
      </c>
      <c r="R9" s="137" t="s">
        <v>69</v>
      </c>
      <c r="S9" s="137" t="s">
        <v>70</v>
      </c>
      <c r="T9" s="137" t="s">
        <v>440</v>
      </c>
      <c r="U9" s="137" t="s">
        <v>70</v>
      </c>
    </row>
    <row r="10" spans="1:21" ht="45" customHeight="1" x14ac:dyDescent="0.25">
      <c r="A10" s="127" t="str">
        <f>'M-HorarioBarbero'!H3</f>
        <v>vigente</v>
      </c>
      <c r="B10" s="128" t="str">
        <f>'M-HorarioBarbero'!H2</f>
        <v>Representa si este horario lo sigue o no usando el barbero. Una vez que el barbero cambie este estado a no vigente, no se puede volver a cambiar</v>
      </c>
      <c r="C10" s="127" t="s">
        <v>70</v>
      </c>
      <c r="D10" s="127" t="s">
        <v>158</v>
      </c>
      <c r="E10" s="127" t="s">
        <v>67</v>
      </c>
      <c r="F10" s="127" t="s">
        <v>69</v>
      </c>
      <c r="G10" s="127" t="s">
        <v>69</v>
      </c>
      <c r="H10" s="127" t="s">
        <v>69</v>
      </c>
      <c r="I10" s="127" t="s">
        <v>69</v>
      </c>
      <c r="J10" s="127" t="s">
        <v>69</v>
      </c>
      <c r="K10" s="127" t="s">
        <v>69</v>
      </c>
      <c r="L10" s="127" t="s">
        <v>69</v>
      </c>
      <c r="M10" s="128" t="s">
        <v>442</v>
      </c>
      <c r="N10" s="127" t="s">
        <v>70</v>
      </c>
      <c r="O10" s="127" t="s">
        <v>69</v>
      </c>
      <c r="P10" s="127" t="s">
        <v>69</v>
      </c>
      <c r="Q10" s="127" t="s">
        <v>69</v>
      </c>
      <c r="R10" s="127" t="s">
        <v>69</v>
      </c>
      <c r="S10" s="127" t="s">
        <v>70</v>
      </c>
      <c r="T10" s="127" t="s">
        <v>67</v>
      </c>
      <c r="U10" s="127" t="s">
        <v>70</v>
      </c>
    </row>
    <row r="12" spans="1:21" ht="15" customHeight="1" x14ac:dyDescent="0.25">
      <c r="A12" s="28" t="s">
        <v>75</v>
      </c>
      <c r="B12" s="28" t="s">
        <v>76</v>
      </c>
      <c r="C12" s="28" t="s">
        <v>77</v>
      </c>
    </row>
    <row r="13" spans="1:21" ht="15" customHeight="1" x14ac:dyDescent="0.25">
      <c r="A13" s="182" t="str">
        <f>'M-HorarioBarbero'!I3</f>
        <v>Combinación única</v>
      </c>
      <c r="B13" s="183" t="str">
        <f>'M-HorarioBarbero'!I2</f>
        <v>Combinación única que indica que un mismo barbero no puede tener dos horarios vigentes exactamente con el mismo día, hora de inicio y hora final. Un barbero sí puede tener varios horarios a lo largo del tiempo (por ejemplo cuando cambia de horario y el anterior queda no vigente)</v>
      </c>
      <c r="C13" s="29" t="str">
        <f>A4</f>
        <v>barbero</v>
      </c>
    </row>
    <row r="14" spans="1:21" ht="15" customHeight="1" x14ac:dyDescent="0.25">
      <c r="A14" s="182"/>
      <c r="B14" s="182"/>
      <c r="C14" s="29" t="str">
        <f>A5</f>
        <v>horarioDeLaBarberia</v>
      </c>
    </row>
    <row r="15" spans="1:21" ht="15" customHeight="1" x14ac:dyDescent="0.25">
      <c r="A15" s="182"/>
      <c r="B15" s="182"/>
      <c r="C15" s="29" t="str">
        <f>A6</f>
        <v>horaInicio</v>
      </c>
    </row>
    <row r="16" spans="1:21" ht="15" customHeight="1" x14ac:dyDescent="0.25">
      <c r="A16" s="182"/>
      <c r="B16" s="182"/>
      <c r="C16" s="29" t="str">
        <f>A7</f>
        <v>horaFinal</v>
      </c>
    </row>
    <row r="17" spans="1:3" ht="15" customHeight="1" x14ac:dyDescent="0.25">
      <c r="A17" s="182"/>
      <c r="B17" s="182"/>
      <c r="C17" s="29" t="str">
        <f>A10</f>
        <v>vigente</v>
      </c>
    </row>
  </sheetData>
  <mergeCells count="2">
    <mergeCell ref="A13:A17"/>
    <mergeCell ref="B13:B17"/>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D4" location="'C-Barbero'!A1" display="Barbero" xr:uid="{00000000-0004-0000-2A00-000002000000}"/>
    <hyperlink ref="D5" location="'C-HorarioBarberia'!A1" display="HorarioBarberia" xr:uid="{00000000-0004-0000-2A00-000003000000}"/>
    <hyperlink ref="A13" location="'M-HorarioBarbero'!A3" display="#'M-HorarioBarbero'.A3" xr:uid="{00000000-0004-0000-2A00-000004000000}"/>
    <hyperlink ref="B13" location="'M-HorarioBarbero'!A2" display="#'M-HorarioBarbero'.A2" xr:uid="{00000000-0004-0000-2A00-000005000000}"/>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8"/>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Dominio'!A13</f>
        <v>HorarioBarbero</v>
      </c>
      <c r="C2" s="11"/>
      <c r="D2" s="11"/>
      <c r="E2" s="11"/>
    </row>
    <row r="3" spans="1:5" ht="30" customHeight="1" x14ac:dyDescent="0.25">
      <c r="A3" s="33" t="s">
        <v>84</v>
      </c>
      <c r="B3" s="10" t="str">
        <f>'Objetos de Dominio'!B13</f>
        <v>Representa el día de la semana en que trabaja un barbero, junto con la hora en la que empieza y termina su jornada</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443</v>
      </c>
      <c r="B6" s="2" t="s">
        <v>444</v>
      </c>
      <c r="C6" s="2"/>
      <c r="D6" s="55" t="s">
        <v>33</v>
      </c>
      <c r="E6" s="55"/>
    </row>
    <row r="7" spans="1:5" ht="30" customHeight="1" x14ac:dyDescent="0.25">
      <c r="A7" s="55" t="s">
        <v>445</v>
      </c>
      <c r="B7" s="2" t="s">
        <v>446</v>
      </c>
      <c r="C7" s="2"/>
      <c r="D7" s="55" t="s">
        <v>29</v>
      </c>
      <c r="E7" s="55"/>
    </row>
    <row r="8" spans="1:5" ht="30" customHeight="1" x14ac:dyDescent="0.25">
      <c r="A8" s="55" t="s">
        <v>447</v>
      </c>
      <c r="B8" s="2" t="s">
        <v>448</v>
      </c>
      <c r="C8" s="2"/>
      <c r="D8" s="55" t="s">
        <v>35</v>
      </c>
      <c r="E8" s="55"/>
    </row>
  </sheetData>
  <mergeCells count="9">
    <mergeCell ref="B6:C6"/>
    <mergeCell ref="B7:C7"/>
    <mergeCell ref="B8:C8"/>
    <mergeCell ref="B2:E2"/>
    <mergeCell ref="B3:E3"/>
    <mergeCell ref="A4:A5"/>
    <mergeCell ref="B4:C5"/>
    <mergeCell ref="D4:D5"/>
    <mergeCell ref="E4:E5"/>
  </mergeCells>
  <hyperlinks>
    <hyperlink ref="A1" r:id="rId1" location="'Modelo%20de%20Dominio'!A1" xr:uid="{00000000-0004-0000-2B00-000000000000}"/>
    <hyperlink ref="B1" r:id="rId2" location="'Objetos%20de%20Dominio'!A1" xr:uid="{00000000-0004-0000-2B00-000001000000}"/>
    <hyperlink ref="C1" r:id="rId3" location="'C-HorarioBarbero'!A1" xr:uid="{00000000-0004-0000-2B00-000002000000}"/>
    <hyperlink ref="D1" r:id="rId4" location="'M-HorarioBarbero'!A1" xr:uid="{00000000-0004-0000-2B00-000003000000}"/>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1"/>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Dominio'!A13</f>
        <v>HorarioBarbero</v>
      </c>
      <c r="C2" s="11"/>
      <c r="D2" s="11"/>
      <c r="E2" s="11"/>
      <c r="F2" s="11"/>
      <c r="G2" s="11"/>
      <c r="H2" s="11"/>
      <c r="I2" s="11"/>
      <c r="J2" s="11"/>
      <c r="K2" s="11"/>
    </row>
    <row r="3" spans="1:11" ht="30" customHeight="1" x14ac:dyDescent="0.25">
      <c r="A3" s="33" t="s">
        <v>84</v>
      </c>
      <c r="B3" s="10" t="str">
        <f>'Objetos de Dominio'!B13</f>
        <v>Representa el día de la semana en que trabaja un barbero, junto con la hora en la que empieza y termina su jornada</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25</v>
      </c>
      <c r="B7" s="2" t="s">
        <v>449</v>
      </c>
      <c r="C7" s="2" t="s">
        <v>450</v>
      </c>
      <c r="D7" s="3" t="str">
        <f>$B$2</f>
        <v>HorarioBarbero</v>
      </c>
      <c r="E7" s="2"/>
      <c r="F7" s="2"/>
      <c r="G7" s="40" t="str">
        <f>'P-HorarioBarbero'!A6</f>
        <v>P-HBO-0001</v>
      </c>
      <c r="H7" s="41"/>
      <c r="I7" s="3"/>
      <c r="J7" s="2" t="s">
        <v>451</v>
      </c>
      <c r="K7" s="2"/>
    </row>
    <row r="8" spans="1:11" ht="30" customHeight="1" x14ac:dyDescent="0.25">
      <c r="A8" s="3"/>
      <c r="B8" s="3"/>
      <c r="C8" s="3"/>
      <c r="D8" s="3"/>
      <c r="E8" s="3"/>
      <c r="F8" s="3"/>
      <c r="G8" s="40" t="str">
        <f>'P-HorarioBarbero'!A7</f>
        <v>P-HBO-0002</v>
      </c>
      <c r="H8" s="41"/>
      <c r="I8" s="3"/>
      <c r="J8" s="3"/>
      <c r="K8" s="3"/>
    </row>
    <row r="9" spans="1:11" ht="30" customHeight="1" x14ac:dyDescent="0.25">
      <c r="A9" s="40" t="s">
        <v>25</v>
      </c>
      <c r="B9" s="35" t="s">
        <v>452</v>
      </c>
      <c r="C9" s="35" t="s">
        <v>453</v>
      </c>
      <c r="D9" s="40" t="str">
        <f>$B$2</f>
        <v>HorarioBarbero</v>
      </c>
      <c r="E9" s="35"/>
      <c r="F9" s="35"/>
      <c r="G9" s="40"/>
      <c r="H9" s="41"/>
      <c r="I9" s="40"/>
      <c r="J9" s="35" t="s">
        <v>454</v>
      </c>
      <c r="K9" s="35"/>
    </row>
    <row r="10" spans="1:11" ht="30" customHeight="1" x14ac:dyDescent="0.25">
      <c r="A10" s="40" t="s">
        <v>25</v>
      </c>
      <c r="B10" s="35" t="s">
        <v>455</v>
      </c>
      <c r="C10" s="35" t="s">
        <v>456</v>
      </c>
      <c r="D10" s="40" t="str">
        <f>$B$2</f>
        <v>HorarioBarbero</v>
      </c>
      <c r="E10" s="35"/>
      <c r="F10" s="35"/>
      <c r="G10" s="40" t="str">
        <f>'P-HorarioBarbero'!A8</f>
        <v>P-HBO-0003</v>
      </c>
      <c r="H10" s="41"/>
      <c r="I10" s="40"/>
      <c r="J10" s="35" t="s">
        <v>457</v>
      </c>
      <c r="K10" s="35"/>
    </row>
    <row r="11" spans="1:11" ht="30" customHeight="1" x14ac:dyDescent="0.25">
      <c r="A11" s="40" t="s">
        <v>27</v>
      </c>
      <c r="B11" s="35" t="s">
        <v>458</v>
      </c>
      <c r="C11" s="35" t="s">
        <v>459</v>
      </c>
      <c r="D11" s="40" t="str">
        <f>$B$2</f>
        <v>HorarioBarbero</v>
      </c>
      <c r="E11" s="35"/>
      <c r="F11" s="35"/>
      <c r="G11" s="40"/>
      <c r="H11" s="41"/>
      <c r="I11" s="40"/>
      <c r="J11" s="35" t="s">
        <v>454</v>
      </c>
      <c r="K11" s="35"/>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2C00-000000000000}"/>
    <hyperlink ref="C1" r:id="rId2" location="'Objetos%20de%20Dominio'!A1" xr:uid="{00000000-0004-0000-2C00-000001000000}"/>
    <hyperlink ref="F1" r:id="rId3" location="'C-HorarioBarbero'!A1" xr:uid="{00000000-0004-0000-2C00-000002000000}"/>
    <hyperlink ref="J1" r:id="rId4" location="'M-HorarioBarbero'!A1" xr:uid="{00000000-0004-0000-2C00-000003000000}"/>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1"/>
  <sheetViews>
    <sheetView zoomScale="115" zoomScaleNormal="115" workbookViewId="0">
      <selection activeCell="A17" sqref="A17"/>
    </sheetView>
  </sheetViews>
  <sheetFormatPr baseColWidth="10" defaultColWidth="10.7109375" defaultRowHeight="15" x14ac:dyDescent="0.25"/>
  <cols>
    <col min="1" max="1" width="27" customWidth="1"/>
    <col min="2" max="2" width="26.140625" customWidth="1"/>
    <col min="3" max="3" width="20.5703125" customWidth="1"/>
    <col min="4" max="4" width="24.42578125" customWidth="1"/>
    <col min="5" max="5" width="38.42578125" customWidth="1"/>
    <col min="6" max="6" width="26.42578125" customWidth="1"/>
    <col min="7" max="7" width="29.140625" customWidth="1"/>
    <col min="8" max="8" width="26" customWidth="1"/>
    <col min="9" max="9" width="41.42578125" customWidth="1"/>
  </cols>
  <sheetData>
    <row r="1" spans="1:9" ht="14.25" customHeight="1" x14ac:dyDescent="0.25">
      <c r="A1" s="13" t="s">
        <v>1</v>
      </c>
      <c r="B1" s="13" t="s">
        <v>45</v>
      </c>
      <c r="C1" s="13"/>
      <c r="D1" s="13"/>
      <c r="E1" s="13"/>
      <c r="F1" s="13"/>
      <c r="G1" s="13"/>
      <c r="H1" s="13"/>
    </row>
    <row r="2" spans="1:9" ht="51.75" customHeight="1" x14ac:dyDescent="0.25">
      <c r="A2" s="67" t="s">
        <v>111</v>
      </c>
      <c r="B2" s="67" t="s">
        <v>460</v>
      </c>
      <c r="C2" s="67" t="s">
        <v>461</v>
      </c>
      <c r="D2" s="67" t="s">
        <v>462</v>
      </c>
      <c r="E2" s="67" t="s">
        <v>463</v>
      </c>
      <c r="F2" s="67" t="s">
        <v>464</v>
      </c>
      <c r="G2" s="67" t="s">
        <v>465</v>
      </c>
      <c r="H2" s="67" t="s">
        <v>466</v>
      </c>
      <c r="I2" s="68" t="s">
        <v>467</v>
      </c>
    </row>
    <row r="3" spans="1:9" ht="14.25" customHeight="1" x14ac:dyDescent="0.25">
      <c r="A3" s="93" t="s">
        <v>114</v>
      </c>
      <c r="B3" s="133" t="s">
        <v>405</v>
      </c>
      <c r="C3" s="133" t="s">
        <v>468</v>
      </c>
      <c r="D3" s="138" t="s">
        <v>469</v>
      </c>
      <c r="E3" s="138" t="s">
        <v>470</v>
      </c>
      <c r="F3" s="117" t="s">
        <v>401</v>
      </c>
      <c r="G3" s="117" t="s">
        <v>402</v>
      </c>
      <c r="H3" s="111" t="s">
        <v>296</v>
      </c>
      <c r="I3" s="73" t="s">
        <v>248</v>
      </c>
    </row>
    <row r="4" spans="1:9" ht="28.5" customHeight="1" x14ac:dyDescent="0.25">
      <c r="A4" s="47">
        <v>1</v>
      </c>
      <c r="B4" s="139" t="str">
        <f>'M-Barbero'!K4</f>
        <v>+57-3245627890</v>
      </c>
      <c r="C4" s="139" t="str">
        <f>'M-HorarioBarberia'!H4</f>
        <v>Lunes-09:00-19:00-11/03/2023-1/01/1000</v>
      </c>
      <c r="D4" s="120">
        <v>0.41666666666666702</v>
      </c>
      <c r="E4" s="120">
        <v>0.66666666666666696</v>
      </c>
      <c r="F4" s="121">
        <v>45780</v>
      </c>
      <c r="G4" s="121" t="s">
        <v>374</v>
      </c>
      <c r="H4" s="120" t="s">
        <v>190</v>
      </c>
      <c r="I4" s="58" t="str">
        <f>_xlfn.CONCAT(B4,"-",C4,"-",TEXT(D4,"hh:mm"),"-",TEXT(E4,"hh:mm"),"-",H4)</f>
        <v>+57-3245627890-Lunes-09:00-19:00-11/03/2023-1/01/1000-10:00-16:00-si</v>
      </c>
    </row>
    <row r="5" spans="1:9" ht="28.5" customHeight="1" x14ac:dyDescent="0.25">
      <c r="A5" s="47">
        <v>2</v>
      </c>
      <c r="B5" s="139" t="str">
        <f>'M-Barbero'!K5</f>
        <v>+57-3124518923</v>
      </c>
      <c r="C5" s="139" t="str">
        <f>'M-HorarioBarberia'!H5</f>
        <v>Martes-09:00-19:00</v>
      </c>
      <c r="D5" s="120">
        <v>0.375</v>
      </c>
      <c r="E5" s="120">
        <v>0.625</v>
      </c>
      <c r="F5" s="121">
        <v>45718</v>
      </c>
      <c r="G5" s="121" t="s">
        <v>374</v>
      </c>
      <c r="H5" s="120" t="s">
        <v>190</v>
      </c>
      <c r="I5" s="58" t="str">
        <f>_xlfn.CONCAT(B5,"-",C5,"-",TEXT(D5,"hh:mm"),"-",TEXT(E5,"hh:mm"),"-",H5)</f>
        <v>+57-3124518923-Martes-09:00-19:00-09:00-15:00-si</v>
      </c>
    </row>
    <row r="6" spans="1:9" ht="28.5" customHeight="1" x14ac:dyDescent="0.25">
      <c r="A6" s="47">
        <v>3</v>
      </c>
      <c r="B6" s="139" t="str">
        <f>'M-Barbero'!K6</f>
        <v>+57-3214533321</v>
      </c>
      <c r="C6" s="139" t="str">
        <f>'M-HorarioBarberia'!H7</f>
        <v>Jueves-09:00-19:00</v>
      </c>
      <c r="D6" s="120">
        <v>0.54166666666666696</v>
      </c>
      <c r="E6" s="120">
        <v>0.79166666666666696</v>
      </c>
      <c r="F6" s="121">
        <v>44917</v>
      </c>
      <c r="G6" s="140" t="s">
        <v>374</v>
      </c>
      <c r="H6" s="120" t="s">
        <v>190</v>
      </c>
      <c r="I6" s="58" t="str">
        <f>_xlfn.CONCAT(B6,"-",C6,"-",TEXT(D6,"hh:mm"),"-",TEXT(E6,"hh:mm"),"-",H6)</f>
        <v>+57-3214533321-Jueves-09:00-19:00-13:00-19:00-si</v>
      </c>
    </row>
    <row r="7" spans="1:9" ht="28.5" customHeight="1" x14ac:dyDescent="0.25">
      <c r="A7" s="47">
        <v>4</v>
      </c>
      <c r="B7" s="139" t="str">
        <f>'M-Barbero'!K7</f>
        <v>+91-9876543210</v>
      </c>
      <c r="C7" s="139" t="str">
        <f>'M-HorarioBarberia'!H9</f>
        <v>Sábado-08:00-21:00</v>
      </c>
      <c r="D7" s="120">
        <v>0.33333333333333298</v>
      </c>
      <c r="E7" s="120">
        <v>0.58333333333333304</v>
      </c>
      <c r="F7" s="141">
        <v>45915</v>
      </c>
      <c r="G7" s="121">
        <v>46023</v>
      </c>
      <c r="H7" s="142" t="s">
        <v>312</v>
      </c>
      <c r="I7" s="58" t="str">
        <f>_xlfn.CONCAT(B7,"-",C7,"-",TEXT(D7,"hh:mm"),"-",TEXT(E7,"hh:mm"),"-",H7)</f>
        <v>+91-9876543210-Sábado-08:00-21:00-08:00-14:00-no</v>
      </c>
    </row>
    <row r="8" spans="1:9" ht="28.5" customHeight="1" x14ac:dyDescent="0.25">
      <c r="A8" s="47">
        <v>5</v>
      </c>
      <c r="B8" s="139" t="str">
        <f>'M-Barbero'!K7</f>
        <v>+91-9876543210</v>
      </c>
      <c r="C8" s="139" t="str">
        <f>'M-HorarioBarberia'!H10</f>
        <v>Festivo-10:00-15:00</v>
      </c>
      <c r="D8" s="120">
        <v>0.5</v>
      </c>
      <c r="E8" s="120">
        <v>0.625</v>
      </c>
      <c r="F8" s="141">
        <v>46054</v>
      </c>
      <c r="G8" s="121">
        <v>46083</v>
      </c>
      <c r="H8" s="142" t="s">
        <v>312</v>
      </c>
      <c r="I8" s="58" t="str">
        <f>_xlfn.CONCAT(B8,"-",C8,"-",TEXT(D8,"hh:mm"),"-",TEXT(E8,"hh:mm"),"-",H8)</f>
        <v>+91-9876543210-Festivo-10:00-15:00-12:00-15:00-no</v>
      </c>
    </row>
    <row r="10" spans="1:9" ht="14.25" customHeight="1" x14ac:dyDescent="0.25">
      <c r="G10" s="143"/>
    </row>
    <row r="14" spans="1:9" ht="28.5" customHeight="1" x14ac:dyDescent="0.25">
      <c r="A14" s="50"/>
      <c r="B14" s="51" t="s">
        <v>124</v>
      </c>
      <c r="C14" s="51"/>
    </row>
    <row r="15" spans="1:9" ht="28.5" customHeight="1" x14ac:dyDescent="0.25">
      <c r="A15" s="52"/>
      <c r="B15" s="51" t="s">
        <v>125</v>
      </c>
      <c r="C15" s="51"/>
    </row>
    <row r="16" spans="1:9" ht="28.5" customHeight="1" x14ac:dyDescent="0.25">
      <c r="A16" s="77"/>
      <c r="B16" s="51" t="s">
        <v>315</v>
      </c>
      <c r="C16" s="51"/>
    </row>
    <row r="17" spans="1:3" ht="28.5" customHeight="1" x14ac:dyDescent="0.25">
      <c r="A17" s="78"/>
      <c r="B17" s="51" t="s">
        <v>126</v>
      </c>
      <c r="C17" s="51"/>
    </row>
    <row r="18" spans="1:3" ht="28.5" customHeight="1" x14ac:dyDescent="0.25">
      <c r="A18" s="123"/>
      <c r="B18" s="51" t="s">
        <v>403</v>
      </c>
      <c r="C18" s="51"/>
    </row>
    <row r="19" spans="1:3" ht="28.5" customHeight="1" x14ac:dyDescent="0.25">
      <c r="A19" s="124"/>
      <c r="B19" s="51" t="s">
        <v>471</v>
      </c>
      <c r="C19" s="51"/>
    </row>
    <row r="20" spans="1:3" ht="28.5" customHeight="1" x14ac:dyDescent="0.25">
      <c r="A20" s="80"/>
      <c r="B20" s="51" t="s">
        <v>404</v>
      </c>
      <c r="C20" s="51"/>
    </row>
    <row r="21" spans="1:3" ht="28.5" customHeight="1" x14ac:dyDescent="0.25">
      <c r="A21" s="54"/>
      <c r="B21" s="51" t="s">
        <v>127</v>
      </c>
      <c r="C21" s="51"/>
    </row>
  </sheetData>
  <hyperlinks>
    <hyperlink ref="A1" location="'Modelo de Dominio'!A1" display="&lt;&lt;&lt;&lt; Ir al modulo de dominio" xr:uid="{00000000-0004-0000-2D00-000000000000}"/>
    <hyperlink ref="B1" location="'Objetos de Dominio'!A1" display="&lt;&lt;&lt;&lt; Ir a objetos de dominio" xr:uid="{00000000-0004-0000-2D00-000001000000}"/>
    <hyperlink ref="B3" location="'M-Barbero'!A1" display="barbero" xr:uid="{00000000-0004-0000-2D00-000002000000}"/>
    <hyperlink ref="C3" location="'M-HorarioBarberia'!A1" display="horarioDeLaBarberia" xr:uid="{00000000-0004-0000-2D00-000003000000}"/>
    <hyperlink ref="B4" location="'M-Barbero'!A4" display="#'M-Barbero'.A4" xr:uid="{00000000-0004-0000-2D00-000004000000}"/>
    <hyperlink ref="C4" location="'M-HorarioBarberia'!A4" display="#'M-HorarioBarberia'.A4" xr:uid="{00000000-0004-0000-2D00-000005000000}"/>
    <hyperlink ref="B5" location="'M-Barbero'!A5" display="#'M-Barbero'.A5" xr:uid="{00000000-0004-0000-2D00-000006000000}"/>
    <hyperlink ref="C5" location="'M-HorarioBarberia'!A5" display="#'M-HorarioBarberia'.A5" xr:uid="{00000000-0004-0000-2D00-000007000000}"/>
    <hyperlink ref="B6" location="'M-Barbero'!A6" display="#'M-Barbero'.A6" xr:uid="{00000000-0004-0000-2D00-000008000000}"/>
    <hyperlink ref="C6" location="'M-HorarioBarberia'!A7" display="#'M-HorarioBarberia'.A7" xr:uid="{00000000-0004-0000-2D00-000009000000}"/>
    <hyperlink ref="B7" location="'M-Barbero'!A7" display="#'M-Barbero'.A7" xr:uid="{00000000-0004-0000-2D00-00000A000000}"/>
    <hyperlink ref="C7" location="'M-HorarioBarberia'!A9" display="#'M-HorarioBarberia'.A9" xr:uid="{00000000-0004-0000-2D00-00000B000000}"/>
    <hyperlink ref="B8" location="'M-Barbero'!A7" display="#'M-Barbero'.A7" xr:uid="{00000000-0004-0000-2D00-00000C000000}"/>
    <hyperlink ref="C8" location="'M-HorarioBarberia'!A10" display="#'M-HorarioBarberia'.A10" xr:uid="{00000000-0004-0000-2D00-00000D000000}"/>
  </hyperlinks>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10"/>
  <sheetViews>
    <sheetView topLeftCell="I1" zoomScaleNormal="100" workbookViewId="0">
      <selection activeCell="N6" sqref="N6"/>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12" width="18" customWidth="1"/>
    <col min="13" max="13" width="40"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'M-Agenda'!A3</f>
        <v>id</v>
      </c>
      <c r="B3" s="128" t="str">
        <f>'M-Agenda'!A2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70</v>
      </c>
      <c r="P3" s="127" t="s">
        <v>69</v>
      </c>
      <c r="Q3" s="127" t="s">
        <v>70</v>
      </c>
      <c r="R3" s="127" t="s">
        <v>70</v>
      </c>
      <c r="S3" s="127" t="s">
        <v>70</v>
      </c>
      <c r="T3" s="127" t="s">
        <v>71</v>
      </c>
      <c r="U3" s="127" t="s">
        <v>67</v>
      </c>
    </row>
    <row r="4" spans="1:21" ht="45" customHeight="1" x14ac:dyDescent="0.25">
      <c r="A4" s="127" t="str">
        <f>'M-Agenda'!B3</f>
        <v>horarioDelBarbero</v>
      </c>
      <c r="B4" s="128" t="str">
        <f>'M-Agenda'!B2</f>
        <v>Hace referencia al horario de trabajo del barbero (día de la semana, hora de inicio y hora final) al que pertenece esta agenda</v>
      </c>
      <c r="C4" s="127" t="s">
        <v>70</v>
      </c>
      <c r="D4" s="129" t="s">
        <v>33</v>
      </c>
      <c r="E4" s="127" t="s">
        <v>67</v>
      </c>
      <c r="F4" s="127" t="s">
        <v>69</v>
      </c>
      <c r="G4" s="127" t="s">
        <v>69</v>
      </c>
      <c r="H4" s="127" t="s">
        <v>69</v>
      </c>
      <c r="I4" s="127" t="s">
        <v>69</v>
      </c>
      <c r="J4" s="127" t="s">
        <v>69</v>
      </c>
      <c r="K4" s="127" t="s">
        <v>69</v>
      </c>
      <c r="L4" s="127" t="s">
        <v>69</v>
      </c>
      <c r="M4" s="27" t="s">
        <v>319</v>
      </c>
      <c r="N4" s="127" t="s">
        <v>70</v>
      </c>
      <c r="O4" s="127" t="s">
        <v>69</v>
      </c>
      <c r="P4" s="127" t="s">
        <v>69</v>
      </c>
      <c r="Q4" s="127" t="s">
        <v>69</v>
      </c>
      <c r="R4" s="127" t="s">
        <v>69</v>
      </c>
      <c r="S4" s="127" t="s">
        <v>70</v>
      </c>
      <c r="T4" s="127" t="s">
        <v>71</v>
      </c>
      <c r="U4" s="127" t="s">
        <v>70</v>
      </c>
    </row>
    <row r="5" spans="1:21" ht="30" customHeight="1" x14ac:dyDescent="0.25">
      <c r="A5" s="127" t="str">
        <f>'M-Agenda'!C3</f>
        <v>fecha</v>
      </c>
      <c r="B5" s="128" t="str">
        <f>'M-Agenda'!C2</f>
        <v>Representa la fecha específica en el que la agenda va a guardar las citas de ese barbero</v>
      </c>
      <c r="C5" s="127" t="s">
        <v>70</v>
      </c>
      <c r="D5" s="130" t="s">
        <v>373</v>
      </c>
      <c r="E5" s="127" t="s">
        <v>67</v>
      </c>
      <c r="F5" s="127" t="s">
        <v>69</v>
      </c>
      <c r="G5" s="127" t="s">
        <v>69</v>
      </c>
      <c r="H5" s="127" t="s">
        <v>69</v>
      </c>
      <c r="I5" s="127" t="s">
        <v>69</v>
      </c>
      <c r="J5" s="127" t="s">
        <v>69</v>
      </c>
      <c r="K5" s="127" t="s">
        <v>69</v>
      </c>
      <c r="L5" s="127" t="s">
        <v>69</v>
      </c>
      <c r="M5" s="27" t="s">
        <v>69</v>
      </c>
      <c r="N5" s="127" t="s">
        <v>70</v>
      </c>
      <c r="O5" s="127" t="s">
        <v>69</v>
      </c>
      <c r="P5" s="127" t="s">
        <v>69</v>
      </c>
      <c r="Q5" s="127" t="s">
        <v>69</v>
      </c>
      <c r="R5" s="127" t="s">
        <v>69</v>
      </c>
      <c r="S5" s="127" t="s">
        <v>70</v>
      </c>
      <c r="T5" s="127" t="s">
        <v>440</v>
      </c>
      <c r="U5" s="127" t="s">
        <v>67</v>
      </c>
    </row>
    <row r="6" spans="1:21" ht="30" customHeight="1" x14ac:dyDescent="0.25">
      <c r="A6" s="127" t="str">
        <f>'M-Agenda'!D3</f>
        <v>estaDisponible</v>
      </c>
      <c r="B6" s="128" t="str">
        <f>'M-Agenda'!D2</f>
        <v>Representa si en la agenda del barbero, el barbero puede o no trabajar en una fecha en especifico</v>
      </c>
      <c r="C6" s="127" t="s">
        <v>70</v>
      </c>
      <c r="D6" s="130" t="s">
        <v>158</v>
      </c>
      <c r="E6" s="127" t="s">
        <v>70</v>
      </c>
      <c r="F6" s="127" t="s">
        <v>69</v>
      </c>
      <c r="G6" s="127" t="s">
        <v>69</v>
      </c>
      <c r="H6" s="127" t="s">
        <v>69</v>
      </c>
      <c r="I6" s="127" t="s">
        <v>69</v>
      </c>
      <c r="J6" s="127" t="s">
        <v>69</v>
      </c>
      <c r="K6" s="127" t="s">
        <v>69</v>
      </c>
      <c r="L6" s="127" t="s">
        <v>69</v>
      </c>
      <c r="M6" s="127" t="s">
        <v>69</v>
      </c>
      <c r="N6" s="127" t="s">
        <v>70</v>
      </c>
      <c r="O6" s="127" t="s">
        <v>69</v>
      </c>
      <c r="P6" s="127" t="s">
        <v>69</v>
      </c>
      <c r="Q6" s="127" t="s">
        <v>69</v>
      </c>
      <c r="R6" s="127" t="s">
        <v>69</v>
      </c>
      <c r="S6" s="127" t="s">
        <v>70</v>
      </c>
      <c r="T6" s="127" t="s">
        <v>67</v>
      </c>
      <c r="U6" s="127" t="s">
        <v>70</v>
      </c>
    </row>
    <row r="8" spans="1:21" ht="15" customHeight="1" x14ac:dyDescent="0.25">
      <c r="A8" s="28" t="s">
        <v>75</v>
      </c>
      <c r="B8" s="28" t="s">
        <v>76</v>
      </c>
      <c r="C8" s="28" t="s">
        <v>77</v>
      </c>
    </row>
    <row r="9" spans="1:21" ht="21" customHeight="1" x14ac:dyDescent="0.25">
      <c r="A9" s="182" t="str">
        <f>'M-Agenda'!E3</f>
        <v xml:space="preserve">Combinación única </v>
      </c>
      <c r="B9" s="183" t="str">
        <f>'M-Agenda'!E2</f>
        <v>Combinación única que indica que un mismo horario de barbero no puede tener más de una agenda para el mismo día</v>
      </c>
      <c r="C9" s="29" t="str">
        <f>A4</f>
        <v>horarioDelBarbero</v>
      </c>
    </row>
    <row r="10" spans="1:21" ht="21.75" customHeight="1" x14ac:dyDescent="0.25">
      <c r="A10" s="182"/>
      <c r="B10" s="182"/>
      <c r="C10" s="29" t="str">
        <f>A5</f>
        <v>fecha</v>
      </c>
    </row>
  </sheetData>
  <mergeCells count="2">
    <mergeCell ref="A9:A10"/>
    <mergeCell ref="B9:B10"/>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A3" location="'M-Agenda'!A3" display="#'M-Agenda'.A3" xr:uid="{00000000-0004-0000-2E00-000002000000}"/>
    <hyperlink ref="B3" location="'M-Agenda'!A2" display="#'M-Agenda'.A2" xr:uid="{00000000-0004-0000-2E00-000003000000}"/>
    <hyperlink ref="A4" location="'M-Agenda'!A3" display="#'M-Agenda'.A3" xr:uid="{00000000-0004-0000-2E00-000004000000}"/>
    <hyperlink ref="B4" location="'M-Agenda'!A2" display="#'M-Agenda'.A2" xr:uid="{00000000-0004-0000-2E00-000005000000}"/>
    <hyperlink ref="D4" location="'C-HorarioBarbero'!A1" display="HorarioBarbero" xr:uid="{00000000-0004-0000-2E00-000006000000}"/>
    <hyperlink ref="A5" location="'M-Agenda'!A3" display="#'M-Agenda'.A3" xr:uid="{00000000-0004-0000-2E00-000007000000}"/>
    <hyperlink ref="B5" location="'M-Agenda'!A2" display="#'M-Agenda'.A2" xr:uid="{00000000-0004-0000-2E00-000008000000}"/>
    <hyperlink ref="A9" location="'M-Agenda'!A3" display="#'M-Agenda'.A3" xr:uid="{00000000-0004-0000-2E00-000009000000}"/>
    <hyperlink ref="B9" location="'M-Agenda'!A2" display="#'M-Agenda'.A2" xr:uid="{00000000-0004-0000-2E00-00000A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7"/>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Dominio'!A14</f>
        <v>Agenda</v>
      </c>
      <c r="C2" s="11"/>
      <c r="D2" s="11"/>
      <c r="E2" s="11"/>
    </row>
    <row r="3" spans="1:5" ht="30" customHeight="1" x14ac:dyDescent="0.25">
      <c r="A3" s="33" t="s">
        <v>84</v>
      </c>
      <c r="B3" s="10" t="str">
        <f>'Objetos de Dominio'!B14</f>
        <v>Representa un día puntual del calendario en el que un barbero, según su horario de trabajo, va a recibir citas. Es donde se agrupan todas las citas de ese barbero para ese día</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472</v>
      </c>
      <c r="B6" s="2" t="s">
        <v>473</v>
      </c>
      <c r="C6" s="2"/>
      <c r="D6" s="55" t="s">
        <v>35</v>
      </c>
      <c r="E6" s="55"/>
    </row>
    <row r="7" spans="1:5" ht="30" customHeight="1" x14ac:dyDescent="0.25">
      <c r="A7" s="55" t="s">
        <v>474</v>
      </c>
      <c r="B7" s="2" t="s">
        <v>475</v>
      </c>
      <c r="C7" s="2"/>
      <c r="D7" s="55" t="s">
        <v>25</v>
      </c>
      <c r="E7" s="55"/>
    </row>
  </sheetData>
  <mergeCells count="8">
    <mergeCell ref="B6:C6"/>
    <mergeCell ref="B7:C7"/>
    <mergeCell ref="B2:E2"/>
    <mergeCell ref="B3:E3"/>
    <mergeCell ref="A4:A5"/>
    <mergeCell ref="B4:C5"/>
    <mergeCell ref="D4:D5"/>
    <mergeCell ref="E4:E5"/>
  </mergeCells>
  <hyperlinks>
    <hyperlink ref="A1" r:id="rId1" location="'Modelo%20de%20Dominio'!A1" xr:uid="{00000000-0004-0000-2F00-000000000000}"/>
    <hyperlink ref="B1" r:id="rId2" location="'Objetos%20de%20Dominio'!A1" xr:uid="{00000000-0004-0000-2F00-000001000000}"/>
    <hyperlink ref="C1" r:id="rId3" location="'C-Agenda'!A1" xr:uid="{00000000-0004-0000-2F00-000002000000}"/>
    <hyperlink ref="D1" r:id="rId4" location="'M-Agenda'!A1" xr:uid="{00000000-0004-0000-2F00-000003000000}"/>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1"/>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Dominio'!A14</f>
        <v>Agenda</v>
      </c>
      <c r="C2" s="11"/>
      <c r="D2" s="11"/>
      <c r="E2" s="11"/>
      <c r="F2" s="11"/>
      <c r="G2" s="11"/>
      <c r="H2" s="11"/>
      <c r="I2" s="11"/>
      <c r="J2" s="11"/>
      <c r="K2" s="11"/>
    </row>
    <row r="3" spans="1:11" ht="30" customHeight="1" x14ac:dyDescent="0.25">
      <c r="A3" s="33" t="s">
        <v>84</v>
      </c>
      <c r="B3" s="10" t="str">
        <f>'Objetos de Dominio'!B14</f>
        <v>Representa un día puntual del calendario en el que un barbero, según su horario de trabajo, va a recibir citas. Es donde se agrupan todas las citas de ese barbero para ese día</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476</v>
      </c>
      <c r="B7" s="2" t="s">
        <v>477</v>
      </c>
      <c r="C7" s="2" t="s">
        <v>478</v>
      </c>
      <c r="D7" s="3" t="str">
        <f>$B$2</f>
        <v>Agenda</v>
      </c>
      <c r="E7" s="2"/>
      <c r="F7" s="2"/>
      <c r="G7" s="40" t="str">
        <f>'P-Agenda'!A6</f>
        <v>P-AGE-0001</v>
      </c>
      <c r="H7" s="41"/>
      <c r="I7" s="3"/>
      <c r="J7" s="2" t="s">
        <v>479</v>
      </c>
      <c r="K7" s="2"/>
    </row>
    <row r="8" spans="1:11" ht="30" customHeight="1" x14ac:dyDescent="0.25">
      <c r="A8" s="3"/>
      <c r="B8" s="3"/>
      <c r="C8" s="3"/>
      <c r="D8" s="3"/>
      <c r="E8" s="3"/>
      <c r="F8" s="3"/>
      <c r="G8" s="40" t="str">
        <f>'P-Agenda'!A7</f>
        <v>P-AGE-0002</v>
      </c>
      <c r="H8" s="41"/>
      <c r="I8" s="3"/>
      <c r="J8" s="3"/>
      <c r="K8" s="3"/>
    </row>
    <row r="9" spans="1:11" ht="30" customHeight="1" x14ac:dyDescent="0.25">
      <c r="A9" s="40" t="s">
        <v>27</v>
      </c>
      <c r="B9" s="35" t="s">
        <v>480</v>
      </c>
      <c r="C9" s="35" t="s">
        <v>481</v>
      </c>
      <c r="D9" s="40" t="str">
        <f>$B$2</f>
        <v>Agenda</v>
      </c>
      <c r="E9" s="35"/>
      <c r="F9" s="35"/>
      <c r="G9" s="40"/>
      <c r="H9" s="41"/>
      <c r="I9" s="40"/>
      <c r="J9" s="35" t="s">
        <v>482</v>
      </c>
      <c r="K9" s="35"/>
    </row>
    <row r="10" spans="1:11" ht="30" customHeight="1" x14ac:dyDescent="0.25">
      <c r="A10" s="40" t="s">
        <v>25</v>
      </c>
      <c r="B10" s="35" t="s">
        <v>483</v>
      </c>
      <c r="C10" s="35" t="s">
        <v>484</v>
      </c>
      <c r="D10" s="40" t="str">
        <f>$B$2</f>
        <v>Agenda</v>
      </c>
      <c r="E10" s="35"/>
      <c r="F10" s="35"/>
      <c r="G10" s="40"/>
      <c r="H10" s="41"/>
      <c r="I10" s="40"/>
      <c r="J10" s="35" t="s">
        <v>485</v>
      </c>
      <c r="K10" s="35"/>
    </row>
    <row r="11" spans="1:11" ht="30" customHeight="1" x14ac:dyDescent="0.25">
      <c r="A11" s="40" t="s">
        <v>27</v>
      </c>
      <c r="B11" s="35" t="s">
        <v>483</v>
      </c>
      <c r="C11" s="35" t="s">
        <v>484</v>
      </c>
      <c r="D11" s="40" t="str">
        <f>$B$2</f>
        <v>Agenda</v>
      </c>
      <c r="E11" s="35"/>
      <c r="F11" s="35"/>
      <c r="G11" s="40"/>
      <c r="H11" s="41"/>
      <c r="I11" s="40"/>
      <c r="J11" s="35" t="s">
        <v>485</v>
      </c>
      <c r="K11" s="35"/>
    </row>
  </sheetData>
  <mergeCells count="28">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3000-000000000000}"/>
    <hyperlink ref="C1" r:id="rId2" location="'Objetos%20de%20Dominio'!A1" xr:uid="{00000000-0004-0000-3000-000001000000}"/>
    <hyperlink ref="F1" r:id="rId3" location="'C-Agenda'!A1" xr:uid="{00000000-0004-0000-3000-000002000000}"/>
    <hyperlink ref="J1" r:id="rId4" location="'M-Agenda'!A1" xr:uid="{00000000-0004-0000-3000-000003000000}"/>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3"/>
  <sheetViews>
    <sheetView zoomScale="115" zoomScaleNormal="115" workbookViewId="0">
      <selection activeCell="A2" sqref="A2"/>
    </sheetView>
  </sheetViews>
  <sheetFormatPr baseColWidth="10" defaultColWidth="10.7109375" defaultRowHeight="15" x14ac:dyDescent="0.25"/>
  <cols>
    <col min="1" max="1" width="27" customWidth="1"/>
    <col min="2" max="2" width="69.140625" customWidth="1"/>
    <col min="3" max="4" width="33.7109375" customWidth="1"/>
    <col min="5" max="5" width="80.85546875" customWidth="1"/>
  </cols>
  <sheetData>
    <row r="1" spans="1:5" ht="14.25" customHeight="1" x14ac:dyDescent="0.25">
      <c r="A1" s="13" t="s">
        <v>1</v>
      </c>
      <c r="B1" s="13" t="s">
        <v>45</v>
      </c>
      <c r="C1" s="56"/>
      <c r="D1" s="56"/>
    </row>
    <row r="2" spans="1:5" ht="36" customHeight="1" x14ac:dyDescent="0.25">
      <c r="A2" s="42" t="s">
        <v>111</v>
      </c>
      <c r="B2" s="42" t="s">
        <v>486</v>
      </c>
      <c r="C2" s="42" t="s">
        <v>487</v>
      </c>
      <c r="D2" s="42" t="s">
        <v>488</v>
      </c>
      <c r="E2" s="43" t="s">
        <v>489</v>
      </c>
    </row>
    <row r="3" spans="1:5" ht="14.25" customHeight="1" x14ac:dyDescent="0.25">
      <c r="A3" s="44" t="s">
        <v>114</v>
      </c>
      <c r="B3" s="133" t="s">
        <v>490</v>
      </c>
      <c r="C3" s="144" t="s">
        <v>491</v>
      </c>
      <c r="D3" s="111" t="s">
        <v>492</v>
      </c>
      <c r="E3" s="46" t="s">
        <v>115</v>
      </c>
    </row>
    <row r="4" spans="1:5" ht="14.25" customHeight="1" x14ac:dyDescent="0.25">
      <c r="A4" s="47">
        <v>1</v>
      </c>
      <c r="B4" s="107" t="str">
        <f>'M-HorarioBarbero'!I4</f>
        <v>+57-3245627890-Lunes-09:00-19:00-11/03/2023-1/01/1000-10:00-16:00-si</v>
      </c>
      <c r="C4" s="145">
        <v>46265</v>
      </c>
      <c r="D4" s="145" t="s">
        <v>67</v>
      </c>
      <c r="E4" s="47" t="str">
        <f t="shared" ref="E4:E12" si="0">_xlfn.CONCAT(B4,"-",TEXT(C4,"dd/mm/yyyy"))</f>
        <v>+57-3245627890-Lunes-09:00-19:00-11/03/2023-1/01/1000-10:00-16:00-si-31/08/2026</v>
      </c>
    </row>
    <row r="5" spans="1:5" ht="14.25" customHeight="1" x14ac:dyDescent="0.25">
      <c r="A5" s="47">
        <v>2</v>
      </c>
      <c r="B5" s="107" t="str">
        <f>'M-HorarioBarbero'!I5</f>
        <v>+57-3124518923-Martes-09:00-19:00-09:00-15:00-si</v>
      </c>
      <c r="C5" s="145">
        <v>46091</v>
      </c>
      <c r="D5" s="145" t="s">
        <v>67</v>
      </c>
      <c r="E5" s="47" t="str">
        <f t="shared" si="0"/>
        <v>+57-3124518923-Martes-09:00-19:00-09:00-15:00-si-10/03/2026</v>
      </c>
    </row>
    <row r="6" spans="1:5" ht="14.25" customHeight="1" x14ac:dyDescent="0.25">
      <c r="A6" s="47">
        <v>3</v>
      </c>
      <c r="B6" s="107" t="str">
        <f>'M-HorarioBarbero'!I6</f>
        <v>+57-3214533321-Jueves-09:00-19:00-13:00-19:00-si</v>
      </c>
      <c r="C6" s="145">
        <v>46156</v>
      </c>
      <c r="D6" s="145" t="s">
        <v>67</v>
      </c>
      <c r="E6" s="47" t="str">
        <f t="shared" si="0"/>
        <v>+57-3214533321-Jueves-09:00-19:00-13:00-19:00-si-14/05/2026</v>
      </c>
    </row>
    <row r="7" spans="1:5" ht="14.25" customHeight="1" x14ac:dyDescent="0.25">
      <c r="A7" s="47">
        <v>4</v>
      </c>
      <c r="B7" s="107" t="str">
        <f>'M-HorarioBarbero'!I8</f>
        <v>+91-9876543210-Festivo-10:00-15:00-12:00-15:00-no</v>
      </c>
      <c r="C7" s="145">
        <v>46073</v>
      </c>
      <c r="D7" s="145" t="s">
        <v>67</v>
      </c>
      <c r="E7" s="47" t="str">
        <f t="shared" si="0"/>
        <v>+91-9876543210-Festivo-10:00-15:00-12:00-15:00-no-20/02/2026</v>
      </c>
    </row>
    <row r="8" spans="1:5" ht="14.25" customHeight="1" x14ac:dyDescent="0.25">
      <c r="A8" s="47">
        <v>5</v>
      </c>
      <c r="B8" s="107" t="str">
        <f>'M-HorarioBarbero'!I7</f>
        <v>+91-9876543210-Sábado-08:00-21:00-08:00-14:00-no</v>
      </c>
      <c r="C8" s="145">
        <v>45983</v>
      </c>
      <c r="D8" s="145" t="s">
        <v>67</v>
      </c>
      <c r="E8" s="47" t="str">
        <f t="shared" si="0"/>
        <v>+91-9876543210-Sábado-08:00-21:00-08:00-14:00-no-22/11/2025</v>
      </c>
    </row>
    <row r="9" spans="1:5" ht="14.25" customHeight="1" x14ac:dyDescent="0.25">
      <c r="A9" s="47">
        <v>6</v>
      </c>
      <c r="B9" s="107" t="str">
        <f>'M-HorarioBarbero'!I6</f>
        <v>+57-3214533321-Jueves-09:00-19:00-13:00-19:00-si</v>
      </c>
      <c r="C9" s="145">
        <v>46240</v>
      </c>
      <c r="D9" s="145" t="s">
        <v>67</v>
      </c>
      <c r="E9" s="47" t="str">
        <f t="shared" si="0"/>
        <v>+57-3214533321-Jueves-09:00-19:00-13:00-19:00-si-06/08/2026</v>
      </c>
    </row>
    <row r="10" spans="1:5" ht="14.25" customHeight="1" x14ac:dyDescent="0.25">
      <c r="A10" s="47">
        <v>7</v>
      </c>
      <c r="B10" s="107" t="str">
        <f>'M-HorarioBarbero'!I4</f>
        <v>+57-3245627890-Lunes-09:00-19:00-11/03/2023-1/01/1000-10:00-16:00-si</v>
      </c>
      <c r="C10" s="145">
        <v>46174</v>
      </c>
      <c r="D10" s="145" t="s">
        <v>67</v>
      </c>
      <c r="E10" s="47" t="str">
        <f t="shared" si="0"/>
        <v>+57-3245627890-Lunes-09:00-19:00-11/03/2023-1/01/1000-10:00-16:00-si-01/06/2026</v>
      </c>
    </row>
    <row r="11" spans="1:5" ht="14.25" customHeight="1" x14ac:dyDescent="0.25">
      <c r="A11" s="47">
        <v>8</v>
      </c>
      <c r="B11" s="107" t="str">
        <f>'M-HorarioBarbero'!I5</f>
        <v>+57-3124518923-Martes-09:00-19:00-09:00-15:00-si</v>
      </c>
      <c r="C11" s="145">
        <v>46189</v>
      </c>
      <c r="D11" s="145" t="s">
        <v>67</v>
      </c>
      <c r="E11" s="47" t="str">
        <f t="shared" si="0"/>
        <v>+57-3124518923-Martes-09:00-19:00-09:00-15:00-si-16/06/2026</v>
      </c>
    </row>
    <row r="12" spans="1:5" ht="14.25" customHeight="1" x14ac:dyDescent="0.25">
      <c r="A12" s="47">
        <v>9</v>
      </c>
      <c r="B12" s="107" t="str">
        <f>'M-HorarioBarbero'!I6</f>
        <v>+57-3214533321-Jueves-09:00-19:00-13:00-19:00-si</v>
      </c>
      <c r="C12" s="145">
        <v>46205</v>
      </c>
      <c r="D12" s="145" t="s">
        <v>67</v>
      </c>
      <c r="E12" s="47" t="str">
        <f t="shared" si="0"/>
        <v>+57-3214533321-Jueves-09:00-19:00-13:00-19:00-si-02/07/2026</v>
      </c>
    </row>
    <row r="13" spans="1:5" ht="14.25" customHeight="1" x14ac:dyDescent="0.25">
      <c r="B13" s="51"/>
    </row>
    <row r="14" spans="1:5" ht="14.25" customHeight="1" x14ac:dyDescent="0.25">
      <c r="B14" s="51"/>
    </row>
    <row r="15" spans="1:5" ht="14.25" customHeight="1" x14ac:dyDescent="0.25">
      <c r="B15" s="51"/>
    </row>
    <row r="16" spans="1:5" ht="14.25" customHeight="1" x14ac:dyDescent="0.25">
      <c r="B16" s="51"/>
    </row>
    <row r="17" spans="1:2" ht="14.25" customHeight="1" x14ac:dyDescent="0.25">
      <c r="B17" s="51"/>
    </row>
    <row r="18" spans="1:2" ht="14.25" customHeight="1" x14ac:dyDescent="0.25">
      <c r="A18" s="50"/>
      <c r="B18" s="51" t="s">
        <v>124</v>
      </c>
    </row>
    <row r="19" spans="1:2" ht="27.75" customHeight="1" x14ac:dyDescent="0.25">
      <c r="A19" s="52"/>
      <c r="B19" s="51" t="s">
        <v>125</v>
      </c>
    </row>
    <row r="20" spans="1:2" ht="14.25" customHeight="1" x14ac:dyDescent="0.25">
      <c r="A20" s="77"/>
      <c r="B20" t="s">
        <v>315</v>
      </c>
    </row>
    <row r="21" spans="1:2" ht="14.25" customHeight="1" x14ac:dyDescent="0.25">
      <c r="A21" s="146"/>
      <c r="B21" t="s">
        <v>493</v>
      </c>
    </row>
    <row r="22" spans="1:2" ht="14.25" customHeight="1" x14ac:dyDescent="0.25">
      <c r="A22" s="80"/>
      <c r="B22" s="51" t="s">
        <v>316</v>
      </c>
    </row>
    <row r="23" spans="1:2" ht="14.25" customHeight="1" x14ac:dyDescent="0.25">
      <c r="A23" s="54"/>
      <c r="B23" t="s">
        <v>127</v>
      </c>
    </row>
  </sheetData>
  <hyperlinks>
    <hyperlink ref="A1" location="'Modelo de Dominio'!A1" display="&lt;&lt;&lt;&lt; Ir al modulo de dominio" xr:uid="{00000000-0004-0000-3100-000000000000}"/>
    <hyperlink ref="B1" location="'Objetos de Dominio'!A1" display="&lt;&lt;&lt;&lt; Ir a objetos de dominio" xr:uid="{00000000-0004-0000-3100-000001000000}"/>
    <hyperlink ref="B3" location="'M-HorarioBarbero'!A1" display="horarioDelBarbero" xr:uid="{00000000-0004-0000-3100-000002000000}"/>
    <hyperlink ref="B4" location="'M-HorarioBarbero'!A4" display="#'M-HorarioBarbero'.A4" xr:uid="{00000000-0004-0000-3100-000003000000}"/>
    <hyperlink ref="B5" location="'M-HorarioBarbero'!A5" display="#'M-HorarioBarbero'.A5" xr:uid="{00000000-0004-0000-3100-000004000000}"/>
    <hyperlink ref="B6" location="'M-HorarioBarbero'!A6" display="#'M-HorarioBarbero'.A6" xr:uid="{00000000-0004-0000-3100-000005000000}"/>
    <hyperlink ref="B7" location="'M-HorarioBarbero'!A8" display="#'M-HorarioBarbero'.A8" xr:uid="{00000000-0004-0000-3100-000006000000}"/>
    <hyperlink ref="B8" location="'M-HorarioBarbero'!A7" display="#'M-HorarioBarbero'.A7" xr:uid="{00000000-0004-0000-3100-000007000000}"/>
    <hyperlink ref="B9" location="'M-HorarioBarbero'!A6" display="#'M-HorarioBarbero'.A6" xr:uid="{00000000-0004-0000-3100-000008000000}"/>
    <hyperlink ref="B10" location="'M-HorarioBarbero'!A4" display="#'M-HorarioBarbero'.A4" xr:uid="{00000000-0004-0000-3100-000009000000}"/>
    <hyperlink ref="B11" location="'M-HorarioBarbero'!A5" display="#'M-HorarioBarbero'.A5" xr:uid="{00000000-0004-0000-3100-00000A000000}"/>
    <hyperlink ref="B12" location="'M-HorarioBarbero'!A6" display="#'M-HorarioBarbero'.A6" xr:uid="{00000000-0004-0000-3100-00000B000000}"/>
  </hyperlinks>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12"/>
  <sheetViews>
    <sheetView topLeftCell="D1" zoomScaleNormal="100" workbookViewId="0">
      <selection activeCell="M8" sqref="M8"/>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12" width="18" customWidth="1"/>
    <col min="13" max="13" width="40"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'M-Bloqueo'!A3</f>
        <v>id</v>
      </c>
      <c r="B3" s="128" t="str">
        <f>'M-Bloqueo'!A2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70</v>
      </c>
      <c r="P3" s="127" t="s">
        <v>69</v>
      </c>
      <c r="Q3" s="127" t="s">
        <v>70</v>
      </c>
      <c r="R3" s="127" t="s">
        <v>70</v>
      </c>
      <c r="S3" s="127" t="s">
        <v>70</v>
      </c>
      <c r="T3" s="127" t="s">
        <v>71</v>
      </c>
      <c r="U3" s="127" t="s">
        <v>67</v>
      </c>
    </row>
    <row r="4" spans="1:21" ht="30" customHeight="1" x14ac:dyDescent="0.25">
      <c r="A4" s="127" t="str">
        <f>'M-Bloqueo'!B3</f>
        <v>agenda</v>
      </c>
      <c r="B4" s="128" t="str">
        <f>'M-Bloqueo'!B2</f>
        <v>Referencia en cual agenda va a estar esta el bloqueo</v>
      </c>
      <c r="C4" s="127" t="s">
        <v>70</v>
      </c>
      <c r="D4" s="129" t="s">
        <v>35</v>
      </c>
      <c r="E4" s="127" t="s">
        <v>67</v>
      </c>
      <c r="F4" s="127" t="s">
        <v>69</v>
      </c>
      <c r="G4" s="127" t="s">
        <v>69</v>
      </c>
      <c r="H4" s="127" t="s">
        <v>69</v>
      </c>
      <c r="I4" s="127" t="s">
        <v>69</v>
      </c>
      <c r="J4" s="127" t="s">
        <v>69</v>
      </c>
      <c r="K4" s="127" t="s">
        <v>69</v>
      </c>
      <c r="L4" s="127" t="s">
        <v>69</v>
      </c>
      <c r="M4" s="27" t="s">
        <v>319</v>
      </c>
      <c r="N4" s="127" t="s">
        <v>70</v>
      </c>
      <c r="O4" s="127" t="s">
        <v>69</v>
      </c>
      <c r="P4" s="127" t="s">
        <v>69</v>
      </c>
      <c r="Q4" s="127" t="s">
        <v>69</v>
      </c>
      <c r="R4" s="127" t="s">
        <v>69</v>
      </c>
      <c r="S4" s="127" t="s">
        <v>70</v>
      </c>
      <c r="T4" s="127" t="s">
        <v>71</v>
      </c>
      <c r="U4" s="127" t="s">
        <v>70</v>
      </c>
    </row>
    <row r="5" spans="1:21" ht="30" customHeight="1" x14ac:dyDescent="0.25">
      <c r="A5" s="127" t="str">
        <f>'M-Bloqueo'!C3</f>
        <v>horaInicio</v>
      </c>
      <c r="B5" s="128" t="str">
        <f>'M-Bloqueo'!C2</f>
        <v>Representa la hora en el que el barbero empiza el bloqueo en su agenda</v>
      </c>
      <c r="C5" s="127" t="s">
        <v>70</v>
      </c>
      <c r="D5" s="130" t="s">
        <v>370</v>
      </c>
      <c r="E5" s="127" t="s">
        <v>67</v>
      </c>
      <c r="F5" s="127" t="s">
        <v>69</v>
      </c>
      <c r="G5" s="127" t="s">
        <v>69</v>
      </c>
      <c r="H5" s="127" t="s">
        <v>69</v>
      </c>
      <c r="I5" s="127" t="s">
        <v>69</v>
      </c>
      <c r="J5" s="127" t="s">
        <v>69</v>
      </c>
      <c r="K5" s="127" t="s">
        <v>69</v>
      </c>
      <c r="L5" s="127" t="s">
        <v>69</v>
      </c>
      <c r="M5" s="27" t="s">
        <v>494</v>
      </c>
      <c r="N5" s="127" t="s">
        <v>70</v>
      </c>
      <c r="O5" s="127" t="s">
        <v>69</v>
      </c>
      <c r="P5" s="127" t="s">
        <v>69</v>
      </c>
      <c r="Q5" s="127" t="s">
        <v>69</v>
      </c>
      <c r="R5" s="127" t="s">
        <v>69</v>
      </c>
      <c r="S5" s="127" t="s">
        <v>70</v>
      </c>
      <c r="T5" s="147">
        <v>0</v>
      </c>
      <c r="U5" s="127" t="s">
        <v>70</v>
      </c>
    </row>
    <row r="6" spans="1:21" ht="30" customHeight="1" x14ac:dyDescent="0.25">
      <c r="A6" s="127" t="str">
        <f>'M-Bloqueo'!D3</f>
        <v>horaFin</v>
      </c>
      <c r="B6" s="128" t="str">
        <f>'M-Bloqueo'!D2</f>
        <v>Representa la hora en el que el barbero termina el bloqueo en su agenda</v>
      </c>
      <c r="C6" s="127" t="s">
        <v>70</v>
      </c>
      <c r="D6" s="130" t="s">
        <v>370</v>
      </c>
      <c r="E6" s="127" t="s">
        <v>67</v>
      </c>
      <c r="F6" s="127" t="s">
        <v>69</v>
      </c>
      <c r="G6" s="127" t="s">
        <v>69</v>
      </c>
      <c r="H6" s="127" t="s">
        <v>69</v>
      </c>
      <c r="I6" s="127" t="s">
        <v>69</v>
      </c>
      <c r="J6" s="127" t="s">
        <v>69</v>
      </c>
      <c r="K6" s="127" t="s">
        <v>69</v>
      </c>
      <c r="L6" s="127" t="s">
        <v>69</v>
      </c>
      <c r="M6" s="27" t="s">
        <v>495</v>
      </c>
      <c r="N6" s="127" t="s">
        <v>70</v>
      </c>
      <c r="O6" s="127" t="s">
        <v>69</v>
      </c>
      <c r="P6" s="127" t="s">
        <v>69</v>
      </c>
      <c r="Q6" s="127" t="s">
        <v>69</v>
      </c>
      <c r="R6" s="127" t="s">
        <v>69</v>
      </c>
      <c r="S6" s="127" t="s">
        <v>70</v>
      </c>
      <c r="T6" s="147">
        <v>0</v>
      </c>
      <c r="U6" s="127" t="s">
        <v>70</v>
      </c>
    </row>
    <row r="7" spans="1:21" ht="27.75" customHeight="1" x14ac:dyDescent="0.25">
      <c r="A7" s="127" t="str">
        <f>'M-Bloqueo'!E3</f>
        <v>motivo</v>
      </c>
      <c r="B7" s="128" t="str">
        <f>'M-Bloqueo'!E2</f>
        <v>Representa el motivo poe el cual el barbero no puede atender la agenda en ese momento</v>
      </c>
      <c r="C7" s="127" t="s">
        <v>70</v>
      </c>
      <c r="D7" s="130" t="s">
        <v>72</v>
      </c>
      <c r="E7" s="127" t="s">
        <v>70</v>
      </c>
      <c r="F7" s="131">
        <v>0</v>
      </c>
      <c r="G7" s="131">
        <v>100</v>
      </c>
      <c r="H7" s="127" t="s">
        <v>69</v>
      </c>
      <c r="I7" s="127" t="s">
        <v>69</v>
      </c>
      <c r="J7" s="127" t="s">
        <v>69</v>
      </c>
      <c r="K7" s="127" t="s">
        <v>69</v>
      </c>
      <c r="L7" s="127" t="s">
        <v>69</v>
      </c>
      <c r="M7" s="27" t="s">
        <v>496</v>
      </c>
      <c r="N7" s="127" t="s">
        <v>70</v>
      </c>
      <c r="O7" s="127" t="s">
        <v>69</v>
      </c>
      <c r="P7" s="127" t="s">
        <v>69</v>
      </c>
      <c r="Q7" s="127" t="s">
        <v>67</v>
      </c>
      <c r="R7" s="127" t="s">
        <v>67</v>
      </c>
      <c r="S7" s="127" t="s">
        <v>70</v>
      </c>
      <c r="T7" s="147" t="s">
        <v>74</v>
      </c>
      <c r="U7" s="127" t="s">
        <v>70</v>
      </c>
    </row>
    <row r="8" spans="1:21" ht="15" customHeight="1" x14ac:dyDescent="0.25"/>
    <row r="9" spans="1:21" ht="21" customHeight="1" x14ac:dyDescent="0.25">
      <c r="A9" s="28" t="s">
        <v>75</v>
      </c>
      <c r="B9" s="28" t="s">
        <v>76</v>
      </c>
      <c r="C9" s="28" t="s">
        <v>77</v>
      </c>
    </row>
    <row r="10" spans="1:21" ht="21.75" customHeight="1" x14ac:dyDescent="0.25">
      <c r="A10" s="182" t="str">
        <f>'M-Bloqueo'!F3</f>
        <v xml:space="preserve">Combinación única </v>
      </c>
      <c r="B10" s="183" t="str">
        <f>'M-Bloqueo'!F2</f>
        <v>Combinación única que indica que una misma agenda no puede tener dos bloqueos con la misma hora de inicio y hora de fin</v>
      </c>
      <c r="C10" s="29" t="str">
        <f>A4</f>
        <v>agenda</v>
      </c>
    </row>
    <row r="11" spans="1:21" ht="15" customHeight="1" x14ac:dyDescent="0.25">
      <c r="A11" s="182"/>
      <c r="B11" s="182"/>
      <c r="C11" s="29" t="str">
        <f>A5</f>
        <v>horaInicio</v>
      </c>
    </row>
    <row r="12" spans="1:21" ht="15" customHeight="1" x14ac:dyDescent="0.25">
      <c r="A12" s="182"/>
      <c r="B12" s="182"/>
      <c r="C12" s="29" t="str">
        <f>A6</f>
        <v>horaFin</v>
      </c>
    </row>
  </sheetData>
  <mergeCells count="2">
    <mergeCell ref="A10:A12"/>
    <mergeCell ref="B10:B12"/>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A3" location="'M-Agenda'!A3" display="#'M-Agenda'.A3" xr:uid="{00000000-0004-0000-3200-000002000000}"/>
    <hyperlink ref="B3" location="'M-Agenda'!A2" display="#'M-Agenda'.A2" xr:uid="{00000000-0004-0000-3200-000003000000}"/>
    <hyperlink ref="D4" location="'C-Agenda'!A1" display="Agenda" xr:uid="{00000000-0004-0000-3200-000004000000}"/>
    <hyperlink ref="A9" location="'M-Agenda'!A3" display="Nombre combinación única" xr:uid="{00000000-0004-0000-3200-000005000000}"/>
    <hyperlink ref="B9" location="'M-Agenda'!A2" display="Descripción" xr:uid="{00000000-0004-0000-3200-000006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8"/>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Dominio'!A15</f>
        <v>Bloqueo</v>
      </c>
      <c r="C2" s="11"/>
      <c r="D2" s="11"/>
      <c r="E2" s="11"/>
    </row>
    <row r="3" spans="1:5" ht="30" customHeight="1" x14ac:dyDescent="0.25">
      <c r="A3" s="33" t="s">
        <v>84</v>
      </c>
      <c r="B3" s="10" t="str">
        <f>'Objetos de Dominio'!B15</f>
        <v>Representa una parte de la agenda, en donde el barbero no puede trabajar en un momento dado, debido algún compromiso o inveniente que se le presento</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497</v>
      </c>
      <c r="B6" s="2" t="s">
        <v>498</v>
      </c>
      <c r="C6" s="2"/>
      <c r="D6" s="55" t="s">
        <v>37</v>
      </c>
      <c r="E6" s="55"/>
    </row>
    <row r="7" spans="1:5" ht="30" customHeight="1" x14ac:dyDescent="0.25">
      <c r="A7" s="55" t="s">
        <v>499</v>
      </c>
      <c r="B7" s="2" t="s">
        <v>500</v>
      </c>
      <c r="C7" s="2"/>
      <c r="D7" s="55" t="s">
        <v>33</v>
      </c>
      <c r="E7" s="55"/>
    </row>
    <row r="8" spans="1:5" ht="30" customHeight="1" x14ac:dyDescent="0.25">
      <c r="A8" s="55" t="s">
        <v>501</v>
      </c>
      <c r="B8" s="2" t="s">
        <v>502</v>
      </c>
      <c r="C8" s="2"/>
      <c r="D8" s="55" t="s">
        <v>39</v>
      </c>
      <c r="E8" s="55"/>
    </row>
  </sheetData>
  <mergeCells count="9">
    <mergeCell ref="B6:C6"/>
    <mergeCell ref="B7:C7"/>
    <mergeCell ref="B8:C8"/>
    <mergeCell ref="B2:E2"/>
    <mergeCell ref="B3:E3"/>
    <mergeCell ref="A4:A5"/>
    <mergeCell ref="B4:C5"/>
    <mergeCell ref="D4:D5"/>
    <mergeCell ref="E4:E5"/>
  </mergeCells>
  <hyperlinks>
    <hyperlink ref="A1" r:id="rId1" location="'Modelo%20de%20Dominio'!A1" xr:uid="{00000000-0004-0000-3300-000000000000}"/>
    <hyperlink ref="B1" r:id="rId2" location="'Objetos%20de%20Dominio'!A1" xr:uid="{00000000-0004-0000-3300-000001000000}"/>
    <hyperlink ref="C1" r:id="rId3" location="'C-Bloqueo'!A1" xr:uid="{00000000-0004-0000-3300-000002000000}"/>
    <hyperlink ref="D1" r:id="rId4" location="'M-Bloqueo'!A1" xr:uid="{00000000-0004-0000-3300-000003000000}"/>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1"/>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Dominio'!A15</f>
        <v>Bloqueo</v>
      </c>
      <c r="C2" s="11"/>
      <c r="D2" s="11"/>
      <c r="E2" s="11"/>
      <c r="F2" s="11"/>
      <c r="G2" s="11"/>
      <c r="H2" s="11"/>
      <c r="I2" s="11"/>
      <c r="J2" s="11"/>
      <c r="K2" s="11"/>
    </row>
    <row r="3" spans="1:11" ht="30" customHeight="1" x14ac:dyDescent="0.25">
      <c r="A3" s="33" t="s">
        <v>84</v>
      </c>
      <c r="B3" s="10" t="str">
        <f>'Objetos de Dominio'!B15</f>
        <v>Representa una parte de la agenda, en donde el barbero no puede trabajar en un momento dado, debido algún compromiso o inveniente que se le presento</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25</v>
      </c>
      <c r="B7" s="2" t="s">
        <v>503</v>
      </c>
      <c r="C7" s="2" t="s">
        <v>504</v>
      </c>
      <c r="D7" s="3" t="str">
        <f>$B$2</f>
        <v>Bloqueo</v>
      </c>
      <c r="E7" s="2"/>
      <c r="F7" s="2"/>
      <c r="G7" s="40" t="str">
        <f>'P-Bloqueo'!A6</f>
        <v>P-BLO-0001</v>
      </c>
      <c r="H7" s="41"/>
      <c r="I7" s="3"/>
      <c r="J7" s="2" t="s">
        <v>505</v>
      </c>
      <c r="K7" s="2"/>
    </row>
    <row r="8" spans="1:11" ht="30" customHeight="1" x14ac:dyDescent="0.25">
      <c r="A8" s="3"/>
      <c r="B8" s="3"/>
      <c r="C8" s="3"/>
      <c r="D8" s="3"/>
      <c r="E8" s="3"/>
      <c r="F8" s="3"/>
      <c r="G8" s="40" t="str">
        <f>'P-Bloqueo'!A7</f>
        <v>P-BLO-0002</v>
      </c>
      <c r="H8" s="41"/>
      <c r="I8" s="3"/>
      <c r="J8" s="3"/>
      <c r="K8" s="3"/>
    </row>
    <row r="9" spans="1:11" ht="30" customHeight="1" x14ac:dyDescent="0.25">
      <c r="A9" s="3"/>
      <c r="B9" s="3"/>
      <c r="C9" s="3"/>
      <c r="D9" s="3"/>
      <c r="E9" s="3"/>
      <c r="F9" s="3"/>
      <c r="G9" s="40" t="str">
        <f>'P-Bloqueo'!A8</f>
        <v>P-BLO-0003</v>
      </c>
      <c r="H9" s="41"/>
      <c r="I9" s="3"/>
      <c r="J9" s="3"/>
      <c r="K9" s="3"/>
    </row>
    <row r="10" spans="1:11" ht="30" customHeight="1" x14ac:dyDescent="0.25">
      <c r="A10" s="40" t="s">
        <v>25</v>
      </c>
      <c r="B10" s="35" t="s">
        <v>506</v>
      </c>
      <c r="C10" s="35" t="s">
        <v>507</v>
      </c>
      <c r="D10" s="40" t="str">
        <f>$B$2</f>
        <v>Bloqueo</v>
      </c>
      <c r="E10" s="35"/>
      <c r="F10" s="35"/>
      <c r="G10" s="40"/>
      <c r="H10" s="41"/>
      <c r="I10" s="40"/>
      <c r="J10" s="35" t="s">
        <v>508</v>
      </c>
      <c r="K10" s="35"/>
    </row>
    <row r="11" spans="1:11" ht="30" customHeight="1" x14ac:dyDescent="0.25">
      <c r="A11" s="40" t="s">
        <v>25</v>
      </c>
      <c r="B11" s="35" t="s">
        <v>509</v>
      </c>
      <c r="C11" s="35" t="s">
        <v>510</v>
      </c>
      <c r="D11" s="40" t="str">
        <f>$B$2</f>
        <v>Bloqueo</v>
      </c>
      <c r="E11" s="35"/>
      <c r="F11" s="35"/>
      <c r="G11" s="40"/>
      <c r="H11" s="41"/>
      <c r="I11" s="40"/>
      <c r="J11" s="35" t="s">
        <v>511</v>
      </c>
      <c r="K11" s="35"/>
    </row>
  </sheetData>
  <mergeCells count="28">
    <mergeCell ref="F7:F9"/>
    <mergeCell ref="I7:I9"/>
    <mergeCell ref="J7:J9"/>
    <mergeCell ref="K7:K9"/>
    <mergeCell ref="A7:A9"/>
    <mergeCell ref="B7:B9"/>
    <mergeCell ref="C7:C9"/>
    <mergeCell ref="D7:D9"/>
    <mergeCell ref="E7:E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3400-000000000000}"/>
    <hyperlink ref="C1" r:id="rId2" location="'Objetos%20de%20Dominio'!A1" xr:uid="{00000000-0004-0000-3400-000001000000}"/>
    <hyperlink ref="F1" r:id="rId3" location="'C-Bloqueo'!A1" xr:uid="{00000000-0004-0000-3400-000002000000}"/>
    <hyperlink ref="J1" r:id="rId4" location="'M-Bloqueo'!A1" xr:uid="{00000000-0004-0000-3400-000003000000}"/>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3"/>
  <sheetViews>
    <sheetView zoomScale="145" zoomScaleNormal="145" workbookViewId="0">
      <selection activeCell="B1" sqref="B1"/>
    </sheetView>
  </sheetViews>
  <sheetFormatPr baseColWidth="10" defaultColWidth="10.7109375" defaultRowHeight="15" x14ac:dyDescent="0.25"/>
  <cols>
    <col min="1" max="1" width="27" customWidth="1"/>
    <col min="2" max="2" width="69.140625" customWidth="1"/>
    <col min="3" max="4" width="33.7109375" customWidth="1"/>
    <col min="5" max="5" width="61.42578125" customWidth="1"/>
    <col min="6" max="6" width="80.85546875" customWidth="1"/>
  </cols>
  <sheetData>
    <row r="1" spans="1:6" ht="14.25" customHeight="1" x14ac:dyDescent="0.25">
      <c r="A1" s="13" t="s">
        <v>1</v>
      </c>
      <c r="B1" s="13" t="s">
        <v>45</v>
      </c>
      <c r="C1" s="56"/>
      <c r="D1" s="56"/>
      <c r="E1" s="56"/>
    </row>
    <row r="2" spans="1:6" ht="36" customHeight="1" x14ac:dyDescent="0.25">
      <c r="A2" s="42" t="s">
        <v>111</v>
      </c>
      <c r="B2" s="148" t="s">
        <v>512</v>
      </c>
      <c r="C2" s="42" t="s">
        <v>513</v>
      </c>
      <c r="D2" s="42" t="s">
        <v>514</v>
      </c>
      <c r="E2" s="42" t="s">
        <v>515</v>
      </c>
      <c r="F2" s="43" t="s">
        <v>516</v>
      </c>
    </row>
    <row r="3" spans="1:6" ht="14.25" customHeight="1" x14ac:dyDescent="0.25">
      <c r="A3" s="44" t="s">
        <v>114</v>
      </c>
      <c r="B3" s="149" t="s">
        <v>517</v>
      </c>
      <c r="C3" s="138" t="s">
        <v>469</v>
      </c>
      <c r="D3" s="138" t="s">
        <v>518</v>
      </c>
      <c r="E3" s="150" t="s">
        <v>519</v>
      </c>
      <c r="F3" s="46" t="s">
        <v>115</v>
      </c>
    </row>
    <row r="4" spans="1:6" ht="30" customHeight="1" x14ac:dyDescent="0.25">
      <c r="A4" s="47">
        <v>1</v>
      </c>
      <c r="B4" s="151" t="str">
        <f>'M-Agenda'!E4</f>
        <v>+57-3245627890-Lunes-09:00-19:00-11/03/2023-1/01/1000-10:00-16:00-si-31/08/2026</v>
      </c>
      <c r="C4" s="152">
        <v>0.58333333333333304</v>
      </c>
      <c r="D4" s="152">
        <v>0.625</v>
      </c>
      <c r="E4" s="145" t="s">
        <v>520</v>
      </c>
      <c r="F4" s="58" t="str">
        <f>_xlfn.CONCAT(B4,"-",TEXT(C4,"hh:mm"),"-",TEXT(D4,"hh:mm"))</f>
        <v>+57-3245627890-Lunes-09:00-19:00-11/03/2023-1/01/1000-10:00-16:00-si-31/08/2026-14:00-15:00</v>
      </c>
    </row>
    <row r="5" spans="1:6" ht="14.25" customHeight="1" x14ac:dyDescent="0.25">
      <c r="A5" s="47">
        <v>2</v>
      </c>
      <c r="B5" s="107" t="str">
        <f>'M-Agenda'!E5</f>
        <v>+57-3124518923-Martes-09:00-19:00-09:00-15:00-si-10/03/2026</v>
      </c>
      <c r="C5" s="120">
        <v>0.5</v>
      </c>
      <c r="D5" s="120">
        <v>0.54166666666666696</v>
      </c>
      <c r="E5" s="145" t="s">
        <v>521</v>
      </c>
      <c r="F5" s="47" t="str">
        <f t="shared" ref="F5:F12" si="0">_xlfn.CONCAT(B5,"-",TEXT(C14,"hh:mm"),"-",TEXT(D14,"hh:mm"))</f>
        <v>+57-3124518923-Martes-09:00-19:00-09:00-15:00-si-10/03/2026-00:00-00:00</v>
      </c>
    </row>
    <row r="6" spans="1:6" ht="14.25" customHeight="1" x14ac:dyDescent="0.25">
      <c r="A6" s="47">
        <v>3</v>
      </c>
      <c r="B6" s="107" t="str">
        <f>'M-Agenda'!E6</f>
        <v>+57-3214533321-Jueves-09:00-19:00-13:00-19:00-si-14/05/2026</v>
      </c>
      <c r="C6" s="120">
        <v>0.66666666666666696</v>
      </c>
      <c r="D6" s="120">
        <v>0.6875</v>
      </c>
      <c r="E6" s="145" t="s">
        <v>522</v>
      </c>
      <c r="F6" s="47" t="str">
        <f t="shared" si="0"/>
        <v>+57-3214533321-Jueves-09:00-19:00-13:00-19:00-si-14/05/2026-00:00-00:00</v>
      </c>
    </row>
    <row r="7" spans="1:6" ht="14.25" customHeight="1" x14ac:dyDescent="0.25">
      <c r="A7" s="47">
        <v>4</v>
      </c>
      <c r="B7" s="107" t="str">
        <f>'M-Agenda'!E7</f>
        <v>+91-9876543210-Festivo-10:00-15:00-12:00-15:00-no-20/02/2026</v>
      </c>
      <c r="C7" s="120">
        <v>0.54166666666666696</v>
      </c>
      <c r="D7" s="120">
        <v>0.58333333333333304</v>
      </c>
      <c r="E7" s="145" t="s">
        <v>523</v>
      </c>
      <c r="F7" s="47" t="str">
        <f t="shared" si="0"/>
        <v>+91-9876543210-Festivo-10:00-15:00-12:00-15:00-no-20/02/2026-00:00-00:00</v>
      </c>
    </row>
    <row r="8" spans="1:6" ht="14.25" customHeight="1" x14ac:dyDescent="0.25">
      <c r="A8" s="47">
        <v>5</v>
      </c>
      <c r="B8" s="107" t="str">
        <f>'M-Agenda'!E8</f>
        <v>+91-9876543210-Sábado-08:00-21:00-08:00-14:00-no-22/11/2025</v>
      </c>
      <c r="C8" s="120">
        <v>0.33333333333333298</v>
      </c>
      <c r="D8" s="120">
        <v>0.375</v>
      </c>
      <c r="E8" s="145" t="s">
        <v>524</v>
      </c>
      <c r="F8" s="47" t="str">
        <f t="shared" si="0"/>
        <v>+91-9876543210-Sábado-08:00-21:00-08:00-14:00-no-22/11/2025-00:00-00:00</v>
      </c>
    </row>
    <row r="9" spans="1:6" ht="14.25" customHeight="1" x14ac:dyDescent="0.25">
      <c r="A9" s="47">
        <v>6</v>
      </c>
      <c r="B9" s="107" t="str">
        <f>'M-Agenda'!E9</f>
        <v>+57-3214533321-Jueves-09:00-19:00-13:00-19:00-si-06/08/2026</v>
      </c>
      <c r="C9" s="120">
        <v>0.625</v>
      </c>
      <c r="D9" s="120">
        <v>0.64583333333333304</v>
      </c>
      <c r="E9" s="145" t="s">
        <v>521</v>
      </c>
      <c r="F9" s="47" t="str">
        <f t="shared" si="0"/>
        <v>+57-3214533321-Jueves-09:00-19:00-13:00-19:00-si-06/08/2026-00:00-00:00</v>
      </c>
    </row>
    <row r="10" spans="1:6" ht="30" customHeight="1" x14ac:dyDescent="0.25">
      <c r="A10" s="47">
        <v>7</v>
      </c>
      <c r="B10" s="151" t="str">
        <f>'M-Agenda'!E10</f>
        <v>+57-3245627890-Lunes-09:00-19:00-11/03/2023-1/01/1000-10:00-16:00-si-01/06/2026</v>
      </c>
      <c r="C10" s="120">
        <v>0.52083333333333304</v>
      </c>
      <c r="D10" s="120">
        <v>0.54166666666666696</v>
      </c>
      <c r="E10" s="145" t="s">
        <v>521</v>
      </c>
      <c r="F10" s="58" t="str">
        <f t="shared" si="0"/>
        <v>+57-3245627890-Lunes-09:00-19:00-11/03/2023-1/01/1000-10:00-16:00-si-01/06/2026-00:00-00:00</v>
      </c>
    </row>
    <row r="11" spans="1:6" ht="14.25" customHeight="1" x14ac:dyDescent="0.25">
      <c r="A11" s="47">
        <v>8</v>
      </c>
      <c r="B11" s="107" t="str">
        <f>'M-Agenda'!E11</f>
        <v>+57-3124518923-Martes-09:00-19:00-09:00-15:00-si-16/06/2026</v>
      </c>
      <c r="C11" s="120">
        <v>0.375</v>
      </c>
      <c r="D11" s="120">
        <v>0.39583333333333298</v>
      </c>
      <c r="E11" s="145" t="s">
        <v>525</v>
      </c>
      <c r="F11" s="47" t="str">
        <f t="shared" si="0"/>
        <v>+57-3124518923-Martes-09:00-19:00-09:00-15:00-si-16/06/2026-00:00-00:00</v>
      </c>
    </row>
    <row r="12" spans="1:6" ht="14.25" customHeight="1" x14ac:dyDescent="0.25">
      <c r="A12" s="47">
        <v>9</v>
      </c>
      <c r="B12" s="107" t="str">
        <f>'M-Agenda'!E12</f>
        <v>+57-3214533321-Jueves-09:00-19:00-13:00-19:00-si-02/07/2026</v>
      </c>
      <c r="C12" s="120">
        <v>0.75</v>
      </c>
      <c r="D12" s="120">
        <v>0.79166666666666696</v>
      </c>
      <c r="E12" s="145" t="s">
        <v>526</v>
      </c>
      <c r="F12" s="47" t="str">
        <f t="shared" si="0"/>
        <v>+57-3214533321-Jueves-09:00-19:00-13:00-19:00-si-02/07/2026-00:00-00:00</v>
      </c>
    </row>
    <row r="13" spans="1:6" ht="14.25" customHeight="1" x14ac:dyDescent="0.25">
      <c r="B13" s="51"/>
    </row>
    <row r="14" spans="1:6" ht="14.25" customHeight="1" x14ac:dyDescent="0.25">
      <c r="B14" s="51"/>
      <c r="C14" s="153"/>
      <c r="D14" s="153"/>
    </row>
    <row r="15" spans="1:6" ht="14.25" customHeight="1" x14ac:dyDescent="0.25">
      <c r="B15" s="51"/>
      <c r="C15" s="153"/>
      <c r="D15" s="153"/>
    </row>
    <row r="16" spans="1:6" ht="14.25" customHeight="1" x14ac:dyDescent="0.25">
      <c r="B16" s="51"/>
      <c r="C16" s="153"/>
      <c r="D16" s="153"/>
    </row>
    <row r="17" spans="1:4" ht="14.25" customHeight="1" x14ac:dyDescent="0.25">
      <c r="C17" s="153"/>
      <c r="D17" s="153"/>
    </row>
    <row r="18" spans="1:4" ht="14.25" customHeight="1" x14ac:dyDescent="0.25">
      <c r="A18" s="50"/>
      <c r="B18" s="51" t="s">
        <v>124</v>
      </c>
      <c r="C18" s="153"/>
      <c r="D18" s="153"/>
    </row>
    <row r="19" spans="1:4" ht="27.75" customHeight="1" x14ac:dyDescent="0.25">
      <c r="A19" s="52"/>
      <c r="B19" s="51" t="s">
        <v>125</v>
      </c>
      <c r="C19" s="153"/>
      <c r="D19" s="153"/>
    </row>
    <row r="20" spans="1:4" ht="14.25" customHeight="1" x14ac:dyDescent="0.25">
      <c r="A20" s="77"/>
      <c r="B20" t="s">
        <v>315</v>
      </c>
      <c r="C20" s="153"/>
      <c r="D20" s="153"/>
    </row>
    <row r="21" spans="1:4" ht="14.25" customHeight="1" x14ac:dyDescent="0.25">
      <c r="A21" s="123"/>
      <c r="B21" t="s">
        <v>403</v>
      </c>
      <c r="C21" s="153"/>
      <c r="D21" s="153"/>
    </row>
    <row r="22" spans="1:4" ht="14.25" customHeight="1" x14ac:dyDescent="0.25">
      <c r="A22" s="78"/>
      <c r="B22" s="51" t="s">
        <v>126</v>
      </c>
    </row>
    <row r="23" spans="1:4" ht="14.25" customHeight="1" x14ac:dyDescent="0.25">
      <c r="A23" s="54"/>
      <c r="B23" t="s">
        <v>127</v>
      </c>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s>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3"/>
  <sheetViews>
    <sheetView topLeftCell="A9" zoomScaleNormal="100" workbookViewId="0">
      <selection sqref="A1:B1"/>
    </sheetView>
  </sheetViews>
  <sheetFormatPr baseColWidth="10" defaultColWidth="8.7109375" defaultRowHeight="15" x14ac:dyDescent="0.25"/>
  <cols>
    <col min="1" max="1" width="28.140625" customWidth="1"/>
    <col min="2" max="2" width="45" customWidth="1"/>
    <col min="3" max="3" width="21.5703125" customWidth="1"/>
    <col min="4" max="4" width="26.7109375" customWidth="1"/>
    <col min="5" max="12" width="18" customWidth="1"/>
    <col min="13" max="13" width="42.85546875"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'M-Cita'!A3</f>
        <v>id</v>
      </c>
      <c r="B3" s="128" t="str">
        <f>'M-Cita'!A2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70</v>
      </c>
      <c r="P3" s="127" t="s">
        <v>69</v>
      </c>
      <c r="Q3" s="127" t="s">
        <v>70</v>
      </c>
      <c r="R3" s="127" t="s">
        <v>70</v>
      </c>
      <c r="S3" s="127" t="s">
        <v>70</v>
      </c>
      <c r="T3" s="127" t="s">
        <v>71</v>
      </c>
      <c r="U3" s="127" t="s">
        <v>67</v>
      </c>
    </row>
    <row r="4" spans="1:21" ht="45" customHeight="1" x14ac:dyDescent="0.25">
      <c r="A4" s="127" t="str">
        <f>'M-Cita'!B3</f>
        <v>cliente</v>
      </c>
      <c r="B4" s="128" t="str">
        <f>'M-Cita'!B2</f>
        <v>Representa a cuál cliente le pertenece esta cita</v>
      </c>
      <c r="C4" s="127" t="s">
        <v>70</v>
      </c>
      <c r="D4" s="129" t="s">
        <v>27</v>
      </c>
      <c r="E4" s="127" t="s">
        <v>67</v>
      </c>
      <c r="F4" s="127" t="s">
        <v>69</v>
      </c>
      <c r="G4" s="127" t="s">
        <v>69</v>
      </c>
      <c r="H4" s="127" t="s">
        <v>69</v>
      </c>
      <c r="I4" s="127" t="s">
        <v>69</v>
      </c>
      <c r="J4" s="127" t="s">
        <v>69</v>
      </c>
      <c r="K4" s="127" t="s">
        <v>69</v>
      </c>
      <c r="L4" s="127" t="s">
        <v>69</v>
      </c>
      <c r="M4" s="154" t="s">
        <v>527</v>
      </c>
      <c r="N4" s="127" t="s">
        <v>70</v>
      </c>
      <c r="O4" s="127" t="s">
        <v>69</v>
      </c>
      <c r="P4" s="127" t="s">
        <v>69</v>
      </c>
      <c r="Q4" s="127" t="s">
        <v>69</v>
      </c>
      <c r="R4" s="127" t="s">
        <v>69</v>
      </c>
      <c r="S4" s="127" t="s">
        <v>70</v>
      </c>
      <c r="T4" s="127" t="s">
        <v>71</v>
      </c>
      <c r="U4" s="127" t="s">
        <v>70</v>
      </c>
    </row>
    <row r="5" spans="1:21" ht="27.75" customHeight="1" x14ac:dyDescent="0.25">
      <c r="A5" s="127" t="str">
        <f>'M-Cita'!C3</f>
        <v>agenda</v>
      </c>
      <c r="B5" s="128" t="str">
        <f>'M-Cita'!C2</f>
        <v>Referencia en cual agenda va a estar esta cita</v>
      </c>
      <c r="C5" s="127" t="s">
        <v>70</v>
      </c>
      <c r="D5" s="129" t="s">
        <v>35</v>
      </c>
      <c r="E5" s="127" t="s">
        <v>67</v>
      </c>
      <c r="F5" s="127" t="s">
        <v>69</v>
      </c>
      <c r="G5" s="127" t="s">
        <v>69</v>
      </c>
      <c r="H5" s="127" t="s">
        <v>69</v>
      </c>
      <c r="I5" s="127" t="s">
        <v>69</v>
      </c>
      <c r="J5" s="127" t="s">
        <v>69</v>
      </c>
      <c r="K5" s="127" t="s">
        <v>69</v>
      </c>
      <c r="L5" s="127" t="s">
        <v>69</v>
      </c>
      <c r="M5" s="154" t="s">
        <v>319</v>
      </c>
      <c r="N5" s="127" t="s">
        <v>70</v>
      </c>
      <c r="O5" s="127" t="s">
        <v>69</v>
      </c>
      <c r="P5" s="127" t="s">
        <v>69</v>
      </c>
      <c r="Q5" s="127" t="s">
        <v>69</v>
      </c>
      <c r="R5" s="127" t="s">
        <v>69</v>
      </c>
      <c r="S5" s="127" t="s">
        <v>70</v>
      </c>
      <c r="T5" s="127" t="s">
        <v>71</v>
      </c>
      <c r="U5" s="127" t="s">
        <v>70</v>
      </c>
    </row>
    <row r="6" spans="1:21" ht="60" customHeight="1" x14ac:dyDescent="0.25">
      <c r="A6" s="137" t="str">
        <f>'M-Cita'!D3</f>
        <v>regla</v>
      </c>
      <c r="B6" s="137" t="str">
        <f>'M-Cita'!D2</f>
        <v>Hace referencia a la Regla vigente de la barbería en el momento de agendar; de ahí salen las tolerancias, el monto de multa fija y el porcentaje de descuento que aplican a esta cita</v>
      </c>
      <c r="C6" s="137" t="s">
        <v>70</v>
      </c>
      <c r="D6" s="155" t="s">
        <v>19</v>
      </c>
      <c r="E6" s="137" t="s">
        <v>67</v>
      </c>
      <c r="F6" s="137" t="s">
        <v>69</v>
      </c>
      <c r="G6" s="137" t="s">
        <v>69</v>
      </c>
      <c r="H6" s="137" t="s">
        <v>69</v>
      </c>
      <c r="I6" s="137" t="s">
        <v>69</v>
      </c>
      <c r="J6" s="137" t="s">
        <v>69</v>
      </c>
      <c r="K6" s="137" t="s">
        <v>69</v>
      </c>
      <c r="L6" s="137" t="s">
        <v>69</v>
      </c>
      <c r="M6" s="137" t="s">
        <v>528</v>
      </c>
      <c r="N6" s="137" t="s">
        <v>70</v>
      </c>
      <c r="O6" s="137" t="s">
        <v>69</v>
      </c>
      <c r="P6" s="137" t="s">
        <v>69</v>
      </c>
      <c r="Q6" s="137" t="s">
        <v>69</v>
      </c>
      <c r="R6" s="137" t="s">
        <v>69</v>
      </c>
      <c r="S6" s="137" t="s">
        <v>70</v>
      </c>
      <c r="T6" s="137" t="s">
        <v>71</v>
      </c>
      <c r="U6" s="137" t="s">
        <v>70</v>
      </c>
    </row>
    <row r="7" spans="1:21" ht="45" customHeight="1" x14ac:dyDescent="0.25">
      <c r="A7" s="127" t="str">
        <f>'M-Cita'!E3</f>
        <v>estado</v>
      </c>
      <c r="B7" s="128" t="str">
        <f>'M-Cita'!E2</f>
        <v>Representa en qué estado se encuentra esta cita puntual: agendada, finalizada, cancelada, con tardanza del cliente o del barbero, o inasistencia</v>
      </c>
      <c r="C7" s="127" t="s">
        <v>70</v>
      </c>
      <c r="D7" s="129" t="s">
        <v>15</v>
      </c>
      <c r="E7" s="127" t="s">
        <v>67</v>
      </c>
      <c r="F7" s="127" t="s">
        <v>69</v>
      </c>
      <c r="G7" s="127" t="s">
        <v>69</v>
      </c>
      <c r="H7" s="127" t="s">
        <v>69</v>
      </c>
      <c r="I7" s="127" t="s">
        <v>69</v>
      </c>
      <c r="J7" s="127" t="s">
        <v>69</v>
      </c>
      <c r="K7" s="127" t="s">
        <v>69</v>
      </c>
      <c r="L7" s="127" t="s">
        <v>69</v>
      </c>
      <c r="M7" s="127" t="s">
        <v>319</v>
      </c>
      <c r="N7" s="127" t="s">
        <v>70</v>
      </c>
      <c r="O7" s="127" t="s">
        <v>69</v>
      </c>
      <c r="P7" s="127" t="s">
        <v>69</v>
      </c>
      <c r="Q7" s="127" t="s">
        <v>69</v>
      </c>
      <c r="R7" s="127" t="s">
        <v>69</v>
      </c>
      <c r="S7" s="127" t="s">
        <v>70</v>
      </c>
      <c r="T7" s="127" t="s">
        <v>71</v>
      </c>
      <c r="U7" s="127" t="s">
        <v>70</v>
      </c>
    </row>
    <row r="8" spans="1:21" ht="30" customHeight="1" x14ac:dyDescent="0.25">
      <c r="A8" s="127" t="str">
        <f>'M-Cita'!F3</f>
        <v>horaInicio</v>
      </c>
      <c r="B8" s="128" t="str">
        <f>'M-Cita'!F2</f>
        <v>Representa la hora en la que se va a realizar la cita al cliente</v>
      </c>
      <c r="C8" s="127" t="s">
        <v>70</v>
      </c>
      <c r="D8" s="130" t="s">
        <v>370</v>
      </c>
      <c r="E8" s="127" t="s">
        <v>70</v>
      </c>
      <c r="F8" s="127" t="s">
        <v>69</v>
      </c>
      <c r="G8" s="127" t="s">
        <v>69</v>
      </c>
      <c r="H8" s="127" t="s">
        <v>69</v>
      </c>
      <c r="I8" s="127" t="s">
        <v>69</v>
      </c>
      <c r="J8" s="127" t="s">
        <v>69</v>
      </c>
      <c r="K8" s="127" t="s">
        <v>69</v>
      </c>
      <c r="L8" s="127" t="s">
        <v>69</v>
      </c>
      <c r="M8" s="154" t="s">
        <v>529</v>
      </c>
      <c r="N8" s="127" t="s">
        <v>70</v>
      </c>
      <c r="O8" s="127" t="s">
        <v>69</v>
      </c>
      <c r="P8" s="127" t="s">
        <v>69</v>
      </c>
      <c r="Q8" s="127" t="s">
        <v>69</v>
      </c>
      <c r="R8" s="127" t="s">
        <v>69</v>
      </c>
      <c r="S8" s="127" t="s">
        <v>70</v>
      </c>
      <c r="T8" s="127" t="s">
        <v>371</v>
      </c>
      <c r="U8" s="127" t="s">
        <v>70</v>
      </c>
    </row>
    <row r="9" spans="1:21" ht="60" customHeight="1" x14ac:dyDescent="0.25">
      <c r="A9" s="127" t="str">
        <f>'M-Cita'!G3</f>
        <v>horaFinEstimada</v>
      </c>
      <c r="B9" s="128" t="str">
        <f>'M-Cita'!G2</f>
        <v>Representa la hora en la que se espera que termine la cita, sumando horaInicio más la duración total de los servicios pedidos. Es un dato calculado</v>
      </c>
      <c r="C9" s="127" t="s">
        <v>70</v>
      </c>
      <c r="D9" s="130" t="s">
        <v>370</v>
      </c>
      <c r="E9" s="127" t="s">
        <v>67</v>
      </c>
      <c r="F9" s="127" t="s">
        <v>69</v>
      </c>
      <c r="G9" s="127" t="s">
        <v>69</v>
      </c>
      <c r="H9" s="127" t="s">
        <v>69</v>
      </c>
      <c r="I9" s="127" t="s">
        <v>69</v>
      </c>
      <c r="J9" s="127" t="s">
        <v>69</v>
      </c>
      <c r="K9" s="127" t="s">
        <v>69</v>
      </c>
      <c r="L9" s="127" t="s">
        <v>69</v>
      </c>
      <c r="M9" s="154" t="s">
        <v>530</v>
      </c>
      <c r="N9" s="127" t="s">
        <v>67</v>
      </c>
      <c r="O9" s="127" t="s">
        <v>69</v>
      </c>
      <c r="P9" s="127" t="s">
        <v>69</v>
      </c>
      <c r="Q9" s="127" t="s">
        <v>69</v>
      </c>
      <c r="R9" s="127" t="s">
        <v>69</v>
      </c>
      <c r="S9" s="127" t="s">
        <v>70</v>
      </c>
      <c r="T9" s="127" t="s">
        <v>371</v>
      </c>
      <c r="U9" s="127" t="s">
        <v>70</v>
      </c>
    </row>
    <row r="10" spans="1:21" ht="60" customHeight="1" x14ac:dyDescent="0.25">
      <c r="A10" s="137" t="str">
        <f>'M-Cita'!H3</f>
        <v>horaLlegadaCliente</v>
      </c>
      <c r="B10" s="137" t="str">
        <f>'M-Cita'!H2</f>
        <v>Representa la hora real en la que el cliente llegó a la barbería para esta cita. Su valor por defecto es 00:00 y es permitido: significa que el cliente aún no ha llegado</v>
      </c>
      <c r="C10" s="137" t="s">
        <v>70</v>
      </c>
      <c r="D10" s="137" t="s">
        <v>370</v>
      </c>
      <c r="E10" s="137" t="s">
        <v>70</v>
      </c>
      <c r="F10" s="137" t="s">
        <v>69</v>
      </c>
      <c r="G10" s="137" t="s">
        <v>69</v>
      </c>
      <c r="H10" s="137" t="s">
        <v>69</v>
      </c>
      <c r="I10" s="137" t="s">
        <v>69</v>
      </c>
      <c r="J10" s="137" t="s">
        <v>69</v>
      </c>
      <c r="K10" s="137" t="s">
        <v>69</v>
      </c>
      <c r="L10" s="127" t="s">
        <v>69</v>
      </c>
      <c r="M10" s="137" t="s">
        <v>69</v>
      </c>
      <c r="N10" s="137" t="s">
        <v>70</v>
      </c>
      <c r="O10" s="137" t="s">
        <v>69</v>
      </c>
      <c r="P10" s="137" t="s">
        <v>69</v>
      </c>
      <c r="Q10" s="137" t="s">
        <v>69</v>
      </c>
      <c r="R10" s="137" t="s">
        <v>69</v>
      </c>
      <c r="S10" s="137" t="s">
        <v>70</v>
      </c>
      <c r="T10" s="137" t="s">
        <v>371</v>
      </c>
      <c r="U10" s="137" t="s">
        <v>70</v>
      </c>
    </row>
    <row r="11" spans="1:21" ht="60" customHeight="1" x14ac:dyDescent="0.25">
      <c r="A11" s="137" t="str">
        <f>'M-Cita'!I3</f>
        <v>horaDelBarberoPreparado</v>
      </c>
      <c r="B11" s="137" t="str">
        <f>'M-Cita'!I2</f>
        <v>Representa la hora real en la que el barbero quedó listo y disponible para empezar a atender esta cita. Su valor por defecto es 00:00 y es permitido: significa que el barbero aún no se ha preparado</v>
      </c>
      <c r="C11" s="137" t="s">
        <v>70</v>
      </c>
      <c r="D11" s="137" t="s">
        <v>370</v>
      </c>
      <c r="E11" s="137" t="s">
        <v>70</v>
      </c>
      <c r="F11" s="137" t="s">
        <v>69</v>
      </c>
      <c r="G11" s="137" t="s">
        <v>69</v>
      </c>
      <c r="H11" s="137" t="s">
        <v>69</v>
      </c>
      <c r="I11" s="137" t="s">
        <v>69</v>
      </c>
      <c r="J11" s="137" t="s">
        <v>69</v>
      </c>
      <c r="K11" s="137" t="s">
        <v>69</v>
      </c>
      <c r="L11" s="127" t="s">
        <v>69</v>
      </c>
      <c r="M11" s="137" t="s">
        <v>69</v>
      </c>
      <c r="N11" s="137" t="s">
        <v>70</v>
      </c>
      <c r="O11" s="137" t="s">
        <v>69</v>
      </c>
      <c r="P11" s="137" t="s">
        <v>69</v>
      </c>
      <c r="Q11" s="137" t="s">
        <v>69</v>
      </c>
      <c r="R11" s="137" t="s">
        <v>69</v>
      </c>
      <c r="S11" s="137" t="s">
        <v>70</v>
      </c>
      <c r="T11" s="137" t="s">
        <v>371</v>
      </c>
      <c r="U11" s="137" t="s">
        <v>70</v>
      </c>
    </row>
    <row r="12" spans="1:21" ht="60" customHeight="1" x14ac:dyDescent="0.25">
      <c r="A12" s="127" t="str">
        <f>'M-Cita'!J3</f>
        <v>horaInicioAtencion</v>
      </c>
      <c r="B12" s="128" t="str">
        <f>'M-Cita'!J2</f>
        <v>Representa la hora real en la que el barbero empezó a atender al cliente. Su valor por defecto es 00:00 y es permitido: significa que la atención aún no ha comenzado</v>
      </c>
      <c r="C12" s="127" t="s">
        <v>70</v>
      </c>
      <c r="D12" s="127" t="s">
        <v>370</v>
      </c>
      <c r="E12" s="127" t="s">
        <v>70</v>
      </c>
      <c r="F12" s="127" t="s">
        <v>69</v>
      </c>
      <c r="G12" s="127" t="s">
        <v>69</v>
      </c>
      <c r="H12" s="127" t="s">
        <v>69</v>
      </c>
      <c r="I12" s="127" t="s">
        <v>69</v>
      </c>
      <c r="J12" s="127" t="s">
        <v>69</v>
      </c>
      <c r="K12" s="127" t="s">
        <v>69</v>
      </c>
      <c r="L12" s="127" t="s">
        <v>69</v>
      </c>
      <c r="M12" s="127" t="s">
        <v>69</v>
      </c>
      <c r="N12" s="127" t="s">
        <v>70</v>
      </c>
      <c r="O12" s="127" t="s">
        <v>69</v>
      </c>
      <c r="P12" s="127" t="s">
        <v>69</v>
      </c>
      <c r="Q12" s="127" t="s">
        <v>69</v>
      </c>
      <c r="R12" s="127" t="s">
        <v>69</v>
      </c>
      <c r="S12" s="127" t="s">
        <v>70</v>
      </c>
      <c r="T12" s="127" t="s">
        <v>371</v>
      </c>
      <c r="U12" s="127" t="s">
        <v>70</v>
      </c>
    </row>
    <row r="13" spans="1:21" ht="60" customHeight="1" x14ac:dyDescent="0.25">
      <c r="A13" s="127" t="str">
        <f>'M-Cita'!K3</f>
        <v>horaFinAtencion</v>
      </c>
      <c r="B13" s="128" t="str">
        <f>'M-Cita'!K2</f>
        <v>Representa la hora real en la que el barbero terminó de atender al cliente. Su valor por defecto es 00:00 y es permitido: significa que la atención aún no ha terminado</v>
      </c>
      <c r="C13" s="127" t="s">
        <v>70</v>
      </c>
      <c r="D13" s="130" t="s">
        <v>370</v>
      </c>
      <c r="E13" s="127" t="s">
        <v>70</v>
      </c>
      <c r="F13" s="127" t="s">
        <v>69</v>
      </c>
      <c r="G13" s="127" t="s">
        <v>69</v>
      </c>
      <c r="H13" s="127" t="s">
        <v>69</v>
      </c>
      <c r="I13" s="127" t="s">
        <v>69</v>
      </c>
      <c r="J13" s="127" t="s">
        <v>69</v>
      </c>
      <c r="K13" s="127" t="s">
        <v>69</v>
      </c>
      <c r="L13" s="127" t="s">
        <v>69</v>
      </c>
      <c r="M13" s="154" t="s">
        <v>69</v>
      </c>
      <c r="N13" s="127" t="s">
        <v>70</v>
      </c>
      <c r="O13" s="127" t="s">
        <v>69</v>
      </c>
      <c r="P13" s="127" t="s">
        <v>69</v>
      </c>
      <c r="Q13" s="127" t="s">
        <v>69</v>
      </c>
      <c r="R13" s="127" t="s">
        <v>69</v>
      </c>
      <c r="S13" s="127" t="s">
        <v>70</v>
      </c>
      <c r="T13" s="127" t="s">
        <v>371</v>
      </c>
      <c r="U13" s="127" t="s">
        <v>70</v>
      </c>
    </row>
    <row r="14" spans="1:21" ht="60" customHeight="1" x14ac:dyDescent="0.25">
      <c r="A14" s="127" t="str">
        <f>'M-Cita'!L3</f>
        <v>duracionHoras</v>
      </c>
      <c r="B14" s="128" t="str">
        <f>'M-Cita'!L2</f>
        <v>Representa la cantidad total de horas que va a durar la cita, sumando la duración de cada servicio pedido más el tiempo extra de cada uno. Es un dato calculado</v>
      </c>
      <c r="C14" s="127" t="s">
        <v>70</v>
      </c>
      <c r="D14" s="130" t="s">
        <v>157</v>
      </c>
      <c r="E14" s="127" t="s">
        <v>70</v>
      </c>
      <c r="F14" s="127" t="s">
        <v>69</v>
      </c>
      <c r="G14" s="127" t="s">
        <v>69</v>
      </c>
      <c r="H14" s="127" t="s">
        <v>69</v>
      </c>
      <c r="I14" s="127" t="s">
        <v>69</v>
      </c>
      <c r="J14" s="127">
        <v>0</v>
      </c>
      <c r="K14" s="127">
        <v>3</v>
      </c>
      <c r="L14" s="127" t="s">
        <v>69</v>
      </c>
      <c r="M14" s="154" t="s">
        <v>531</v>
      </c>
      <c r="N14" s="127" t="s">
        <v>67</v>
      </c>
      <c r="O14" s="127" t="s">
        <v>69</v>
      </c>
      <c r="P14" s="127" t="s">
        <v>69</v>
      </c>
      <c r="Q14" s="127" t="s">
        <v>69</v>
      </c>
      <c r="R14" s="127" t="s">
        <v>69</v>
      </c>
      <c r="S14" s="127" t="s">
        <v>70</v>
      </c>
      <c r="T14" s="127">
        <v>0</v>
      </c>
      <c r="U14" s="127" t="s">
        <v>70</v>
      </c>
    </row>
    <row r="15" spans="1:21" ht="60" customHeight="1" x14ac:dyDescent="0.25">
      <c r="A15" s="127" t="str">
        <f>'M-Cita'!M3</f>
        <v>duracionMinutos</v>
      </c>
      <c r="B15" s="128" t="str">
        <f>'M-Cita'!M2</f>
        <v>Representa la cantidad total de minutos que va a durar la cita, sumando la duración de cada servicio pedido más el tiempo extra de cada uno. Es un dato calculado</v>
      </c>
      <c r="C15" s="127" t="s">
        <v>70</v>
      </c>
      <c r="D15" s="130" t="s">
        <v>157</v>
      </c>
      <c r="E15" s="127" t="s">
        <v>70</v>
      </c>
      <c r="F15" s="127" t="s">
        <v>69</v>
      </c>
      <c r="G15" s="127" t="s">
        <v>69</v>
      </c>
      <c r="H15" s="127" t="s">
        <v>69</v>
      </c>
      <c r="I15" s="127" t="s">
        <v>69</v>
      </c>
      <c r="J15" s="127">
        <v>0</v>
      </c>
      <c r="K15" s="127">
        <v>59</v>
      </c>
      <c r="L15" s="127" t="s">
        <v>69</v>
      </c>
      <c r="M15" s="154" t="s">
        <v>532</v>
      </c>
      <c r="N15" s="127" t="s">
        <v>67</v>
      </c>
      <c r="O15" s="127" t="s">
        <v>69</v>
      </c>
      <c r="P15" s="127" t="s">
        <v>69</v>
      </c>
      <c r="Q15" s="127" t="s">
        <v>69</v>
      </c>
      <c r="R15" s="127" t="s">
        <v>69</v>
      </c>
      <c r="S15" s="127" t="s">
        <v>70</v>
      </c>
      <c r="T15" s="127" t="s">
        <v>258</v>
      </c>
      <c r="U15" s="127" t="s">
        <v>70</v>
      </c>
    </row>
    <row r="16" spans="1:21" ht="60" customHeight="1" x14ac:dyDescent="0.25">
      <c r="A16" s="137" t="str">
        <f>'M-Cita'!N3</f>
        <v>minutosTardanzaCliente</v>
      </c>
      <c r="B16" s="137" t="str">
        <f>'M-Cita'!N2</f>
        <v>Representa cuántos minutos después de horaInicio llegó el cliente. Si llegó a tiempo o aún no ha llegado su valor es 0. Es un dato calculado</v>
      </c>
      <c r="C16" s="137" t="s">
        <v>70</v>
      </c>
      <c r="D16" s="137" t="s">
        <v>157</v>
      </c>
      <c r="E16" s="137" t="s">
        <v>70</v>
      </c>
      <c r="F16" s="137" t="s">
        <v>69</v>
      </c>
      <c r="G16" s="137" t="s">
        <v>69</v>
      </c>
      <c r="H16" s="137" t="s">
        <v>69</v>
      </c>
      <c r="I16" s="137" t="s">
        <v>69</v>
      </c>
      <c r="J16" s="137">
        <v>0</v>
      </c>
      <c r="K16" s="137">
        <v>300</v>
      </c>
      <c r="L16" s="127" t="s">
        <v>69</v>
      </c>
      <c r="M16" s="137" t="s">
        <v>533</v>
      </c>
      <c r="N16" s="137" t="s">
        <v>67</v>
      </c>
      <c r="O16" s="137" t="s">
        <v>69</v>
      </c>
      <c r="P16" s="137" t="s">
        <v>69</v>
      </c>
      <c r="Q16" s="137" t="s">
        <v>69</v>
      </c>
      <c r="R16" s="137" t="s">
        <v>69</v>
      </c>
      <c r="S16" s="137" t="s">
        <v>70</v>
      </c>
      <c r="T16" s="137" t="s">
        <v>258</v>
      </c>
      <c r="U16" s="137" t="s">
        <v>70</v>
      </c>
    </row>
    <row r="17" spans="1:21" ht="60" customHeight="1" x14ac:dyDescent="0.25">
      <c r="A17" s="127" t="str">
        <f>'M-Cita'!O3</f>
        <v>minutosDemoraBarbero</v>
      </c>
      <c r="B17" s="128" t="str">
        <f>'M-Cita'!O2</f>
        <v>Representa cuántos minutos después de la llegada del cliente empezó el barbero a atenderlo. Si no hubo demora su valor es 0. Es un dato calculado</v>
      </c>
      <c r="C17" s="127" t="s">
        <v>70</v>
      </c>
      <c r="D17" s="127" t="s">
        <v>157</v>
      </c>
      <c r="E17" s="127" t="s">
        <v>70</v>
      </c>
      <c r="F17" s="127" t="s">
        <v>69</v>
      </c>
      <c r="G17" s="127" t="s">
        <v>69</v>
      </c>
      <c r="H17" s="127" t="s">
        <v>69</v>
      </c>
      <c r="I17" s="127" t="s">
        <v>69</v>
      </c>
      <c r="J17" s="127">
        <v>0</v>
      </c>
      <c r="K17" s="127">
        <v>300</v>
      </c>
      <c r="L17" s="127" t="s">
        <v>69</v>
      </c>
      <c r="M17" s="128" t="s">
        <v>534</v>
      </c>
      <c r="N17" s="127" t="s">
        <v>67</v>
      </c>
      <c r="O17" s="127" t="s">
        <v>69</v>
      </c>
      <c r="P17" s="127" t="s">
        <v>69</v>
      </c>
      <c r="Q17" s="127" t="s">
        <v>69</v>
      </c>
      <c r="R17" s="127" t="s">
        <v>69</v>
      </c>
      <c r="S17" s="127" t="s">
        <v>70</v>
      </c>
      <c r="T17" s="127" t="s">
        <v>258</v>
      </c>
      <c r="U17" s="127" t="s">
        <v>70</v>
      </c>
    </row>
    <row r="18" spans="1:21" ht="60" customHeight="1" x14ac:dyDescent="0.25">
      <c r="A18" s="127" t="str">
        <f>'M-Cita'!P3</f>
        <v>porcentajeDescuentoAplicado</v>
      </c>
      <c r="B18" s="128" t="str">
        <f>'M-Cita'!P2</f>
        <v>Representa el porcentaje de descuento aplicado al cliente en esta cita, cuando minutosDemoraBarbero supera la toleranciaTardanzaBarbero de Regla. Su valor por defecto es 0 y es permitido. Es un dato auto generado: copia de Regla.porcentajeDescuentoCita</v>
      </c>
      <c r="C18" s="127" t="s">
        <v>70</v>
      </c>
      <c r="D18" s="130" t="s">
        <v>157</v>
      </c>
      <c r="E18" s="127" t="s">
        <v>70</v>
      </c>
      <c r="F18" s="127" t="s">
        <v>69</v>
      </c>
      <c r="G18" s="127" t="s">
        <v>69</v>
      </c>
      <c r="H18" s="127" t="s">
        <v>69</v>
      </c>
      <c r="I18" s="127" t="s">
        <v>69</v>
      </c>
      <c r="J18" s="127">
        <v>0</v>
      </c>
      <c r="K18" s="127">
        <v>100</v>
      </c>
      <c r="L18" s="127" t="s">
        <v>69</v>
      </c>
      <c r="M18" s="154" t="s">
        <v>535</v>
      </c>
      <c r="N18" s="127" t="s">
        <v>70</v>
      </c>
      <c r="O18" s="127" t="s">
        <v>69</v>
      </c>
      <c r="P18" s="127" t="s">
        <v>69</v>
      </c>
      <c r="Q18" s="127" t="s">
        <v>69</v>
      </c>
      <c r="R18" s="127" t="s">
        <v>69</v>
      </c>
      <c r="S18" s="127" t="s">
        <v>70</v>
      </c>
      <c r="T18" s="127" t="s">
        <v>258</v>
      </c>
      <c r="U18" s="127" t="s">
        <v>67</v>
      </c>
    </row>
    <row r="19" spans="1:21" ht="60" customHeight="1" x14ac:dyDescent="0.25">
      <c r="A19" s="127" t="str">
        <f>'M-Cita'!Q3</f>
        <v>precioFinal</v>
      </c>
      <c r="B19" s="128" t="str">
        <f>'M-Cita'!Q2</f>
        <v>Representa cuánto debe pagar el cliente por los servicios de esta cita: la suma de los precios de sus CitaServicio, menos el descuento si aplicó. Es un dato calculado</v>
      </c>
      <c r="C19" s="127" t="s">
        <v>70</v>
      </c>
      <c r="D19" s="130" t="s">
        <v>157</v>
      </c>
      <c r="E19" s="127" t="s">
        <v>67</v>
      </c>
      <c r="F19" s="127" t="s">
        <v>69</v>
      </c>
      <c r="G19" s="127" t="s">
        <v>69</v>
      </c>
      <c r="H19" s="127" t="s">
        <v>69</v>
      </c>
      <c r="I19" s="127" t="s">
        <v>69</v>
      </c>
      <c r="J19" s="127">
        <v>0</v>
      </c>
      <c r="K19" s="156">
        <v>3000000</v>
      </c>
      <c r="L19" s="127" t="s">
        <v>69</v>
      </c>
      <c r="M19" s="154" t="s">
        <v>536</v>
      </c>
      <c r="N19" s="127" t="s">
        <v>67</v>
      </c>
      <c r="O19" s="127" t="s">
        <v>69</v>
      </c>
      <c r="P19" s="127" t="s">
        <v>69</v>
      </c>
      <c r="Q19" s="127" t="s">
        <v>69</v>
      </c>
      <c r="R19" s="127" t="s">
        <v>69</v>
      </c>
      <c r="S19" s="127" t="s">
        <v>70</v>
      </c>
      <c r="T19" s="127" t="s">
        <v>258</v>
      </c>
      <c r="U19" s="127" t="s">
        <v>70</v>
      </c>
    </row>
    <row r="20" spans="1:21" ht="15" customHeight="1" x14ac:dyDescent="0.25"/>
    <row r="21" spans="1:21" ht="42.75" customHeight="1" x14ac:dyDescent="0.25">
      <c r="A21" s="157" t="s">
        <v>75</v>
      </c>
      <c r="B21" s="157" t="s">
        <v>76</v>
      </c>
      <c r="C21" s="28" t="s">
        <v>77</v>
      </c>
    </row>
    <row r="22" spans="1:21" ht="22.5" customHeight="1" x14ac:dyDescent="0.25">
      <c r="A22" s="182" t="str">
        <f>'M-Cita'!R3</f>
        <v>Combinación única</v>
      </c>
      <c r="B22" s="183" t="str">
        <f>'M-Cita'!R2</f>
        <v>Combinación única que indica que una misma agenda no puede tener dos citas que empiecen a la misma hora</v>
      </c>
      <c r="C22" s="29" t="str">
        <f>A5</f>
        <v>agenda</v>
      </c>
    </row>
    <row r="23" spans="1:21" ht="24.75" customHeight="1" x14ac:dyDescent="0.25">
      <c r="A23" s="182"/>
      <c r="B23" s="182"/>
      <c r="C23" s="29" t="str">
        <f>A8</f>
        <v>horaInicio</v>
      </c>
    </row>
  </sheetData>
  <mergeCells count="2">
    <mergeCell ref="A22:A23"/>
    <mergeCell ref="B22:B23"/>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A3" location="'M-Cita'!A3" display="#'M-Cita'.A3" xr:uid="{00000000-0004-0000-3600-000002000000}"/>
    <hyperlink ref="B3" location="'M-Cita'!A2" display="#'M-Cita'.A2" xr:uid="{00000000-0004-0000-3600-000003000000}"/>
    <hyperlink ref="A4" location="'M-Cita'!A3" display="#'M-Cita'.A3" xr:uid="{00000000-0004-0000-3600-000004000000}"/>
    <hyperlink ref="B4" location="'M-Cita'!A2" display="#'M-Cita'.A2" xr:uid="{00000000-0004-0000-3600-000005000000}"/>
    <hyperlink ref="D4" location="'C-Cliente'!A1" display="Cliente" xr:uid="{00000000-0004-0000-3600-000006000000}"/>
    <hyperlink ref="A5" location="'M-Cita'!A3" display="#'M-Cita'.A3" xr:uid="{00000000-0004-0000-3600-000007000000}"/>
    <hyperlink ref="B5" location="'M-Cita'!A2" display="#'M-Cita'.A2" xr:uid="{00000000-0004-0000-3600-000008000000}"/>
    <hyperlink ref="D5" location="'C-Agenda'!A1" display="Agenda" xr:uid="{00000000-0004-0000-3600-000009000000}"/>
    <hyperlink ref="A6" location="'M-Cita'!A3" display="#'M-Cita'.A3" xr:uid="{00000000-0004-0000-3600-00000A000000}"/>
    <hyperlink ref="B6" location="'M-Cita'!A2" display="#'M-Cita'.A2" xr:uid="{00000000-0004-0000-3600-00000B000000}"/>
    <hyperlink ref="D6" location="'C-Regla'!A1" display="Regla" xr:uid="{00000000-0004-0000-3600-00000C000000}"/>
    <hyperlink ref="A7" location="'M-Cita'!A3" display="#'M-Cita'.A3" xr:uid="{00000000-0004-0000-3600-00000D000000}"/>
    <hyperlink ref="B7" location="'M-Cita'!A2" display="#'M-Cita'.A2" xr:uid="{00000000-0004-0000-3600-00000E000000}"/>
    <hyperlink ref="D7" location="'C-Estado'!A1" display="Estado" xr:uid="{00000000-0004-0000-3600-00000F000000}"/>
    <hyperlink ref="A8" location="'M-Cita'!A3" display="#'M-Cita'.A3" xr:uid="{00000000-0004-0000-3600-000010000000}"/>
    <hyperlink ref="B8" location="'M-Cita'!A2" display="#'M-Cita'.A2" xr:uid="{00000000-0004-0000-3600-000011000000}"/>
    <hyperlink ref="A9" location="'M-Cita'!A3" display="#'M-Cita'.A3" xr:uid="{00000000-0004-0000-3600-000012000000}"/>
    <hyperlink ref="B9" location="'M-Cita'!A2" display="#'M-Cita'.A2" xr:uid="{00000000-0004-0000-3600-000013000000}"/>
    <hyperlink ref="A10" location="'M-Cita'!A3" display="#'M-Cita'.A3" xr:uid="{00000000-0004-0000-3600-000014000000}"/>
    <hyperlink ref="B10" location="'M-Cita'!A2" display="#'M-Cita'.A2" xr:uid="{00000000-0004-0000-3600-000015000000}"/>
    <hyperlink ref="A11" location="'M-Cita'!A3" display="#'M-Cita'.A3" xr:uid="{00000000-0004-0000-3600-000016000000}"/>
    <hyperlink ref="B11" location="'M-Cita'!A2" display="#'M-Cita'.A2" xr:uid="{00000000-0004-0000-3600-000017000000}"/>
    <hyperlink ref="A12" location="'M-Cita'!A3" display="#'M-Cita'.A3" xr:uid="{00000000-0004-0000-3600-000018000000}"/>
    <hyperlink ref="B12" location="'M-Cita'!A2" display="#'M-Cita'.A2" xr:uid="{00000000-0004-0000-3600-000019000000}"/>
    <hyperlink ref="A14" location="'M-Cita'!A3" display="#'M-Cita'.A3" xr:uid="{00000000-0004-0000-3600-00001A000000}"/>
    <hyperlink ref="B14" location="'M-Cita'!A2" display="#'M-Cita'.A2" xr:uid="{00000000-0004-0000-3600-00001B000000}"/>
    <hyperlink ref="A15" location="'M-Cita'!A3" display="#'M-Cita'.A3" xr:uid="{00000000-0004-0000-3600-00001C000000}"/>
    <hyperlink ref="B15" location="'M-Cita'!A2" display="#'M-Cita'.A2" xr:uid="{00000000-0004-0000-3600-00001D000000}"/>
    <hyperlink ref="A16" location="'M-Cita'!A3" display="#'M-Cita'.A3" xr:uid="{00000000-0004-0000-3600-00001E000000}"/>
    <hyperlink ref="B16" location="'M-Cita'!A2" display="#'M-Cita'.A2" xr:uid="{00000000-0004-0000-3600-00001F000000}"/>
    <hyperlink ref="A17" location="'M-Cita'!A3" display="#'M-Cita'.A3" xr:uid="{00000000-0004-0000-3600-000020000000}"/>
    <hyperlink ref="B17" location="'M-Cita'!A2" display="#'M-Cita'.A2" xr:uid="{00000000-0004-0000-3600-000021000000}"/>
    <hyperlink ref="A18" location="'M-Cita'!A3" display="#'M-Cita'.A3" xr:uid="{00000000-0004-0000-3600-000022000000}"/>
    <hyperlink ref="B18" location="'M-Cita'!A2" display="#'M-Cita'.A2" xr:uid="{00000000-0004-0000-3600-000023000000}"/>
    <hyperlink ref="A21" location="'M-Cita'!A3" display="Nombre combinación única" xr:uid="{00000000-0004-0000-3600-000024000000}"/>
    <hyperlink ref="B21" location="'M-Cita'!A2" display="Descripción" xr:uid="{00000000-0004-0000-3600-000025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4"/>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Dominio'!A16</f>
        <v>Cita</v>
      </c>
      <c r="C2" s="11"/>
      <c r="D2" s="11"/>
      <c r="E2" s="11"/>
    </row>
    <row r="3" spans="1:5" ht="30" customHeight="1" x14ac:dyDescent="0.25">
      <c r="A3" s="33" t="s">
        <v>84</v>
      </c>
      <c r="B3" s="10" t="str">
        <f>'Objetos de Dominio'!B16</f>
        <v>Representa la reserva de un cliente con un barbero para un día y hora puntual, con los servicios pedidos, su estado, y lo que realmente ocurrió (llegada, atención, tardanzas)</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537</v>
      </c>
      <c r="B6" s="2" t="s">
        <v>538</v>
      </c>
      <c r="C6" s="2"/>
      <c r="D6" s="55" t="s">
        <v>39</v>
      </c>
      <c r="E6" s="55"/>
    </row>
    <row r="7" spans="1:5" ht="30" customHeight="1" x14ac:dyDescent="0.25">
      <c r="A7" s="55" t="s">
        <v>539</v>
      </c>
      <c r="B7" s="2" t="s">
        <v>540</v>
      </c>
      <c r="C7" s="2"/>
      <c r="D7" s="55" t="s">
        <v>27</v>
      </c>
      <c r="E7" s="55"/>
    </row>
    <row r="8" spans="1:5" ht="30" customHeight="1" x14ac:dyDescent="0.25">
      <c r="A8" s="55" t="s">
        <v>541</v>
      </c>
      <c r="B8" s="2" t="s">
        <v>542</v>
      </c>
      <c r="C8" s="2"/>
      <c r="D8" s="55" t="s">
        <v>35</v>
      </c>
      <c r="E8" s="55"/>
    </row>
    <row r="9" spans="1:5" ht="30" customHeight="1" x14ac:dyDescent="0.25">
      <c r="A9" s="55" t="s">
        <v>543</v>
      </c>
      <c r="B9" s="2" t="s">
        <v>544</v>
      </c>
      <c r="C9" s="2"/>
      <c r="D9" s="55" t="s">
        <v>31</v>
      </c>
      <c r="E9" s="55"/>
    </row>
    <row r="10" spans="1:5" ht="30" customHeight="1" x14ac:dyDescent="0.25">
      <c r="A10" s="55" t="s">
        <v>545</v>
      </c>
      <c r="B10" s="2" t="s">
        <v>546</v>
      </c>
      <c r="C10" s="2"/>
      <c r="D10" s="55" t="s">
        <v>25</v>
      </c>
      <c r="E10" s="55"/>
    </row>
    <row r="11" spans="1:5" ht="30" customHeight="1" x14ac:dyDescent="0.25">
      <c r="A11" s="55" t="s">
        <v>547</v>
      </c>
      <c r="B11" s="2" t="s">
        <v>548</v>
      </c>
      <c r="C11" s="2"/>
      <c r="D11" s="55" t="s">
        <v>19</v>
      </c>
      <c r="E11" s="55"/>
    </row>
    <row r="12" spans="1:5" ht="30" customHeight="1" x14ac:dyDescent="0.25">
      <c r="A12" s="55" t="s">
        <v>549</v>
      </c>
      <c r="B12" s="2" t="s">
        <v>550</v>
      </c>
      <c r="C12" s="2"/>
      <c r="D12" s="55" t="s">
        <v>41</v>
      </c>
      <c r="E12" s="55"/>
    </row>
    <row r="13" spans="1:5" ht="30" customHeight="1" x14ac:dyDescent="0.25">
      <c r="A13" s="55" t="s">
        <v>551</v>
      </c>
      <c r="B13" s="2" t="s">
        <v>552</v>
      </c>
      <c r="C13" s="2"/>
      <c r="D13" s="55" t="s">
        <v>43</v>
      </c>
      <c r="E13" s="55"/>
    </row>
    <row r="14" spans="1:5" ht="30" customHeight="1" x14ac:dyDescent="0.25">
      <c r="A14" s="55" t="s">
        <v>553</v>
      </c>
      <c r="B14" s="2" t="s">
        <v>554</v>
      </c>
      <c r="C14" s="2"/>
      <c r="D14" s="55" t="s">
        <v>19</v>
      </c>
      <c r="E14" s="55"/>
    </row>
  </sheetData>
  <mergeCells count="15">
    <mergeCell ref="B11:C11"/>
    <mergeCell ref="B12:C12"/>
    <mergeCell ref="B13:C13"/>
    <mergeCell ref="B14:C14"/>
    <mergeCell ref="B6:C6"/>
    <mergeCell ref="B7:C7"/>
    <mergeCell ref="B8:C8"/>
    <mergeCell ref="B9:C9"/>
    <mergeCell ref="B10:C10"/>
    <mergeCell ref="B2:E2"/>
    <mergeCell ref="B3:E3"/>
    <mergeCell ref="A4:A5"/>
    <mergeCell ref="B4:C5"/>
    <mergeCell ref="D4:D5"/>
    <mergeCell ref="E4:E5"/>
  </mergeCells>
  <hyperlinks>
    <hyperlink ref="A1" r:id="rId1" location="'Modelo%20de%20Dominio'!A1" xr:uid="{00000000-0004-0000-3700-000000000000}"/>
    <hyperlink ref="B1" r:id="rId2" location="'Objetos%20de%20Dominio'!A1" xr:uid="{00000000-0004-0000-3700-000001000000}"/>
    <hyperlink ref="C1" r:id="rId3" location="'C-Cita'!A1" xr:uid="{00000000-0004-0000-3700-000002000000}"/>
    <hyperlink ref="D1" r:id="rId4" location="'M-Cita'!A1" xr:uid="{00000000-0004-0000-3700-000003000000}"/>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21"/>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Dominio'!A16</f>
        <v>Cita</v>
      </c>
      <c r="C2" s="11"/>
      <c r="D2" s="11"/>
      <c r="E2" s="11"/>
      <c r="F2" s="11"/>
      <c r="G2" s="11"/>
      <c r="H2" s="11"/>
      <c r="I2" s="11"/>
      <c r="J2" s="11"/>
      <c r="K2" s="11"/>
    </row>
    <row r="3" spans="1:11" ht="30" customHeight="1" x14ac:dyDescent="0.25">
      <c r="A3" s="33" t="s">
        <v>84</v>
      </c>
      <c r="B3" s="10" t="str">
        <f>'Objetos de Dominio'!B16</f>
        <v>Representa la reserva de un cliente con un barbero para un día y hora puntual, con los servicios pedidos, su estado, y lo que realmente ocurrió (llegada, atención, tardanzas)</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3" t="s">
        <v>27</v>
      </c>
      <c r="B7" s="2" t="s">
        <v>555</v>
      </c>
      <c r="C7" s="2" t="s">
        <v>556</v>
      </c>
      <c r="D7" s="3" t="str">
        <f>$B$2</f>
        <v>Cita</v>
      </c>
      <c r="E7" s="2" t="s">
        <v>557</v>
      </c>
      <c r="F7" s="2" t="s">
        <v>558</v>
      </c>
      <c r="G7" s="40" t="str">
        <f>'P-Cita'!A6</f>
        <v>P-CIT-0001</v>
      </c>
      <c r="H7" s="41"/>
      <c r="I7" s="3"/>
      <c r="J7" s="2" t="s">
        <v>559</v>
      </c>
      <c r="K7" s="2" t="s">
        <v>560</v>
      </c>
    </row>
    <row r="8" spans="1:11" ht="30" customHeight="1" x14ac:dyDescent="0.25">
      <c r="A8" s="3"/>
      <c r="B8" s="3"/>
      <c r="C8" s="3"/>
      <c r="D8" s="3"/>
      <c r="E8" s="3"/>
      <c r="F8" s="3"/>
      <c r="G8" s="40" t="str">
        <f>'P-Cita'!A7</f>
        <v>P-CIT-0002</v>
      </c>
      <c r="H8" s="41"/>
      <c r="I8" s="3"/>
      <c r="J8" s="3"/>
      <c r="K8" s="3"/>
    </row>
    <row r="9" spans="1:11" ht="30" customHeight="1" x14ac:dyDescent="0.25">
      <c r="A9" s="3"/>
      <c r="B9" s="3"/>
      <c r="C9" s="3"/>
      <c r="D9" s="3"/>
      <c r="E9" s="3"/>
      <c r="F9" s="3"/>
      <c r="G9" s="40" t="str">
        <f>'P-Cita'!A8</f>
        <v>P-CIT-0003</v>
      </c>
      <c r="H9" s="41"/>
      <c r="I9" s="3"/>
      <c r="J9" s="3"/>
      <c r="K9" s="3"/>
    </row>
    <row r="10" spans="1:11" ht="30" customHeight="1" x14ac:dyDescent="0.25">
      <c r="A10" s="3"/>
      <c r="B10" s="3"/>
      <c r="C10" s="3"/>
      <c r="D10" s="3"/>
      <c r="E10" s="3"/>
      <c r="F10" s="3"/>
      <c r="G10" s="40" t="str">
        <f>'P-Cita'!A9</f>
        <v>P-CIT-0004</v>
      </c>
      <c r="H10" s="41"/>
      <c r="I10" s="3"/>
      <c r="J10" s="3"/>
      <c r="K10" s="3"/>
    </row>
    <row r="11" spans="1:11" ht="30" customHeight="1" x14ac:dyDescent="0.25">
      <c r="A11" s="3"/>
      <c r="B11" s="3"/>
      <c r="C11" s="3"/>
      <c r="D11" s="3"/>
      <c r="E11" s="3"/>
      <c r="F11" s="3"/>
      <c r="G11" s="40" t="str">
        <f>'P-Cita'!A10</f>
        <v>P-CIT-0005</v>
      </c>
      <c r="H11" s="41"/>
      <c r="I11" s="3"/>
      <c r="J11" s="3"/>
      <c r="K11" s="3"/>
    </row>
    <row r="12" spans="1:11" ht="30" customHeight="1" x14ac:dyDescent="0.25">
      <c r="A12" s="3"/>
      <c r="B12" s="3"/>
      <c r="C12" s="3"/>
      <c r="D12" s="3"/>
      <c r="E12" s="3"/>
      <c r="F12" s="3"/>
      <c r="G12" s="40" t="str">
        <f>'P-Cita'!A11</f>
        <v>P-CIT-0006</v>
      </c>
      <c r="H12" s="41"/>
      <c r="I12" s="3"/>
      <c r="J12" s="3"/>
      <c r="K12" s="3"/>
    </row>
    <row r="13" spans="1:11" ht="30" customHeight="1" x14ac:dyDescent="0.25">
      <c r="A13" s="3" t="s">
        <v>27</v>
      </c>
      <c r="B13" s="2" t="s">
        <v>561</v>
      </c>
      <c r="C13" s="2" t="s">
        <v>562</v>
      </c>
      <c r="D13" s="3" t="str">
        <f>$B$2</f>
        <v>Cita</v>
      </c>
      <c r="E13" s="2"/>
      <c r="F13" s="2"/>
      <c r="G13" s="40" t="str">
        <f>'P-Cita'!A8</f>
        <v>P-CIT-0003</v>
      </c>
      <c r="H13" s="41"/>
      <c r="I13" s="3"/>
      <c r="J13" s="2" t="s">
        <v>563</v>
      </c>
      <c r="K13" s="2"/>
    </row>
    <row r="14" spans="1:11" ht="30" customHeight="1" x14ac:dyDescent="0.25">
      <c r="A14" s="3"/>
      <c r="B14" s="3"/>
      <c r="C14" s="3"/>
      <c r="D14" s="3"/>
      <c r="E14" s="3"/>
      <c r="F14" s="3"/>
      <c r="G14" s="40" t="str">
        <f>'P-Cita'!A10</f>
        <v>P-CIT-0005</v>
      </c>
      <c r="H14" s="41"/>
      <c r="I14" s="3"/>
      <c r="J14" s="3"/>
      <c r="K14" s="3"/>
    </row>
    <row r="15" spans="1:11" ht="30" customHeight="1" x14ac:dyDescent="0.25">
      <c r="A15" s="40" t="s">
        <v>27</v>
      </c>
      <c r="B15" s="35" t="s">
        <v>564</v>
      </c>
      <c r="C15" s="35" t="s">
        <v>565</v>
      </c>
      <c r="D15" s="40" t="str">
        <f t="shared" ref="D15:D21" si="0">$B$2</f>
        <v>Cita</v>
      </c>
      <c r="E15" s="35"/>
      <c r="F15" s="35"/>
      <c r="G15" s="40"/>
      <c r="H15" s="41"/>
      <c r="I15" s="40"/>
      <c r="J15" s="35" t="s">
        <v>566</v>
      </c>
      <c r="K15" s="35" t="s">
        <v>567</v>
      </c>
    </row>
    <row r="16" spans="1:11" ht="30" customHeight="1" x14ac:dyDescent="0.25">
      <c r="A16" s="40" t="s">
        <v>25</v>
      </c>
      <c r="B16" s="35" t="s">
        <v>568</v>
      </c>
      <c r="C16" s="35" t="s">
        <v>569</v>
      </c>
      <c r="D16" s="40" t="str">
        <f t="shared" si="0"/>
        <v>Cita</v>
      </c>
      <c r="E16" s="35"/>
      <c r="F16" s="35"/>
      <c r="G16" s="40"/>
      <c r="H16" s="41"/>
      <c r="I16" s="40"/>
      <c r="J16" s="35" t="s">
        <v>570</v>
      </c>
      <c r="K16" s="35"/>
    </row>
    <row r="17" spans="1:11" ht="30" customHeight="1" x14ac:dyDescent="0.25">
      <c r="A17" s="40" t="s">
        <v>25</v>
      </c>
      <c r="B17" s="35" t="s">
        <v>571</v>
      </c>
      <c r="C17" s="35" t="s">
        <v>572</v>
      </c>
      <c r="D17" s="40" t="str">
        <f t="shared" si="0"/>
        <v>Cita</v>
      </c>
      <c r="E17" s="35"/>
      <c r="F17" s="35"/>
      <c r="G17" s="40"/>
      <c r="H17" s="41"/>
      <c r="I17" s="40"/>
      <c r="J17" s="35" t="s">
        <v>573</v>
      </c>
      <c r="K17" s="35"/>
    </row>
    <row r="18" spans="1:11" ht="30" customHeight="1" x14ac:dyDescent="0.25">
      <c r="A18" s="40" t="s">
        <v>25</v>
      </c>
      <c r="B18" s="35" t="s">
        <v>574</v>
      </c>
      <c r="C18" s="35" t="s">
        <v>575</v>
      </c>
      <c r="D18" s="40" t="str">
        <f t="shared" si="0"/>
        <v>Cita</v>
      </c>
      <c r="E18" s="35"/>
      <c r="F18" s="35"/>
      <c r="G18" s="40"/>
      <c r="H18" s="41"/>
      <c r="I18" s="40"/>
      <c r="J18" s="35" t="s">
        <v>576</v>
      </c>
      <c r="K18" s="35"/>
    </row>
    <row r="19" spans="1:11" ht="30" customHeight="1" x14ac:dyDescent="0.25">
      <c r="A19" s="40" t="s">
        <v>25</v>
      </c>
      <c r="B19" s="35" t="s">
        <v>577</v>
      </c>
      <c r="C19" s="35" t="s">
        <v>578</v>
      </c>
      <c r="D19" s="40" t="str">
        <f t="shared" si="0"/>
        <v>Cita</v>
      </c>
      <c r="E19" s="35"/>
      <c r="F19" s="35"/>
      <c r="G19" s="40" t="str">
        <f>'P-Cita'!A12</f>
        <v>P-CIT-0007</v>
      </c>
      <c r="H19" s="41"/>
      <c r="I19" s="40"/>
      <c r="J19" s="35" t="s">
        <v>579</v>
      </c>
      <c r="K19" s="35"/>
    </row>
    <row r="20" spans="1:11" ht="30" customHeight="1" x14ac:dyDescent="0.25">
      <c r="A20" s="40" t="s">
        <v>25</v>
      </c>
      <c r="B20" s="35" t="s">
        <v>580</v>
      </c>
      <c r="C20" s="35" t="s">
        <v>581</v>
      </c>
      <c r="D20" s="40" t="str">
        <f t="shared" si="0"/>
        <v>Cita</v>
      </c>
      <c r="E20" s="35"/>
      <c r="F20" s="35"/>
      <c r="G20" s="40" t="str">
        <f>'P-Cita'!A13</f>
        <v>P-CIT-0008</v>
      </c>
      <c r="H20" s="41"/>
      <c r="I20" s="40"/>
      <c r="J20" s="35" t="s">
        <v>582</v>
      </c>
      <c r="K20" s="35"/>
    </row>
    <row r="21" spans="1:11" ht="30" customHeight="1" x14ac:dyDescent="0.25">
      <c r="A21" s="40" t="s">
        <v>476</v>
      </c>
      <c r="B21" s="35" t="s">
        <v>583</v>
      </c>
      <c r="C21" s="35" t="s">
        <v>584</v>
      </c>
      <c r="D21" s="40" t="str">
        <f t="shared" si="0"/>
        <v>Cita</v>
      </c>
      <c r="E21" s="35"/>
      <c r="F21" s="35"/>
      <c r="G21" s="40" t="str">
        <f>'P-Cita'!A14</f>
        <v>P-CIT-0009</v>
      </c>
      <c r="H21" s="41"/>
      <c r="I21" s="40"/>
      <c r="J21" s="35" t="s">
        <v>585</v>
      </c>
      <c r="K21" s="35"/>
    </row>
  </sheetData>
  <mergeCells count="37">
    <mergeCell ref="F7:F12"/>
    <mergeCell ref="I7:I12"/>
    <mergeCell ref="J7:J12"/>
    <mergeCell ref="K7:K12"/>
    <mergeCell ref="A13:A14"/>
    <mergeCell ref="B13:B14"/>
    <mergeCell ref="C13:C14"/>
    <mergeCell ref="D13:D14"/>
    <mergeCell ref="E13:E14"/>
    <mergeCell ref="F13:F14"/>
    <mergeCell ref="I13:I14"/>
    <mergeCell ref="J13:J14"/>
    <mergeCell ref="K13:K14"/>
    <mergeCell ref="A7:A12"/>
    <mergeCell ref="B7:B12"/>
    <mergeCell ref="C7:C12"/>
    <mergeCell ref="D7:D12"/>
    <mergeCell ref="E7:E12"/>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3800-000000000000}"/>
    <hyperlink ref="C1" r:id="rId2" location="'Objetos%20de%20Dominio'!A1" xr:uid="{00000000-0004-0000-3800-000001000000}"/>
    <hyperlink ref="F1" r:id="rId3" location="'C-Cita'!A1" xr:uid="{00000000-0004-0000-3800-000002000000}"/>
    <hyperlink ref="J1" r:id="rId4" location="'M-Cita'!A1" xr:uid="{00000000-0004-0000-3800-000003000000}"/>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R25"/>
  <sheetViews>
    <sheetView zoomScale="124" zoomScaleNormal="124" workbookViewId="0">
      <selection activeCell="C2" sqref="C2"/>
    </sheetView>
  </sheetViews>
  <sheetFormatPr baseColWidth="10" defaultColWidth="10.7109375" defaultRowHeight="15" x14ac:dyDescent="0.25"/>
  <cols>
    <col min="1" max="1" width="25" customWidth="1"/>
    <col min="2" max="2" width="27.5703125" customWidth="1"/>
    <col min="3" max="5" width="26.140625" customWidth="1"/>
    <col min="6" max="8" width="19.85546875" customWidth="1"/>
    <col min="9" max="9" width="23.42578125" customWidth="1"/>
    <col min="10" max="10" width="20.42578125" customWidth="1"/>
    <col min="11" max="13" width="19.85546875" customWidth="1"/>
    <col min="14" max="15" width="23" customWidth="1"/>
    <col min="16" max="16" width="36" customWidth="1"/>
    <col min="17" max="17" width="26.7109375" customWidth="1"/>
    <col min="18" max="18" width="36" customWidth="1"/>
  </cols>
  <sheetData>
    <row r="1" spans="1:18" ht="14.25" customHeight="1" x14ac:dyDescent="0.25">
      <c r="A1" s="13" t="s">
        <v>1</v>
      </c>
      <c r="B1" s="13" t="s">
        <v>45</v>
      </c>
    </row>
    <row r="2" spans="1:18" ht="64.5" customHeight="1" x14ac:dyDescent="0.25">
      <c r="A2" s="148" t="s">
        <v>111</v>
      </c>
      <c r="B2" s="148" t="s">
        <v>586</v>
      </c>
      <c r="C2" s="148" t="s">
        <v>587</v>
      </c>
      <c r="D2" s="148" t="s">
        <v>588</v>
      </c>
      <c r="E2" s="148" t="s">
        <v>589</v>
      </c>
      <c r="F2" s="148" t="s">
        <v>590</v>
      </c>
      <c r="G2" s="148" t="s">
        <v>591</v>
      </c>
      <c r="H2" s="148" t="s">
        <v>592</v>
      </c>
      <c r="I2" s="148" t="s">
        <v>593</v>
      </c>
      <c r="J2" s="148" t="s">
        <v>594</v>
      </c>
      <c r="K2" s="148" t="s">
        <v>595</v>
      </c>
      <c r="L2" s="148" t="s">
        <v>596</v>
      </c>
      <c r="M2" s="148" t="s">
        <v>597</v>
      </c>
      <c r="N2" s="148" t="s">
        <v>598</v>
      </c>
      <c r="O2" s="148" t="s">
        <v>599</v>
      </c>
      <c r="P2" s="148" t="s">
        <v>600</v>
      </c>
      <c r="Q2" s="148" t="s">
        <v>601</v>
      </c>
      <c r="R2" s="148" t="s">
        <v>602</v>
      </c>
    </row>
    <row r="3" spans="1:18" ht="14.25" customHeight="1" x14ac:dyDescent="0.25">
      <c r="A3" s="158" t="s">
        <v>114</v>
      </c>
      <c r="B3" s="133" t="s">
        <v>603</v>
      </c>
      <c r="C3" s="133" t="s">
        <v>517</v>
      </c>
      <c r="D3" s="133" t="s">
        <v>604</v>
      </c>
      <c r="E3" s="133" t="s">
        <v>605</v>
      </c>
      <c r="F3" s="116" t="s">
        <v>469</v>
      </c>
      <c r="G3" s="116" t="s">
        <v>606</v>
      </c>
      <c r="H3" s="116" t="s">
        <v>607</v>
      </c>
      <c r="I3" s="116" t="s">
        <v>608</v>
      </c>
      <c r="J3" s="116" t="s">
        <v>609</v>
      </c>
      <c r="K3" s="116" t="s">
        <v>610</v>
      </c>
      <c r="L3" s="117" t="s">
        <v>611</v>
      </c>
      <c r="M3" s="159" t="s">
        <v>612</v>
      </c>
      <c r="N3" s="117" t="s">
        <v>613</v>
      </c>
      <c r="O3" s="117" t="s">
        <v>614</v>
      </c>
      <c r="P3" s="106" t="s">
        <v>615</v>
      </c>
      <c r="Q3" s="117" t="s">
        <v>616</v>
      </c>
      <c r="R3" s="160" t="s">
        <v>248</v>
      </c>
    </row>
    <row r="4" spans="1:18" ht="45" customHeight="1" x14ac:dyDescent="0.25">
      <c r="A4" s="47">
        <v>1</v>
      </c>
      <c r="B4" s="107" t="str">
        <f>'M-Cliente'!L4</f>
        <v>+57-3234528921</v>
      </c>
      <c r="C4" s="151" t="str">
        <f>'M-Agenda'!E4</f>
        <v>+57-3245627890-Lunes-09:00-19:00-11/03/2023-1/01/1000-10:00-16:00-si-31/08/2026</v>
      </c>
      <c r="D4" s="151">
        <f>'M-Regla'!A4</f>
        <v>1</v>
      </c>
      <c r="E4" s="151" t="str">
        <f>'M-Estado'!D4</f>
        <v>Agendada</v>
      </c>
      <c r="F4" s="161">
        <v>0.41666666666666702</v>
      </c>
      <c r="G4" s="161">
        <f t="shared" ref="G4:G13" si="0">F4+TIME(0,M4,0)</f>
        <v>0.41666666666666702</v>
      </c>
      <c r="H4" s="161">
        <v>0</v>
      </c>
      <c r="I4" s="161">
        <v>0</v>
      </c>
      <c r="J4" s="161">
        <v>0</v>
      </c>
      <c r="K4" s="161">
        <v>0</v>
      </c>
      <c r="L4" s="162">
        <f>INT((SUMIF('M-CitaServicio'!$B$4:$B$14,R4,'M-CitaServicio'!$F$4:$F$14)+SUMIF('M-CitaServicio'!$B$4:$B$14,R4,'M-CitaServicio'!$G$4:$G$14))/60)</f>
        <v>1</v>
      </c>
      <c r="M4" s="47">
        <f>MOD((SUMIF('M-CitaServicio'!$B$4:$B$14,R4,'M-CitaServicio'!$F$4:$F$14)+SUMIF('M-CitaServicio'!$B$4:$B$14,R4,'M-CitaServicio'!$G$4:$G$14)),60)</f>
        <v>0</v>
      </c>
      <c r="N4" s="163">
        <f t="shared" ref="N4:N13" si="1">IF(H4=TIME(0,0,0),0,MAX(0,(H4-F4)*1440))</f>
        <v>0</v>
      </c>
      <c r="O4" s="164">
        <f t="shared" ref="O4:O13" si="2">IF(J4=TIME(0,0,0),0,MAX(0,(J4-MAX(H4,F4))*1440))</f>
        <v>0</v>
      </c>
      <c r="P4" s="164">
        <v>0</v>
      </c>
      <c r="Q4" s="165">
        <f>SUMIF('M-CitaServicio'!$B$4:$B$14,R4,'M-CitaServicio'!$D$4:$D$14)*(1-P4/100)</f>
        <v>22000</v>
      </c>
      <c r="R4" s="58" t="str">
        <f t="shared" ref="R4:R13" si="3">_xlfn.CONCAT(C4,"-",TEXT(F4,"hh:mm"))</f>
        <v>+57-3245627890-Lunes-09:00-19:00-11/03/2023-1/01/1000-10:00-16:00-si-31/08/2026-10:00</v>
      </c>
    </row>
    <row r="5" spans="1:18" ht="41.25" customHeight="1" x14ac:dyDescent="0.25">
      <c r="A5" s="47">
        <v>2</v>
      </c>
      <c r="B5" s="107" t="str">
        <f>'M-Cliente'!L5</f>
        <v>+57-3161657782</v>
      </c>
      <c r="C5" s="151" t="str">
        <f>'M-Agenda'!E5</f>
        <v>+57-3124518923-Martes-09:00-19:00-09:00-15:00-si-10/03/2026</v>
      </c>
      <c r="D5" s="151">
        <f>'M-Regla'!A4</f>
        <v>1</v>
      </c>
      <c r="E5" s="151" t="str">
        <f>'M-Estado'!D5</f>
        <v>Finalizada</v>
      </c>
      <c r="F5" s="161">
        <v>0.39583333333333298</v>
      </c>
      <c r="G5" s="161">
        <f t="shared" si="0"/>
        <v>0.40624999999999967</v>
      </c>
      <c r="H5" s="161">
        <v>0.39444444444444399</v>
      </c>
      <c r="I5" s="161">
        <v>0.39236111111111099</v>
      </c>
      <c r="J5" s="161">
        <v>0.39583333333333298</v>
      </c>
      <c r="K5" s="161">
        <v>0.40625</v>
      </c>
      <c r="L5" s="162">
        <f>INT((SUMIF('M-CitaServicio'!$B$4:$B$14,R5,'M-CitaServicio'!$F$4:$F$14)+SUMIF('M-CitaServicio'!$B$4:$B$14,R5,'M-CitaServicio'!$G$4:$G$14))/60)</f>
        <v>0</v>
      </c>
      <c r="M5" s="47">
        <f>MOD((SUMIF('M-CitaServicio'!$B$4:$B$14,R5,'M-CitaServicio'!$F$4:$F$14)+SUMIF('M-CitaServicio'!$B$4:$B$14,R5,'M-CitaServicio'!$G$4:$G$14)),60)</f>
        <v>15</v>
      </c>
      <c r="N5" s="163">
        <f t="shared" si="1"/>
        <v>0</v>
      </c>
      <c r="O5" s="164">
        <f t="shared" si="2"/>
        <v>0</v>
      </c>
      <c r="P5" s="164">
        <v>0</v>
      </c>
      <c r="Q5" s="165">
        <f>SUMIF('M-CitaServicio'!$B$4:$B$14,R5,'M-CitaServicio'!$D$4:$D$14)*(1-P5/100)</f>
        <v>12000</v>
      </c>
      <c r="R5" s="58" t="str">
        <f t="shared" si="3"/>
        <v>+57-3124518923-Martes-09:00-19:00-09:00-15:00-si-10/03/2026-09:30</v>
      </c>
    </row>
    <row r="6" spans="1:18" ht="41.25" customHeight="1" x14ac:dyDescent="0.25">
      <c r="A6" s="47">
        <v>3</v>
      </c>
      <c r="B6" s="107" t="str">
        <f>'M-Cliente'!L6</f>
        <v>+57-3119884321</v>
      </c>
      <c r="C6" s="151" t="str">
        <f>'M-Agenda'!E6</f>
        <v>+57-3214533321-Jueves-09:00-19:00-13:00-19:00-si-14/05/2026</v>
      </c>
      <c r="D6" s="151">
        <f>'M-Regla'!A4</f>
        <v>1</v>
      </c>
      <c r="E6" s="151" t="str">
        <f>'M-Estado'!D8</f>
        <v>El cliente se demoro</v>
      </c>
      <c r="F6" s="161">
        <v>0.54166666666666696</v>
      </c>
      <c r="G6" s="161">
        <f t="shared" si="0"/>
        <v>0.5555555555555558</v>
      </c>
      <c r="H6" s="161">
        <v>0.55208333333333304</v>
      </c>
      <c r="I6" s="161">
        <v>0.54305555555555596</v>
      </c>
      <c r="J6" s="161">
        <v>0.55208333333333304</v>
      </c>
      <c r="K6" s="161">
        <v>0.56597222222222199</v>
      </c>
      <c r="L6" s="162">
        <f>INT((SUMIF('M-CitaServicio'!$B$4:$B$14,R6,'M-CitaServicio'!$F$4:$F$14)+SUMIF('M-CitaServicio'!$B$4:$B$14,R6,'M-CitaServicio'!$G$4:$G$14))/60)</f>
        <v>0</v>
      </c>
      <c r="M6" s="47">
        <f>MOD((SUMIF('M-CitaServicio'!$B$4:$B$14,R6,'M-CitaServicio'!$F$4:$F$14)+SUMIF('M-CitaServicio'!$B$4:$B$14,R6,'M-CitaServicio'!$G$4:$G$14)),60)</f>
        <v>20</v>
      </c>
      <c r="N6" s="163">
        <f t="shared" si="1"/>
        <v>14.999999999999147</v>
      </c>
      <c r="O6" s="164">
        <f t="shared" si="2"/>
        <v>0</v>
      </c>
      <c r="P6" s="164">
        <v>0</v>
      </c>
      <c r="Q6" s="165">
        <f>SUMIF('M-CitaServicio'!$B$4:$B$14,R6,'M-CitaServicio'!$D$4:$D$14)*(1-P6/100)</f>
        <v>15000</v>
      </c>
      <c r="R6" s="58" t="str">
        <f t="shared" si="3"/>
        <v>+57-3214533321-Jueves-09:00-19:00-13:00-19:00-si-14/05/2026-13:00</v>
      </c>
    </row>
    <row r="7" spans="1:18" ht="41.25" customHeight="1" x14ac:dyDescent="0.25">
      <c r="A7" s="47">
        <v>4</v>
      </c>
      <c r="B7" s="107" t="str">
        <f>'M-Cliente'!L7</f>
        <v>+58-4127359182</v>
      </c>
      <c r="C7" s="151" t="str">
        <f>'M-Agenda'!E8</f>
        <v>+91-9876543210-Sábado-08:00-21:00-08:00-14:00-no-22/11/2025</v>
      </c>
      <c r="D7" s="151">
        <f>'M-Regla'!A4</f>
        <v>1</v>
      </c>
      <c r="E7" s="151" t="str">
        <f>'M-Estado'!D10</f>
        <v>Inasistencia del cliente</v>
      </c>
      <c r="F7" s="161">
        <v>0.54166666666666696</v>
      </c>
      <c r="G7" s="161">
        <f t="shared" si="0"/>
        <v>0.57638888888888917</v>
      </c>
      <c r="H7" s="161">
        <v>0</v>
      </c>
      <c r="I7" s="161">
        <v>0.52777777777777801</v>
      </c>
      <c r="J7" s="161">
        <v>0</v>
      </c>
      <c r="K7" s="161">
        <v>0</v>
      </c>
      <c r="L7" s="162">
        <f>INT((SUMIF('M-CitaServicio'!$B$4:$B$14,R7,'M-CitaServicio'!$F$4:$F$14)+SUMIF('M-CitaServicio'!$B$4:$B$14,R7,'M-CitaServicio'!$G$4:$G$14))/60)</f>
        <v>0</v>
      </c>
      <c r="M7" s="47">
        <f>MOD((SUMIF('M-CitaServicio'!$B$4:$B$14,R7,'M-CitaServicio'!$F$4:$F$14)+SUMIF('M-CitaServicio'!$B$4:$B$14,R7,'M-CitaServicio'!$G$4:$G$14)),60)</f>
        <v>50</v>
      </c>
      <c r="N7" s="163">
        <f t="shared" si="1"/>
        <v>0</v>
      </c>
      <c r="O7" s="164">
        <f t="shared" si="2"/>
        <v>0</v>
      </c>
      <c r="P7" s="164">
        <v>0</v>
      </c>
      <c r="Q7" s="165">
        <f>SUMIF('M-CitaServicio'!$B$4:$B$14,R7,'M-CitaServicio'!$D$4:$D$14)*(1-P7/100)</f>
        <v>35000</v>
      </c>
      <c r="R7" s="58" t="str">
        <f t="shared" si="3"/>
        <v>+91-9876543210-Sábado-08:00-21:00-08:00-14:00-no-22/11/2025-13:00</v>
      </c>
    </row>
    <row r="8" spans="1:18" ht="41.25" customHeight="1" x14ac:dyDescent="0.25">
      <c r="A8" s="47">
        <v>5</v>
      </c>
      <c r="B8" s="107" t="str">
        <f>'M-Cliente'!L7</f>
        <v>+58-4127359182</v>
      </c>
      <c r="C8" s="151" t="str">
        <f>'M-Agenda'!E9</f>
        <v>+57-3214533321-Jueves-09:00-19:00-13:00-19:00-si-06/08/2026</v>
      </c>
      <c r="D8" s="151">
        <f>'M-Regla'!A4</f>
        <v>1</v>
      </c>
      <c r="E8" s="151" t="str">
        <f>'M-Estado'!D9</f>
        <v>El barbero se demoro</v>
      </c>
      <c r="F8" s="161">
        <v>0.75</v>
      </c>
      <c r="G8" s="161">
        <f t="shared" si="0"/>
        <v>0.76388888888888884</v>
      </c>
      <c r="H8" s="161">
        <v>0.74861111111111101</v>
      </c>
      <c r="I8" s="161">
        <v>0.76388888888888895</v>
      </c>
      <c r="J8" s="161">
        <v>0.76388888888888895</v>
      </c>
      <c r="K8" s="161">
        <v>0.77777777777777801</v>
      </c>
      <c r="L8" s="162">
        <f>INT((SUMIF('M-CitaServicio'!$B$4:$B$14,R8,'M-CitaServicio'!$F$4:$F$14)+SUMIF('M-CitaServicio'!$B$4:$B$14,R8,'M-CitaServicio'!$G$4:$G$14))/60)</f>
        <v>0</v>
      </c>
      <c r="M8" s="47">
        <f>MOD((SUMIF('M-CitaServicio'!$B$4:$B$14,R8,'M-CitaServicio'!$F$4:$F$14)+SUMIF('M-CitaServicio'!$B$4:$B$14,R8,'M-CitaServicio'!$G$4:$G$14)),60)</f>
        <v>20</v>
      </c>
      <c r="N8" s="163">
        <f t="shared" si="1"/>
        <v>0</v>
      </c>
      <c r="O8" s="164">
        <f t="shared" si="2"/>
        <v>20.000000000000089</v>
      </c>
      <c r="P8" s="164">
        <v>10</v>
      </c>
      <c r="Q8" s="165">
        <f>SUMIF('M-CitaServicio'!$B$4:$B$14,R8,'M-CitaServicio'!$D$4:$D$14)*(1-P8/100)</f>
        <v>10800</v>
      </c>
      <c r="R8" s="58" t="str">
        <f t="shared" si="3"/>
        <v>+57-3214533321-Jueves-09:00-19:00-13:00-19:00-si-06/08/2026-18:00</v>
      </c>
    </row>
    <row r="9" spans="1:18" ht="41.25" customHeight="1" x14ac:dyDescent="0.25">
      <c r="A9" s="47">
        <v>6</v>
      </c>
      <c r="B9" s="107" t="str">
        <f>'M-Cliente'!L4</f>
        <v>+57-3234528921</v>
      </c>
      <c r="C9" s="151" t="str">
        <f>'M-Agenda'!E7</f>
        <v>+91-9876543210-Festivo-10:00-15:00-12:00-15:00-no-20/02/2026</v>
      </c>
      <c r="D9" s="151">
        <f>'M-Regla'!A4</f>
        <v>1</v>
      </c>
      <c r="E9" s="151" t="str">
        <f>'M-Estado'!D5</f>
        <v>Finalizada</v>
      </c>
      <c r="F9" s="161">
        <v>0.58333333333333304</v>
      </c>
      <c r="G9" s="161">
        <f t="shared" si="0"/>
        <v>0.61805555555555525</v>
      </c>
      <c r="H9" s="161">
        <v>0.58194444444444504</v>
      </c>
      <c r="I9" s="161">
        <v>0.58333333333333304</v>
      </c>
      <c r="J9" s="161">
        <v>0.58333333333333304</v>
      </c>
      <c r="K9" s="161">
        <v>0.61805555555555602</v>
      </c>
      <c r="L9" s="162">
        <f>INT((SUMIF('M-CitaServicio'!$B$4:$B$14,R9,'M-CitaServicio'!$F$4:$F$14)+SUMIF('M-CitaServicio'!$B$4:$B$14,R9,'M-CitaServicio'!$G$4:$G$14))/60)</f>
        <v>0</v>
      </c>
      <c r="M9" s="47">
        <f>MOD((SUMIF('M-CitaServicio'!$B$4:$B$14,R9,'M-CitaServicio'!$F$4:$F$14)+SUMIF('M-CitaServicio'!$B$4:$B$14,R9,'M-CitaServicio'!$G$4:$G$14)),60)</f>
        <v>50</v>
      </c>
      <c r="N9" s="163">
        <f t="shared" si="1"/>
        <v>0</v>
      </c>
      <c r="O9" s="164">
        <f t="shared" si="2"/>
        <v>0</v>
      </c>
      <c r="P9" s="164">
        <v>0</v>
      </c>
      <c r="Q9" s="165">
        <f>SUMIF('M-CitaServicio'!$B$4:$B$14,R9,'M-CitaServicio'!$D$4:$D$14)*(1-P9/100)</f>
        <v>35000</v>
      </c>
      <c r="R9" s="58" t="str">
        <f t="shared" si="3"/>
        <v>+91-9876543210-Festivo-10:00-15:00-12:00-15:00-no-20/02/2026-14:00</v>
      </c>
    </row>
    <row r="10" spans="1:18" ht="41.25" customHeight="1" x14ac:dyDescent="0.25">
      <c r="A10" s="47">
        <v>7</v>
      </c>
      <c r="B10" s="107" t="str">
        <f>'M-Cliente'!L8</f>
        <v>+57-3005544332</v>
      </c>
      <c r="C10" s="151" t="str">
        <f>'M-Agenda'!E10</f>
        <v>+57-3245627890-Lunes-09:00-19:00-11/03/2023-1/01/1000-10:00-16:00-si-01/06/2026</v>
      </c>
      <c r="D10" s="151">
        <f>'M-Regla'!A4</f>
        <v>1</v>
      </c>
      <c r="E10" s="151" t="str">
        <f>'M-Estado'!D10</f>
        <v>Inasistencia del cliente</v>
      </c>
      <c r="F10" s="161">
        <v>0.41666666666666702</v>
      </c>
      <c r="G10" s="161">
        <f t="shared" si="0"/>
        <v>0.41666666666666702</v>
      </c>
      <c r="H10" s="161">
        <v>0</v>
      </c>
      <c r="I10" s="161">
        <v>0</v>
      </c>
      <c r="J10" s="161">
        <v>0</v>
      </c>
      <c r="K10" s="161">
        <v>0</v>
      </c>
      <c r="L10" s="162">
        <f>INT((SUMIF('M-CitaServicio'!$B$4:$B$14,R10,'M-CitaServicio'!$F$4:$F$14)+SUMIF('M-CitaServicio'!$B$4:$B$14,R10,'M-CitaServicio'!$G$4:$G$14))/60)</f>
        <v>1</v>
      </c>
      <c r="M10" s="47">
        <f>MOD((SUMIF('M-CitaServicio'!$B$4:$B$14,R10,'M-CitaServicio'!$F$4:$F$14)+SUMIF('M-CitaServicio'!$B$4:$B$14,R10,'M-CitaServicio'!$G$4:$G$14)),60)</f>
        <v>0</v>
      </c>
      <c r="N10" s="163">
        <f t="shared" si="1"/>
        <v>0</v>
      </c>
      <c r="O10" s="164">
        <f t="shared" si="2"/>
        <v>0</v>
      </c>
      <c r="P10" s="164">
        <v>0</v>
      </c>
      <c r="Q10" s="165">
        <f>SUMIF('M-CitaServicio'!$B$4:$B$14,R10,'M-CitaServicio'!$D$4:$D$14)*(1-P10/100)</f>
        <v>22000</v>
      </c>
      <c r="R10" s="58" t="str">
        <f t="shared" si="3"/>
        <v>+57-3245627890-Lunes-09:00-19:00-11/03/2023-1/01/1000-10:00-16:00-si-01/06/2026-10:00</v>
      </c>
    </row>
    <row r="11" spans="1:18" ht="41.25" customHeight="1" x14ac:dyDescent="0.25">
      <c r="A11" s="47">
        <v>8</v>
      </c>
      <c r="B11" s="107" t="str">
        <f>'M-Cliente'!L8</f>
        <v>+57-3005544332</v>
      </c>
      <c r="C11" s="151" t="str">
        <f>'M-Agenda'!E11</f>
        <v>+57-3124518923-Martes-09:00-19:00-09:00-15:00-si-16/06/2026</v>
      </c>
      <c r="D11" s="151">
        <f>'M-Regla'!A4</f>
        <v>1</v>
      </c>
      <c r="E11" s="151" t="str">
        <f>'M-Estado'!D10</f>
        <v>Inasistencia del cliente</v>
      </c>
      <c r="F11" s="161">
        <v>0.375</v>
      </c>
      <c r="G11" s="161">
        <f t="shared" si="0"/>
        <v>0.38541666666666669</v>
      </c>
      <c r="H11" s="161">
        <v>0</v>
      </c>
      <c r="I11" s="161">
        <v>0</v>
      </c>
      <c r="J11" s="161">
        <v>0</v>
      </c>
      <c r="K11" s="161">
        <v>0</v>
      </c>
      <c r="L11" s="162">
        <f>INT((SUMIF('M-CitaServicio'!$B$4:$B$14,R11,'M-CitaServicio'!$F$4:$F$14)+SUMIF('M-CitaServicio'!$B$4:$B$14,R11,'M-CitaServicio'!$G$4:$G$14))/60)</f>
        <v>0</v>
      </c>
      <c r="M11" s="47">
        <f>MOD((SUMIF('M-CitaServicio'!$B$4:$B$14,R11,'M-CitaServicio'!$F$4:$F$14)+SUMIF('M-CitaServicio'!$B$4:$B$14,R11,'M-CitaServicio'!$G$4:$G$14)),60)</f>
        <v>15</v>
      </c>
      <c r="N11" s="163">
        <f t="shared" si="1"/>
        <v>0</v>
      </c>
      <c r="O11" s="164">
        <f t="shared" si="2"/>
        <v>0</v>
      </c>
      <c r="P11" s="164">
        <v>0</v>
      </c>
      <c r="Q11" s="165">
        <f>SUMIF('M-CitaServicio'!$B$4:$B$14,R11,'M-CitaServicio'!$D$4:$D$14)*(1-P11/100)</f>
        <v>12000</v>
      </c>
      <c r="R11" s="58" t="str">
        <f t="shared" si="3"/>
        <v>+57-3124518923-Martes-09:00-19:00-09:00-15:00-si-16/06/2026-09:00</v>
      </c>
    </row>
    <row r="12" spans="1:18" ht="41.25" customHeight="1" x14ac:dyDescent="0.25">
      <c r="A12" s="47">
        <v>9</v>
      </c>
      <c r="B12" s="107" t="str">
        <f>'M-Cliente'!L8</f>
        <v>+57-3005544332</v>
      </c>
      <c r="C12" s="151" t="str">
        <f>'M-Agenda'!E12</f>
        <v>+57-3214533321-Jueves-09:00-19:00-13:00-19:00-si-02/07/2026</v>
      </c>
      <c r="D12" s="151">
        <f>'M-Regla'!A4</f>
        <v>1</v>
      </c>
      <c r="E12" s="151" t="str">
        <f>'M-Estado'!D10</f>
        <v>Inasistencia del cliente</v>
      </c>
      <c r="F12" s="161">
        <v>0.625</v>
      </c>
      <c r="G12" s="161">
        <f t="shared" si="0"/>
        <v>0.63888888888888884</v>
      </c>
      <c r="H12" s="161">
        <v>0</v>
      </c>
      <c r="I12" s="161">
        <v>0</v>
      </c>
      <c r="J12" s="161">
        <v>0</v>
      </c>
      <c r="K12" s="161">
        <v>0</v>
      </c>
      <c r="L12" s="162">
        <f>INT((SUMIF('M-CitaServicio'!$B$4:$B$14,R12,'M-CitaServicio'!$F$4:$F$14)+SUMIF('M-CitaServicio'!$B$4:$B$14,R12,'M-CitaServicio'!$G$4:$G$14))/60)</f>
        <v>0</v>
      </c>
      <c r="M12" s="47">
        <f>MOD((SUMIF('M-CitaServicio'!$B$4:$B$14,R12,'M-CitaServicio'!$F$4:$F$14)+SUMIF('M-CitaServicio'!$B$4:$B$14,R12,'M-CitaServicio'!$G$4:$G$14)),60)</f>
        <v>20</v>
      </c>
      <c r="N12" s="163">
        <f t="shared" si="1"/>
        <v>0</v>
      </c>
      <c r="O12" s="164">
        <f t="shared" si="2"/>
        <v>0</v>
      </c>
      <c r="P12" s="164">
        <v>0</v>
      </c>
      <c r="Q12" s="165">
        <f>SUMIF('M-CitaServicio'!$B$4:$B$14,R12,'M-CitaServicio'!$D$4:$D$14)*(1-P12/100)</f>
        <v>15000</v>
      </c>
      <c r="R12" s="58" t="str">
        <f t="shared" si="3"/>
        <v>+57-3214533321-Jueves-09:00-19:00-13:00-19:00-si-02/07/2026-15:00</v>
      </c>
    </row>
    <row r="13" spans="1:18" s="49" customFormat="1" ht="45" customHeight="1" x14ac:dyDescent="0.25">
      <c r="A13" s="47">
        <v>10</v>
      </c>
      <c r="B13" s="107" t="str">
        <f>'M-Cliente'!L5</f>
        <v>+57-3161657782</v>
      </c>
      <c r="C13" s="151" t="str">
        <f>'M-Agenda'!E6</f>
        <v>+57-3214533321-Jueves-09:00-19:00-13:00-19:00-si-14/05/2026</v>
      </c>
      <c r="D13" s="107">
        <f>'M-Regla'!A4</f>
        <v>1</v>
      </c>
      <c r="E13" s="107" t="str">
        <f>'M-Estado'!D5</f>
        <v>Finalizada</v>
      </c>
      <c r="F13" s="161">
        <v>0.5625</v>
      </c>
      <c r="G13" s="161">
        <f t="shared" si="0"/>
        <v>0.59027777777777779</v>
      </c>
      <c r="H13" s="161">
        <v>0.56111111111111101</v>
      </c>
      <c r="I13" s="161">
        <v>0.55902777777777801</v>
      </c>
      <c r="J13" s="161">
        <v>0.5625</v>
      </c>
      <c r="K13" s="161">
        <v>0.59027777777777801</v>
      </c>
      <c r="L13" s="162">
        <f>INT((SUMIF('M-CitaServicio'!$B$4:$B$14,R13,'M-CitaServicio'!$F$4:$F$14)+SUMIF('M-CitaServicio'!$B$4:$B$14,R13,'M-CitaServicio'!$G$4:$G$14))/60)</f>
        <v>0</v>
      </c>
      <c r="M13" s="47">
        <f>MOD((SUMIF('M-CitaServicio'!$B$4:$B$14,R13,'M-CitaServicio'!$F$4:$F$14)+SUMIF('M-CitaServicio'!$B$4:$B$14,R13,'M-CitaServicio'!$G$4:$G$14)),60)</f>
        <v>40</v>
      </c>
      <c r="N13" s="163">
        <f t="shared" si="1"/>
        <v>0</v>
      </c>
      <c r="O13" s="164">
        <f t="shared" si="2"/>
        <v>0</v>
      </c>
      <c r="P13" s="164">
        <v>0</v>
      </c>
      <c r="Q13" s="165">
        <f>SUMIF('M-CitaServicio'!$B$4:$B$14,R13,'M-CitaServicio'!$D$4:$D$14)*(1-P13/100)</f>
        <v>27000</v>
      </c>
      <c r="R13" s="58" t="str">
        <f t="shared" si="3"/>
        <v>+57-3214533321-Jueves-09:00-19:00-13:00-19:00-si-14/05/2026-13:30</v>
      </c>
    </row>
    <row r="14" spans="1:18" ht="14.25" customHeight="1" x14ac:dyDescent="0.25">
      <c r="B14" s="51"/>
    </row>
    <row r="15" spans="1:18" ht="27.75" customHeight="1" x14ac:dyDescent="0.25"/>
    <row r="16" spans="1:18" ht="27.75" customHeight="1" x14ac:dyDescent="0.25"/>
    <row r="17" spans="1:2" ht="27.75" customHeight="1" x14ac:dyDescent="0.25"/>
    <row r="18" spans="1:2" ht="27.75" customHeight="1" x14ac:dyDescent="0.25"/>
    <row r="19" spans="1:2" ht="28.5" customHeight="1" x14ac:dyDescent="0.25">
      <c r="A19" s="50"/>
      <c r="B19" s="51" t="s">
        <v>124</v>
      </c>
    </row>
    <row r="20" spans="1:2" ht="28.5" customHeight="1" x14ac:dyDescent="0.25">
      <c r="A20" s="52"/>
      <c r="B20" s="51" t="s">
        <v>125</v>
      </c>
    </row>
    <row r="21" spans="1:2" ht="28.5" customHeight="1" x14ac:dyDescent="0.25">
      <c r="A21" s="77"/>
      <c r="B21" s="51" t="s">
        <v>315</v>
      </c>
    </row>
    <row r="22" spans="1:2" ht="28.5" customHeight="1" x14ac:dyDescent="0.25">
      <c r="A22" s="78"/>
      <c r="B22" s="51" t="s">
        <v>126</v>
      </c>
    </row>
    <row r="23" spans="1:2" ht="28.5" customHeight="1" x14ac:dyDescent="0.25">
      <c r="A23" s="123"/>
      <c r="B23" s="51" t="s">
        <v>403</v>
      </c>
    </row>
    <row r="24" spans="1:2" ht="28.5" customHeight="1" x14ac:dyDescent="0.25">
      <c r="A24" s="124"/>
      <c r="B24" s="51" t="s">
        <v>369</v>
      </c>
    </row>
    <row r="25" spans="1:2" ht="28.5" customHeight="1" x14ac:dyDescent="0.25">
      <c r="A25" s="54"/>
      <c r="B25" s="51" t="s">
        <v>127</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Cliente'!A1" display="cliente" xr:uid="{00000000-0004-0000-3900-000002000000}"/>
    <hyperlink ref="C3" location="'M-Agenda'!A1" display="agenda" xr:uid="{00000000-0004-0000-3900-000003000000}"/>
    <hyperlink ref="D3" location="'M-Regla'!A1" display="regla" xr:uid="{00000000-0004-0000-3900-000004000000}"/>
    <hyperlink ref="E3" location="'M-Estado'!A1" display="estado" xr:uid="{00000000-0004-0000-3900-000005000000}"/>
    <hyperlink ref="B4" location="'M-Cliente'!A4" display="#'M-Cliente'.A4" xr:uid="{00000000-0004-0000-3900-000006000000}"/>
    <hyperlink ref="C4" location="'M-Agenda'!A4" display="#'M-Agenda'.A4" xr:uid="{00000000-0004-0000-3900-000007000000}"/>
    <hyperlink ref="D4" location="'M-Regla'!A4" display="#'M-Regla'.A4" xr:uid="{00000000-0004-0000-3900-000008000000}"/>
    <hyperlink ref="E4" location="'M-Estado'!A4" display="#'M-Estado'.A4" xr:uid="{00000000-0004-0000-3900-000009000000}"/>
    <hyperlink ref="Q4" location="'M-CitaServicio'!A4" display="#'M-CitaServicio'.A4" xr:uid="{00000000-0004-0000-3900-00000A000000}"/>
    <hyperlink ref="B5" location="'M-Cliente'!A5" display="#'M-Cliente'.A5" xr:uid="{00000000-0004-0000-3900-00000B000000}"/>
    <hyperlink ref="C5" location="'M-Agenda'!A5" display="#'M-Agenda'.A5" xr:uid="{00000000-0004-0000-3900-00000C000000}"/>
    <hyperlink ref="D5" location="'M-Regla'!A4" display="#'M-Regla'.A4" xr:uid="{00000000-0004-0000-3900-00000D000000}"/>
    <hyperlink ref="E5" location="'M-Estado'!A5" display="#'M-Estado'.A5" xr:uid="{00000000-0004-0000-3900-00000E000000}"/>
    <hyperlink ref="Q5" location="'M-CitaServicio'!A4" display="#'M-CitaServicio'.A4" xr:uid="{00000000-0004-0000-3900-00000F000000}"/>
    <hyperlink ref="B6" location="'M-Cliente'!A6" display="#'M-Cliente'.A6" xr:uid="{00000000-0004-0000-3900-000010000000}"/>
    <hyperlink ref="C6" location="'M-Agenda'!A6" display="#'M-Agenda'.A6" xr:uid="{00000000-0004-0000-3900-000011000000}"/>
    <hyperlink ref="D6" location="'M-Regla'!A4" display="#'M-Regla'.A4" xr:uid="{00000000-0004-0000-3900-000012000000}"/>
    <hyperlink ref="E6" location="'M-Estado'!A8" display="#'M-Estado'.A8" xr:uid="{00000000-0004-0000-3900-000013000000}"/>
    <hyperlink ref="Q6" location="'M-CitaServicio'!A4" display="#'M-CitaServicio'.A4" xr:uid="{00000000-0004-0000-3900-000014000000}"/>
    <hyperlink ref="B7" location="'M-Cliente'!A7" display="#'M-Cliente'.A7" xr:uid="{00000000-0004-0000-3900-000015000000}"/>
    <hyperlink ref="C7" location="'M-Agenda'!A8" display="#'M-Agenda'.A8" xr:uid="{00000000-0004-0000-3900-000016000000}"/>
    <hyperlink ref="D7" location="'M-Regla'!A4" display="#'M-Regla'.A4" xr:uid="{00000000-0004-0000-3900-000017000000}"/>
    <hyperlink ref="E7" location="'M-Estado'!A10" display="#'M-Estado'.A10" xr:uid="{00000000-0004-0000-3900-000018000000}"/>
    <hyperlink ref="Q7" location="'M-CitaServicio'!A4" display="#'M-CitaServicio'.A4" xr:uid="{00000000-0004-0000-3900-000019000000}"/>
    <hyperlink ref="B8" location="'M-Cliente'!A7" display="#'M-Cliente'.A7" xr:uid="{00000000-0004-0000-3900-00001A000000}"/>
    <hyperlink ref="C8" location="'M-Agenda'!A9" display="#'M-Agenda'.A9" xr:uid="{00000000-0004-0000-3900-00001B000000}"/>
    <hyperlink ref="D8" location="'M-Regla'!A4" display="#'M-Regla'.A4" xr:uid="{00000000-0004-0000-3900-00001C000000}"/>
    <hyperlink ref="E8" location="'M-Estado'!A9" display="#'M-Estado'.A9" xr:uid="{00000000-0004-0000-3900-00001D000000}"/>
    <hyperlink ref="Q8" location="'M-CitaServicio'!A4" display="#'M-CitaServicio'.A4" xr:uid="{00000000-0004-0000-3900-00001E000000}"/>
    <hyperlink ref="B9" location="'M-Cliente'!A4" display="#'M-Cliente'.A4" xr:uid="{00000000-0004-0000-3900-00001F000000}"/>
    <hyperlink ref="C9" location="'M-Agenda'!A7" display="#'M-Agenda'.A7" xr:uid="{00000000-0004-0000-3900-000020000000}"/>
    <hyperlink ref="D9" location="'M-Regla'!A4" display="#'M-Regla'.A4" xr:uid="{00000000-0004-0000-3900-000021000000}"/>
    <hyperlink ref="E9" location="'M-Estado'!A5" display="#'M-Estado'.A5" xr:uid="{00000000-0004-0000-3900-000022000000}"/>
    <hyperlink ref="Q9" location="'M-CitaServicio'!A4" display="#'M-CitaServicio'.A4" xr:uid="{00000000-0004-0000-3900-000023000000}"/>
    <hyperlink ref="B10" location="'M-Cliente'!A8" display="#'M-Cliente'.A8" xr:uid="{00000000-0004-0000-3900-000024000000}"/>
    <hyperlink ref="C10" location="'M-Agenda'!A10" display="#'M-Agenda'.A10" xr:uid="{00000000-0004-0000-3900-000025000000}"/>
    <hyperlink ref="D10" location="'M-Regla'!A4" display="#'M-Regla'.A4" xr:uid="{00000000-0004-0000-3900-000026000000}"/>
    <hyperlink ref="E10" location="'M-Estado'!A10" display="#'M-Estado'.A10" xr:uid="{00000000-0004-0000-3900-000027000000}"/>
    <hyperlink ref="Q10" location="'M-CitaServicio'!A4" display="#'M-CitaServicio'.A4" xr:uid="{00000000-0004-0000-3900-000028000000}"/>
    <hyperlink ref="B11" location="'M-Cliente'!A8" display="#'M-Cliente'.A8" xr:uid="{00000000-0004-0000-3900-000029000000}"/>
    <hyperlink ref="C11" location="'M-Agenda'!A11" display="#'M-Agenda'.A11" xr:uid="{00000000-0004-0000-3900-00002A000000}"/>
    <hyperlink ref="D11" location="'M-Regla'!A4" display="#'M-Regla'.A4" xr:uid="{00000000-0004-0000-3900-00002B000000}"/>
    <hyperlink ref="E11" location="'M-Estado'!A10" display="#'M-Estado'.A10" xr:uid="{00000000-0004-0000-3900-00002C000000}"/>
    <hyperlink ref="Q11" location="'M-CitaServicio'!A4" display="#'M-CitaServicio'.A4" xr:uid="{00000000-0004-0000-3900-00002D000000}"/>
    <hyperlink ref="B12" location="'M-Cliente'!A8" display="#'M-Cliente'.A8" xr:uid="{00000000-0004-0000-3900-00002E000000}"/>
    <hyperlink ref="C12" location="'M-Agenda'!A12" display="#'M-Agenda'.A12" xr:uid="{00000000-0004-0000-3900-00002F000000}"/>
    <hyperlink ref="D12" location="'M-Regla'!A4" display="#'M-Regla'.A4" xr:uid="{00000000-0004-0000-3900-000030000000}"/>
    <hyperlink ref="E12" location="'M-Estado'!A10" display="#'M-Estado'.A10" xr:uid="{00000000-0004-0000-3900-000031000000}"/>
    <hyperlink ref="Q12" location="'M-CitaServicio'!A4" display="#'M-CitaServicio'.A4" xr:uid="{00000000-0004-0000-3900-000032000000}"/>
    <hyperlink ref="B13" location="'M-Cliente'!A5" display="#'M-Cliente'.A5" xr:uid="{00000000-0004-0000-3900-000033000000}"/>
    <hyperlink ref="C13" location="'M-Agenda'!A6" display="#'M-Agenda'.A6" xr:uid="{00000000-0004-0000-3900-000034000000}"/>
    <hyperlink ref="D13" location="'M-Regla'!A4" display="#'M-Regla'.A4" xr:uid="{00000000-0004-0000-3900-000035000000}"/>
    <hyperlink ref="E13" location="'M-Estado'!A5" display="#'M-Estado'.A5" xr:uid="{00000000-0004-0000-3900-000036000000}"/>
    <hyperlink ref="Q13" location="'M-CitaServicio'!A4" display="#'M-CitaServicio'.A4" xr:uid="{00000000-0004-0000-3900-000037000000}"/>
  </hyperlinks>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13"/>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12" width="18" customWidth="1"/>
    <col min="13" max="13" width="40" customWidth="1"/>
    <col min="14" max="21" width="18" customWidth="1"/>
  </cols>
  <sheetData>
    <row r="1" spans="1:21" ht="15" customHeight="1" x14ac:dyDescent="0.25">
      <c r="A1" s="13" t="s">
        <v>1</v>
      </c>
      <c r="B1" s="13" t="s">
        <v>45</v>
      </c>
    </row>
    <row r="2" spans="1:2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'M-CitaServicio'!A3</f>
        <v>id</v>
      </c>
      <c r="B3" s="128" t="str">
        <f>'M-CitaServicio'!A2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7" t="s">
        <v>69</v>
      </c>
      <c r="N3" s="127" t="s">
        <v>70</v>
      </c>
      <c r="O3" s="127" t="s">
        <v>70</v>
      </c>
      <c r="P3" s="127" t="s">
        <v>69</v>
      </c>
      <c r="Q3" s="127" t="s">
        <v>70</v>
      </c>
      <c r="R3" s="127" t="s">
        <v>70</v>
      </c>
      <c r="S3" s="127" t="s">
        <v>70</v>
      </c>
      <c r="T3" s="127" t="s">
        <v>71</v>
      </c>
      <c r="U3" s="127" t="s">
        <v>67</v>
      </c>
    </row>
    <row r="4" spans="1:21" ht="30" customHeight="1" x14ac:dyDescent="0.25">
      <c r="A4" s="137" t="str">
        <f>'M-CitaServicio'!B3</f>
        <v>cita</v>
      </c>
      <c r="B4" s="137" t="str">
        <f>'M-CitaServicio'!B2</f>
        <v>Hace referencia a la cita a la que pertenece este servicio pedido</v>
      </c>
      <c r="C4" s="137" t="s">
        <v>70</v>
      </c>
      <c r="D4" s="155" t="s">
        <v>39</v>
      </c>
      <c r="E4" s="137" t="s">
        <v>67</v>
      </c>
      <c r="F4" s="137" t="s">
        <v>69</v>
      </c>
      <c r="G4" s="137" t="s">
        <v>69</v>
      </c>
      <c r="H4" s="137" t="s">
        <v>69</v>
      </c>
      <c r="I4" s="137" t="s">
        <v>69</v>
      </c>
      <c r="J4" s="137" t="s">
        <v>69</v>
      </c>
      <c r="K4" s="137" t="s">
        <v>69</v>
      </c>
      <c r="L4" s="137" t="s">
        <v>69</v>
      </c>
      <c r="M4" s="154" t="s">
        <v>319</v>
      </c>
      <c r="N4" s="137" t="s">
        <v>70</v>
      </c>
      <c r="O4" s="137" t="s">
        <v>69</v>
      </c>
      <c r="P4" s="137" t="s">
        <v>69</v>
      </c>
      <c r="Q4" s="137" t="s">
        <v>69</v>
      </c>
      <c r="R4" s="137" t="s">
        <v>69</v>
      </c>
      <c r="S4" s="137" t="s">
        <v>70</v>
      </c>
      <c r="T4" s="137" t="s">
        <v>71</v>
      </c>
      <c r="U4" s="137" t="s">
        <v>70</v>
      </c>
    </row>
    <row r="5" spans="1:21" ht="60" customHeight="1" x14ac:dyDescent="0.25">
      <c r="A5" s="127" t="str">
        <f>'M-CitaServicio'!C3</f>
        <v>barberoServicio</v>
      </c>
      <c r="B5" s="128" t="str">
        <f>'M-CitaServicio'!C2</f>
        <v>Hace referencia a qué servicio, de qué barbero específico, se pidió en esta cita. No se referencia el Servicio directamente porque un barbero podría no ofrecerlo</v>
      </c>
      <c r="C5" s="127" t="s">
        <v>70</v>
      </c>
      <c r="D5" s="129" t="s">
        <v>31</v>
      </c>
      <c r="E5" s="127" t="s">
        <v>67</v>
      </c>
      <c r="F5" s="127" t="s">
        <v>69</v>
      </c>
      <c r="G5" s="127" t="s">
        <v>69</v>
      </c>
      <c r="H5" s="127" t="s">
        <v>69</v>
      </c>
      <c r="I5" s="127" t="s">
        <v>69</v>
      </c>
      <c r="J5" s="127" t="s">
        <v>69</v>
      </c>
      <c r="K5" s="127" t="s">
        <v>69</v>
      </c>
      <c r="L5" s="127" t="s">
        <v>69</v>
      </c>
      <c r="M5" s="154" t="s">
        <v>319</v>
      </c>
      <c r="N5" s="127" t="s">
        <v>70</v>
      </c>
      <c r="O5" s="127" t="s">
        <v>69</v>
      </c>
      <c r="P5" s="127" t="s">
        <v>69</v>
      </c>
      <c r="Q5" s="127" t="s">
        <v>69</v>
      </c>
      <c r="R5" s="127" t="s">
        <v>69</v>
      </c>
      <c r="S5" s="127" t="s">
        <v>70</v>
      </c>
      <c r="T5" s="127" t="s">
        <v>71</v>
      </c>
      <c r="U5" s="127" t="s">
        <v>70</v>
      </c>
    </row>
    <row r="6" spans="1:21" ht="75" customHeight="1" x14ac:dyDescent="0.25">
      <c r="A6" s="137" t="str">
        <f>'M-CitaServicio'!D3</f>
        <v>precioServicio</v>
      </c>
      <c r="B6" s="137" t="str">
        <f>'M-CitaServicio'!D2</f>
        <v>Representa el precio que tenía el servicio en el momento en que se agendó esta cita. Es un dato auto generado: copia de Servicio.precio, para que cambios futuros en el precio del catálogo no alteren una cita ya registrada</v>
      </c>
      <c r="C6" s="137" t="s">
        <v>70</v>
      </c>
      <c r="D6" s="137" t="s">
        <v>157</v>
      </c>
      <c r="E6" s="137" t="s">
        <v>67</v>
      </c>
      <c r="F6" s="137" t="s">
        <v>69</v>
      </c>
      <c r="G6" s="137" t="s">
        <v>69</v>
      </c>
      <c r="H6" s="137" t="s">
        <v>69</v>
      </c>
      <c r="I6" s="137" t="s">
        <v>69</v>
      </c>
      <c r="J6" s="137">
        <v>0</v>
      </c>
      <c r="K6" s="137">
        <v>2000000</v>
      </c>
      <c r="L6" s="127" t="s">
        <v>69</v>
      </c>
      <c r="M6" s="137" t="s">
        <v>617</v>
      </c>
      <c r="N6" s="137" t="s">
        <v>70</v>
      </c>
      <c r="O6" s="137" t="s">
        <v>69</v>
      </c>
      <c r="P6" s="137" t="s">
        <v>69</v>
      </c>
      <c r="Q6" s="137" t="s">
        <v>69</v>
      </c>
      <c r="R6" s="137" t="s">
        <v>69</v>
      </c>
      <c r="S6" s="137" t="s">
        <v>70</v>
      </c>
      <c r="T6" s="137" t="s">
        <v>258</v>
      </c>
      <c r="U6" s="137" t="s">
        <v>67</v>
      </c>
    </row>
    <row r="7" spans="1:21" ht="75" customHeight="1" x14ac:dyDescent="0.25">
      <c r="A7" s="137" t="str">
        <f>'M-CitaServicio'!E3</f>
        <v>duracionEnHorasElServicio</v>
      </c>
      <c r="B7" s="137" t="str">
        <f>'M-CitaServicio'!E2</f>
        <v>Representa la duración en horas que tenía el servicio para ese barbero en el momento en que se agendó esta cita. Es un dato auto generado: copia de BarberoServicio.duracionServicio</v>
      </c>
      <c r="C7" s="137" t="s">
        <v>70</v>
      </c>
      <c r="D7" s="137" t="s">
        <v>157</v>
      </c>
      <c r="E7" s="137" t="s">
        <v>67</v>
      </c>
      <c r="F7" s="137" t="s">
        <v>69</v>
      </c>
      <c r="G7" s="137" t="s">
        <v>69</v>
      </c>
      <c r="H7" s="137" t="s">
        <v>69</v>
      </c>
      <c r="I7" s="137" t="s">
        <v>69</v>
      </c>
      <c r="J7" s="137">
        <v>0</v>
      </c>
      <c r="K7" s="137">
        <v>3</v>
      </c>
      <c r="L7" s="127" t="s">
        <v>69</v>
      </c>
      <c r="M7" s="137" t="s">
        <v>618</v>
      </c>
      <c r="N7" s="137" t="s">
        <v>70</v>
      </c>
      <c r="O7" s="137" t="s">
        <v>69</v>
      </c>
      <c r="P7" s="137" t="s">
        <v>69</v>
      </c>
      <c r="Q7" s="137" t="s">
        <v>69</v>
      </c>
      <c r="R7" s="137" t="s">
        <v>69</v>
      </c>
      <c r="S7" s="137" t="s">
        <v>70</v>
      </c>
      <c r="T7" s="166">
        <v>0</v>
      </c>
      <c r="U7" s="137" t="s">
        <v>67</v>
      </c>
    </row>
    <row r="8" spans="1:21" ht="60" customHeight="1" x14ac:dyDescent="0.25">
      <c r="A8" s="127" t="str">
        <f>'M-CitaServicio'!F3</f>
        <v>duracionEnMinutosElServicio</v>
      </c>
      <c r="B8" s="128" t="str">
        <f>'M-CitaServicio'!F2</f>
        <v>Representa la duración en minutos que tenía el servicio para ese barbero en el momento en que se agendó esta cita. Es un dato auto generado: copia de BarberoServicio.duracionServicio</v>
      </c>
      <c r="C8" s="127" t="s">
        <v>70</v>
      </c>
      <c r="D8" s="127" t="s">
        <v>157</v>
      </c>
      <c r="E8" s="127" t="s">
        <v>67</v>
      </c>
      <c r="F8" s="127" t="s">
        <v>69</v>
      </c>
      <c r="G8" s="127" t="s">
        <v>69</v>
      </c>
      <c r="H8" s="127" t="s">
        <v>69</v>
      </c>
      <c r="I8" s="127" t="s">
        <v>69</v>
      </c>
      <c r="J8" s="127">
        <v>0</v>
      </c>
      <c r="K8" s="127">
        <v>59</v>
      </c>
      <c r="L8" s="127" t="s">
        <v>69</v>
      </c>
      <c r="M8" s="128" t="s">
        <v>619</v>
      </c>
      <c r="N8" s="127" t="s">
        <v>70</v>
      </c>
      <c r="O8" s="127" t="s">
        <v>69</v>
      </c>
      <c r="P8" s="127" t="s">
        <v>69</v>
      </c>
      <c r="Q8" s="127" t="s">
        <v>69</v>
      </c>
      <c r="R8" s="127" t="s">
        <v>69</v>
      </c>
      <c r="S8" s="127" t="s">
        <v>70</v>
      </c>
      <c r="T8" s="127" t="s">
        <v>258</v>
      </c>
      <c r="U8" s="127" t="s">
        <v>67</v>
      </c>
    </row>
    <row r="9" spans="1:21" ht="105" customHeight="1" x14ac:dyDescent="0.25">
      <c r="A9" s="137" t="str">
        <f>'M-CitaServicio'!G3</f>
        <v>tiempoExtra</v>
      </c>
      <c r="B9" s="137"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37" t="s">
        <v>70</v>
      </c>
      <c r="D9" s="137" t="s">
        <v>157</v>
      </c>
      <c r="E9" s="137" t="s">
        <v>67</v>
      </c>
      <c r="F9" s="137" t="s">
        <v>69</v>
      </c>
      <c r="G9" s="137" t="s">
        <v>69</v>
      </c>
      <c r="H9" s="137" t="s">
        <v>69</v>
      </c>
      <c r="I9" s="137" t="s">
        <v>69</v>
      </c>
      <c r="J9" s="137">
        <v>0</v>
      </c>
      <c r="K9" s="137">
        <v>59</v>
      </c>
      <c r="L9" s="127" t="s">
        <v>69</v>
      </c>
      <c r="M9" s="137" t="s">
        <v>620</v>
      </c>
      <c r="N9" s="137" t="s">
        <v>70</v>
      </c>
      <c r="O9" s="137" t="s">
        <v>69</v>
      </c>
      <c r="P9" s="137" t="s">
        <v>69</v>
      </c>
      <c r="Q9" s="137" t="s">
        <v>69</v>
      </c>
      <c r="R9" s="137" t="s">
        <v>69</v>
      </c>
      <c r="S9" s="137" t="s">
        <v>70</v>
      </c>
      <c r="T9" s="137" t="s">
        <v>258</v>
      </c>
      <c r="U9" s="137" t="s">
        <v>67</v>
      </c>
    </row>
    <row r="11" spans="1:21" ht="15" customHeight="1" x14ac:dyDescent="0.25">
      <c r="A11" s="28" t="s">
        <v>75</v>
      </c>
      <c r="B11" s="28" t="s">
        <v>76</v>
      </c>
      <c r="C11" s="28" t="s">
        <v>77</v>
      </c>
    </row>
    <row r="12" spans="1:21" ht="57" customHeight="1" x14ac:dyDescent="0.25">
      <c r="A12" s="182" t="str">
        <f>'M-CitaServicio'!H3</f>
        <v xml:space="preserve">Combinación única </v>
      </c>
      <c r="B12" s="183" t="str">
        <f>'M-CitaServicio'!H2</f>
        <v>Combinación única que indica que un mismo servicio no se puede pedir dos veces en la misma cita, es decir que CitaServicio no puede tener la misma cita y el barberoServicio</v>
      </c>
      <c r="C12" s="29" t="str">
        <f>A4</f>
        <v>cita</v>
      </c>
    </row>
    <row r="13" spans="1:21" ht="15" customHeight="1" x14ac:dyDescent="0.25">
      <c r="A13" s="182"/>
      <c r="B13" s="182"/>
      <c r="C13" s="29" t="str">
        <f>A5</f>
        <v>barberoServicio</v>
      </c>
    </row>
  </sheetData>
  <mergeCells count="2">
    <mergeCell ref="A12:A13"/>
    <mergeCell ref="B12:B13"/>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A3" location="'M-CitaServicio'!A3" display="#'M-CitaServicio'.A3" xr:uid="{00000000-0004-0000-3A00-000002000000}"/>
    <hyperlink ref="B3" location="'M-CitaServicio'!A2" display="#'M-CitaServicio'.A2" xr:uid="{00000000-0004-0000-3A00-000003000000}"/>
    <hyperlink ref="A4" location="'M-CitaServicio'!A3" display="#'M-CitaServicio'.A3" xr:uid="{00000000-0004-0000-3A00-000004000000}"/>
    <hyperlink ref="B4" location="'M-CitaServicio'!A2" display="#'M-CitaServicio'.A2" xr:uid="{00000000-0004-0000-3A00-000005000000}"/>
    <hyperlink ref="D4" location="'C-Cita'!A1" display="Cita" xr:uid="{00000000-0004-0000-3A00-000006000000}"/>
    <hyperlink ref="A5" location="'M-CitaServicio'!A3" display="#'M-CitaServicio'.A3" xr:uid="{00000000-0004-0000-3A00-000007000000}"/>
    <hyperlink ref="B5" location="'M-CitaServicio'!A2" display="#'M-CitaServicio'.A2" xr:uid="{00000000-0004-0000-3A00-000008000000}"/>
    <hyperlink ref="D5" location="'C-BarberoServicio'!A1" display="BarberoServicio" xr:uid="{00000000-0004-0000-3A00-000009000000}"/>
    <hyperlink ref="A6" location="'M-CitaServicio'!A3" display="#'M-CitaServicio'.A3" xr:uid="{00000000-0004-0000-3A00-00000A000000}"/>
    <hyperlink ref="B6" location="'M-CitaServicio'!A2" display="#'M-CitaServicio'.A2" xr:uid="{00000000-0004-0000-3A00-00000B000000}"/>
    <hyperlink ref="A8" location="'M-CitaServicio'!A3" display="#'M-CitaServicio'.A3" xr:uid="{00000000-0004-0000-3A00-00000C000000}"/>
    <hyperlink ref="B8" location="'M-CitaServicio'!A2" display="#'M-CitaServicio'.A2" xr:uid="{00000000-0004-0000-3A00-00000D000000}"/>
    <hyperlink ref="A9" location="'M-CitaServicio'!A3" display="#'M-CitaServicio'.A3" xr:uid="{00000000-0004-0000-3A00-00000E000000}"/>
    <hyperlink ref="B9" location="'M-CitaServicio'!A2" display="#'M-CitaServicio'.A2" xr:uid="{00000000-0004-0000-3A00-00000F000000}"/>
    <hyperlink ref="A12" location="'M-CitaServicio'!A3" display="#'M-CitaServicio'.A3" xr:uid="{00000000-0004-0000-3A00-000010000000}"/>
    <hyperlink ref="B12" location="'M-CitaServicio'!A2" display="#'M-CitaServicio'.A2" xr:uid="{00000000-0004-0000-3A00-000011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6"/>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Dominio'!A17</f>
        <v>CitaServicio</v>
      </c>
      <c r="C2" s="11"/>
      <c r="D2" s="11"/>
      <c r="E2" s="11"/>
    </row>
    <row r="3" spans="1:5" ht="30" customHeight="1" x14ac:dyDescent="0.25">
      <c r="A3" s="33" t="s">
        <v>84</v>
      </c>
      <c r="B3" s="10" t="str">
        <f>'Objetos de Dominio'!B17</f>
        <v>Representa cada servicio incluido dentro de una cita puntual, guardando el precio y la duración que tenía ese servicio para ese barbero en el momento exacto en que se agendó, para que cambios futuros en el catálogo no alteren citas ya registradas</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2" t="s">
        <v>89</v>
      </c>
      <c r="B6" s="2"/>
      <c r="C6" s="2"/>
      <c r="D6" s="2"/>
      <c r="E6" s="2"/>
    </row>
  </sheetData>
  <mergeCells count="7">
    <mergeCell ref="A6:E6"/>
    <mergeCell ref="B2:E2"/>
    <mergeCell ref="B3:E3"/>
    <mergeCell ref="A4:A5"/>
    <mergeCell ref="B4:C5"/>
    <mergeCell ref="D4:D5"/>
    <mergeCell ref="E4:E5"/>
  </mergeCells>
  <hyperlinks>
    <hyperlink ref="A1" r:id="rId1" location="'Modelo%20de%20Dominio'!A1" xr:uid="{00000000-0004-0000-3B00-000000000000}"/>
    <hyperlink ref="B1" r:id="rId2" location="'Objetos%20de%20Dominio'!A1" xr:uid="{00000000-0004-0000-3B00-000001000000}"/>
    <hyperlink ref="C1" r:id="rId3" location="'C-CitaServicio'!A1" xr:uid="{00000000-0004-0000-3B00-000002000000}"/>
    <hyperlink ref="D1" r:id="rId4" location="'M-CitaServicio'!A1" xr:uid="{00000000-0004-0000-3B00-000003000000}"/>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0"/>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Dominio'!A17</f>
        <v>CitaServicio</v>
      </c>
      <c r="C2" s="11"/>
      <c r="D2" s="11"/>
      <c r="E2" s="11"/>
      <c r="F2" s="11"/>
      <c r="G2" s="11"/>
      <c r="H2" s="11"/>
      <c r="I2" s="11"/>
      <c r="J2" s="11"/>
      <c r="K2" s="11"/>
    </row>
    <row r="3" spans="1:11" ht="30" customHeight="1" x14ac:dyDescent="0.25">
      <c r="A3" s="33" t="s">
        <v>84</v>
      </c>
      <c r="B3" s="10" t="str">
        <f>'Objetos de Dominio'!B17</f>
        <v>Representa cada servicio incluido dentro de una cita puntual, guardando el precio y la duración que tenía ese servicio para ese barbero en el momento exacto en que se agendó, para que cambios futuros en el catálogo no alteren citas ya registradas</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25</v>
      </c>
      <c r="B7" s="35" t="s">
        <v>621</v>
      </c>
      <c r="C7" s="35" t="s">
        <v>622</v>
      </c>
      <c r="D7" s="40" t="str">
        <f>$B$2</f>
        <v>CitaServicio</v>
      </c>
      <c r="E7" s="35"/>
      <c r="F7" s="35"/>
      <c r="G7" s="40"/>
      <c r="H7" s="41"/>
      <c r="I7" s="40"/>
      <c r="J7" s="35" t="s">
        <v>623</v>
      </c>
      <c r="K7" s="35"/>
    </row>
    <row r="8" spans="1:11" ht="30" customHeight="1" x14ac:dyDescent="0.25">
      <c r="A8" s="40" t="s">
        <v>27</v>
      </c>
      <c r="B8" s="35" t="s">
        <v>621</v>
      </c>
      <c r="C8" s="35" t="s">
        <v>622</v>
      </c>
      <c r="D8" s="40" t="str">
        <f>$B$2</f>
        <v>CitaServicio</v>
      </c>
      <c r="E8" s="35"/>
      <c r="F8" s="35"/>
      <c r="G8" s="40"/>
      <c r="H8" s="41"/>
      <c r="I8" s="40"/>
      <c r="J8" s="35" t="s">
        <v>623</v>
      </c>
      <c r="K8" s="35"/>
    </row>
    <row r="9" spans="1:11" ht="30" customHeight="1" x14ac:dyDescent="0.25">
      <c r="A9" s="40" t="s">
        <v>25</v>
      </c>
      <c r="B9" s="35" t="s">
        <v>624</v>
      </c>
      <c r="C9" s="35" t="s">
        <v>625</v>
      </c>
      <c r="D9" s="40" t="str">
        <f>$B$2</f>
        <v>CitaServicio</v>
      </c>
      <c r="E9" s="35"/>
      <c r="F9" s="35"/>
      <c r="G9" s="40"/>
      <c r="H9" s="41"/>
      <c r="I9" s="40"/>
      <c r="J9" s="35" t="s">
        <v>626</v>
      </c>
      <c r="K9" s="35"/>
    </row>
    <row r="10" spans="1:11" ht="30" customHeight="1" x14ac:dyDescent="0.25">
      <c r="A10" s="40" t="s">
        <v>27</v>
      </c>
      <c r="B10" s="35" t="s">
        <v>624</v>
      </c>
      <c r="C10" s="35" t="s">
        <v>625</v>
      </c>
      <c r="D10" s="40" t="str">
        <f>$B$2</f>
        <v>CitaServicio</v>
      </c>
      <c r="E10" s="35"/>
      <c r="F10" s="35"/>
      <c r="G10" s="40"/>
      <c r="H10" s="41"/>
      <c r="I10" s="40"/>
      <c r="J10" s="35" t="s">
        <v>626</v>
      </c>
      <c r="K10"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3C00-000000000000}"/>
    <hyperlink ref="C1" r:id="rId2" location="'Objetos%20de%20Dominio'!A1" xr:uid="{00000000-0004-0000-3C00-000001000000}"/>
    <hyperlink ref="F1" r:id="rId3" location="'C-CitaServicio'!A1" xr:uid="{00000000-0004-0000-3C00-000002000000}"/>
    <hyperlink ref="J1" r:id="rId4" location="'M-CitaServicio'!A1" xr:uid="{00000000-0004-0000-3C00-000003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24"/>
  <sheetViews>
    <sheetView zoomScale="130" zoomScaleNormal="130" workbookViewId="0">
      <selection activeCell="B1" sqref="B1"/>
    </sheetView>
  </sheetViews>
  <sheetFormatPr baseColWidth="10" defaultColWidth="10.7109375" defaultRowHeight="15" x14ac:dyDescent="0.25"/>
  <cols>
    <col min="1" max="1" width="27" customWidth="1"/>
    <col min="2" max="2" width="33.7109375" customWidth="1"/>
    <col min="3" max="3" width="26.140625" customWidth="1"/>
    <col min="4" max="5" width="36.140625" customWidth="1"/>
    <col min="6" max="6" width="27.28515625" customWidth="1"/>
    <col min="7" max="7" width="45.42578125" customWidth="1"/>
    <col min="8" max="8" width="29.28515625" customWidth="1"/>
  </cols>
  <sheetData>
    <row r="1" spans="1:8" ht="14.25" customHeight="1" x14ac:dyDescent="0.25">
      <c r="A1" s="13" t="s">
        <v>1</v>
      </c>
      <c r="B1" s="13" t="s">
        <v>45</v>
      </c>
      <c r="C1" s="56"/>
      <c r="D1" s="56"/>
      <c r="E1" s="56"/>
      <c r="F1" s="56"/>
    </row>
    <row r="2" spans="1:8" ht="49.5" customHeight="1" x14ac:dyDescent="0.25">
      <c r="A2" s="42" t="s">
        <v>111</v>
      </c>
      <c r="B2" s="42" t="s">
        <v>627</v>
      </c>
      <c r="C2" s="42" t="s">
        <v>628</v>
      </c>
      <c r="D2" s="42" t="s">
        <v>629</v>
      </c>
      <c r="E2" s="42" t="s">
        <v>630</v>
      </c>
      <c r="F2" s="42" t="s">
        <v>631</v>
      </c>
      <c r="G2" s="167" t="s">
        <v>632</v>
      </c>
      <c r="H2" s="43" t="s">
        <v>633</v>
      </c>
    </row>
    <row r="3" spans="1:8" ht="14.25" customHeight="1" x14ac:dyDescent="0.25">
      <c r="A3" s="44" t="s">
        <v>114</v>
      </c>
      <c r="B3" s="133" t="s">
        <v>634</v>
      </c>
      <c r="C3" s="133" t="s">
        <v>635</v>
      </c>
      <c r="D3" s="106" t="s">
        <v>636</v>
      </c>
      <c r="E3" s="106" t="s">
        <v>637</v>
      </c>
      <c r="F3" s="106" t="s">
        <v>638</v>
      </c>
      <c r="G3" s="106" t="s">
        <v>434</v>
      </c>
      <c r="H3" s="46" t="s">
        <v>115</v>
      </c>
    </row>
    <row r="4" spans="1:8" ht="45" customHeight="1" x14ac:dyDescent="0.25">
      <c r="A4" s="47">
        <v>1</v>
      </c>
      <c r="B4" s="168" t="str">
        <f>'M-Cita'!R4</f>
        <v>+57-3245627890-Lunes-09:00-19:00-11/03/2023-1/01/1000-10:00-16:00-si-31/08/2026-10:00</v>
      </c>
      <c r="C4" s="168" t="str">
        <f>'M-BarberoServicio'!H4</f>
        <v>Juan García-Motilada</v>
      </c>
      <c r="D4" s="165">
        <f>'M-Servicio'!D4</f>
        <v>22000</v>
      </c>
      <c r="E4" s="165">
        <f>'M-BarberoServicio'!D4</f>
        <v>0</v>
      </c>
      <c r="F4" s="169">
        <f>'M-BarberoServicio'!E4</f>
        <v>45</v>
      </c>
      <c r="G4" s="169">
        <f>'M-BarberoServicio'!F4</f>
        <v>15</v>
      </c>
      <c r="H4" s="57" t="str">
        <f t="shared" ref="H4:H14" si="0">_xlfn.CONCAT(B4,"-",C4)</f>
        <v>+57-3245627890-Lunes-09:00-19:00-11/03/2023-1/01/1000-10:00-16:00-si-31/08/2026-10:00-Juan García-Motilada</v>
      </c>
    </row>
    <row r="5" spans="1:8" ht="45" customHeight="1" x14ac:dyDescent="0.25">
      <c r="A5" s="47">
        <v>2</v>
      </c>
      <c r="B5" s="151" t="str">
        <f>'M-Cita'!R5</f>
        <v>+57-3124518923-Martes-09:00-19:00-09:00-15:00-si-10/03/2026-09:30</v>
      </c>
      <c r="C5" s="151" t="str">
        <f>'M-BarberoServicio'!H5</f>
        <v>Juan Ortiz-Corte de barba</v>
      </c>
      <c r="D5" s="165">
        <f>'M-Servicio'!D5</f>
        <v>12000</v>
      </c>
      <c r="E5" s="165">
        <f>'M-BarberoServicio'!D5</f>
        <v>0</v>
      </c>
      <c r="F5" s="169">
        <f>'M-BarberoServicio'!E5</f>
        <v>10</v>
      </c>
      <c r="G5" s="169">
        <f>'M-BarberoServicio'!F5</f>
        <v>5</v>
      </c>
      <c r="H5" s="57" t="str">
        <f t="shared" si="0"/>
        <v>+57-3124518923-Martes-09:00-19:00-09:00-15:00-si-10/03/2026-09:30-Juan Ortiz-Corte de barba</v>
      </c>
    </row>
    <row r="6" spans="1:8" ht="60" customHeight="1" x14ac:dyDescent="0.25">
      <c r="A6" s="47">
        <v>3</v>
      </c>
      <c r="B6" s="151" t="str">
        <f>'M-Cita'!R6</f>
        <v>+57-3214533321-Jueves-09:00-19:00-13:00-19:00-si-14/05/2026-13:00</v>
      </c>
      <c r="C6" s="151" t="str">
        <f>'M-BarberoServicio'!H6</f>
        <v>Carlos Arbeladez-Perfilada de barba</v>
      </c>
      <c r="D6" s="165">
        <f>'M-Servicio'!D6</f>
        <v>15000</v>
      </c>
      <c r="E6" s="165">
        <f>'M-BarberoServicio'!D6</f>
        <v>0</v>
      </c>
      <c r="F6" s="169">
        <f>'M-BarberoServicio'!E6</f>
        <v>15</v>
      </c>
      <c r="G6" s="169">
        <f>'M-BarberoServicio'!F6</f>
        <v>5</v>
      </c>
      <c r="H6" s="57" t="str">
        <f t="shared" si="0"/>
        <v>+57-3214533321-Jueves-09:00-19:00-13:00-19:00-si-14/05/2026-13:00-Carlos Arbeladez-Perfilada de barba</v>
      </c>
    </row>
    <row r="7" spans="1:8" ht="75" customHeight="1" x14ac:dyDescent="0.25">
      <c r="A7" s="47">
        <v>4</v>
      </c>
      <c r="B7" s="151" t="str">
        <f>'M-Cita'!R7</f>
        <v>+91-9876543210-Sábado-08:00-21:00-08:00-14:00-no-22/11/2025-13:00</v>
      </c>
      <c r="C7" s="151" t="str">
        <f>'M-BarberoServicio'!H7</f>
        <v>Andres Ramirez-Arreglo completo de barba con toalla caliente</v>
      </c>
      <c r="D7" s="165">
        <f>'M-Servicio'!D7</f>
        <v>35000</v>
      </c>
      <c r="E7" s="165">
        <f>'M-BarberoServicio'!D7</f>
        <v>0</v>
      </c>
      <c r="F7" s="169">
        <f>'M-BarberoServicio'!E7</f>
        <v>40</v>
      </c>
      <c r="G7" s="169">
        <f>'M-BarberoServicio'!F7</f>
        <v>10</v>
      </c>
      <c r="H7" s="57" t="str">
        <f t="shared" si="0"/>
        <v>+91-9876543210-Sábado-08:00-21:00-08:00-14:00-no-22/11/2025-13:00-Andres Ramirez-Arreglo completo de barba con toalla caliente</v>
      </c>
    </row>
    <row r="8" spans="1:8" ht="60" customHeight="1" x14ac:dyDescent="0.25">
      <c r="A8" s="47">
        <v>5</v>
      </c>
      <c r="B8" s="151" t="str">
        <f>'M-Cita'!R8</f>
        <v>+57-3214533321-Jueves-09:00-19:00-13:00-19:00-si-06/08/2026-18:00</v>
      </c>
      <c r="C8" s="151" t="str">
        <f>'M-BarberoServicio'!H9</f>
        <v>Carlos Arbeladez-Corte de barba</v>
      </c>
      <c r="D8" s="165">
        <f>'M-Servicio'!D5</f>
        <v>12000</v>
      </c>
      <c r="E8" s="165">
        <f>'M-BarberoServicio'!D9</f>
        <v>0</v>
      </c>
      <c r="F8" s="169">
        <f>'M-BarberoServicio'!E9</f>
        <v>15</v>
      </c>
      <c r="G8" s="169">
        <f>'M-BarberoServicio'!F9</f>
        <v>5</v>
      </c>
      <c r="H8" s="57" t="str">
        <f t="shared" si="0"/>
        <v>+57-3214533321-Jueves-09:00-19:00-13:00-19:00-si-06/08/2026-18:00-Carlos Arbeladez-Corte de barba</v>
      </c>
    </row>
    <row r="9" spans="1:8" ht="75" customHeight="1" x14ac:dyDescent="0.25">
      <c r="A9" s="47">
        <v>6</v>
      </c>
      <c r="B9" s="151" t="str">
        <f>'M-Cita'!R9</f>
        <v>+91-9876543210-Festivo-10:00-15:00-12:00-15:00-no-20/02/2026-14:00</v>
      </c>
      <c r="C9" s="151" t="str">
        <f>'M-BarberoServicio'!H7</f>
        <v>Andres Ramirez-Arreglo completo de barba con toalla caliente</v>
      </c>
      <c r="D9" s="165">
        <f>'M-Servicio'!D7</f>
        <v>35000</v>
      </c>
      <c r="E9" s="165">
        <f>'M-BarberoServicio'!D7</f>
        <v>0</v>
      </c>
      <c r="F9" s="169">
        <f>'M-BarberoServicio'!E7</f>
        <v>40</v>
      </c>
      <c r="G9" s="169">
        <f>'M-BarberoServicio'!F7</f>
        <v>10</v>
      </c>
      <c r="H9" s="57" t="str">
        <f t="shared" si="0"/>
        <v>+91-9876543210-Festivo-10:00-15:00-12:00-15:00-no-20/02/2026-14:00-Andres Ramirez-Arreglo completo de barba con toalla caliente</v>
      </c>
    </row>
    <row r="10" spans="1:8" ht="45" customHeight="1" x14ac:dyDescent="0.25">
      <c r="A10" s="47">
        <v>7</v>
      </c>
      <c r="B10" s="151" t="str">
        <f>'M-Cita'!R10</f>
        <v>+57-3245627890-Lunes-09:00-19:00-11/03/2023-1/01/1000-10:00-16:00-si-01/06/2026-10:00</v>
      </c>
      <c r="C10" s="151" t="str">
        <f>'M-BarberoServicio'!H4</f>
        <v>Juan García-Motilada</v>
      </c>
      <c r="D10" s="165">
        <f>'M-Servicio'!D4</f>
        <v>22000</v>
      </c>
      <c r="E10" s="165">
        <f>'M-BarberoServicio'!D4</f>
        <v>0</v>
      </c>
      <c r="F10" s="169">
        <f>'M-BarberoServicio'!E4</f>
        <v>45</v>
      </c>
      <c r="G10" s="169">
        <f>'M-BarberoServicio'!F4</f>
        <v>15</v>
      </c>
      <c r="H10" s="58" t="str">
        <f t="shared" si="0"/>
        <v>+57-3245627890-Lunes-09:00-19:00-11/03/2023-1/01/1000-10:00-16:00-si-01/06/2026-10:00-Juan García-Motilada</v>
      </c>
    </row>
    <row r="11" spans="1:8" ht="45" customHeight="1" x14ac:dyDescent="0.25">
      <c r="A11" s="47">
        <v>8</v>
      </c>
      <c r="B11" s="151" t="str">
        <f>'M-Cita'!R11</f>
        <v>+57-3124518923-Martes-09:00-19:00-09:00-15:00-si-16/06/2026-09:00</v>
      </c>
      <c r="C11" s="151" t="str">
        <f>'M-BarberoServicio'!H5</f>
        <v>Juan Ortiz-Corte de barba</v>
      </c>
      <c r="D11" s="165">
        <f>'M-Servicio'!D5</f>
        <v>12000</v>
      </c>
      <c r="E11" s="165">
        <f>'M-BarberoServicio'!D5</f>
        <v>0</v>
      </c>
      <c r="F11" s="169">
        <f>'M-BarberoServicio'!E5</f>
        <v>10</v>
      </c>
      <c r="G11" s="169">
        <f>'M-BarberoServicio'!F5</f>
        <v>5</v>
      </c>
      <c r="H11" s="58" t="str">
        <f t="shared" si="0"/>
        <v>+57-3124518923-Martes-09:00-19:00-09:00-15:00-si-16/06/2026-09:00-Juan Ortiz-Corte de barba</v>
      </c>
    </row>
    <row r="12" spans="1:8" ht="60" customHeight="1" x14ac:dyDescent="0.25">
      <c r="A12" s="47">
        <v>9</v>
      </c>
      <c r="B12" s="151" t="str">
        <f>'M-Cita'!R12</f>
        <v>+57-3214533321-Jueves-09:00-19:00-13:00-19:00-si-02/07/2026-15:00</v>
      </c>
      <c r="C12" s="151" t="str">
        <f>'M-BarberoServicio'!H6</f>
        <v>Carlos Arbeladez-Perfilada de barba</v>
      </c>
      <c r="D12" s="165">
        <f>'M-Servicio'!D6</f>
        <v>15000</v>
      </c>
      <c r="E12" s="165">
        <f>'M-BarberoServicio'!D6</f>
        <v>0</v>
      </c>
      <c r="F12" s="169">
        <f>'M-BarberoServicio'!E6</f>
        <v>15</v>
      </c>
      <c r="G12" s="169">
        <f>'M-BarberoServicio'!F6</f>
        <v>5</v>
      </c>
      <c r="H12" s="58" t="str">
        <f t="shared" si="0"/>
        <v>+57-3214533321-Jueves-09:00-19:00-13:00-19:00-si-02/07/2026-15:00-Carlos Arbeladez-Perfilada de barba</v>
      </c>
    </row>
    <row r="13" spans="1:8" ht="60" customHeight="1" x14ac:dyDescent="0.25">
      <c r="A13" s="47">
        <v>10</v>
      </c>
      <c r="B13" s="151" t="str">
        <f>'M-Cita'!R13</f>
        <v>+57-3214533321-Jueves-09:00-19:00-13:00-19:00-si-14/05/2026-13:30</v>
      </c>
      <c r="C13" s="151" t="str">
        <f>'M-BarberoServicio'!H6</f>
        <v>Carlos Arbeladez-Perfilada de barba</v>
      </c>
      <c r="D13" s="165">
        <f>'M-Servicio'!D6</f>
        <v>15000</v>
      </c>
      <c r="E13" s="165">
        <f>'M-BarberoServicio'!D6</f>
        <v>0</v>
      </c>
      <c r="F13" s="169">
        <f>'M-BarberoServicio'!E6</f>
        <v>15</v>
      </c>
      <c r="G13" s="169">
        <f>'M-BarberoServicio'!F6</f>
        <v>5</v>
      </c>
      <c r="H13" s="58" t="str">
        <f t="shared" si="0"/>
        <v>+57-3214533321-Jueves-09:00-19:00-13:00-19:00-si-14/05/2026-13:30-Carlos Arbeladez-Perfilada de barba</v>
      </c>
    </row>
    <row r="14" spans="1:8" ht="60" customHeight="1" x14ac:dyDescent="0.25">
      <c r="A14" s="47">
        <v>11</v>
      </c>
      <c r="B14" s="151" t="str">
        <f>'M-Cita'!R13</f>
        <v>+57-3214533321-Jueves-09:00-19:00-13:00-19:00-si-14/05/2026-13:30</v>
      </c>
      <c r="C14" s="151" t="str">
        <f>'M-BarberoServicio'!H9</f>
        <v>Carlos Arbeladez-Corte de barba</v>
      </c>
      <c r="D14" s="165">
        <f>'M-Servicio'!D5</f>
        <v>12000</v>
      </c>
      <c r="E14" s="165">
        <f>'M-BarberoServicio'!D9</f>
        <v>0</v>
      </c>
      <c r="F14" s="169">
        <f>'M-BarberoServicio'!E9</f>
        <v>15</v>
      </c>
      <c r="G14" s="169">
        <f>'M-BarberoServicio'!F9</f>
        <v>5</v>
      </c>
      <c r="H14" s="58" t="str">
        <f t="shared" si="0"/>
        <v>+57-3214533321-Jueves-09:00-19:00-13:00-19:00-si-14/05/2026-13:30-Carlos Arbeladez-Corte de barba</v>
      </c>
    </row>
    <row r="15" spans="1:8" ht="28.5" customHeight="1" x14ac:dyDescent="0.25">
      <c r="B15" s="51"/>
    </row>
    <row r="16" spans="1:8" ht="28.5" customHeight="1" x14ac:dyDescent="0.25">
      <c r="B16" s="51"/>
    </row>
    <row r="17" spans="1:2" ht="28.5" customHeight="1" x14ac:dyDescent="0.25">
      <c r="B17" s="51"/>
    </row>
    <row r="18" spans="1:2" ht="28.5" customHeight="1" x14ac:dyDescent="0.25">
      <c r="B18" s="51"/>
    </row>
    <row r="19" spans="1:2" ht="28.5" customHeight="1" x14ac:dyDescent="0.25">
      <c r="B19" s="51"/>
    </row>
    <row r="20" spans="1:2" ht="28.5" customHeight="1" x14ac:dyDescent="0.25">
      <c r="A20" s="50"/>
      <c r="B20" s="51" t="s">
        <v>124</v>
      </c>
    </row>
    <row r="21" spans="1:2" ht="28.5" customHeight="1" x14ac:dyDescent="0.25">
      <c r="A21" s="52"/>
      <c r="B21" s="51" t="s">
        <v>125</v>
      </c>
    </row>
    <row r="22" spans="1:2" ht="28.5" customHeight="1" x14ac:dyDescent="0.25">
      <c r="A22" s="77"/>
      <c r="B22" s="51" t="s">
        <v>315</v>
      </c>
    </row>
    <row r="23" spans="1:2" ht="14.25" customHeight="1" x14ac:dyDescent="0.25">
      <c r="A23" s="79"/>
      <c r="B23" t="s">
        <v>198</v>
      </c>
    </row>
    <row r="24" spans="1:2" ht="14.25" customHeight="1" x14ac:dyDescent="0.25">
      <c r="A24" s="54"/>
      <c r="B24" t="s">
        <v>127</v>
      </c>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Cita'!A1" display="cita" xr:uid="{00000000-0004-0000-3D00-000002000000}"/>
    <hyperlink ref="C3" location="'M-BarberoServicio'!A1" display="barberoServicio" xr:uid="{00000000-0004-0000-3D00-000003000000}"/>
    <hyperlink ref="B4" location="'M-Cita'!A4" display="#'M-Cita'.A4" xr:uid="{00000000-0004-0000-3D00-000004000000}"/>
    <hyperlink ref="C4" location="'M-BarberoServicio'!A4" display="#'M-BarberoServicio'.A4" xr:uid="{00000000-0004-0000-3D00-000005000000}"/>
    <hyperlink ref="D4" location="'M-Servicio'!A4" display="#'M-Servicio'.A4" xr:uid="{00000000-0004-0000-3D00-000006000000}"/>
    <hyperlink ref="F4" location="'M-BarberoServicio'!A4" display="#'M-BarberoServicio'.A4" xr:uid="{00000000-0004-0000-3D00-000007000000}"/>
    <hyperlink ref="G4" location="'M-BarberoServicio'!A4" display="#'M-BarberoServicio'.A4" xr:uid="{00000000-0004-0000-3D00-000008000000}"/>
    <hyperlink ref="B5" location="'M-Cita'!A5" display="#'M-Cita'.A5" xr:uid="{00000000-0004-0000-3D00-000009000000}"/>
    <hyperlink ref="C5" location="'M-BarberoServicio'!A5" display="#'M-BarberoServicio'.A5" xr:uid="{00000000-0004-0000-3D00-00000A000000}"/>
    <hyperlink ref="D5" location="'M-Servicio'!A5" display="#'M-Servicio'.A5" xr:uid="{00000000-0004-0000-3D00-00000B000000}"/>
    <hyperlink ref="F5" location="'M-BarberoServicio'!A5" display="#'M-BarberoServicio'.A5" xr:uid="{00000000-0004-0000-3D00-00000C000000}"/>
    <hyperlink ref="G5" location="'M-BarberoServicio'!A5" display="#'M-BarberoServicio'.A5" xr:uid="{00000000-0004-0000-3D00-00000D000000}"/>
    <hyperlink ref="B6" location="'M-Cita'!A6" display="#'M-Cita'.A6" xr:uid="{00000000-0004-0000-3D00-00000E000000}"/>
    <hyperlink ref="C6" location="'M-BarberoServicio'!A6" display="#'M-BarberoServicio'.A6" xr:uid="{00000000-0004-0000-3D00-00000F000000}"/>
    <hyperlink ref="D6" location="'M-Servicio'!A6" display="#'M-Servicio'.A6" xr:uid="{00000000-0004-0000-3D00-000010000000}"/>
    <hyperlink ref="F6" location="'M-BarberoServicio'!A6" display="#'M-BarberoServicio'.A6" xr:uid="{00000000-0004-0000-3D00-000011000000}"/>
    <hyperlink ref="G6" location="'M-BarberoServicio'!A6" display="#'M-BarberoServicio'.A6" xr:uid="{00000000-0004-0000-3D00-000012000000}"/>
    <hyperlink ref="B7" location="'M-Cita'!A7" display="#'M-Cita'.A7" xr:uid="{00000000-0004-0000-3D00-000013000000}"/>
    <hyperlink ref="C7" location="'M-BarberoServicio'!A7" display="#'M-BarberoServicio'.A7" xr:uid="{00000000-0004-0000-3D00-000014000000}"/>
    <hyperlink ref="D7" location="'M-Servicio'!A7" display="#'M-Servicio'.A7" xr:uid="{00000000-0004-0000-3D00-000015000000}"/>
    <hyperlink ref="F7" location="'M-BarberoServicio'!A7" display="#'M-BarberoServicio'.A7" xr:uid="{00000000-0004-0000-3D00-000016000000}"/>
    <hyperlink ref="G7" location="'M-BarberoServicio'!A7" display="#'M-BarberoServicio'.A7" xr:uid="{00000000-0004-0000-3D00-000017000000}"/>
    <hyperlink ref="B8" location="'M-Cita'!A8" display="#'M-Cita'.A8" xr:uid="{00000000-0004-0000-3D00-000018000000}"/>
    <hyperlink ref="C8" location="'M-BarberoServicio'!A9" display="#'M-BarberoServicio'.A9" xr:uid="{00000000-0004-0000-3D00-000019000000}"/>
    <hyperlink ref="D8" location="'M-Servicio'!A5" display="#'M-Servicio'.A5" xr:uid="{00000000-0004-0000-3D00-00001A000000}"/>
    <hyperlink ref="F8" location="'M-BarberoServicio'!A9" display="#'M-BarberoServicio'.A9" xr:uid="{00000000-0004-0000-3D00-00001B000000}"/>
    <hyperlink ref="G8" location="'M-BarberoServicio'!A9" display="#'M-BarberoServicio'.A9" xr:uid="{00000000-0004-0000-3D00-00001C000000}"/>
    <hyperlink ref="B9" location="'M-Cita'!A9" display="#'M-Cita'.A9" xr:uid="{00000000-0004-0000-3D00-00001D000000}"/>
    <hyperlink ref="C9" location="'M-BarberoServicio'!A7" display="#'M-BarberoServicio'.A7" xr:uid="{00000000-0004-0000-3D00-00001E000000}"/>
    <hyperlink ref="D9" location="'M-Servicio'!A7" display="#'M-Servicio'.A7" xr:uid="{00000000-0004-0000-3D00-00001F000000}"/>
    <hyperlink ref="F9" location="'M-BarberoServicio'!A7" display="#'M-BarberoServicio'.A7" xr:uid="{00000000-0004-0000-3D00-000020000000}"/>
    <hyperlink ref="G9" location="'M-BarberoServicio'!A7" display="#'M-BarberoServicio'.A7" xr:uid="{00000000-0004-0000-3D00-000021000000}"/>
    <hyperlink ref="B10" location="'M-Cita'!A10" display="#'M-Cita'.A10" xr:uid="{00000000-0004-0000-3D00-000022000000}"/>
    <hyperlink ref="C10" location="'M-BarberoServicio'!A4" display="#'M-BarberoServicio'.A4" xr:uid="{00000000-0004-0000-3D00-000023000000}"/>
    <hyperlink ref="D10" location="'M-Servicio'!A4" display="#'M-Servicio'.A4" xr:uid="{00000000-0004-0000-3D00-000024000000}"/>
    <hyperlink ref="F10" location="'M-BarberoServicio'!A4" display="#'M-BarberoServicio'.A4" xr:uid="{00000000-0004-0000-3D00-000025000000}"/>
    <hyperlink ref="G10" location="'M-BarberoServicio'!A4" display="#'M-BarberoServicio'.A4" xr:uid="{00000000-0004-0000-3D00-000026000000}"/>
    <hyperlink ref="B11" location="'M-Cita'!A11" display="#'M-Cita'.A11" xr:uid="{00000000-0004-0000-3D00-000027000000}"/>
    <hyperlink ref="C11" location="'M-BarberoServicio'!A5" display="#'M-BarberoServicio'.A5" xr:uid="{00000000-0004-0000-3D00-000028000000}"/>
    <hyperlink ref="D11" location="'M-Servicio'!A5" display="#'M-Servicio'.A5" xr:uid="{00000000-0004-0000-3D00-000029000000}"/>
    <hyperlink ref="F11" location="'M-BarberoServicio'!A5" display="#'M-BarberoServicio'.A5" xr:uid="{00000000-0004-0000-3D00-00002A000000}"/>
    <hyperlink ref="G11" location="'M-BarberoServicio'!A5" display="#'M-BarberoServicio'.A5" xr:uid="{00000000-0004-0000-3D00-00002B000000}"/>
    <hyperlink ref="B12" location="'M-Cita'!A12" display="#'M-Cita'.A12" xr:uid="{00000000-0004-0000-3D00-00002C000000}"/>
    <hyperlink ref="C12" location="'M-BarberoServicio'!A6" display="#'M-BarberoServicio'.A6" xr:uid="{00000000-0004-0000-3D00-00002D000000}"/>
    <hyperlink ref="D12" location="'M-Servicio'!A6" display="#'M-Servicio'.A6" xr:uid="{00000000-0004-0000-3D00-00002E000000}"/>
    <hyperlink ref="F12" location="'M-BarberoServicio'!A6" display="#'M-BarberoServicio'.A6" xr:uid="{00000000-0004-0000-3D00-00002F000000}"/>
    <hyperlink ref="G12" location="'M-BarberoServicio'!A6" display="#'M-BarberoServicio'.A6" xr:uid="{00000000-0004-0000-3D00-000030000000}"/>
    <hyperlink ref="B13" location="'M-Cita'!A13" display="#'M-Cita'.A13" xr:uid="{00000000-0004-0000-3D00-000031000000}"/>
    <hyperlink ref="C13" location="'M-BarberoServicio'!A6" display="#'M-BarberoServicio'.A6" xr:uid="{00000000-0004-0000-3D00-000032000000}"/>
    <hyperlink ref="D13" location="'M-Servicio'!A6" display="#'M-Servicio'.A6" xr:uid="{00000000-0004-0000-3D00-000033000000}"/>
    <hyperlink ref="F13" location="'M-BarberoServicio'!A6" display="#'M-BarberoServicio'.A6" xr:uid="{00000000-0004-0000-3D00-000034000000}"/>
    <hyperlink ref="G13" location="'M-BarberoServicio'!A6" display="#'M-BarberoServicio'.A6" xr:uid="{00000000-0004-0000-3D00-000035000000}"/>
    <hyperlink ref="B14" location="'M-Cita'!A13" display="#'M-Cita'.A13" xr:uid="{00000000-0004-0000-3D00-000036000000}"/>
    <hyperlink ref="C14" location="'M-BarberoServicio'!A9" display="#'M-BarberoServicio'.A9" xr:uid="{00000000-0004-0000-3D00-000037000000}"/>
    <hyperlink ref="D14" location="'M-Servicio'!A5" display="#'M-Servicio'.A5" xr:uid="{00000000-0004-0000-3D00-000038000000}"/>
    <hyperlink ref="F14" location="'M-BarberoServicio'!A9" display="#'M-BarberoServicio'.A9" xr:uid="{00000000-0004-0000-3D00-000039000000}"/>
    <hyperlink ref="G14" location="'M-BarberoServicio'!A9" display="#'M-BarberoServicio'.A9" xr:uid="{00000000-0004-0000-3D00-00003A000000}"/>
  </hyperlinks>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12"/>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12" width="18" customWidth="1"/>
    <col min="13" max="13" width="40" customWidth="1"/>
    <col min="14" max="21" width="18" customWidth="1"/>
  </cols>
  <sheetData>
    <row r="1" spans="1:21" ht="15" customHeight="1" x14ac:dyDescent="0.25">
      <c r="A1" s="13" t="s">
        <v>1</v>
      </c>
      <c r="B1" s="13" t="s">
        <v>45</v>
      </c>
    </row>
    <row r="2" spans="1:21" s="25" customFormat="1" ht="45" customHeight="1" x14ac:dyDescent="0.25">
      <c r="A2" s="126" t="s">
        <v>46</v>
      </c>
      <c r="B2" s="126" t="s">
        <v>47</v>
      </c>
      <c r="C2" s="126" t="s">
        <v>48</v>
      </c>
      <c r="D2" s="126" t="s">
        <v>49</v>
      </c>
      <c r="E2" s="126" t="s">
        <v>50</v>
      </c>
      <c r="F2" s="126" t="s">
        <v>51</v>
      </c>
      <c r="G2" s="126" t="s">
        <v>52</v>
      </c>
      <c r="H2" s="126" t="s">
        <v>53</v>
      </c>
      <c r="I2" s="126" t="s">
        <v>54</v>
      </c>
      <c r="J2" s="126" t="s">
        <v>55</v>
      </c>
      <c r="K2" s="126" t="s">
        <v>56</v>
      </c>
      <c r="L2" s="126" t="s">
        <v>57</v>
      </c>
      <c r="M2" s="126" t="s">
        <v>58</v>
      </c>
      <c r="N2" s="126" t="s">
        <v>59</v>
      </c>
      <c r="O2" s="126" t="s">
        <v>60</v>
      </c>
      <c r="P2" s="126" t="s">
        <v>61</v>
      </c>
      <c r="Q2" s="126" t="s">
        <v>62</v>
      </c>
      <c r="R2" s="126" t="s">
        <v>63</v>
      </c>
      <c r="S2" s="126" t="s">
        <v>64</v>
      </c>
      <c r="T2" s="126" t="s">
        <v>65</v>
      </c>
      <c r="U2" s="126" t="s">
        <v>66</v>
      </c>
    </row>
    <row r="3" spans="1:21" ht="45" customHeight="1" x14ac:dyDescent="0.25">
      <c r="A3" s="127" t="str">
        <f>'M-Multa'!A3</f>
        <v>id</v>
      </c>
      <c r="B3" s="128" t="str">
        <f>'M-Multa'!A2</f>
        <v>Representa un identificador que hará unico cada objeto de dominio de este tipo, no se puede repetir</v>
      </c>
      <c r="C3" s="127" t="s">
        <v>67</v>
      </c>
      <c r="D3" s="127" t="s">
        <v>68</v>
      </c>
      <c r="E3" s="127" t="s">
        <v>67</v>
      </c>
      <c r="F3" s="127" t="s">
        <v>69</v>
      </c>
      <c r="G3" s="127" t="s">
        <v>69</v>
      </c>
      <c r="H3" s="127" t="s">
        <v>69</v>
      </c>
      <c r="I3" s="127" t="s">
        <v>69</v>
      </c>
      <c r="J3" s="127" t="s">
        <v>69</v>
      </c>
      <c r="K3" s="127" t="s">
        <v>69</v>
      </c>
      <c r="L3" s="127" t="s">
        <v>69</v>
      </c>
      <c r="M3" s="128" t="s">
        <v>69</v>
      </c>
      <c r="N3" s="127" t="s">
        <v>70</v>
      </c>
      <c r="O3" s="137" t="s">
        <v>69</v>
      </c>
      <c r="P3" s="127" t="s">
        <v>69</v>
      </c>
      <c r="Q3" s="137" t="s">
        <v>69</v>
      </c>
      <c r="R3" s="137" t="s">
        <v>69</v>
      </c>
      <c r="S3" s="137" t="s">
        <v>70</v>
      </c>
      <c r="T3" s="127" t="s">
        <v>71</v>
      </c>
      <c r="U3" s="127" t="s">
        <v>67</v>
      </c>
    </row>
    <row r="4" spans="1:21" ht="75" customHeight="1" x14ac:dyDescent="0.25">
      <c r="A4" s="137" t="str">
        <f>'M-Multa'!B3</f>
        <v>cita</v>
      </c>
      <c r="B4" s="137" t="str">
        <f>'M-Multa'!B2</f>
        <v>Hace referencia a la cita puntual que el cliente incumplió (llegando tarde fuera de la tolerancia o no presentándose), de esa cita es de donde sale el valor de monto si fue el caso de no presentase</v>
      </c>
      <c r="C4" s="137" t="s">
        <v>70</v>
      </c>
      <c r="D4" s="155" t="s">
        <v>39</v>
      </c>
      <c r="E4" s="137" t="s">
        <v>67</v>
      </c>
      <c r="F4" s="137" t="s">
        <v>69</v>
      </c>
      <c r="G4" s="137" t="s">
        <v>69</v>
      </c>
      <c r="H4" s="137" t="s">
        <v>69</v>
      </c>
      <c r="I4" s="137" t="s">
        <v>69</v>
      </c>
      <c r="J4" s="137" t="s">
        <v>69</v>
      </c>
      <c r="K4" s="137" t="s">
        <v>69</v>
      </c>
      <c r="L4" s="137" t="s">
        <v>69</v>
      </c>
      <c r="M4" s="137" t="s">
        <v>319</v>
      </c>
      <c r="N4" s="137" t="s">
        <v>70</v>
      </c>
      <c r="O4" s="137" t="s">
        <v>69</v>
      </c>
      <c r="P4" s="137" t="s">
        <v>69</v>
      </c>
      <c r="Q4" s="137" t="s">
        <v>69</v>
      </c>
      <c r="R4" s="137" t="s">
        <v>69</v>
      </c>
      <c r="S4" s="137" t="s">
        <v>70</v>
      </c>
      <c r="T4" s="137" t="s">
        <v>71</v>
      </c>
      <c r="U4" s="137" t="s">
        <v>70</v>
      </c>
    </row>
    <row r="5" spans="1:21" ht="45" customHeight="1" x14ac:dyDescent="0.25">
      <c r="A5" s="127" t="str">
        <f>'M-Multa'!C3</f>
        <v>tipo</v>
      </c>
      <c r="B5" s="128" t="str">
        <f>'M-Multa'!C2</f>
        <v>Hace referencia al tipo de multa -tardanza o inasistencia- según lo que haya ocurrido con la cita</v>
      </c>
      <c r="C5" s="127" t="s">
        <v>70</v>
      </c>
      <c r="D5" s="129" t="s">
        <v>23</v>
      </c>
      <c r="E5" s="127" t="s">
        <v>67</v>
      </c>
      <c r="F5" s="127" t="s">
        <v>69</v>
      </c>
      <c r="G5" s="127" t="s">
        <v>69</v>
      </c>
      <c r="H5" s="127" t="s">
        <v>69</v>
      </c>
      <c r="I5" s="127" t="s">
        <v>69</v>
      </c>
      <c r="J5" s="127" t="s">
        <v>69</v>
      </c>
      <c r="K5" s="127" t="s">
        <v>69</v>
      </c>
      <c r="L5" s="127" t="s">
        <v>69</v>
      </c>
      <c r="M5" s="128" t="s">
        <v>319</v>
      </c>
      <c r="N5" s="127" t="s">
        <v>70</v>
      </c>
      <c r="O5" s="127" t="s">
        <v>69</v>
      </c>
      <c r="P5" s="127" t="s">
        <v>69</v>
      </c>
      <c r="Q5" s="127" t="s">
        <v>69</v>
      </c>
      <c r="R5" s="127" t="s">
        <v>69</v>
      </c>
      <c r="S5" s="127" t="s">
        <v>70</v>
      </c>
      <c r="T5" s="127" t="s">
        <v>71</v>
      </c>
      <c r="U5" s="127" t="s">
        <v>70</v>
      </c>
    </row>
    <row r="6" spans="1:21" ht="105" customHeight="1" x14ac:dyDescent="0.25">
      <c r="A6" s="137" t="str">
        <f>'M-Multa'!D3</f>
        <v>monto</v>
      </c>
      <c r="B6" s="137" t="str">
        <f>'M-Multa'!D2</f>
        <v>Representa cuánto dinero en pesos colombianos debe pagar el cliente por esta multa. Es un dato auto generado: si el tipo es Tardanza copia el monto fijo de Regla.montoMultaTardanzaCliente; si el tipo es Inasistencia copia el precioFinal de la Cita incumplida</v>
      </c>
      <c r="C6" s="137" t="s">
        <v>70</v>
      </c>
      <c r="D6" s="137" t="s">
        <v>157</v>
      </c>
      <c r="E6" s="137" t="s">
        <v>67</v>
      </c>
      <c r="F6" s="137" t="s">
        <v>69</v>
      </c>
      <c r="G6" s="137" t="s">
        <v>69</v>
      </c>
      <c r="H6" s="137" t="s">
        <v>69</v>
      </c>
      <c r="I6" s="137" t="s">
        <v>69</v>
      </c>
      <c r="J6" s="137">
        <v>0</v>
      </c>
      <c r="K6" s="170">
        <v>1000000</v>
      </c>
      <c r="L6" s="127" t="s">
        <v>69</v>
      </c>
      <c r="M6" s="137" t="s">
        <v>639</v>
      </c>
      <c r="N6" s="137" t="s">
        <v>70</v>
      </c>
      <c r="O6" s="137" t="s">
        <v>69</v>
      </c>
      <c r="P6" s="137" t="s">
        <v>69</v>
      </c>
      <c r="Q6" s="137" t="s">
        <v>69</v>
      </c>
      <c r="R6" s="137" t="s">
        <v>69</v>
      </c>
      <c r="S6" s="137" t="s">
        <v>70</v>
      </c>
      <c r="T6" s="137" t="s">
        <v>258</v>
      </c>
      <c r="U6" s="137" t="s">
        <v>67</v>
      </c>
    </row>
    <row r="7" spans="1:21" ht="105" customHeight="1" x14ac:dyDescent="0.25">
      <c r="A7" s="127" t="str">
        <f>'M-Multa'!E3</f>
        <v>horaGeneracion</v>
      </c>
      <c r="B7" s="128"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127" t="s">
        <v>70</v>
      </c>
      <c r="D7" s="127" t="s">
        <v>370</v>
      </c>
      <c r="E7" s="127" t="s">
        <v>67</v>
      </c>
      <c r="F7" s="127" t="s">
        <v>69</v>
      </c>
      <c r="G7" s="127" t="s">
        <v>69</v>
      </c>
      <c r="H7" s="127" t="s">
        <v>69</v>
      </c>
      <c r="I7" s="127" t="s">
        <v>69</v>
      </c>
      <c r="J7" s="127" t="s">
        <v>69</v>
      </c>
      <c r="K7" s="127" t="s">
        <v>69</v>
      </c>
      <c r="L7" s="127" t="s">
        <v>69</v>
      </c>
      <c r="M7" s="128" t="s">
        <v>640</v>
      </c>
      <c r="N7" s="127" t="s">
        <v>70</v>
      </c>
      <c r="O7" s="127" t="s">
        <v>69</v>
      </c>
      <c r="P7" s="127" t="s">
        <v>69</v>
      </c>
      <c r="Q7" s="127" t="s">
        <v>69</v>
      </c>
      <c r="R7" s="127" t="s">
        <v>69</v>
      </c>
      <c r="S7" s="127" t="s">
        <v>70</v>
      </c>
      <c r="T7" s="127" t="s">
        <v>371</v>
      </c>
      <c r="U7" s="127" t="s">
        <v>67</v>
      </c>
    </row>
    <row r="8" spans="1:21" ht="60" customHeight="1" x14ac:dyDescent="0.25">
      <c r="A8" s="137" t="str">
        <f>'M-Multa'!F3</f>
        <v>fechaHoraPago</v>
      </c>
      <c r="B8" s="137" t="str">
        <f>'M-Multa'!F2</f>
        <v>Representa la fecha y hora en la que el cliente pagó esta multa. Su valor por defecto es 01/01/1000 00:00 y es permitido: significa que la multa sigue sin pagar</v>
      </c>
      <c r="C8" s="137" t="s">
        <v>70</v>
      </c>
      <c r="D8" s="137" t="s">
        <v>641</v>
      </c>
      <c r="E8" s="137" t="s">
        <v>70</v>
      </c>
      <c r="F8" s="137" t="s">
        <v>69</v>
      </c>
      <c r="G8" s="137" t="s">
        <v>69</v>
      </c>
      <c r="H8" s="137" t="s">
        <v>69</v>
      </c>
      <c r="I8" s="137" t="s">
        <v>69</v>
      </c>
      <c r="J8" s="137" t="s">
        <v>69</v>
      </c>
      <c r="K8" s="137" t="s">
        <v>69</v>
      </c>
      <c r="L8" s="127" t="s">
        <v>69</v>
      </c>
      <c r="M8" s="137" t="s">
        <v>69</v>
      </c>
      <c r="N8" s="137" t="s">
        <v>70</v>
      </c>
      <c r="O8" s="137" t="s">
        <v>69</v>
      </c>
      <c r="P8" s="137" t="s">
        <v>69</v>
      </c>
      <c r="Q8" s="137" t="s">
        <v>69</v>
      </c>
      <c r="R8" s="137" t="s">
        <v>69</v>
      </c>
      <c r="S8" s="137" t="s">
        <v>70</v>
      </c>
      <c r="T8" s="137" t="s">
        <v>642</v>
      </c>
      <c r="U8" s="137" t="s">
        <v>70</v>
      </c>
    </row>
    <row r="9" spans="1:21" ht="60" customHeight="1" x14ac:dyDescent="0.25">
      <c r="A9" s="127" t="str">
        <f>'M-Multa'!G3</f>
        <v>pagada</v>
      </c>
      <c r="B9" s="128" t="str">
        <f>'M-Multa'!G2</f>
        <v>Representa si el cliente ya pagó o no esta multa, es el dato que se revisa para decidir si un cliente llega al número de multas sin pagar que activa el veto</v>
      </c>
      <c r="C9" s="127" t="s">
        <v>70</v>
      </c>
      <c r="D9" s="127" t="s">
        <v>158</v>
      </c>
      <c r="E9" s="127" t="s">
        <v>67</v>
      </c>
      <c r="F9" s="127" t="s">
        <v>69</v>
      </c>
      <c r="G9" s="127" t="s">
        <v>69</v>
      </c>
      <c r="H9" s="127" t="s">
        <v>69</v>
      </c>
      <c r="I9" s="127" t="s">
        <v>69</v>
      </c>
      <c r="J9" s="127" t="s">
        <v>69</v>
      </c>
      <c r="K9" s="127" t="s">
        <v>69</v>
      </c>
      <c r="L9" s="127" t="s">
        <v>69</v>
      </c>
      <c r="M9" s="128" t="s">
        <v>69</v>
      </c>
      <c r="N9" s="127" t="s">
        <v>70</v>
      </c>
      <c r="O9" s="127" t="s">
        <v>69</v>
      </c>
      <c r="P9" s="127" t="s">
        <v>69</v>
      </c>
      <c r="Q9" s="127" t="s">
        <v>69</v>
      </c>
      <c r="R9" s="127" t="s">
        <v>69</v>
      </c>
      <c r="S9" s="127" t="s">
        <v>70</v>
      </c>
      <c r="T9" s="127" t="s">
        <v>70</v>
      </c>
      <c r="U9" s="127" t="s">
        <v>70</v>
      </c>
    </row>
    <row r="11" spans="1:21" ht="15" customHeight="1" x14ac:dyDescent="0.25">
      <c r="A11" s="28" t="s">
        <v>75</v>
      </c>
      <c r="B11" s="28" t="s">
        <v>76</v>
      </c>
      <c r="C11" s="28" t="s">
        <v>77</v>
      </c>
    </row>
    <row r="12" spans="1:21" ht="30" customHeight="1" x14ac:dyDescent="0.25">
      <c r="A12" s="102" t="str">
        <f>'M-Multa'!H3</f>
        <v>Combinación única</v>
      </c>
      <c r="B12" s="103" t="str">
        <f>'M-Multa'!H2</f>
        <v>Combinación única que indica que una misma cita no puede generar más de una multa</v>
      </c>
      <c r="C12" s="29" t="str">
        <f>A4</f>
        <v>cita</v>
      </c>
    </row>
  </sheetData>
  <hyperlinks>
    <hyperlink ref="A1" location="'Modelo de Dominio'!A1" display="&lt;&lt;&lt;&lt; Ir al modulo de dominio" xr:uid="{00000000-0004-0000-3E00-000000000000}"/>
    <hyperlink ref="B1" location="'Objetos de Dominio'!A1" display="&lt;&lt;&lt;&lt; Ir a objetos de dominio" xr:uid="{00000000-0004-0000-3E00-000001000000}"/>
    <hyperlink ref="A3" location="'M-Multa'!A3" display="#'M-Multa'.A3" xr:uid="{00000000-0004-0000-3E00-000002000000}"/>
    <hyperlink ref="B3" location="'M-Multa'!A2" display="#'M-Multa'.A2" xr:uid="{00000000-0004-0000-3E00-000003000000}"/>
    <hyperlink ref="A4" location="'M-Multa'!A3" display="#'M-Multa'.A3" xr:uid="{00000000-0004-0000-3E00-000004000000}"/>
    <hyperlink ref="B4" location="'M-Multa'!A2" display="#'M-Multa'.A2" xr:uid="{00000000-0004-0000-3E00-000005000000}"/>
    <hyperlink ref="D4" location="'C-Cita'!A1" display="Cita" xr:uid="{00000000-0004-0000-3E00-000006000000}"/>
    <hyperlink ref="A5" location="'M-Multa'!A3" display="#'M-Multa'.A3" xr:uid="{00000000-0004-0000-3E00-000007000000}"/>
    <hyperlink ref="B5" location="'M-Multa'!A2" display="#'M-Multa'.A2" xr:uid="{00000000-0004-0000-3E00-000008000000}"/>
    <hyperlink ref="D5" location="'C-TipoMulta'!A1" display="TipoMulta" xr:uid="{00000000-0004-0000-3E00-000009000000}"/>
    <hyperlink ref="A6" location="'M-Multa'!A3" display="#'M-Multa'.A3" xr:uid="{00000000-0004-0000-3E00-00000A000000}"/>
    <hyperlink ref="B6" location="'M-Multa'!A2" display="#'M-Multa'.A2" xr:uid="{00000000-0004-0000-3E00-00000B000000}"/>
    <hyperlink ref="A7" location="'M-Multa'!A3" display="#'M-Multa'.A3" xr:uid="{00000000-0004-0000-3E00-00000C000000}"/>
    <hyperlink ref="B7" location="'M-Multa'!A2" display="#'M-Multa'.A2" xr:uid="{00000000-0004-0000-3E00-00000D000000}"/>
    <hyperlink ref="A8" location="'M-Multa'!A3" display="#'M-Multa'.A3" xr:uid="{00000000-0004-0000-3E00-00000E000000}"/>
    <hyperlink ref="B8" location="'M-Multa'!A2" display="#'M-Multa'.A2" xr:uid="{00000000-0004-0000-3E00-00000F000000}"/>
    <hyperlink ref="A9" location="'M-Multa'!A3" display="#'M-Multa'.A3" xr:uid="{00000000-0004-0000-3E00-000010000000}"/>
    <hyperlink ref="B9" location="'M-Multa'!A2" display="#'M-Multa'.A2" xr:uid="{00000000-0004-0000-3E00-000011000000}"/>
    <hyperlink ref="A12" location="'M-Multa'!A3" display="#'M-Multa'.A3" xr:uid="{00000000-0004-0000-3E00-000012000000}"/>
    <hyperlink ref="B12" location="'M-Multa'!A2" display="#'M-Multa'.A2" xr:uid="{00000000-0004-0000-3E00-000013000000}"/>
  </hyperlink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7"/>
  <sheetViews>
    <sheetView showGridLines="0" zoomScaleNormal="100" workbookViewId="0"/>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32" t="s">
        <v>79</v>
      </c>
      <c r="B1" s="32" t="s">
        <v>80</v>
      </c>
      <c r="C1" s="32" t="s">
        <v>81</v>
      </c>
      <c r="D1" s="32" t="s">
        <v>82</v>
      </c>
    </row>
    <row r="2" spans="1:5" ht="15" customHeight="1" x14ac:dyDescent="0.25">
      <c r="A2" s="33" t="s">
        <v>83</v>
      </c>
      <c r="B2" s="11" t="str">
        <f>'Objetos de Dominio'!A18</f>
        <v>Multa</v>
      </c>
      <c r="C2" s="11"/>
      <c r="D2" s="11"/>
      <c r="E2" s="11"/>
    </row>
    <row r="3" spans="1:5" ht="30" customHeight="1" x14ac:dyDescent="0.25">
      <c r="A3" s="33" t="s">
        <v>84</v>
      </c>
      <c r="B3" s="10" t="str">
        <f>'Objetos de Dominio'!B18</f>
        <v>Representa la sanción económica que se le impone a un cliente por incumplir una cita, ya sea por llegar tarde fuera de tolerancia o por no presentarse, calculada a partir de la cita específica que la originó</v>
      </c>
      <c r="C3" s="10"/>
      <c r="D3" s="10"/>
      <c r="E3" s="10"/>
    </row>
    <row r="4" spans="1:5" ht="15" customHeight="1" x14ac:dyDescent="0.25">
      <c r="A4" s="1" t="s">
        <v>85</v>
      </c>
      <c r="B4" s="9" t="s">
        <v>86</v>
      </c>
      <c r="C4" s="9"/>
      <c r="D4" s="9" t="s">
        <v>87</v>
      </c>
      <c r="E4" s="9" t="s">
        <v>88</v>
      </c>
    </row>
    <row r="5" spans="1:5" ht="15" customHeight="1" x14ac:dyDescent="0.25">
      <c r="A5" s="1"/>
      <c r="B5" s="9"/>
      <c r="C5" s="9"/>
      <c r="D5" s="9"/>
      <c r="E5" s="9"/>
    </row>
    <row r="6" spans="1:5" ht="30" customHeight="1" x14ac:dyDescent="0.25">
      <c r="A6" s="55" t="s">
        <v>643</v>
      </c>
      <c r="B6" s="2" t="s">
        <v>644</v>
      </c>
      <c r="C6" s="2"/>
      <c r="D6" s="55" t="s">
        <v>39</v>
      </c>
      <c r="E6" s="55"/>
    </row>
    <row r="7" spans="1:5" ht="30" customHeight="1" x14ac:dyDescent="0.25">
      <c r="A7" s="55" t="s">
        <v>645</v>
      </c>
      <c r="B7" s="2" t="s">
        <v>646</v>
      </c>
      <c r="C7" s="2"/>
      <c r="D7" s="55" t="s">
        <v>43</v>
      </c>
      <c r="E7" s="55"/>
    </row>
  </sheetData>
  <mergeCells count="8">
    <mergeCell ref="B6:C6"/>
    <mergeCell ref="B7:C7"/>
    <mergeCell ref="B2:E2"/>
    <mergeCell ref="B3:E3"/>
    <mergeCell ref="A4:A5"/>
    <mergeCell ref="B4:C5"/>
    <mergeCell ref="D4:D5"/>
    <mergeCell ref="E4:E5"/>
  </mergeCells>
  <hyperlinks>
    <hyperlink ref="A1" r:id="rId1" location="'Modelo%20de%20Dominio'!A1" xr:uid="{00000000-0004-0000-3F00-000000000000}"/>
    <hyperlink ref="B1" r:id="rId2" location="'Objetos%20de%20Dominio'!A1" xr:uid="{00000000-0004-0000-3F00-000001000000}"/>
    <hyperlink ref="C1" r:id="rId3" location="'C-Multa'!A1" xr:uid="{00000000-0004-0000-3F00-000002000000}"/>
    <hyperlink ref="D1" r:id="rId4" location="'M-Multa'!A1" xr:uid="{00000000-0004-0000-3F00-000003000000}"/>
  </hyperlink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K9"/>
  <sheetViews>
    <sheetView showGridLines="0" zoomScaleNormal="100" workbookViewId="0"/>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4" customWidth="1"/>
    <col min="9" max="9" width="16" customWidth="1"/>
    <col min="10" max="11" width="34" customWidth="1"/>
  </cols>
  <sheetData>
    <row r="1" spans="1:11" ht="12" customHeight="1" x14ac:dyDescent="0.25">
      <c r="A1" s="12" t="s">
        <v>79</v>
      </c>
      <c r="B1" s="12"/>
      <c r="C1" s="12" t="s">
        <v>80</v>
      </c>
      <c r="D1" s="12"/>
      <c r="E1" s="12"/>
      <c r="F1" s="12" t="s">
        <v>81</v>
      </c>
      <c r="G1" s="12"/>
      <c r="H1" s="12"/>
      <c r="I1" s="12"/>
      <c r="J1" s="12" t="s">
        <v>82</v>
      </c>
      <c r="K1" s="12"/>
    </row>
    <row r="2" spans="1:11" ht="15" customHeight="1" x14ac:dyDescent="0.25">
      <c r="A2" s="33" t="s">
        <v>83</v>
      </c>
      <c r="B2" s="11" t="str">
        <f>'Objetos de Dominio'!A18</f>
        <v>Multa</v>
      </c>
      <c r="C2" s="11"/>
      <c r="D2" s="11"/>
      <c r="E2" s="11"/>
      <c r="F2" s="11"/>
      <c r="G2" s="11"/>
      <c r="H2" s="11"/>
      <c r="I2" s="11"/>
      <c r="J2" s="11"/>
      <c r="K2" s="11"/>
    </row>
    <row r="3" spans="1:11" ht="30" customHeight="1" x14ac:dyDescent="0.25">
      <c r="A3" s="33" t="s">
        <v>84</v>
      </c>
      <c r="B3" s="10" t="str">
        <f>'Objetos de Dominio'!B18</f>
        <v>Representa la sanción económica que se le impone a un cliente por incumplir una cita, ya sea por llegar tarde fuera de tolerancia o por no presentarse, calculada a partir de la cita específica que la originó</v>
      </c>
      <c r="C3" s="10"/>
      <c r="D3" s="10"/>
      <c r="E3" s="10"/>
      <c r="F3" s="10"/>
      <c r="G3" s="10"/>
      <c r="H3" s="10"/>
      <c r="I3" s="10"/>
      <c r="J3" s="10"/>
      <c r="K3" s="10"/>
    </row>
    <row r="4" spans="1:11" ht="34.5" customHeight="1" x14ac:dyDescent="0.25">
      <c r="A4" s="36" t="s">
        <v>90</v>
      </c>
      <c r="B4" s="9" t="s">
        <v>91</v>
      </c>
      <c r="C4" s="9"/>
      <c r="D4" s="37" t="s">
        <v>92</v>
      </c>
      <c r="E4" s="8" t="s">
        <v>93</v>
      </c>
      <c r="F4" s="8"/>
      <c r="G4" s="7" t="s">
        <v>94</v>
      </c>
      <c r="H4" s="7"/>
      <c r="I4" s="34" t="s">
        <v>95</v>
      </c>
      <c r="J4" s="39" t="s">
        <v>96</v>
      </c>
      <c r="K4" s="34" t="s">
        <v>97</v>
      </c>
    </row>
    <row r="5" spans="1:11" ht="15" customHeight="1" x14ac:dyDescent="0.25">
      <c r="A5" s="6" t="s">
        <v>90</v>
      </c>
      <c r="B5" s="9" t="s">
        <v>98</v>
      </c>
      <c r="C5" s="9" t="s">
        <v>76</v>
      </c>
      <c r="D5" s="5" t="s">
        <v>99</v>
      </c>
      <c r="E5" s="8" t="s">
        <v>100</v>
      </c>
      <c r="F5" s="8"/>
      <c r="G5" s="7" t="s">
        <v>101</v>
      </c>
      <c r="H5" s="7"/>
      <c r="I5" s="9" t="s">
        <v>102</v>
      </c>
      <c r="J5" s="4" t="s">
        <v>103</v>
      </c>
      <c r="K5" s="9" t="s">
        <v>104</v>
      </c>
    </row>
    <row r="6" spans="1:11" ht="15" customHeight="1" x14ac:dyDescent="0.25">
      <c r="A6" s="6"/>
      <c r="B6" s="6"/>
      <c r="C6" s="6"/>
      <c r="D6" s="6"/>
      <c r="E6" s="38" t="s">
        <v>105</v>
      </c>
      <c r="F6" s="38" t="s">
        <v>76</v>
      </c>
      <c r="G6" s="7" t="s">
        <v>106</v>
      </c>
      <c r="H6" s="7"/>
      <c r="I6" s="9"/>
      <c r="J6" s="9"/>
      <c r="K6" s="9"/>
    </row>
    <row r="7" spans="1:11" ht="30" customHeight="1" x14ac:dyDescent="0.25">
      <c r="A7" s="40" t="s">
        <v>476</v>
      </c>
      <c r="B7" s="35" t="s">
        <v>647</v>
      </c>
      <c r="C7" s="35" t="s">
        <v>648</v>
      </c>
      <c r="D7" s="40" t="str">
        <f>$B$2</f>
        <v>Multa</v>
      </c>
      <c r="E7" s="35"/>
      <c r="F7" s="35"/>
      <c r="G7" s="40" t="str">
        <f>'P-Multa'!A6</f>
        <v>P-MUL-0001</v>
      </c>
      <c r="H7" s="41"/>
      <c r="I7" s="40"/>
      <c r="J7" s="35" t="s">
        <v>649</v>
      </c>
      <c r="K7" s="35"/>
    </row>
    <row r="8" spans="1:11" ht="30" customHeight="1" x14ac:dyDescent="0.25">
      <c r="A8" s="40" t="s">
        <v>27</v>
      </c>
      <c r="B8" s="35" t="s">
        <v>650</v>
      </c>
      <c r="C8" s="35" t="s">
        <v>651</v>
      </c>
      <c r="D8" s="40" t="str">
        <f>$B$2</f>
        <v>Multa</v>
      </c>
      <c r="E8" s="35"/>
      <c r="F8" s="35"/>
      <c r="G8" s="40"/>
      <c r="H8" s="41"/>
      <c r="I8" s="40"/>
      <c r="J8" s="35" t="s">
        <v>652</v>
      </c>
      <c r="K8" s="35"/>
    </row>
    <row r="9" spans="1:11" ht="30" customHeight="1" x14ac:dyDescent="0.25">
      <c r="A9" s="40" t="s">
        <v>25</v>
      </c>
      <c r="B9" s="35" t="s">
        <v>653</v>
      </c>
      <c r="C9" s="35" t="s">
        <v>654</v>
      </c>
      <c r="D9" s="40" t="str">
        <f>$B$2</f>
        <v>Multa</v>
      </c>
      <c r="E9" s="35"/>
      <c r="F9" s="35"/>
      <c r="G9" s="40" t="str">
        <f>'P-Multa'!A7</f>
        <v>P-MUL-0002</v>
      </c>
      <c r="H9" s="41"/>
      <c r="I9" s="40"/>
      <c r="J9" s="35" t="s">
        <v>655</v>
      </c>
      <c r="K9" s="35"/>
    </row>
  </sheetData>
  <mergeCells count="19">
    <mergeCell ref="B3:K3"/>
    <mergeCell ref="B4:C4"/>
    <mergeCell ref="E4:F4"/>
    <mergeCell ref="G4:H4"/>
    <mergeCell ref="A5:A6"/>
    <mergeCell ref="B5:B6"/>
    <mergeCell ref="C5:C6"/>
    <mergeCell ref="D5:D6"/>
    <mergeCell ref="E5:F5"/>
    <mergeCell ref="G5:H5"/>
    <mergeCell ref="I5:I6"/>
    <mergeCell ref="J5:J6"/>
    <mergeCell ref="K5:K6"/>
    <mergeCell ref="G6:H6"/>
    <mergeCell ref="A1:B1"/>
    <mergeCell ref="C1:E1"/>
    <mergeCell ref="F1:I1"/>
    <mergeCell ref="J1:K1"/>
    <mergeCell ref="B2:K2"/>
  </mergeCells>
  <hyperlinks>
    <hyperlink ref="A1" r:id="rId1" location="'Modelo%20de%20Dominio'!A1" xr:uid="{00000000-0004-0000-4000-000000000000}"/>
    <hyperlink ref="C1" r:id="rId2" location="'Objetos%20de%20Dominio'!A1" xr:uid="{00000000-0004-0000-4000-000001000000}"/>
    <hyperlink ref="F1" r:id="rId3" location="'C-Multa'!A1" xr:uid="{00000000-0004-0000-4000-000002000000}"/>
    <hyperlink ref="J1" r:id="rId4" location="'M-Multa'!A1" xr:uid="{00000000-0004-0000-4000-000003000000}"/>
  </hyperlink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21"/>
  <sheetViews>
    <sheetView topLeftCell="B1" zoomScale="130" zoomScaleNormal="130" workbookViewId="0">
      <selection activeCell="D3" sqref="D3"/>
    </sheetView>
  </sheetViews>
  <sheetFormatPr baseColWidth="10" defaultColWidth="10.7109375" defaultRowHeight="15" x14ac:dyDescent="0.25"/>
  <cols>
    <col min="1" max="1" width="25" customWidth="1"/>
    <col min="2" max="2" width="33.7109375" customWidth="1"/>
    <col min="3" max="3" width="24.7109375" customWidth="1"/>
    <col min="4" max="4" width="35.5703125" customWidth="1"/>
    <col min="5" max="5" width="40.85546875" customWidth="1"/>
    <col min="6" max="6" width="35.5703125" customWidth="1"/>
    <col min="7" max="7" width="27.140625" customWidth="1"/>
    <col min="8" max="8" width="30.42578125" customWidth="1"/>
  </cols>
  <sheetData>
    <row r="1" spans="1:8" ht="14.25" customHeight="1" x14ac:dyDescent="0.25">
      <c r="A1" s="13" t="s">
        <v>1</v>
      </c>
      <c r="B1" s="13" t="s">
        <v>45</v>
      </c>
    </row>
    <row r="2" spans="1:8" ht="54" customHeight="1" x14ac:dyDescent="0.25">
      <c r="A2" s="148" t="s">
        <v>111</v>
      </c>
      <c r="B2" s="148" t="s">
        <v>656</v>
      </c>
      <c r="C2" s="148" t="s">
        <v>657</v>
      </c>
      <c r="D2" s="148" t="s">
        <v>658</v>
      </c>
      <c r="E2" s="148" t="s">
        <v>659</v>
      </c>
      <c r="F2" s="148" t="s">
        <v>660</v>
      </c>
      <c r="G2" s="148" t="s">
        <v>661</v>
      </c>
      <c r="H2" s="148" t="s">
        <v>662</v>
      </c>
    </row>
    <row r="3" spans="1:8" ht="14.25" customHeight="1" x14ac:dyDescent="0.25">
      <c r="A3" s="158" t="s">
        <v>114</v>
      </c>
      <c r="B3" s="133" t="s">
        <v>634</v>
      </c>
      <c r="C3" s="110" t="s">
        <v>663</v>
      </c>
      <c r="D3" s="106" t="s">
        <v>664</v>
      </c>
      <c r="E3" s="116" t="s">
        <v>665</v>
      </c>
      <c r="F3" s="171" t="s">
        <v>666</v>
      </c>
      <c r="G3" s="105" t="s">
        <v>667</v>
      </c>
      <c r="H3" s="46" t="s">
        <v>248</v>
      </c>
    </row>
    <row r="4" spans="1:8" ht="42.75" customHeight="1" x14ac:dyDescent="0.25">
      <c r="A4" s="47">
        <v>1</v>
      </c>
      <c r="B4" s="151" t="str">
        <f>'M-Cita'!R6</f>
        <v>+57-3214533321-Jueves-09:00-19:00-13:00-19:00-si-14/05/2026-13:00</v>
      </c>
      <c r="C4" s="107" t="str">
        <f>'M-TipoMulta'!D4</f>
        <v>Tardanza</v>
      </c>
      <c r="D4" s="165">
        <f>'M-Regla'!C4</f>
        <v>10000</v>
      </c>
      <c r="E4" s="172">
        <f>'M-Cita'!H6</f>
        <v>0.55208333333333304</v>
      </c>
      <c r="F4" s="173">
        <v>46233.416666666701</v>
      </c>
      <c r="G4" s="47" t="s">
        <v>190</v>
      </c>
      <c r="H4" s="58" t="str">
        <f>B4</f>
        <v>+57-3214533321-Jueves-09:00-19:00-13:00-19:00-si-14/05/2026-13:00</v>
      </c>
    </row>
    <row r="5" spans="1:8" ht="42.75" customHeight="1" x14ac:dyDescent="0.25">
      <c r="A5" s="47">
        <v>2</v>
      </c>
      <c r="B5" s="151" t="str">
        <f>'M-Cita'!R7</f>
        <v>+91-9876543210-Sábado-08:00-21:00-08:00-14:00-no-22/11/2025-13:00</v>
      </c>
      <c r="C5" s="107" t="str">
        <f>'M-TipoMulta'!D5</f>
        <v>Inasistencia</v>
      </c>
      <c r="D5" s="165">
        <f>'M-Cita'!Q7</f>
        <v>35000</v>
      </c>
      <c r="E5" s="172">
        <f>'M-Cita'!G7</f>
        <v>0.57638888888888917</v>
      </c>
      <c r="F5" s="47" t="s">
        <v>668</v>
      </c>
      <c r="G5" s="47" t="s">
        <v>312</v>
      </c>
      <c r="H5" s="58" t="str">
        <f>B5</f>
        <v>+91-9876543210-Sábado-08:00-21:00-08:00-14:00-no-22/11/2025-13:00</v>
      </c>
    </row>
    <row r="6" spans="1:8" ht="57" customHeight="1" x14ac:dyDescent="0.25">
      <c r="A6" s="47">
        <v>3</v>
      </c>
      <c r="B6" s="151" t="str">
        <f>'M-Cita'!R10</f>
        <v>+57-3245627890-Lunes-09:00-19:00-11/03/2023-1/01/1000-10:00-16:00-si-01/06/2026-10:00</v>
      </c>
      <c r="C6" s="107" t="str">
        <f>'M-TipoMulta'!D5</f>
        <v>Inasistencia</v>
      </c>
      <c r="D6" s="165">
        <f>'M-Cita'!Q10</f>
        <v>22000</v>
      </c>
      <c r="E6" s="172">
        <f>'M-Cita'!G10</f>
        <v>0.41666666666666702</v>
      </c>
      <c r="F6" s="47" t="s">
        <v>668</v>
      </c>
      <c r="G6" s="47" t="s">
        <v>312</v>
      </c>
      <c r="H6" s="58" t="str">
        <f>B6</f>
        <v>+57-3245627890-Lunes-09:00-19:00-11/03/2023-1/01/1000-10:00-16:00-si-01/06/2026-10:00</v>
      </c>
    </row>
    <row r="7" spans="1:8" ht="57" customHeight="1" x14ac:dyDescent="0.25">
      <c r="A7" s="47">
        <v>4</v>
      </c>
      <c r="B7" s="151" t="str">
        <f>'M-Cita'!R11</f>
        <v>+57-3124518923-Martes-09:00-19:00-09:00-15:00-si-16/06/2026-09:00</v>
      </c>
      <c r="C7" s="107" t="str">
        <f>'M-TipoMulta'!D5</f>
        <v>Inasistencia</v>
      </c>
      <c r="D7" s="165">
        <f>'M-Cita'!Q11</f>
        <v>12000</v>
      </c>
      <c r="E7" s="172">
        <f>'M-Cita'!G11</f>
        <v>0.38541666666666669</v>
      </c>
      <c r="F7" s="47" t="s">
        <v>668</v>
      </c>
      <c r="G7" s="47" t="s">
        <v>312</v>
      </c>
      <c r="H7" s="58" t="str">
        <f>B7</f>
        <v>+57-3124518923-Martes-09:00-19:00-09:00-15:00-si-16/06/2026-09:00</v>
      </c>
    </row>
    <row r="8" spans="1:8" ht="57" customHeight="1" x14ac:dyDescent="0.25">
      <c r="A8" s="47">
        <v>5</v>
      </c>
      <c r="B8" s="151" t="str">
        <f>'M-Cita'!R12</f>
        <v>+57-3214533321-Jueves-09:00-19:00-13:00-19:00-si-02/07/2026-15:00</v>
      </c>
      <c r="C8" s="107" t="str">
        <f>'M-TipoMulta'!D5</f>
        <v>Inasistencia</v>
      </c>
      <c r="D8" s="165">
        <f>'M-Cita'!Q12</f>
        <v>15000</v>
      </c>
      <c r="E8" s="172">
        <f>'M-Cita'!G12</f>
        <v>0.63888888888888884</v>
      </c>
      <c r="F8" s="47" t="s">
        <v>668</v>
      </c>
      <c r="G8" s="47" t="s">
        <v>312</v>
      </c>
      <c r="H8" s="58" t="str">
        <f>B8</f>
        <v>+57-3214533321-Jueves-09:00-19:00-13:00-19:00-si-02/07/2026-15:00</v>
      </c>
    </row>
    <row r="14" spans="1:8" ht="28.5" customHeight="1" x14ac:dyDescent="0.25">
      <c r="A14" s="174"/>
      <c r="B14" s="51" t="s">
        <v>124</v>
      </c>
    </row>
    <row r="15" spans="1:8" ht="28.5" customHeight="1" x14ac:dyDescent="0.25">
      <c r="A15" s="175"/>
      <c r="B15" s="51" t="s">
        <v>125</v>
      </c>
    </row>
    <row r="16" spans="1:8" ht="28.5" customHeight="1" x14ac:dyDescent="0.25">
      <c r="A16" s="176"/>
      <c r="B16" s="51" t="s">
        <v>197</v>
      </c>
    </row>
    <row r="17" spans="1:2" ht="14.25" customHeight="1" x14ac:dyDescent="0.25">
      <c r="A17" s="177"/>
      <c r="B17" s="51" t="s">
        <v>669</v>
      </c>
    </row>
    <row r="18" spans="1:2" ht="14.25" customHeight="1" x14ac:dyDescent="0.25">
      <c r="A18" s="178"/>
      <c r="B18" s="51" t="s">
        <v>670</v>
      </c>
    </row>
    <row r="19" spans="1:2" ht="14.25" customHeight="1" x14ac:dyDescent="0.25">
      <c r="A19" s="179"/>
      <c r="B19" s="51" t="s">
        <v>671</v>
      </c>
    </row>
    <row r="20" spans="1:2" ht="14.25" customHeight="1" x14ac:dyDescent="0.25">
      <c r="A20" s="180"/>
      <c r="B20" t="s">
        <v>199</v>
      </c>
    </row>
    <row r="21" spans="1:2" ht="14.25" customHeight="1" x14ac:dyDescent="0.25">
      <c r="A21" s="181"/>
      <c r="B21" t="s">
        <v>127</v>
      </c>
    </row>
  </sheetData>
  <hyperlinks>
    <hyperlink ref="A1" location="'Modelo de Dominio'!A1" display="&lt;&lt;&lt;&lt; Ir al modulo de dominio" xr:uid="{00000000-0004-0000-4100-000000000000}"/>
    <hyperlink ref="B1" location="'Objetos de Dominio'!A1" display="&lt;&lt;&lt;&lt; Ir a objetos de dominio" xr:uid="{00000000-0004-0000-4100-000001000000}"/>
    <hyperlink ref="B3" location="'M-Cita'!A1" display="cita" xr:uid="{00000000-0004-0000-4100-000002000000}"/>
    <hyperlink ref="C3" location="'M-TipoMulta'!A1" display="tipo" xr:uid="{00000000-0004-0000-4100-000003000000}"/>
    <hyperlink ref="B4" location="'M-Cita'!A6" display="#'M-Cita'.A6" xr:uid="{00000000-0004-0000-4100-000004000000}"/>
    <hyperlink ref="C4" location="'M-TipoMulta'!A4" display="#'M-TipoMulta'.A4" xr:uid="{00000000-0004-0000-4100-000005000000}"/>
    <hyperlink ref="D4" location="'M-Regla'!A4" display="#'M-Regla'.A4" xr:uid="{00000000-0004-0000-4100-000006000000}"/>
    <hyperlink ref="E4" location="'M-Cita'!A6" display="#'M-Cita'.A6" xr:uid="{00000000-0004-0000-4100-000007000000}"/>
    <hyperlink ref="B5" location="'M-Cita'!A7" display="#'M-Cita'.A7" xr:uid="{00000000-0004-0000-4100-000008000000}"/>
    <hyperlink ref="C5" location="'M-TipoMulta'!A5" display="#'M-TipoMulta'.A5" xr:uid="{00000000-0004-0000-4100-000009000000}"/>
    <hyperlink ref="D5" location="'M-Cita'!A7" display="#'M-Cita'.A7" xr:uid="{00000000-0004-0000-4100-00000A000000}"/>
    <hyperlink ref="E5" location="'M-Cita'!A7" display="#'M-Cita'.A7" xr:uid="{00000000-0004-0000-4100-00000B000000}"/>
    <hyperlink ref="B6" location="'M-Cita'!A10" display="#'M-Cita'.A10" xr:uid="{00000000-0004-0000-4100-00000C000000}"/>
    <hyperlink ref="C6" location="'M-TipoMulta'!A5" display="#'M-TipoMulta'.A5" xr:uid="{00000000-0004-0000-4100-00000D000000}"/>
    <hyperlink ref="D6" location="'M-Cita'!A10" display="#'M-Cita'.A10" xr:uid="{00000000-0004-0000-4100-00000E000000}"/>
    <hyperlink ref="E6" location="'M-Cita'!A10" display="#'M-Cita'.A10" xr:uid="{00000000-0004-0000-4100-00000F000000}"/>
    <hyperlink ref="B7" location="'M-Cita'!A11" display="#'M-Cita'.A11" xr:uid="{00000000-0004-0000-4100-000010000000}"/>
    <hyperlink ref="C7" location="'M-TipoMulta'!A5" display="#'M-TipoMulta'.A5" xr:uid="{00000000-0004-0000-4100-000011000000}"/>
    <hyperlink ref="D7" location="'M-Cita'!A11" display="#'M-Cita'.A11" xr:uid="{00000000-0004-0000-4100-000012000000}"/>
    <hyperlink ref="E7" location="'M-Cita'!A11" display="#'M-Cita'.A11" xr:uid="{00000000-0004-0000-4100-000013000000}"/>
    <hyperlink ref="B8" location="'M-Cita'!A12" display="#'M-Cita'.A12" xr:uid="{00000000-0004-0000-4100-000014000000}"/>
    <hyperlink ref="C8" location="'M-TipoMulta'!A5" display="#'M-TipoMulta'.A5" xr:uid="{00000000-0004-0000-4100-000015000000}"/>
    <hyperlink ref="D8" location="'M-Cita'!A12" display="#'M-Cita'.A12" xr:uid="{00000000-0004-0000-4100-000016000000}"/>
    <hyperlink ref="E8" location="'M-Cita'!A12" display="#'M-Cita'.A12" xr:uid="{00000000-0004-0000-4100-000017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66</vt:i4>
      </vt:variant>
    </vt:vector>
  </HeadingPairs>
  <TitlesOfParts>
    <vt:vector size="66" baseType="lpstr">
      <vt:lpstr>Modelo de Dominio</vt:lpstr>
      <vt:lpstr>Objetos de Dominio</vt:lpstr>
      <vt:lpstr>C-DiaSemana</vt:lpstr>
      <vt:lpstr>P-DiaSemana</vt:lpstr>
      <vt:lpstr>E-DiaSemana</vt:lpstr>
      <vt:lpstr>M-DiaSemana</vt:lpstr>
      <vt:lpstr>C-Estado</vt:lpstr>
      <vt:lpstr>P-Estado</vt:lpstr>
      <vt:lpstr>E-Estado</vt:lpstr>
      <vt:lpstr>M-Estado</vt:lpstr>
      <vt:lpstr>C-Servicio</vt:lpstr>
      <vt:lpstr>P-Servicio</vt:lpstr>
      <vt:lpstr>E-Servicio</vt:lpstr>
      <vt:lpstr>M-Servicio</vt:lpstr>
      <vt:lpstr>C-Regla</vt:lpstr>
      <vt:lpstr>P-Regla</vt:lpstr>
      <vt:lpstr>E-Regla</vt:lpstr>
      <vt:lpstr>M-Regla</vt:lpstr>
      <vt:lpstr>C-PrefijoCelular</vt:lpstr>
      <vt:lpstr>P-PrefijoCelular</vt:lpstr>
      <vt:lpstr>E-PrefijoCelular</vt:lpstr>
      <vt:lpstr>M-PrefijoCelular</vt:lpstr>
      <vt:lpstr>C-TipoMulta</vt:lpstr>
      <vt:lpstr>P-TipoMulta</vt:lpstr>
      <vt:lpstr>E-TipoMulta</vt:lpstr>
      <vt:lpstr>M-TipoMulta</vt:lpstr>
      <vt:lpstr>C-Barbero</vt:lpstr>
      <vt:lpstr>P-Barbero</vt:lpstr>
      <vt:lpstr>E-Barbero</vt:lpstr>
      <vt:lpstr>M-Barbero</vt:lpstr>
      <vt:lpstr>C-Cliente</vt:lpstr>
      <vt:lpstr>P-Cliente</vt:lpstr>
      <vt:lpstr>E-Cliente</vt:lpstr>
      <vt:lpstr>M-Cliente</vt:lpstr>
      <vt:lpstr>C-HorarioBarberia</vt:lpstr>
      <vt:lpstr>P-HorarioBarberia</vt:lpstr>
      <vt:lpstr>E-HorarioBarberia</vt:lpstr>
      <vt:lpstr>M-HorarioBarberia</vt:lpstr>
      <vt:lpstr>C-BarberoServicio</vt:lpstr>
      <vt:lpstr>P-BarberoServicio</vt:lpstr>
      <vt:lpstr>E-BarberoServicio</vt:lpstr>
      <vt:lpstr>M-BarberoServicio</vt:lpstr>
      <vt:lpstr>C-HorarioBarbero</vt:lpstr>
      <vt:lpstr>P-HorarioBarbero</vt:lpstr>
      <vt:lpstr>E-HorarioBarbero</vt:lpstr>
      <vt:lpstr>M-HorarioBarbero</vt:lpstr>
      <vt:lpstr>C-Agenda</vt:lpstr>
      <vt:lpstr>P-Agenda</vt:lpstr>
      <vt:lpstr>E-Agenda</vt:lpstr>
      <vt:lpstr>M-Agenda</vt:lpstr>
      <vt:lpstr>C-Bloqueo</vt:lpstr>
      <vt:lpstr>P-Bloqueo</vt:lpstr>
      <vt:lpstr>E-Bloqueo</vt:lpstr>
      <vt:lpstr>M-Bloqueo</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Leandro Gomez Garcia</cp:lastModifiedBy>
  <cp:revision>0</cp:revision>
  <dcterms:created xsi:type="dcterms:W3CDTF">2015-06-05T18:19:34Z</dcterms:created>
  <dcterms:modified xsi:type="dcterms:W3CDTF">2026-09-07T17:50:20Z</dcterms:modified>
  <dc:language>en-US</dc:language>
</cp:coreProperties>
</file>